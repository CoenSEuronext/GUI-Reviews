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0" documentId="11_DBD4B871CAEA8BEEC5ED50E586204BEA16295369" xr6:coauthVersionLast="47" xr6:coauthVersionMax="47" xr10:uidLastSave="{9947DAB8-F520-494F-A0DD-5485ECE0986A}"/>
  <bookViews>
    <workbookView xWindow="-29370" yWindow="19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  <externalReference r:id="rId9"/>
  </externalReferences>
  <definedNames>
    <definedName name="_xlnm._FilterDatabase" localSheetId="0" hidden="1">'Selected Companies'!$A$1:$CV$101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S69" i="1"/>
  <c r="S31" i="1"/>
  <c r="S30" i="1"/>
  <c r="S29" i="1"/>
  <c r="S9" i="1"/>
  <c r="R72" i="1"/>
  <c r="S72" i="1" s="1"/>
  <c r="R71" i="1"/>
  <c r="S71" i="1" s="1"/>
  <c r="R69" i="1"/>
  <c r="R68" i="1"/>
  <c r="S68" i="1" s="1"/>
  <c r="R67" i="1"/>
  <c r="S67" i="1" s="1"/>
  <c r="R66" i="1"/>
  <c r="S66" i="1" s="1"/>
  <c r="R65" i="1"/>
  <c r="S65" i="1" s="1"/>
  <c r="R64" i="1"/>
  <c r="S64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31" i="1"/>
  <c r="R30" i="1"/>
  <c r="R29" i="1"/>
  <c r="R28" i="1"/>
  <c r="S28" i="1" s="1"/>
  <c r="R27" i="1"/>
  <c r="S27" i="1" s="1"/>
  <c r="R26" i="1"/>
  <c r="S26" i="1" s="1"/>
  <c r="R9" i="1"/>
  <c r="R8" i="1"/>
  <c r="S8" i="1" s="1"/>
  <c r="R7" i="1"/>
  <c r="S7" i="1" s="1"/>
  <c r="R6" i="1"/>
  <c r="S6" i="1" s="1"/>
  <c r="R5" i="1"/>
  <c r="S5" i="1" s="1"/>
  <c r="R4" i="1"/>
  <c r="S4" i="1" s="1"/>
  <c r="P101" i="1"/>
  <c r="Q101" i="1" s="1"/>
  <c r="P100" i="1"/>
  <c r="Q100" i="1" s="1"/>
  <c r="P99" i="1"/>
  <c r="Q99" i="1" s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90" i="1"/>
  <c r="Q90" i="1" s="1"/>
  <c r="P89" i="1"/>
  <c r="Q89" i="1" s="1"/>
  <c r="P88" i="1"/>
  <c r="Q88" i="1" s="1"/>
  <c r="P87" i="1"/>
  <c r="Q87" i="1" s="1"/>
  <c r="P86" i="1"/>
  <c r="Q86" i="1" s="1"/>
  <c r="P85" i="1"/>
  <c r="Q85" i="1" s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  <c r="R2" i="1" l="1"/>
  <c r="S2" i="1" s="1"/>
  <c r="R3" i="1"/>
  <c r="S3" i="1" s="1"/>
  <c r="R32" i="1"/>
  <c r="S32" i="1" s="1"/>
  <c r="R70" i="1"/>
  <c r="S70" i="1" s="1"/>
  <c r="R84" i="1"/>
  <c r="S84" i="1" s="1"/>
  <c r="R10" i="1"/>
  <c r="S10" i="1" s="1"/>
  <c r="R48" i="1"/>
  <c r="S48" i="1" s="1"/>
  <c r="R86" i="1"/>
  <c r="S86" i="1" s="1"/>
  <c r="R82" i="1"/>
  <c r="S82" i="1" s="1"/>
  <c r="R11" i="1"/>
  <c r="S11" i="1" s="1"/>
  <c r="R49" i="1"/>
  <c r="S49" i="1" s="1"/>
  <c r="R87" i="1"/>
  <c r="S87" i="1" s="1"/>
  <c r="R12" i="1"/>
  <c r="S12" i="1" s="1"/>
  <c r="R50" i="1"/>
  <c r="S50" i="1" s="1"/>
  <c r="R88" i="1"/>
  <c r="S88" i="1" s="1"/>
  <c r="R22" i="1"/>
  <c r="S22" i="1" s="1"/>
  <c r="R51" i="1"/>
  <c r="S51" i="1" s="1"/>
  <c r="R89" i="1"/>
  <c r="S89" i="1" s="1"/>
  <c r="R23" i="1"/>
  <c r="S23" i="1" s="1"/>
  <c r="R52" i="1"/>
  <c r="S52" i="1" s="1"/>
  <c r="R90" i="1"/>
  <c r="S90" i="1" s="1"/>
  <c r="R83" i="1"/>
  <c r="S83" i="1" s="1"/>
  <c r="R85" i="1"/>
  <c r="S85" i="1" s="1"/>
  <c r="R24" i="1"/>
  <c r="S24" i="1" s="1"/>
  <c r="R62" i="1"/>
  <c r="S62" i="1" s="1"/>
  <c r="R91" i="1"/>
  <c r="S91" i="1" s="1"/>
  <c r="R25" i="1"/>
  <c r="S25" i="1" s="1"/>
  <c r="R63" i="1"/>
  <c r="S63" i="1" s="1"/>
  <c r="R92" i="1"/>
  <c r="S92" i="1" s="1"/>
  <c r="R13" i="1"/>
  <c r="S13" i="1" s="1"/>
  <c r="R94" i="1"/>
  <c r="S94" i="1" s="1"/>
  <c r="R15" i="1"/>
  <c r="S15" i="1" s="1"/>
  <c r="R35" i="1"/>
  <c r="S35" i="1" s="1"/>
  <c r="R55" i="1"/>
  <c r="S55" i="1" s="1"/>
  <c r="R75" i="1"/>
  <c r="S75" i="1" s="1"/>
  <c r="R95" i="1"/>
  <c r="S95" i="1" s="1"/>
  <c r="R53" i="1"/>
  <c r="S53" i="1" s="1"/>
  <c r="R74" i="1"/>
  <c r="S74" i="1" s="1"/>
  <c r="R16" i="1"/>
  <c r="S16" i="1" s="1"/>
  <c r="R36" i="1"/>
  <c r="S36" i="1" s="1"/>
  <c r="R56" i="1"/>
  <c r="S56" i="1" s="1"/>
  <c r="R76" i="1"/>
  <c r="S76" i="1" s="1"/>
  <c r="R96" i="1"/>
  <c r="S96" i="1" s="1"/>
  <c r="R73" i="1"/>
  <c r="S73" i="1" s="1"/>
  <c r="R54" i="1"/>
  <c r="S54" i="1" s="1"/>
  <c r="R17" i="1"/>
  <c r="S17" i="1" s="1"/>
  <c r="R37" i="1"/>
  <c r="S37" i="1" s="1"/>
  <c r="R57" i="1"/>
  <c r="S57" i="1" s="1"/>
  <c r="R77" i="1"/>
  <c r="S77" i="1" s="1"/>
  <c r="R97" i="1"/>
  <c r="S97" i="1" s="1"/>
  <c r="R33" i="1"/>
  <c r="S33" i="1" s="1"/>
  <c r="R34" i="1"/>
  <c r="S34" i="1" s="1"/>
  <c r="R18" i="1"/>
  <c r="S18" i="1" s="1"/>
  <c r="R38" i="1"/>
  <c r="S38" i="1" s="1"/>
  <c r="R58" i="1"/>
  <c r="S58" i="1" s="1"/>
  <c r="R78" i="1"/>
  <c r="S78" i="1" s="1"/>
  <c r="R98" i="1"/>
  <c r="S98" i="1" s="1"/>
  <c r="R93" i="1"/>
  <c r="S93" i="1" s="1"/>
  <c r="R14" i="1"/>
  <c r="S14" i="1" s="1"/>
  <c r="R19" i="1"/>
  <c r="S19" i="1" s="1"/>
  <c r="R39" i="1"/>
  <c r="S39" i="1" s="1"/>
  <c r="R59" i="1"/>
  <c r="S59" i="1" s="1"/>
  <c r="R79" i="1"/>
  <c r="S79" i="1" s="1"/>
  <c r="R99" i="1"/>
  <c r="S99" i="1" s="1"/>
  <c r="R20" i="1"/>
  <c r="S20" i="1" s="1"/>
  <c r="R40" i="1"/>
  <c r="S40" i="1" s="1"/>
  <c r="R60" i="1"/>
  <c r="S60" i="1" s="1"/>
  <c r="R80" i="1"/>
  <c r="S80" i="1" s="1"/>
  <c r="R100" i="1"/>
  <c r="S100" i="1" s="1"/>
  <c r="R21" i="1"/>
  <c r="S21" i="1" s="1"/>
  <c r="R41" i="1"/>
  <c r="S41" i="1" s="1"/>
  <c r="R61" i="1"/>
  <c r="S61" i="1" s="1"/>
  <c r="R81" i="1"/>
  <c r="S81" i="1" s="1"/>
  <c r="R101" i="1"/>
  <c r="S101" i="1" s="1"/>
</calcChain>
</file>

<file path=xl/sharedStrings.xml><?xml version="1.0" encoding="utf-8"?>
<sst xmlns="http://schemas.openxmlformats.org/spreadsheetml/2006/main" count="25067" uniqueCount="1756">
  <si>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</si>
  <si>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</si>
  <si>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</si>
  <si>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</si>
  <si>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</si>
  <si>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</si>
  <si>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</si>
  <si>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</si>
  <si>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</si>
  <si>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</si>
  <si>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</si>
  <si>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</si>
  <si>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</si>
  <si>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</si>
  <si>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</si>
  <si>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</si>
  <si>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</si>
  <si>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</si>
  <si>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</si>
  <si>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</si>
  <si>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</si>
  <si>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</si>
  <si>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</si>
  <si>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</si>
  <si>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</si>
  <si>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</si>
  <si>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</si>
  <si>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</si>
  <si>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</si>
  <si>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</si>
  <si>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</si>
  <si>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</si>
  <si>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</si>
  <si>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</si>
  <si>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</si>
  <si>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</si>
  <si>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</si>
  <si>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</si>
  <si>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</si>
  <si>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</si>
  <si>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</si>
  <si>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</si>
  <si>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</si>
  <si>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</si>
  <si>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</si>
  <si>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</si>
  <si>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</si>
  <si>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</si>
  <si>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</si>
  <si>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</si>
  <si>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</si>
  <si>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</si>
  <si>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</si>
  <si>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</si>
  <si>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</si>
  <si>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</si>
  <si>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</si>
  <si>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</si>
  <si>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</si>
  <si>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</si>
  <si>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</si>
  <si>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</si>
  <si>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</si>
  <si>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</si>
  <si>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</si>
  <si>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</si>
  <si>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</si>
  <si>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</si>
  <si>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</si>
  <si>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</si>
  <si>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</si>
  <si>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</si>
  <si>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</si>
  <si>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</si>
  <si>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</si>
  <si>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</si>
  <si>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</si>
  <si>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</si>
  <si>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</si>
  <si>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</si>
  <si>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</si>
  <si>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</si>
  <si>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</si>
  <si>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</si>
  <si>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</si>
  <si>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</si>
  <si>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</si>
  <si>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</si>
  <si>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</si>
  <si>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</si>
  <si>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</si>
  <si>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</si>
  <si>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</si>
  <si>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</si>
  <si>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</si>
  <si>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</si>
  <si>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</si>
  <si>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</si>
  <si>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</si>
  <si>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</si>
  <si>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</si>
  <si>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</si>
  <si>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</si>
  <si>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</si>
  <si>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</si>
  <si>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</si>
  <si>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</si>
  <si>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</si>
  <si>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</si>
  <si>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</si>
  <si>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</si>
  <si>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</si>
  <si>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</si>
  <si>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</si>
  <si>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</si>
  <si>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</si>
  <si>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</si>
  <si>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</si>
  <si>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</si>
  <si>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</si>
  <si>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</si>
  <si>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</si>
  <si>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</si>
  <si>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</si>
  <si>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</si>
  <si>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</si>
  <si>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</si>
  <si>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</si>
  <si>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</si>
  <si>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</si>
  <si>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</si>
  <si>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</si>
  <si>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</si>
  <si>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</si>
  <si>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</si>
  <si>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</si>
  <si>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</si>
  <si>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</si>
  <si>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</si>
  <si>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</si>
  <si>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</si>
  <si>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</si>
  <si>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</si>
  <si>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</si>
  <si>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</si>
  <si>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</si>
  <si>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</si>
  <si>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</si>
  <si>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</si>
  <si>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</si>
  <si>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</si>
  <si>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</si>
  <si>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</si>
  <si>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</si>
  <si>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</si>
  <si>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</si>
  <si>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</si>
  <si>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</si>
  <si>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</si>
  <si>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</si>
  <si>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</si>
  <si>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</si>
  <si>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</si>
  <si>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</si>
  <si>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</si>
  <si>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</si>
  <si>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</si>
  <si>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</si>
  <si>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</si>
  <si>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</si>
  <si>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</si>
  <si>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</si>
  <si>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</si>
  <si>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</si>
  <si>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</si>
  <si>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</si>
  <si>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</si>
  <si>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</si>
  <si>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</si>
  <si>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</si>
  <si>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</si>
  <si>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</si>
  <si>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</si>
  <si>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</si>
  <si>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</si>
  <si>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</si>
  <si>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</si>
  <si>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</si>
  <si>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</si>
  <si>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</si>
  <si>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</si>
  <si>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</si>
  <si>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</si>
  <si>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</si>
  <si>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</si>
  <si>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</si>
  <si>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</si>
  <si>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</si>
  <si>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</si>
  <si>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</si>
  <si>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</si>
  <si>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</si>
  <si>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</si>
  <si>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</si>
  <si>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</si>
  <si>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</si>
  <si>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</si>
  <si>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</si>
  <si>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</si>
  <si>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</si>
  <si>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</si>
  <si>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</si>
  <si>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</si>
  <si>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</si>
  <si>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</si>
  <si>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</si>
  <si>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</si>
  <si>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</si>
  <si>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</si>
  <si>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</si>
  <si>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</si>
  <si>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</si>
  <si>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</si>
  <si>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</si>
  <si>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</si>
  <si>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</si>
  <si>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</si>
  <si>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</si>
  <si>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</si>
  <si>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</si>
  <si>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</si>
  <si>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</si>
  <si>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</si>
  <si>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</si>
  <si>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</si>
  <si>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</si>
  <si>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</si>
  <si>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</si>
  <si>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</si>
  <si>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</si>
  <si>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</si>
  <si>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</si>
  <si>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</si>
  <si>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</si>
  <si>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</si>
  <si>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</si>
  <si>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</si>
  <si>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</si>
  <si>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</si>
  <si>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</si>
  <si>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</si>
  <si>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</si>
  <si>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</si>
  <si>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</si>
  <si>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</si>
  <si>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</si>
  <si>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</si>
  <si>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</si>
  <si>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</si>
  <si>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</si>
  <si>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</si>
  <si>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</si>
  <si>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</si>
  <si>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</si>
  <si>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</si>
  <si>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</si>
  <si>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</si>
  <si>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</si>
  <si>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</si>
  <si>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</si>
  <si>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</si>
  <si>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</si>
  <si>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</si>
  <si>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</si>
  <si>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</si>
  <si>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</si>
  <si>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</si>
  <si>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</si>
  <si>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</si>
  <si>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</si>
  <si>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</si>
  <si>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</si>
  <si>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</si>
  <si>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</si>
  <si>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</si>
  <si>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</si>
  <si>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</si>
  <si>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</si>
  <si>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</si>
  <si>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</si>
  <si>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</si>
  <si>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</si>
  <si>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</si>
  <si>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</si>
  <si>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</si>
  <si>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</si>
  <si>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</si>
  <si>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</si>
  <si>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</si>
  <si>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</si>
  <si>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</si>
  <si>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</si>
  <si>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</si>
  <si>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</si>
  <si>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</si>
  <si>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</si>
  <si>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</si>
  <si>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</si>
  <si>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</si>
  <si>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</si>
  <si>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</si>
  <si>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</si>
  <si>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</si>
  <si>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</si>
  <si>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</si>
  <si>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</si>
  <si>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</si>
  <si>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</si>
  <si>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</si>
  <si>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</si>
  <si>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</si>
  <si>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</si>
  <si>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</si>
  <si>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</si>
  <si>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</si>
  <si>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</si>
  <si>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</si>
  <si>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</si>
  <si>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</si>
  <si>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</si>
  <si>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</si>
  <si>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</si>
  <si>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</si>
  <si>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</si>
  <si>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</si>
  <si>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</si>
  <si>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</si>
  <si>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</si>
  <si>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</si>
  <si>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</si>
  <si>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</si>
  <si>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</si>
  <si>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</si>
  <si>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</si>
  <si>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</si>
  <si>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</si>
  <si>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</si>
  <si>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</si>
  <si>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</si>
  <si>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</si>
  <si>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</si>
  <si>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</si>
  <si>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</si>
  <si>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</si>
  <si>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</si>
  <si>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</si>
  <si>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</si>
  <si>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</si>
  <si>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</si>
  <si>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</si>
  <si>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</si>
  <si>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</si>
  <si>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</si>
  <si>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</si>
  <si>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</si>
  <si>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</si>
  <si>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</si>
  <si>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</si>
  <si>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</si>
  <si>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</si>
  <si>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</si>
  <si>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</si>
  <si>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</si>
  <si>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</si>
  <si>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</si>
  <si>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</si>
  <si>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</si>
  <si>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</si>
  <si>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</si>
  <si>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</si>
  <si>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</si>
  <si>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</si>
  <si>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</si>
  <si>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</si>
  <si>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</si>
  <si>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</si>
  <si>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</si>
  <si>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</si>
  <si>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</si>
  <si>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</si>
  <si>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</si>
  <si>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</si>
  <si>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</si>
  <si>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</si>
  <si>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</si>
  <si>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</si>
  <si>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</si>
  <si>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</si>
  <si>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</si>
  <si>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</si>
  <si>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</si>
  <si>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</si>
  <si>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</si>
  <si>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</si>
  <si>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</si>
  <si>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</si>
  <si>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</si>
  <si>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</si>
  <si>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</si>
  <si>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</si>
  <si>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</si>
  <si>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</si>
  <si>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</si>
  <si>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</si>
  <si>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</si>
  <si>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</si>
  <si>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</si>
  <si>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</si>
  <si>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</si>
  <si>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</si>
  <si>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</si>
  <si>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</si>
  <si>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</si>
  <si>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</si>
  <si>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</si>
  <si>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</si>
  <si>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</si>
  <si>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</si>
  <si>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</si>
  <si>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</si>
  <si>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</si>
  <si>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</si>
  <si>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</si>
  <si>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</si>
  <si>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</si>
  <si>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</si>
  <si>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</si>
  <si>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</si>
  <si>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</si>
  <si>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</si>
  <si>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</si>
  <si>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</si>
  <si>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</si>
  <si>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</si>
  <si>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</si>
  <si>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</si>
  <si>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</si>
  <si>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</si>
  <si>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</si>
  <si>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</si>
  <si>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</si>
  <si>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</si>
  <si>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</si>
  <si>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</si>
  <si>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</si>
  <si>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</si>
  <si>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</si>
  <si>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</si>
  <si>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</si>
  <si>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</si>
  <si>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</si>
  <si>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</si>
  <si>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</si>
  <si>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</si>
  <si>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</si>
  <si>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</si>
  <si>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</si>
  <si>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</si>
  <si>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</si>
  <si>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</si>
  <si>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</si>
  <si>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</si>
  <si>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</si>
  <si>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</si>
  <si>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</si>
  <si>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</si>
  <si>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</si>
  <si>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</si>
  <si>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</si>
  <si>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</si>
  <si>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</si>
  <si>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</si>
  <si>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</si>
  <si>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</si>
  <si>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</si>
  <si>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</si>
  <si>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</si>
  <si>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</si>
  <si>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</si>
  <si>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</si>
  <si>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</si>
  <si>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</si>
  <si>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</si>
  <si>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</si>
  <si>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</si>
  <si>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</si>
  <si>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</si>
  <si>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</si>
  <si>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</si>
  <si>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</si>
  <si>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</si>
  <si>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</si>
  <si>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</si>
  <si>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</si>
  <si>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</si>
  <si>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</si>
  <si>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</si>
  <si>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</si>
  <si>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</si>
  <si>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</si>
  <si>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</si>
  <si>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</si>
  <si>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</si>
  <si>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</si>
  <si>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</si>
  <si>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</si>
  <si>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</si>
  <si>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</si>
  <si>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</si>
  <si>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</si>
  <si>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</si>
  <si>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</si>
  <si>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</si>
  <si>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</si>
  <si>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</si>
  <si>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</si>
  <si>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</si>
  <si>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</si>
  <si>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</si>
  <si>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</si>
  <si>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</si>
  <si>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</si>
  <si>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</si>
  <si>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</si>
  <si>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</si>
  <si>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</si>
  <si>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</si>
  <si>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</si>
  <si>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</si>
  <si>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</si>
  <si>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</si>
  <si>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</si>
  <si>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</si>
  <si>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</si>
  <si>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</si>
  <si>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</si>
  <si>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</si>
  <si>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</si>
  <si>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</si>
  <si>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</si>
  <si>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</si>
  <si>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</si>
  <si>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</si>
  <si>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</si>
  <si>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</si>
  <si>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</si>
  <si>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</si>
  <si>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</si>
  <si>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</si>
  <si>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</si>
  <si>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</si>
  <si>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</si>
  <si>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</si>
  <si>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</si>
  <si>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</si>
  <si>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</si>
  <si>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</si>
  <si>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</si>
  <si>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</si>
  <si>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</si>
  <si>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</si>
  <si>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</si>
  <si>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</si>
  <si>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</si>
  <si>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</si>
  <si>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</si>
  <si>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</si>
  <si>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</si>
  <si>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</si>
  <si>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</si>
  <si>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</si>
  <si>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</si>
  <si>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</si>
  <si>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</si>
  <si>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</si>
  <si>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</si>
  <si>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</si>
  <si>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</si>
  <si>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</si>
  <si>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</si>
  <si>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</si>
  <si>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</si>
  <si>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</si>
  <si>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</si>
  <si>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</si>
  <si>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</si>
  <si>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</si>
  <si>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</si>
  <si>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</si>
  <si>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</si>
  <si>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</si>
  <si>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</si>
  <si>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</si>
  <si>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</si>
  <si>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</si>
  <si>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</si>
  <si>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</si>
  <si>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</si>
  <si>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</si>
  <si>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</si>
  <si>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</si>
  <si>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</si>
  <si>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</si>
  <si>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</si>
  <si>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</si>
  <si>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</si>
  <si>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</si>
  <si>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</si>
  <si>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</si>
  <si>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</si>
  <si>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</si>
  <si>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</si>
  <si>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</si>
  <si>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</si>
  <si>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</si>
  <si>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</si>
  <si>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</si>
  <si>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</si>
  <si>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</si>
  <si>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</si>
  <si>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</si>
  <si>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</si>
  <si>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</si>
  <si>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</si>
  <si>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</si>
  <si>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</si>
  <si>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</si>
  <si>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</si>
  <si>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</si>
  <si>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</si>
  <si>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</si>
  <si>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</si>
  <si>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</si>
  <si>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</si>
  <si>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</si>
  <si>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</si>
  <si>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</si>
  <si>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</si>
  <si>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</si>
  <si>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</si>
  <si>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</si>
  <si>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</si>
  <si>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</si>
  <si>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</si>
  <si>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</si>
  <si>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</si>
  <si>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</si>
  <si>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</si>
  <si>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</si>
  <si>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</si>
  <si>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</si>
  <si>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</si>
  <si>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</si>
  <si>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</si>
  <si>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</si>
  <si>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</si>
  <si>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</si>
  <si>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</si>
  <si>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</si>
  <si>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</si>
  <si>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</si>
  <si>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</si>
  <si>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</si>
  <si>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</si>
  <si>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</si>
  <si>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</si>
  <si>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</si>
  <si>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</si>
  <si>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</si>
  <si>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</si>
  <si>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</si>
  <si>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</si>
  <si>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</si>
  <si>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</si>
  <si>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</si>
  <si>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</si>
  <si>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</si>
  <si>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</si>
  <si>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</si>
  <si>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</si>
  <si>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</si>
  <si>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</si>
  <si>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</si>
  <si>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</si>
  <si>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</si>
  <si>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</si>
  <si>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</si>
  <si>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</si>
  <si>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</si>
  <si>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</si>
  <si>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</si>
  <si>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</si>
  <si>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</si>
  <si>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</si>
  <si>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</si>
  <si>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</si>
  <si>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</si>
  <si>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</si>
  <si>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</si>
  <si>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</si>
  <si>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</si>
  <si>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</si>
  <si>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</si>
  <si>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</si>
  <si>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</si>
  <si>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</si>
  <si>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</si>
  <si>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</si>
  <si>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</si>
  <si>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</si>
  <si>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</si>
  <si>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</si>
  <si>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</si>
  <si>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</si>
  <si>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</si>
  <si>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</si>
  <si>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</si>
  <si>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</si>
  <si>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</si>
  <si>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</si>
  <si>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</si>
  <si>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</si>
  <si>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</si>
  <si>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</si>
  <si>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</si>
  <si>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</si>
  <si>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</si>
  <si>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</si>
  <si>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</si>
  <si>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</si>
  <si>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</si>
  <si>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</si>
  <si>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</si>
  <si>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</si>
  <si>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</si>
  <si>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</si>
  <si>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</si>
  <si>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</si>
  <si>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</si>
  <si>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</si>
  <si>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</si>
  <si>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</si>
  <si>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</si>
  <si>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</si>
  <si>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</si>
  <si>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</si>
  <si>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</si>
  <si>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</si>
  <si>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</si>
  <si>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</si>
  <si>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</si>
  <si>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</si>
  <si>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</si>
  <si>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</si>
  <si>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</si>
  <si>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</si>
  <si>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</si>
  <si>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</si>
  <si>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</si>
  <si>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</si>
  <si>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</si>
  <si>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</si>
  <si>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</si>
  <si>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</si>
  <si>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</si>
  <si>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</si>
  <si>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</si>
  <si>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</si>
  <si>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</si>
  <si>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</si>
  <si>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</si>
  <si>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</si>
  <si>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</si>
  <si>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</si>
  <si>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</si>
  <si>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</si>
  <si>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</si>
  <si>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</si>
  <si>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</si>
  <si>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</si>
  <si>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</si>
  <si>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</si>
  <si>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</si>
  <si>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</si>
  <si>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</si>
  <si>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</si>
  <si>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</si>
  <si>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</si>
  <si>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</si>
  <si>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</si>
  <si>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</si>
  <si>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</si>
  <si>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</si>
  <si>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</si>
  <si>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</si>
  <si>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</si>
  <si>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</si>
  <si>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</si>
  <si>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</si>
  <si>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</si>
  <si>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</si>
  <si>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</si>
  <si>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</si>
  <si>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</si>
  <si>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</si>
  <si>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</si>
  <si>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</si>
  <si>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</si>
  <si>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</si>
  <si>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</si>
  <si>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</si>
  <si>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</si>
  <si>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</si>
  <si>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</si>
  <si>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</si>
  <si>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</si>
  <si>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</si>
  <si>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</si>
  <si>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</si>
  <si>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</si>
  <si>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</si>
  <si>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</si>
  <si>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</si>
  <si>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</si>
  <si>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</si>
  <si>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</si>
  <si>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</si>
  <si>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</si>
  <si>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</si>
  <si>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</si>
  <si>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</si>
  <si>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</si>
  <si>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</si>
  <si>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</si>
  <si>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</si>
  <si>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</si>
  <si>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</si>
  <si>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</si>
  <si>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</si>
  <si>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</si>
  <si>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</si>
  <si>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</si>
  <si>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</si>
  <si>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</si>
  <si>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</si>
  <si>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</si>
  <si>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</si>
  <si>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</si>
  <si>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</si>
  <si>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</si>
  <si>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</si>
  <si>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</si>
  <si>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</si>
  <si>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</si>
  <si>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</si>
  <si>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</si>
  <si>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</si>
  <si>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</si>
  <si>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</si>
  <si>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</si>
  <si>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</si>
  <si>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</si>
  <si>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</si>
  <si>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</si>
  <si>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</si>
  <si>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</si>
  <si>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</si>
  <si>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</si>
  <si>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</si>
  <si>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</si>
  <si>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</si>
  <si>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</si>
  <si>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</si>
  <si>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</si>
  <si>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</si>
  <si>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</si>
  <si>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</si>
  <si>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</si>
  <si>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</si>
  <si>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</si>
  <si>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</si>
  <si>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</si>
  <si>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</si>
  <si>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</si>
  <si>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</si>
  <si>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</si>
  <si>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</si>
  <si>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</si>
  <si>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</si>
  <si>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</si>
  <si>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</si>
  <si>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</si>
  <si>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</si>
  <si>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</si>
  <si>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</si>
  <si>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</si>
  <si>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</si>
  <si>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</si>
  <si>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</si>
  <si>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</si>
  <si>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</si>
  <si>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</si>
  <si>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</si>
  <si>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</si>
  <si>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</si>
  <si>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</si>
  <si>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</si>
  <si>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</si>
  <si>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</si>
  <si>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</si>
  <si>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</si>
  <si>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</si>
  <si>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</si>
  <si>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</si>
  <si>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</si>
  <si>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</si>
  <si>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</si>
  <si>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</si>
  <si>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</si>
  <si>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</si>
  <si>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</si>
  <si>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</si>
  <si>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</si>
  <si>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</si>
  <si>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</si>
  <si>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</si>
  <si>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</si>
  <si>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</si>
  <si>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</si>
  <si>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</si>
  <si>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</si>
  <si>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</si>
  <si>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</si>
  <si>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</si>
  <si>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</si>
  <si>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</si>
  <si>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</si>
  <si>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</si>
  <si>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</si>
  <si>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</si>
  <si>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</si>
  <si>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</si>
  <si>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</si>
  <si>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</si>
  <si>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</si>
  <si>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</si>
  <si>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</si>
  <si>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</si>
  <si>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</si>
  <si>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</si>
  <si>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</si>
  <si>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</si>
  <si>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</si>
  <si>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</si>
  <si>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</si>
  <si>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</si>
  <si>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</si>
  <si>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</si>
  <si>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</si>
  <si>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</si>
  <si>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</si>
  <si>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</si>
  <si>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</si>
  <si>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</si>
  <si>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</si>
  <si>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</si>
  <si>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</si>
  <si>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</si>
  <si>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</si>
  <si>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</si>
  <si>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</si>
  <si>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</si>
  <si>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</si>
  <si>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</si>
  <si>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</si>
  <si>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</si>
  <si>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</si>
  <si>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</si>
  <si>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</si>
  <si>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</si>
  <si>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</si>
  <si>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</si>
  <si>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</si>
  <si>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</si>
  <si>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</si>
  <si>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</si>
  <si>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</si>
  <si>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</si>
  <si>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</si>
  <si>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</si>
  <si>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</si>
  <si>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</si>
  <si>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</si>
  <si>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</si>
  <si>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</si>
  <si>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</si>
  <si>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</si>
  <si>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</si>
  <si>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</si>
  <si>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</si>
  <si>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</si>
  <si>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</si>
  <si>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</si>
  <si>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</si>
  <si>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</si>
  <si>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</si>
  <si>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</si>
  <si>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</si>
  <si>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</si>
  <si>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</si>
  <si>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</si>
  <si>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</si>
  <si>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</si>
  <si>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</si>
  <si>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</si>
  <si>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</si>
  <si>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</si>
  <si>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</si>
  <si>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</si>
  <si>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</si>
  <si>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</si>
  <si>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</si>
  <si>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</si>
  <si>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</si>
  <si>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</si>
  <si>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</si>
  <si>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</si>
  <si>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</si>
  <si>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</si>
  <si>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</si>
  <si>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</si>
  <si>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</si>
  <si>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</si>
  <si>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</si>
  <si>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</si>
  <si>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</si>
  <si>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</si>
  <si>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</si>
  <si>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</si>
  <si>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</si>
  <si>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</si>
  <si>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</si>
  <si>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</si>
  <si>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</si>
  <si>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</si>
  <si>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</si>
  <si>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</si>
  <si>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</si>
  <si>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</si>
  <si>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</si>
  <si>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</si>
  <si>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</si>
  <si>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</si>
  <si>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</si>
  <si>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</si>
  <si>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</si>
  <si>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</si>
  <si>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</si>
  <si>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</si>
  <si>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</si>
  <si>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</si>
  <si>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</si>
  <si>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</si>
  <si>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</si>
  <si>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</si>
  <si>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</si>
  <si>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</si>
  <si>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</si>
  <si>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</si>
  <si>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</si>
  <si>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</si>
  <si>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</si>
  <si>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</si>
  <si>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</si>
  <si>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</si>
  <si>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</si>
  <si>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</si>
  <si>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</si>
  <si>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</si>
  <si>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</si>
  <si>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</si>
  <si>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</si>
  <si>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</si>
  <si>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</si>
  <si>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</si>
  <si>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</si>
  <si>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</si>
  <si>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</si>
  <si>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</si>
  <si>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</si>
  <si>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</si>
  <si>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</si>
  <si>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</si>
  <si>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</si>
  <si>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</si>
  <si>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</si>
  <si>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</si>
  <si>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</si>
  <si>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</si>
  <si>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</si>
  <si>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</si>
  <si>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</si>
  <si>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</si>
  <si>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</si>
  <si>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</si>
  <si>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</si>
  <si>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</si>
  <si>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</si>
  <si>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</si>
  <si>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</si>
  <si>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</si>
  <si>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</si>
  <si>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</si>
  <si>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</si>
  <si>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</si>
  <si>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</si>
  <si>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</si>
  <si>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</si>
  <si>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</si>
  <si>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</si>
  <si>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</si>
  <si>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</si>
  <si>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</si>
  <si>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</si>
  <si>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</si>
  <si>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</si>
  <si>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</si>
  <si>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</si>
  <si>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</si>
  <si>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</si>
  <si>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</si>
  <si>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</si>
  <si>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</si>
  <si>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</si>
  <si>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</si>
  <si>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</si>
  <si>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</si>
  <si>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</si>
  <si>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</si>
  <si>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</si>
  <si>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</si>
  <si>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</si>
  <si>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</si>
  <si>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</si>
  <si>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</si>
  <si>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</si>
  <si>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</si>
  <si>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</si>
  <si>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</si>
  <si>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</si>
  <si>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</si>
  <si>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</si>
  <si>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</si>
  <si>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</si>
  <si>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</si>
  <si>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</si>
  <si>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</si>
  <si>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</si>
  <si>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</si>
  <si>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</si>
  <si>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</si>
  <si>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</si>
  <si>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</si>
  <si>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</si>
  <si>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</si>
  <si>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</si>
  <si>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</si>
  <si>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</si>
  <si>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</si>
  <si>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</si>
  <si>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</si>
  <si>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</si>
  <si>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</si>
  <si>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</si>
  <si>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</si>
  <si>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</si>
  <si>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</si>
  <si>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</si>
  <si>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</si>
  <si>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</si>
  <si>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</si>
  <si>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</si>
  <si>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</si>
  <si>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</si>
  <si>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</si>
  <si>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</si>
  <si>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</si>
  <si>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</si>
  <si>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</si>
  <si>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</si>
  <si>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</si>
  <si>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</si>
  <si>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</si>
  <si>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</si>
  <si>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</si>
  <si>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</si>
  <si>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</si>
  <si>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</si>
  <si>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</si>
  <si>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</si>
  <si>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</si>
  <si>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</si>
  <si>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</si>
  <si>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</si>
  <si>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</si>
  <si>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</si>
  <si>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</si>
  <si>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</si>
  <si>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</si>
  <si>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</si>
  <si>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</si>
  <si>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</si>
  <si>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</si>
  <si>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</si>
  <si>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</si>
  <si>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</si>
  <si>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</si>
  <si>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</si>
  <si>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</si>
  <si>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</si>
  <si>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</si>
  <si>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</si>
  <si>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</si>
  <si>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</si>
  <si>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</si>
  <si>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</si>
  <si>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</si>
  <si>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</si>
  <si>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</si>
  <si>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</si>
  <si>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</si>
  <si>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</si>
  <si>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</si>
  <si>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</si>
  <si>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</si>
  <si>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</si>
  <si>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</si>
  <si>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</si>
  <si>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</si>
  <si>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</si>
  <si>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</si>
  <si>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</si>
  <si>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</si>
  <si>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</si>
  <si>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</si>
  <si>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</si>
  <si>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</si>
  <si>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</si>
  <si>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</si>
  <si>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</si>
  <si>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</si>
  <si>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</si>
  <si>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</si>
  <si>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</si>
  <si>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</si>
  <si>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</si>
  <si>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</si>
  <si>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</si>
  <si>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</si>
  <si>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</si>
  <si>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</si>
  <si>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</si>
  <si>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</si>
  <si>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</si>
  <si>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</si>
  <si>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</si>
  <si>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</si>
  <si>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</si>
  <si>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</si>
  <si>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</si>
  <si>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</si>
  <si>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</si>
  <si>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</si>
  <si>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</si>
  <si>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</si>
  <si>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</si>
  <si>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</si>
  <si>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</si>
  <si>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</si>
  <si>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</si>
  <si>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</si>
  <si>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</si>
  <si>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</si>
  <si>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</si>
  <si>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</si>
  <si>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</si>
  <si>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</si>
  <si>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</si>
  <si>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</si>
  <si>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</si>
  <si>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</si>
  <si>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</si>
  <si>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</si>
  <si>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</si>
  <si>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</si>
  <si>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</si>
  <si>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</si>
  <si>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</si>
  <si>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</si>
  <si>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</si>
  <si>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</si>
  <si>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</si>
  <si>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</si>
  <si>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</si>
  <si>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</si>
  <si>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</si>
  <si>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</si>
  <si>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</si>
  <si>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</si>
  <si>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</si>
  <si>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</si>
  <si>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</si>
  <si>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</si>
  <si>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</si>
  <si>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</si>
  <si>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</si>
  <si>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</si>
  <si>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</si>
  <si>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</si>
  <si>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</si>
  <si>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</si>
  <si>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</si>
  <si>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</si>
  <si>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</si>
  <si>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</si>
  <si>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</si>
  <si>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</si>
  <si>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</si>
  <si>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</si>
  <si>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</si>
  <si>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</si>
  <si>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</si>
  <si>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</si>
  <si>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</si>
  <si>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</si>
  <si>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</si>
  <si>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</si>
  <si>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</si>
  <si>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</si>
  <si>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</si>
  <si>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</si>
  <si>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</si>
  <si>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</si>
  <si>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</si>
  <si>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</si>
  <si>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</si>
  <si>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</si>
  <si>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</si>
  <si>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</si>
  <si>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</si>
  <si>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</si>
  <si>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</si>
  <si>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</si>
  <si>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</si>
  <si>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</si>
  <si>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</si>
  <si>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</si>
  <si>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</si>
  <si>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</si>
  <si>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</si>
  <si>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</si>
  <si>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</si>
  <si>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</si>
  <si>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</si>
  <si>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</si>
  <si>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</si>
  <si>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</si>
  <si>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</si>
  <si>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</si>
  <si>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</si>
  <si>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</si>
  <si>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</si>
  <si>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</si>
  <si>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</si>
  <si>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</si>
  <si>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</si>
  <si>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</si>
  <si>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</si>
  <si>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</si>
  <si>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</si>
  <si>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</si>
  <si>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</si>
  <si>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</si>
  <si>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</si>
  <si>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</si>
  <si>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</si>
  <si>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</si>
  <si>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</si>
  <si>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</si>
  <si>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</si>
  <si>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</si>
  <si>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</si>
  <si>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</si>
  <si>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</si>
  <si>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</si>
  <si>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</si>
  <si>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</si>
  <si>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</si>
  <si>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</si>
  <si>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</si>
  <si>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</si>
  <si>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</si>
  <si>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</si>
  <si>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</si>
  <si>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</si>
  <si>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</si>
  <si>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</si>
  <si>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</si>
  <si>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</si>
  <si>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</si>
  <si>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</si>
  <si>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</si>
  <si>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</si>
  <si>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</si>
  <si>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</si>
  <si>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</si>
  <si>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</si>
  <si>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</si>
  <si>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</si>
  <si>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</si>
  <si>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</si>
  <si>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</si>
  <si>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</si>
  <si>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</si>
  <si>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</si>
  <si>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</si>
  <si>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</si>
  <si>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</si>
  <si>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</si>
  <si>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</si>
  <si>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</si>
  <si>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</si>
  <si>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</si>
  <si>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</si>
  <si>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</si>
  <si>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</si>
  <si>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</si>
  <si>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</si>
  <si>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</si>
  <si>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</si>
  <si>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</si>
  <si>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</si>
  <si>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</si>
  <si>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</si>
  <si>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</si>
  <si>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</si>
  <si>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</si>
  <si>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</si>
  <si>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</si>
  <si>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</si>
  <si>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</si>
  <si>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</si>
  <si>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</si>
  <si>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</si>
  <si>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</si>
  <si>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</si>
  <si>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</si>
  <si>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</si>
  <si>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</si>
  <si>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</si>
  <si>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</si>
  <si>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</si>
  <si>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</si>
  <si>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</si>
  <si>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</si>
  <si>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</si>
  <si>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</si>
  <si>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</si>
  <si>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</si>
  <si>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</si>
  <si>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</si>
  <si>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</si>
  <si>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</si>
  <si>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</si>
  <si>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</si>
  <si>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</si>
  <si>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</si>
  <si>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</si>
  <si>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</si>
  <si>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</si>
  <si>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</si>
  <si>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</si>
  <si>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</si>
  <si>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</si>
  <si>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</si>
  <si>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</si>
  <si>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</si>
  <si>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</si>
  <si>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</si>
  <si>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</si>
  <si>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</si>
  <si>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</si>
  <si>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</si>
  <si>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</si>
  <si>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</si>
  <si>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</si>
  <si>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</si>
  <si>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</si>
  <si>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</si>
  <si>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</si>
  <si>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</si>
  <si>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</si>
  <si>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</si>
  <si>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</si>
  <si>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</si>
  <si>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</si>
  <si>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</si>
  <si>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</si>
  <si>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</si>
  <si>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</si>
  <si>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</si>
  <si>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</si>
  <si>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</si>
  <si>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</si>
  <si>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</si>
  <si>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</si>
  <si>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</si>
  <si>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</si>
  <si>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</si>
  <si>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</si>
  <si>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</si>
  <si>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</si>
  <si>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</si>
  <si>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</si>
  <si>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</si>
  <si>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</si>
  <si>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</si>
  <si>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</si>
  <si>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</si>
  <si>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</si>
  <si>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</si>
  <si>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</si>
  <si>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</si>
  <si>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</si>
  <si>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</si>
  <si>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</si>
  <si>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</si>
  <si>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</si>
  <si>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</si>
  <si>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</si>
  <si>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</si>
  <si>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</si>
  <si>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</si>
  <si>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</si>
  <si>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</si>
  <si>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</si>
  <si>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</si>
  <si>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</si>
  <si>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</si>
  <si>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</si>
  <si>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</si>
  <si>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</si>
  <si>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</si>
  <si>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</si>
  <si>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</si>
  <si>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</si>
  <si>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</si>
  <si>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</si>
  <si>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</si>
  <si>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</si>
  <si>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</si>
  <si>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</si>
  <si>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</si>
  <si>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</si>
  <si>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</si>
  <si>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</si>
  <si>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</si>
  <si>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</si>
  <si>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</si>
  <si>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</si>
  <si>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</si>
  <si>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</si>
  <si>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</si>
  <si>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</si>
  <si>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</si>
  <si>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</si>
  <si>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</si>
  <si>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</si>
  <si>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</si>
  <si>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</si>
  <si>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</si>
  <si>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</si>
  <si>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</si>
  <si>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</si>
  <si>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</si>
  <si>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</si>
  <si>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</si>
  <si>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</si>
  <si>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</si>
  <si>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</si>
  <si>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</si>
  <si>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</si>
  <si>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</si>
  <si>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</si>
  <si>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</si>
  <si>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</si>
  <si>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</si>
  <si>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</si>
  <si>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</si>
  <si>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</si>
  <si>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</si>
  <si>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</si>
  <si>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</si>
  <si>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</si>
  <si>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</si>
  <si>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</si>
  <si>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</si>
  <si>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</si>
  <si>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</si>
  <si>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</si>
  <si>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</si>
  <si>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</si>
  <si>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</si>
  <si>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</si>
  <si>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</si>
  <si>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</si>
  <si>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</si>
  <si>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</si>
  <si>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</si>
  <si>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</si>
  <si>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</si>
  <si>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</si>
  <si>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</si>
  <si>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</si>
  <si>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</si>
  <si>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</si>
  <si>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</si>
  <si>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</si>
  <si>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</si>
  <si>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</si>
  <si>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</si>
  <si>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</si>
  <si>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</si>
  <si>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</si>
  <si>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</si>
  <si>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</si>
  <si>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</si>
  <si>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</si>
  <si>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</si>
  <si>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</si>
  <si>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</si>
  <si>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</si>
  <si>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</si>
  <si>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</si>
  <si>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</si>
  <si>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</si>
  <si>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</si>
  <si>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</si>
  <si>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</si>
  <si>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</si>
  <si>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</si>
  <si>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</si>
  <si>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</si>
  <si>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</t>
  </si>
  <si>
    <t>exclude_subsector_50201020</t>
  </si>
  <si>
    <t>exclude_subsector_45103010</t>
  </si>
  <si>
    <t>exclude_subsector_60101030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</si>
  <si>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</si>
  <si>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</si>
  <si>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</si>
  <si>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</si>
  <si>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</si>
  <si>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</si>
  <si>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</si>
  <si>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</si>
  <si>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</si>
  <si>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</si>
  <si>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</si>
  <si>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</si>
  <si>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</si>
  <si>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</si>
  <si>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</si>
  <si>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</si>
  <si>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</si>
  <si>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</si>
  <si>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</si>
  <si>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</si>
  <si>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</si>
  <si>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</si>
  <si>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</si>
  <si>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</si>
  <si>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</si>
  <si>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</si>
  <si>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</si>
  <si>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</si>
  <si>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</si>
  <si>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</si>
  <si>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</si>
  <si>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</si>
  <si>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</si>
  <si>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</si>
  <si>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</si>
  <si>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</si>
  <si>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</si>
  <si>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</si>
  <si>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</si>
  <si>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</si>
  <si>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</si>
  <si>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</si>
  <si>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</si>
  <si>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</si>
  <si>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</si>
  <si>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</si>
  <si>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</si>
  <si>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</si>
  <si>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</si>
  <si>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exclude_subsector_50201020; exclude_nuclear_weapons_inside_npt</t>
  </si>
  <si>
    <t>exclude_subsector_50201010;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</si>
  <si>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</si>
  <si>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</si>
  <si>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</si>
  <si>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</si>
  <si>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</si>
  <si>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</si>
  <si>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</si>
  <si>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</si>
  <si>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</si>
  <si>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</si>
  <si>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</si>
  <si>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</si>
  <si>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</si>
  <si>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</si>
  <si>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</si>
  <si>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</si>
  <si>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</si>
  <si>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</si>
  <si>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</si>
  <si>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</si>
  <si>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</si>
  <si>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</si>
  <si>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</si>
  <si>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</si>
  <si>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</si>
  <si>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</si>
  <si>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</si>
  <si>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</si>
  <si>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</si>
  <si>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</si>
  <si>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</si>
  <si>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</si>
  <si>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</si>
  <si>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</si>
  <si>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</si>
  <si>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Weights</t>
  </si>
  <si>
    <t>Optimized mcap</t>
  </si>
  <si>
    <t>new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</si>
</sst>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100_EMS_2025-04-15%2023_59_59_2025-04-16-11-41-41.xlsx" TargetMode="External"/><Relationship Id="rId1" Type="http://schemas.openxmlformats.org/officeDocument/2006/relationships/externalLinkPath" Target="file:///C:\Users\CSonneveld\Downloads\details_LC100_EMS_2025-04-15%2023_59_59_2025-04-16-11-41-4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100_EMS_2025-04-15%2023_59_59_2025-04-16-11-41-41%20(1).xlsx" TargetMode="External"/><Relationship Id="rId1" Type="http://schemas.openxmlformats.org/officeDocument/2006/relationships/externalLinkPath" Target="file:///C:\Users\CSonneveld\Downloads\details_LC100_EMS_2025-04-15%2023_59_59_2025-04-16-11-41-4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GB00B02J6398</v>
          </cell>
          <cell r="I2">
            <v>5.7883943340441557E-3</v>
          </cell>
        </row>
        <row r="3">
          <cell r="C3" t="str">
            <v>IE00BF0L3536</v>
          </cell>
          <cell r="I3">
            <v>8.1365150760265865E-3</v>
          </cell>
        </row>
        <row r="4">
          <cell r="C4" t="str">
            <v>FR0010220475</v>
          </cell>
          <cell r="I4">
            <v>1.373974634295486E-2</v>
          </cell>
        </row>
        <row r="5">
          <cell r="C5" t="str">
            <v>DK0060946788</v>
          </cell>
          <cell r="I5">
            <v>5.725679418530276E-4</v>
          </cell>
        </row>
        <row r="6">
          <cell r="C6" t="str">
            <v>NL0000334118</v>
          </cell>
          <cell r="I6">
            <v>1.388207486789135E-2</v>
          </cell>
        </row>
        <row r="7">
          <cell r="C7" t="str">
            <v>SE0007100581</v>
          </cell>
          <cell r="I7">
            <v>4.6452813335283658E-3</v>
          </cell>
        </row>
        <row r="8">
          <cell r="C8" t="str">
            <v>GB0009895292</v>
          </cell>
          <cell r="I8">
            <v>4.6355638989785022E-2</v>
          </cell>
        </row>
        <row r="9">
          <cell r="C9" t="str">
            <v>GB00BPQY8M80</v>
          </cell>
          <cell r="I9">
            <v>1.1879616095462739E-2</v>
          </cell>
        </row>
        <row r="10">
          <cell r="C10" t="str">
            <v>FR0000120628</v>
          </cell>
          <cell r="I10">
            <v>1.3984044765789931E-2</v>
          </cell>
        </row>
        <row r="11">
          <cell r="C11" t="str">
            <v>ES0113900J37</v>
          </cell>
          <cell r="I11">
            <v>3.8358945136646047E-2</v>
          </cell>
        </row>
        <row r="12">
          <cell r="C12" t="str">
            <v>IE00BD1RP616</v>
          </cell>
          <cell r="I12">
            <v>1.9105825835527531E-3</v>
          </cell>
        </row>
        <row r="13">
          <cell r="C13" t="str">
            <v>GB0000811801</v>
          </cell>
          <cell r="I13">
            <v>1.3165034289213851E-3</v>
          </cell>
        </row>
        <row r="14">
          <cell r="C14" t="str">
            <v>CH0009002962</v>
          </cell>
          <cell r="I14">
            <v>5.7383814493180258E-4</v>
          </cell>
        </row>
        <row r="15">
          <cell r="C15" t="str">
            <v>DE0005200000</v>
          </cell>
          <cell r="I15">
            <v>8.5673873032584193E-3</v>
          </cell>
        </row>
        <row r="16">
          <cell r="C16" t="str">
            <v>GB0000904986</v>
          </cell>
          <cell r="I16">
            <v>2.3122869303490649E-3</v>
          </cell>
        </row>
        <row r="17">
          <cell r="C17" t="str">
            <v>DE0005190003</v>
          </cell>
          <cell r="I17">
            <v>1.4763284886288751E-2</v>
          </cell>
        </row>
        <row r="18">
          <cell r="C18" t="str">
            <v>FR0000131104</v>
          </cell>
          <cell r="I18">
            <v>1.376282057097619E-2</v>
          </cell>
        </row>
        <row r="19">
          <cell r="C19" t="str">
            <v>CH0531751755</v>
          </cell>
          <cell r="I19">
            <v>2.2741792270301259E-3</v>
          </cell>
        </row>
        <row r="20">
          <cell r="C20" t="str">
            <v>GB00B0744B38</v>
          </cell>
          <cell r="I20">
            <v>8.6169444567629778E-3</v>
          </cell>
        </row>
        <row r="21">
          <cell r="C21" t="str">
            <v>SE0000379190</v>
          </cell>
          <cell r="I21">
            <v>3.5714285714285548E-3</v>
          </cell>
        </row>
        <row r="22">
          <cell r="C22" t="str">
            <v>CH0198251305</v>
          </cell>
          <cell r="I22">
            <v>1.551612078837265E-3</v>
          </cell>
        </row>
        <row r="23">
          <cell r="C23" t="str">
            <v>DE000CBK1001</v>
          </cell>
          <cell r="I23">
            <v>3.9033170999595102E-3</v>
          </cell>
        </row>
        <row r="24">
          <cell r="C24" t="str">
            <v>DE0005439004</v>
          </cell>
          <cell r="I24">
            <v>1.2870880616852351E-3</v>
          </cell>
        </row>
        <row r="25">
          <cell r="C25" t="str">
            <v>GB00BD3VFW73</v>
          </cell>
          <cell r="I25">
            <v>9.0140161959598977E-4</v>
          </cell>
        </row>
        <row r="26">
          <cell r="C26" t="str">
            <v>FR0000045072</v>
          </cell>
          <cell r="I26">
            <v>2.6528599904282551E-3</v>
          </cell>
        </row>
        <row r="27">
          <cell r="C27" t="str">
            <v>FR0000120644</v>
          </cell>
          <cell r="I27">
            <v>8.5495781906531811E-3</v>
          </cell>
        </row>
        <row r="28">
          <cell r="C28" t="str">
            <v>FR0014003TT8</v>
          </cell>
          <cell r="I28">
            <v>3.5714285714285761E-3</v>
          </cell>
        </row>
        <row r="29">
          <cell r="C29" t="str">
            <v>DE0005810055</v>
          </cell>
          <cell r="I29">
            <v>2.097309690668861E-2</v>
          </cell>
        </row>
        <row r="30">
          <cell r="C30" t="str">
            <v>GB0002374006</v>
          </cell>
          <cell r="I30">
            <v>2.5832786334502981E-2</v>
          </cell>
        </row>
        <row r="31">
          <cell r="C31" t="str">
            <v>GB00BY9D0Y18</v>
          </cell>
          <cell r="I31">
            <v>7.6316425306249402E-4</v>
          </cell>
        </row>
        <row r="32">
          <cell r="C32" t="str">
            <v>FR0012435121</v>
          </cell>
          <cell r="I32">
            <v>2.574050792142978E-3</v>
          </cell>
        </row>
        <row r="33">
          <cell r="C33" t="str">
            <v>SE0009922164</v>
          </cell>
          <cell r="I33">
            <v>1.0866782342216399E-2</v>
          </cell>
        </row>
        <row r="34">
          <cell r="C34" t="str">
            <v>NL0006294274</v>
          </cell>
          <cell r="I34">
            <v>1.9582508487258998E-3</v>
          </cell>
        </row>
        <row r="35">
          <cell r="C35" t="str">
            <v>GB00B19NLV48</v>
          </cell>
          <cell r="I35">
            <v>2.7213829068305599E-2</v>
          </cell>
        </row>
        <row r="36">
          <cell r="C36" t="str">
            <v>BE0003797140</v>
          </cell>
          <cell r="I36">
            <v>9.4784033462632224E-4</v>
          </cell>
        </row>
        <row r="37">
          <cell r="C37" t="str">
            <v>FR0010040865</v>
          </cell>
          <cell r="I37">
            <v>2.9552224955090248E-3</v>
          </cell>
        </row>
        <row r="38">
          <cell r="C38" t="str">
            <v>IT0000062072</v>
          </cell>
          <cell r="I38">
            <v>2.4224470759418321E-2</v>
          </cell>
        </row>
        <row r="39">
          <cell r="C39" t="str">
            <v>CH0010645932</v>
          </cell>
          <cell r="I39">
            <v>2.457530917997423E-2</v>
          </cell>
        </row>
        <row r="40">
          <cell r="C40" t="str">
            <v>GB00BN7SWP63</v>
          </cell>
          <cell r="I40">
            <v>1.1843714377794291E-2</v>
          </cell>
        </row>
        <row r="41">
          <cell r="C41" t="str">
            <v>FI0009000459</v>
          </cell>
          <cell r="I41">
            <v>2.3012084142058809E-3</v>
          </cell>
        </row>
        <row r="42">
          <cell r="C42" t="str">
            <v>LU2290522684</v>
          </cell>
          <cell r="I42">
            <v>6.8292552294557194E-3</v>
          </cell>
        </row>
        <row r="43">
          <cell r="C43" t="str">
            <v>GB00BYT1DJ19</v>
          </cell>
          <cell r="I43">
            <v>1.120173390549562E-3</v>
          </cell>
        </row>
        <row r="44">
          <cell r="C44" t="str">
            <v>IT0000072618</v>
          </cell>
          <cell r="I44">
            <v>1.266928830252698E-2</v>
          </cell>
        </row>
        <row r="45">
          <cell r="C45" t="str">
            <v>PTJMT0AE0001</v>
          </cell>
          <cell r="I45">
            <v>4.2067187544325702E-3</v>
          </cell>
        </row>
        <row r="46">
          <cell r="C46" t="str">
            <v>CH0102484968</v>
          </cell>
          <cell r="I46">
            <v>2.0119458521192812E-3</v>
          </cell>
        </row>
        <row r="47">
          <cell r="C47" t="str">
            <v>BE0003565737</v>
          </cell>
          <cell r="I47">
            <v>3.3522890092610338E-3</v>
          </cell>
        </row>
        <row r="48">
          <cell r="C48" t="str">
            <v>GB0033195214</v>
          </cell>
          <cell r="I48">
            <v>3.443608741401961E-3</v>
          </cell>
        </row>
        <row r="49">
          <cell r="C49" t="str">
            <v>IE0004927939</v>
          </cell>
          <cell r="I49">
            <v>3.5714285714285878E-3</v>
          </cell>
        </row>
        <row r="50">
          <cell r="C50" t="str">
            <v>DE000KBX1006</v>
          </cell>
          <cell r="I50">
            <v>3.571428571428492E-3</v>
          </cell>
        </row>
        <row r="51">
          <cell r="C51" t="str">
            <v>FI0009013403</v>
          </cell>
          <cell r="I51">
            <v>1.439817055300328E-2</v>
          </cell>
        </row>
        <row r="52">
          <cell r="C52" t="str">
            <v>GB00BYW0PQ60</v>
          </cell>
          <cell r="I52">
            <v>3.4940703241841892E-3</v>
          </cell>
        </row>
        <row r="53">
          <cell r="C53" t="str">
            <v>GB0005603997</v>
          </cell>
          <cell r="I53">
            <v>3.0393449563122271E-3</v>
          </cell>
        </row>
        <row r="54">
          <cell r="C54" t="str">
            <v>FR0010307819</v>
          </cell>
          <cell r="I54">
            <v>1.7997178549984231E-2</v>
          </cell>
        </row>
        <row r="55">
          <cell r="C55" t="str">
            <v>CH0025751329</v>
          </cell>
          <cell r="I55">
            <v>7.1139662785270454E-3</v>
          </cell>
        </row>
        <row r="56">
          <cell r="C56" t="str">
            <v>GB00B0SWJX34</v>
          </cell>
          <cell r="I56">
            <v>1.8029935864303931E-2</v>
          </cell>
        </row>
        <row r="57">
          <cell r="C57" t="str">
            <v>FR0000120321</v>
          </cell>
          <cell r="I57">
            <v>6.0018557335593498E-2</v>
          </cell>
        </row>
        <row r="58">
          <cell r="C58" t="str">
            <v>DE0008232125</v>
          </cell>
          <cell r="I58">
            <v>3.7011153676231642E-3</v>
          </cell>
        </row>
        <row r="59">
          <cell r="C59" t="str">
            <v>ES0105025003</v>
          </cell>
          <cell r="I59">
            <v>2.527414437495064E-3</v>
          </cell>
        </row>
        <row r="60">
          <cell r="C60" t="str">
            <v>FI0009014575</v>
          </cell>
          <cell r="I60">
            <v>1.2252098383803599E-2</v>
          </cell>
        </row>
        <row r="61">
          <cell r="C61" t="str">
            <v>GB00BMWC6P49</v>
          </cell>
          <cell r="I61">
            <v>4.1651766282956304E-3</v>
          </cell>
        </row>
        <row r="62">
          <cell r="C62" t="str">
            <v>GB00BM8PJY71</v>
          </cell>
          <cell r="I62">
            <v>7.0329983696302079E-3</v>
          </cell>
        </row>
        <row r="63">
          <cell r="C63" t="str">
            <v>CH0038863350</v>
          </cell>
          <cell r="I63">
            <v>4.4357687611167998E-2</v>
          </cell>
        </row>
        <row r="64">
          <cell r="C64" t="str">
            <v>GB0032089863</v>
          </cell>
          <cell r="I64">
            <v>1.128031807076511E-2</v>
          </cell>
        </row>
        <row r="65">
          <cell r="C65" t="str">
            <v>NO0005052605</v>
          </cell>
          <cell r="I65">
            <v>3.571428571428547E-3</v>
          </cell>
        </row>
        <row r="66">
          <cell r="C66" t="str">
            <v>CH0012005267</v>
          </cell>
          <cell r="I66">
            <v>5.4322536703861342E-2</v>
          </cell>
        </row>
        <row r="67">
          <cell r="C67" t="str">
            <v>DK0060336014</v>
          </cell>
          <cell r="I67">
            <v>3.512843001685511E-3</v>
          </cell>
        </row>
        <row r="68">
          <cell r="C68" t="str">
            <v>FR0000133308</v>
          </cell>
          <cell r="I68">
            <v>5.3975529580520326E-3</v>
          </cell>
        </row>
        <row r="69">
          <cell r="C69" t="str">
            <v>FI0009014377</v>
          </cell>
          <cell r="I69">
            <v>9.8207367147080753E-4</v>
          </cell>
        </row>
        <row r="70">
          <cell r="C70" t="str">
            <v>NO0003733800</v>
          </cell>
          <cell r="I70">
            <v>1.358195305035563E-3</v>
          </cell>
        </row>
        <row r="71">
          <cell r="C71" t="str">
            <v>GB0006825383</v>
          </cell>
          <cell r="I71">
            <v>3.1939082487581301E-3</v>
          </cell>
        </row>
        <row r="72">
          <cell r="C72" t="str">
            <v>ES0173093024</v>
          </cell>
          <cell r="I72">
            <v>1.003604290092874E-2</v>
          </cell>
        </row>
        <row r="73">
          <cell r="C73" t="str">
            <v>GB00B2B0DG97</v>
          </cell>
          <cell r="I73">
            <v>4.3802775480245727E-2</v>
          </cell>
        </row>
        <row r="74">
          <cell r="C74" t="str">
            <v>FR0010451203</v>
          </cell>
          <cell r="I74">
            <v>3.4043630759537139E-3</v>
          </cell>
        </row>
        <row r="75">
          <cell r="C75" t="str">
            <v>DK0063855168</v>
          </cell>
          <cell r="I75">
            <v>3.5714285714284972E-3</v>
          </cell>
        </row>
        <row r="76">
          <cell r="C76" t="str">
            <v>IE00BYTBXV33</v>
          </cell>
          <cell r="I76">
            <v>1.548373779169598E-2</v>
          </cell>
        </row>
        <row r="77">
          <cell r="C77" t="str">
            <v>GB00B8C3BL03</v>
          </cell>
          <cell r="I77">
            <v>9.9792655337474744E-3</v>
          </cell>
        </row>
        <row r="78">
          <cell r="C78" t="str">
            <v>FR0000120578</v>
          </cell>
          <cell r="I78">
            <v>2.7748442259496679E-2</v>
          </cell>
        </row>
        <row r="79">
          <cell r="C79" t="str">
            <v>GB00B1FH8J72</v>
          </cell>
          <cell r="I79">
            <v>1.428571428571431E-2</v>
          </cell>
        </row>
        <row r="80">
          <cell r="C80" t="str">
            <v>CH0418792922</v>
          </cell>
          <cell r="I80">
            <v>2.4980625640273389E-2</v>
          </cell>
        </row>
        <row r="81">
          <cell r="C81" t="str">
            <v>FR0000130809</v>
          </cell>
          <cell r="I81">
            <v>5.2663071231222732E-3</v>
          </cell>
        </row>
        <row r="82">
          <cell r="C82" t="str">
            <v>CH0012549785</v>
          </cell>
          <cell r="I82">
            <v>9.2980260148878245E-3</v>
          </cell>
        </row>
        <row r="83">
          <cell r="C83" t="str">
            <v>FI0009005961</v>
          </cell>
          <cell r="I83">
            <v>3.417653629164373E-3</v>
          </cell>
        </row>
        <row r="84">
          <cell r="C84" t="str">
            <v>NO0003053605</v>
          </cell>
          <cell r="I84">
            <v>3.2810203923946219E-3</v>
          </cell>
        </row>
        <row r="85">
          <cell r="C85" t="str">
            <v>CH1175448666</v>
          </cell>
          <cell r="I85">
            <v>3.569874974765607E-3</v>
          </cell>
        </row>
        <row r="86">
          <cell r="C86" t="str">
            <v>SE0000112724</v>
          </cell>
          <cell r="I86">
            <v>4.556858341278119E-3</v>
          </cell>
        </row>
        <row r="87">
          <cell r="C87" t="str">
            <v>DE000SYM9999</v>
          </cell>
          <cell r="I87">
            <v>8.7571573153888173E-3</v>
          </cell>
        </row>
        <row r="88">
          <cell r="C88" t="str">
            <v>GB0008782301</v>
          </cell>
          <cell r="I88">
            <v>3.2757753887907338E-3</v>
          </cell>
        </row>
        <row r="89">
          <cell r="C89" t="str">
            <v>ES0178430E18</v>
          </cell>
          <cell r="I89">
            <v>1.2005631912801471E-2</v>
          </cell>
        </row>
        <row r="90">
          <cell r="C90" t="str">
            <v>NO0010063308</v>
          </cell>
          <cell r="I90">
            <v>1.3669475744492469E-3</v>
          </cell>
        </row>
        <row r="91">
          <cell r="C91" t="str">
            <v>IT0003242622</v>
          </cell>
          <cell r="I91">
            <v>3.571428571428511E-3</v>
          </cell>
        </row>
        <row r="92">
          <cell r="C92" t="str">
            <v>DE000TUAG505</v>
          </cell>
          <cell r="I92">
            <v>5.2290585649813765E-4</v>
          </cell>
        </row>
        <row r="93">
          <cell r="C93" t="str">
            <v>BE0003739530</v>
          </cell>
          <cell r="I93">
            <v>3.2701882261433682E-3</v>
          </cell>
        </row>
        <row r="94">
          <cell r="C94" t="str">
            <v>FR0013326246</v>
          </cell>
          <cell r="I94">
            <v>6.170298668163072E-3</v>
          </cell>
        </row>
        <row r="95">
          <cell r="C95" t="str">
            <v>IT0005239360</v>
          </cell>
          <cell r="I95">
            <v>1.403810356727816E-2</v>
          </cell>
        </row>
        <row r="96">
          <cell r="C96" t="str">
            <v>GB00B39J2M42</v>
          </cell>
          <cell r="I96">
            <v>6.3793170351677444E-3</v>
          </cell>
        </row>
        <row r="97">
          <cell r="C97" t="str">
            <v>DK0061539921</v>
          </cell>
          <cell r="I97">
            <v>1.428571428571414E-2</v>
          </cell>
        </row>
        <row r="98">
          <cell r="C98" t="str">
            <v>GB00BH4HKS39</v>
          </cell>
          <cell r="I98">
            <v>1.167856033694808E-2</v>
          </cell>
        </row>
        <row r="99">
          <cell r="C99" t="str">
            <v>AT0000831706</v>
          </cell>
          <cell r="I99">
            <v>3.5714285714286229E-3</v>
          </cell>
        </row>
        <row r="100">
          <cell r="C100" t="str">
            <v>NL0000395903</v>
          </cell>
          <cell r="I100">
            <v>1.0237585475502929E-2</v>
          </cell>
        </row>
        <row r="101">
          <cell r="C101" t="str">
            <v>JE00B8KF9B49</v>
          </cell>
          <cell r="I101">
            <v>1.2050208783711579E-3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US88025U1097</v>
          </cell>
          <cell r="E2">
            <v>7.2033898176000006</v>
          </cell>
        </row>
        <row r="3">
          <cell r="A3" t="str">
            <v>US3369011032</v>
          </cell>
          <cell r="E3">
            <v>47.678319123599998</v>
          </cell>
        </row>
        <row r="4">
          <cell r="A4" t="str">
            <v>BMG9156K1018</v>
          </cell>
          <cell r="E4">
            <v>8.6702792800000008</v>
          </cell>
        </row>
        <row r="5">
          <cell r="A5" t="str">
            <v>FR0013341781</v>
          </cell>
          <cell r="E5">
            <v>3.71</v>
          </cell>
        </row>
        <row r="6">
          <cell r="A6" t="str">
            <v>GB00B1YW4409</v>
          </cell>
          <cell r="E6">
            <v>48.289983700000001</v>
          </cell>
        </row>
        <row r="7">
          <cell r="A7" t="str">
            <v>US88579Y1010</v>
          </cell>
          <cell r="E7">
            <v>119.40324837359999</v>
          </cell>
        </row>
        <row r="8">
          <cell r="A8" t="str">
            <v>IT0005204729</v>
          </cell>
          <cell r="E8">
            <v>82</v>
          </cell>
        </row>
        <row r="9">
          <cell r="A9" t="str">
            <v>IT0005440323</v>
          </cell>
          <cell r="E9">
            <v>164</v>
          </cell>
        </row>
        <row r="10">
          <cell r="A10" t="str">
            <v>US35104E1001</v>
          </cell>
          <cell r="E10">
            <v>2.736581916</v>
          </cell>
        </row>
        <row r="11">
          <cell r="A11" t="str">
            <v>GB0006640972</v>
          </cell>
          <cell r="E11">
            <v>37.006730849999997</v>
          </cell>
        </row>
        <row r="12">
          <cell r="A12" t="str">
            <v>DK0060945467</v>
          </cell>
          <cell r="E12">
            <v>7.4864526860000002E-2</v>
          </cell>
        </row>
        <row r="13">
          <cell r="A13" t="str">
            <v>FR0011040500</v>
          </cell>
          <cell r="E13">
            <v>30.4</v>
          </cell>
        </row>
        <row r="14">
          <cell r="A14" t="str">
            <v>JP3352000008</v>
          </cell>
          <cell r="E14">
            <v>24.448830640000001</v>
          </cell>
        </row>
        <row r="15">
          <cell r="A15" t="str">
            <v>GI000A0F6407</v>
          </cell>
          <cell r="E15">
            <v>0.57059351199999997</v>
          </cell>
        </row>
        <row r="16">
          <cell r="A16" t="str">
            <v>US2825591033</v>
          </cell>
          <cell r="E16">
            <v>5.3407485780000004</v>
          </cell>
        </row>
        <row r="17">
          <cell r="A17" t="str">
            <v>JP3160130005</v>
          </cell>
          <cell r="E17">
            <v>9.6360430400000006</v>
          </cell>
        </row>
        <row r="18">
          <cell r="A18" t="str">
            <v>US8318652091</v>
          </cell>
          <cell r="E18">
            <v>56.364759786</v>
          </cell>
        </row>
        <row r="19">
          <cell r="A19" t="str">
            <v>IT0005439861</v>
          </cell>
          <cell r="E19">
            <v>4.82</v>
          </cell>
        </row>
        <row r="20">
          <cell r="A20" t="str">
            <v>GB00B6XZKY75</v>
          </cell>
          <cell r="E20">
            <v>7.8807382600000002</v>
          </cell>
        </row>
        <row r="21">
          <cell r="A21" t="str">
            <v>US0021211018</v>
          </cell>
          <cell r="E21">
            <v>14.106638392800001</v>
          </cell>
        </row>
        <row r="22">
          <cell r="A22" t="str">
            <v>NZATME0002S8</v>
          </cell>
          <cell r="E22">
            <v>4.5573465779999998</v>
          </cell>
        </row>
        <row r="23">
          <cell r="A23" t="str">
            <v>IT0001233417</v>
          </cell>
          <cell r="E23">
            <v>2.08</v>
          </cell>
        </row>
        <row r="24">
          <cell r="A24" t="str">
            <v>SE0021020716</v>
          </cell>
          <cell r="E24">
            <v>6.3877642100000003</v>
          </cell>
        </row>
        <row r="25">
          <cell r="A25" t="str">
            <v>KYG2953R1149</v>
          </cell>
          <cell r="E25">
            <v>3.9435948089999999</v>
          </cell>
        </row>
        <row r="26">
          <cell r="A26" t="str">
            <v>SE0011337708</v>
          </cell>
          <cell r="E26">
            <v>24.579396932000002</v>
          </cell>
        </row>
        <row r="27">
          <cell r="A27" t="str">
            <v>NL0000852564</v>
          </cell>
          <cell r="E27">
            <v>27.22</v>
          </cell>
        </row>
        <row r="28">
          <cell r="A28" t="str">
            <v>US0003602069</v>
          </cell>
          <cell r="E28">
            <v>72.466454672400005</v>
          </cell>
        </row>
        <row r="29">
          <cell r="A29" t="str">
            <v>US0003611052</v>
          </cell>
          <cell r="E29">
            <v>46.989759802800002</v>
          </cell>
        </row>
        <row r="30">
          <cell r="A30" t="str">
            <v>IT0005548521</v>
          </cell>
          <cell r="E30">
            <v>0.97499999999999998</v>
          </cell>
        </row>
        <row r="31">
          <cell r="A31" t="str">
            <v>GB00B9GQVG73</v>
          </cell>
          <cell r="E31">
            <v>18.591059099999999</v>
          </cell>
        </row>
        <row r="32">
          <cell r="A32" t="str">
            <v>BE0974293251</v>
          </cell>
          <cell r="E32">
            <v>56.06</v>
          </cell>
        </row>
        <row r="33">
          <cell r="A33" t="str">
            <v>SE0009161052</v>
          </cell>
          <cell r="E33">
            <v>2.8821412178500001</v>
          </cell>
        </row>
        <row r="34">
          <cell r="A34" t="str">
            <v>SE0005127818</v>
          </cell>
          <cell r="E34">
            <v>18.929374503999998</v>
          </cell>
        </row>
        <row r="35">
          <cell r="A35" t="str">
            <v>FR0010557264</v>
          </cell>
          <cell r="E35">
            <v>1.42</v>
          </cell>
        </row>
        <row r="36">
          <cell r="A36" t="str">
            <v>AU0000291882</v>
          </cell>
          <cell r="E36">
            <v>0.6273384487</v>
          </cell>
        </row>
        <row r="37">
          <cell r="A37" t="str">
            <v>AU0000286213</v>
          </cell>
          <cell r="E37">
            <v>0.81019494719999996</v>
          </cell>
        </row>
        <row r="38">
          <cell r="A38" t="str">
            <v>JP3969530009</v>
          </cell>
          <cell r="E38">
            <v>3.2841712799999998</v>
          </cell>
        </row>
        <row r="39">
          <cell r="A39" t="str">
            <v>CH0012221716</v>
          </cell>
          <cell r="E39">
            <v>45.103120689999997</v>
          </cell>
        </row>
        <row r="40">
          <cell r="A40" t="str">
            <v>US0028241000</v>
          </cell>
          <cell r="E40">
            <v>111.42302239919999</v>
          </cell>
        </row>
        <row r="41">
          <cell r="A41" t="str">
            <v>US00287Y1091</v>
          </cell>
          <cell r="E41">
            <v>156.07344604799999</v>
          </cell>
        </row>
        <row r="42">
          <cell r="A42" t="str">
            <v>FR0004040608</v>
          </cell>
          <cell r="E42">
            <v>6.04</v>
          </cell>
        </row>
        <row r="43">
          <cell r="A43" t="str">
            <v>IT0005466294</v>
          </cell>
          <cell r="E43">
            <v>3.7</v>
          </cell>
        </row>
        <row r="44">
          <cell r="A44" t="str">
            <v>CA00288U1066</v>
          </cell>
          <cell r="E44">
            <v>2.1451271148000002</v>
          </cell>
        </row>
        <row r="45">
          <cell r="A45" t="str">
            <v>JP3152740001</v>
          </cell>
          <cell r="E45">
            <v>16.0961502</v>
          </cell>
        </row>
        <row r="46">
          <cell r="A46" t="str">
            <v>JP3122650009</v>
          </cell>
          <cell r="E46">
            <v>15.43746048</v>
          </cell>
        </row>
        <row r="47">
          <cell r="A47" t="str">
            <v>FR0013185857</v>
          </cell>
          <cell r="E47">
            <v>9.36</v>
          </cell>
        </row>
        <row r="48">
          <cell r="A48" t="str">
            <v>US0028962076</v>
          </cell>
          <cell r="E48">
            <v>62.235169380000002</v>
          </cell>
        </row>
        <row r="49">
          <cell r="A49" t="str">
            <v>GB00BF8Q6K64</v>
          </cell>
          <cell r="E49">
            <v>1.673195319</v>
          </cell>
        </row>
        <row r="50">
          <cell r="A50" t="str">
            <v>NO0003021909</v>
          </cell>
          <cell r="E50">
            <v>0.56606919529999999</v>
          </cell>
        </row>
        <row r="51">
          <cell r="A51" t="str">
            <v>FR0012616852</v>
          </cell>
          <cell r="E51">
            <v>1.17</v>
          </cell>
        </row>
        <row r="52">
          <cell r="A52" t="str">
            <v>FR0012333284</v>
          </cell>
          <cell r="E52">
            <v>5.27</v>
          </cell>
        </row>
        <row r="53">
          <cell r="A53" t="str">
            <v>FR001400AHX6</v>
          </cell>
          <cell r="E53">
            <v>5.55</v>
          </cell>
        </row>
        <row r="54">
          <cell r="A54" t="str">
            <v>NO0010715394</v>
          </cell>
          <cell r="E54">
            <v>0.79032930360000009</v>
          </cell>
        </row>
        <row r="55">
          <cell r="A55" t="str">
            <v>US0009571003</v>
          </cell>
          <cell r="E55">
            <v>41.516595970799997</v>
          </cell>
        </row>
        <row r="56">
          <cell r="A56" t="str">
            <v>NL0011540547</v>
          </cell>
          <cell r="E56">
            <v>18.164999999999999</v>
          </cell>
        </row>
        <row r="57">
          <cell r="A57" t="str">
            <v>BE0974278104</v>
          </cell>
          <cell r="E57">
            <v>5.4989999999999997</v>
          </cell>
        </row>
        <row r="58">
          <cell r="A58" t="str">
            <v>SE0007897079</v>
          </cell>
          <cell r="E58">
            <v>7.1255059920000008</v>
          </cell>
        </row>
        <row r="59">
          <cell r="A59" t="str">
            <v>US00402L1070</v>
          </cell>
          <cell r="E59">
            <v>32.459392597200001</v>
          </cell>
        </row>
        <row r="60">
          <cell r="A60" t="str">
            <v>US00404A1097</v>
          </cell>
          <cell r="E60">
            <v>21.830861542800001</v>
          </cell>
        </row>
        <row r="61">
          <cell r="A61" t="str">
            <v>US0042251084</v>
          </cell>
          <cell r="E61">
            <v>13.232697716400001</v>
          </cell>
        </row>
        <row r="62">
          <cell r="A62" t="str">
            <v>US0042391096</v>
          </cell>
          <cell r="E62">
            <v>16.816737258</v>
          </cell>
        </row>
        <row r="63">
          <cell r="A63" t="str">
            <v>FR0000064602</v>
          </cell>
          <cell r="E63">
            <v>0.32879999999999998</v>
          </cell>
        </row>
        <row r="64">
          <cell r="A64" t="str">
            <v>IL0007700169</v>
          </cell>
          <cell r="E64">
            <v>0.40659557400000002</v>
          </cell>
        </row>
        <row r="65">
          <cell r="A65" t="str">
            <v>CH1169360919</v>
          </cell>
          <cell r="E65">
            <v>44.422848579999993</v>
          </cell>
        </row>
        <row r="66">
          <cell r="A66" t="str">
            <v>AU000000AX19</v>
          </cell>
          <cell r="E66">
            <v>1.069007222</v>
          </cell>
        </row>
        <row r="67">
          <cell r="A67" t="str">
            <v>BE0003696102</v>
          </cell>
          <cell r="E67">
            <v>3.2000000000000001E-2</v>
          </cell>
        </row>
        <row r="68">
          <cell r="A68" t="str">
            <v>IE00B4BNMY34</v>
          </cell>
          <cell r="E68">
            <v>254.81991479760001</v>
          </cell>
        </row>
        <row r="69">
          <cell r="A69" t="str">
            <v>JP3108060009</v>
          </cell>
          <cell r="E69">
            <v>4.4778531199999998</v>
          </cell>
        </row>
        <row r="70">
          <cell r="A70" t="str">
            <v>ES0125220311</v>
          </cell>
          <cell r="E70">
            <v>116.1</v>
          </cell>
        </row>
        <row r="71">
          <cell r="A71" t="str">
            <v>FR0000120404</v>
          </cell>
          <cell r="E71">
            <v>39.28</v>
          </cell>
        </row>
        <row r="72">
          <cell r="A72" t="str">
            <v>GB00BQQFX454</v>
          </cell>
          <cell r="E72">
            <v>0.53</v>
          </cell>
        </row>
        <row r="73">
          <cell r="A73" t="str">
            <v>IT0001207098</v>
          </cell>
          <cell r="E73">
            <v>18.93</v>
          </cell>
        </row>
        <row r="74">
          <cell r="A74" t="str">
            <v>ES0132105018</v>
          </cell>
          <cell r="E74">
            <v>9.6850000000000005</v>
          </cell>
        </row>
        <row r="75">
          <cell r="A75" t="str">
            <v>FR001400SOY2</v>
          </cell>
          <cell r="E75">
            <v>5.0000000000000001E-4</v>
          </cell>
        </row>
        <row r="76">
          <cell r="A76" t="str">
            <v>US0044981019</v>
          </cell>
          <cell r="E76">
            <v>46.098163759199998</v>
          </cell>
        </row>
        <row r="77">
          <cell r="A77" t="str">
            <v>BE0003764785</v>
          </cell>
          <cell r="E77">
            <v>199.3</v>
          </cell>
        </row>
        <row r="78">
          <cell r="A78" t="str">
            <v>IL0011762056</v>
          </cell>
          <cell r="E78">
            <v>1.5462152819999999</v>
          </cell>
        </row>
        <row r="79">
          <cell r="A79" t="str">
            <v>US00108J1097</v>
          </cell>
          <cell r="E79">
            <v>18.096751380000001</v>
          </cell>
        </row>
        <row r="80">
          <cell r="A80" t="str">
            <v>JP3108600002</v>
          </cell>
          <cell r="E80">
            <v>2.1906844959999998</v>
          </cell>
        </row>
        <row r="81">
          <cell r="A81" t="str">
            <v>NL0000313286</v>
          </cell>
          <cell r="E81">
            <v>21.05</v>
          </cell>
        </row>
        <row r="82">
          <cell r="A82" t="str">
            <v>IT0005443061</v>
          </cell>
          <cell r="E82">
            <v>10</v>
          </cell>
        </row>
        <row r="83">
          <cell r="A83" t="str">
            <v>AU0000006124</v>
          </cell>
          <cell r="E83">
            <v>0.59076714900000005</v>
          </cell>
        </row>
        <row r="84">
          <cell r="A84" t="str">
            <v>ES0167050915</v>
          </cell>
          <cell r="E84">
            <v>51.35</v>
          </cell>
        </row>
        <row r="85">
          <cell r="A85" t="str">
            <v>FR0000076861</v>
          </cell>
          <cell r="E85">
            <v>1.03</v>
          </cell>
        </row>
        <row r="86">
          <cell r="A86" t="str">
            <v>FR0000076655</v>
          </cell>
          <cell r="E86">
            <v>2.88</v>
          </cell>
        </row>
        <row r="87">
          <cell r="A87" t="str">
            <v>JP3047490002</v>
          </cell>
          <cell r="E87">
            <v>2087.3969999999999</v>
          </cell>
        </row>
        <row r="88">
          <cell r="A88" t="str">
            <v>US00508Y1029</v>
          </cell>
          <cell r="E88">
            <v>208.05967476839999</v>
          </cell>
        </row>
        <row r="89">
          <cell r="A89" t="str">
            <v>US0050981085</v>
          </cell>
          <cell r="E89">
            <v>53.416313463599998</v>
          </cell>
        </row>
        <row r="90">
          <cell r="A90" t="str">
            <v>US00091G1040</v>
          </cell>
          <cell r="E90">
            <v>12.623587548</v>
          </cell>
        </row>
        <row r="91">
          <cell r="A91" t="str">
            <v>AU000000ADH2</v>
          </cell>
          <cell r="E91">
            <v>1.1927870056000001</v>
          </cell>
        </row>
        <row r="92">
          <cell r="A92" t="str">
            <v>JP3856000009</v>
          </cell>
          <cell r="E92">
            <v>16.884722400000001</v>
          </cell>
        </row>
        <row r="93">
          <cell r="A93" t="str">
            <v>BE0974269012</v>
          </cell>
          <cell r="E93">
            <v>5.7000000000000002E-2</v>
          </cell>
        </row>
        <row r="94">
          <cell r="A94" t="str">
            <v>SE0014401378</v>
          </cell>
          <cell r="E94">
            <v>13.85515054</v>
          </cell>
        </row>
        <row r="95">
          <cell r="A95" t="str">
            <v>SE0017885767</v>
          </cell>
          <cell r="E95">
            <v>8.7269454700000004</v>
          </cell>
        </row>
        <row r="96">
          <cell r="A96" t="str">
            <v>SE0014781795</v>
          </cell>
          <cell r="E96">
            <v>27.35042704</v>
          </cell>
        </row>
        <row r="97">
          <cell r="A97" t="str">
            <v>US0067391062</v>
          </cell>
          <cell r="E97">
            <v>87.6059320464</v>
          </cell>
        </row>
        <row r="98">
          <cell r="A98" t="str">
            <v>SE0007464862</v>
          </cell>
          <cell r="E98">
            <v>0.12379666976000001</v>
          </cell>
        </row>
        <row r="99">
          <cell r="A99" t="str">
            <v>CH0012138605</v>
          </cell>
          <cell r="E99">
            <v>24.014685279999991</v>
          </cell>
        </row>
        <row r="100">
          <cell r="A100" t="str">
            <v>US00676P1075</v>
          </cell>
          <cell r="E100">
            <v>10.681497156000001</v>
          </cell>
        </row>
        <row r="101">
          <cell r="A101" t="str">
            <v>JP3114800000</v>
          </cell>
          <cell r="E101">
            <v>14.86226664</v>
          </cell>
        </row>
        <row r="102">
          <cell r="A102" t="str">
            <v>CA00686A1084</v>
          </cell>
          <cell r="E102">
            <v>17.010472952000001</v>
          </cell>
        </row>
        <row r="103">
          <cell r="A103" t="str">
            <v>FR0013284627</v>
          </cell>
          <cell r="E103">
            <v>0.54069999999999996</v>
          </cell>
        </row>
        <row r="104">
          <cell r="A104" t="str">
            <v>IL0018200837</v>
          </cell>
          <cell r="E104">
            <v>1.049131791</v>
          </cell>
        </row>
        <row r="105">
          <cell r="A105" t="str">
            <v>DE000A1EWWW0</v>
          </cell>
          <cell r="E105">
            <v>198.2</v>
          </cell>
        </row>
        <row r="106">
          <cell r="A106" t="str">
            <v>IE00BD845X29</v>
          </cell>
          <cell r="E106">
            <v>9.6133474404000001</v>
          </cell>
        </row>
        <row r="107">
          <cell r="A107" t="str">
            <v>LU1250154413</v>
          </cell>
          <cell r="E107">
            <v>0.221</v>
          </cell>
        </row>
        <row r="108">
          <cell r="A108" t="str">
            <v>US0008991046</v>
          </cell>
          <cell r="E108">
            <v>19.553319173999999</v>
          </cell>
        </row>
        <row r="109">
          <cell r="A109" t="str">
            <v>FI4000251830</v>
          </cell>
          <cell r="E109">
            <v>47.45</v>
          </cell>
        </row>
        <row r="110">
          <cell r="A110" t="str">
            <v>GB00B02J6398</v>
          </cell>
          <cell r="E110">
            <v>37.182118199999998</v>
          </cell>
        </row>
        <row r="111">
          <cell r="A111" t="str">
            <v>US00724F1012</v>
          </cell>
          <cell r="E111">
            <v>309.30437797680003</v>
          </cell>
        </row>
        <row r="112">
          <cell r="A112" t="str">
            <v>FR0011184241</v>
          </cell>
          <cell r="E112">
            <v>3.7850000000000001</v>
          </cell>
        </row>
        <row r="113">
          <cell r="A113" t="str">
            <v>FR001400UT31</v>
          </cell>
          <cell r="E113">
            <v>8.7300000000000003E-2</v>
          </cell>
        </row>
        <row r="114">
          <cell r="A114" t="str">
            <v>FR0010340141</v>
          </cell>
          <cell r="E114">
            <v>101.4</v>
          </cell>
        </row>
        <row r="115">
          <cell r="A115" t="str">
            <v>GB00BL0L5G04</v>
          </cell>
          <cell r="E115">
            <v>2.4554228999999999</v>
          </cell>
        </row>
        <row r="116">
          <cell r="A116" t="str">
            <v>CY0108052115</v>
          </cell>
          <cell r="E116">
            <v>0.1617340558</v>
          </cell>
        </row>
        <row r="117">
          <cell r="A117" t="str">
            <v>US00090Q1031</v>
          </cell>
          <cell r="E117">
            <v>7.0798022472</v>
          </cell>
        </row>
        <row r="118">
          <cell r="A118" t="str">
            <v>US00737L1035</v>
          </cell>
          <cell r="E118">
            <v>93.891242769599998</v>
          </cell>
        </row>
        <row r="119">
          <cell r="A119" t="str">
            <v>FR0012821890</v>
          </cell>
          <cell r="E119">
            <v>1.65</v>
          </cell>
        </row>
        <row r="120">
          <cell r="A120" t="str">
            <v>US00790R1041</v>
          </cell>
          <cell r="E120">
            <v>92.637711698399997</v>
          </cell>
        </row>
        <row r="121">
          <cell r="A121" t="str">
            <v>US00751Y1064</v>
          </cell>
          <cell r="E121">
            <v>28.592867180399999</v>
          </cell>
        </row>
        <row r="122">
          <cell r="A122" t="str">
            <v>JP3047160001</v>
          </cell>
          <cell r="E122">
            <v>914.12526400000002</v>
          </cell>
        </row>
        <row r="123">
          <cell r="A123" t="str">
            <v>US0079731008</v>
          </cell>
          <cell r="E123">
            <v>78.716454661200004</v>
          </cell>
        </row>
        <row r="124">
          <cell r="A124" t="str">
            <v>JP3122150000</v>
          </cell>
          <cell r="E124">
            <v>5.03449232</v>
          </cell>
        </row>
        <row r="125">
          <cell r="A125" t="str">
            <v>GB0004536594</v>
          </cell>
          <cell r="E125">
            <v>2.1911726260000002</v>
          </cell>
        </row>
        <row r="126">
          <cell r="A126" t="str">
            <v>US0079031078</v>
          </cell>
          <cell r="E126">
            <v>84.118997024400002</v>
          </cell>
        </row>
        <row r="127">
          <cell r="A127" t="str">
            <v>CA00791P1071</v>
          </cell>
          <cell r="E127">
            <v>5.9790542988000004</v>
          </cell>
        </row>
        <row r="128">
          <cell r="A128" t="str">
            <v>JP3122400009</v>
          </cell>
          <cell r="E128">
            <v>35.890858639999998</v>
          </cell>
        </row>
        <row r="129">
          <cell r="A129" t="str">
            <v>IT0005607715</v>
          </cell>
          <cell r="E129">
            <v>19</v>
          </cell>
        </row>
        <row r="130">
          <cell r="A130" t="str">
            <v>FR0013296746</v>
          </cell>
          <cell r="E130">
            <v>1.66</v>
          </cell>
        </row>
        <row r="131">
          <cell r="A131" t="str">
            <v>FR0000053043</v>
          </cell>
          <cell r="E131">
            <v>12.7</v>
          </cell>
        </row>
        <row r="132">
          <cell r="A132" t="str">
            <v>NL0012969182</v>
          </cell>
          <cell r="E132">
            <v>1447.4</v>
          </cell>
        </row>
        <row r="133">
          <cell r="A133" t="str">
            <v>US00766T1007</v>
          </cell>
          <cell r="E133">
            <v>82.944915105600003</v>
          </cell>
        </row>
        <row r="134">
          <cell r="A134" t="str">
            <v>CA00762V1094</v>
          </cell>
          <cell r="E134">
            <v>10.821961336999999</v>
          </cell>
        </row>
        <row r="135">
          <cell r="A135" t="str">
            <v>BE0003851681</v>
          </cell>
          <cell r="E135">
            <v>65.7</v>
          </cell>
        </row>
        <row r="136">
          <cell r="A136" t="str">
            <v>BMG0112X1056</v>
          </cell>
          <cell r="E136">
            <v>5.4420000000000002</v>
          </cell>
        </row>
        <row r="137">
          <cell r="A137" t="str">
            <v>FR0014007ZB4</v>
          </cell>
          <cell r="E137">
            <v>1.2</v>
          </cell>
        </row>
        <row r="138">
          <cell r="A138" t="str">
            <v>SG1BA1000003</v>
          </cell>
          <cell r="E138">
            <v>0.7312246361000001</v>
          </cell>
        </row>
        <row r="139">
          <cell r="A139" t="str">
            <v>ES0105046009</v>
          </cell>
          <cell r="E139">
            <v>215</v>
          </cell>
        </row>
        <row r="140">
          <cell r="A140" t="str">
            <v>JP3388200002</v>
          </cell>
          <cell r="E140">
            <v>24.14577152</v>
          </cell>
        </row>
        <row r="141">
          <cell r="A141" t="str">
            <v>JP3389700000</v>
          </cell>
          <cell r="E141">
            <v>33.336503200000003</v>
          </cell>
        </row>
        <row r="142">
          <cell r="A142" t="str">
            <v>JP3131400008</v>
          </cell>
          <cell r="E142">
            <v>7.0043766000000014</v>
          </cell>
        </row>
        <row r="143">
          <cell r="A143" t="str">
            <v>JP3860270002</v>
          </cell>
          <cell r="E143">
            <v>5.2571479999999999</v>
          </cell>
        </row>
        <row r="144">
          <cell r="A144" t="str">
            <v>JP3245400001</v>
          </cell>
          <cell r="E144">
            <v>15.220989680000001</v>
          </cell>
        </row>
        <row r="145">
          <cell r="A145" t="str">
            <v>JP3131430005</v>
          </cell>
          <cell r="E145">
            <v>15.56115808</v>
          </cell>
        </row>
        <row r="146">
          <cell r="A146" t="str">
            <v>JP3047650001</v>
          </cell>
          <cell r="E146">
            <v>776.20244000000002</v>
          </cell>
        </row>
        <row r="147">
          <cell r="A147" t="str">
            <v>NL0000687663</v>
          </cell>
          <cell r="E147">
            <v>85.381355779200007</v>
          </cell>
        </row>
        <row r="148">
          <cell r="A148" t="str">
            <v>US0080731088</v>
          </cell>
          <cell r="E148">
            <v>123.5875704</v>
          </cell>
        </row>
        <row r="149">
          <cell r="A149" t="str">
            <v>US00130H1059</v>
          </cell>
          <cell r="E149">
            <v>9.0660310572</v>
          </cell>
        </row>
        <row r="150">
          <cell r="A150" t="str">
            <v>NO0003078107</v>
          </cell>
          <cell r="E150">
            <v>11.388078362</v>
          </cell>
        </row>
        <row r="151">
          <cell r="A151" t="str">
            <v>US0082521081</v>
          </cell>
          <cell r="E151">
            <v>140.10416641559999</v>
          </cell>
        </row>
        <row r="152">
          <cell r="A152" t="str">
            <v>US00827B1061</v>
          </cell>
          <cell r="E152">
            <v>36.714336092400004</v>
          </cell>
        </row>
        <row r="153">
          <cell r="A153" t="str">
            <v>FR0013333077</v>
          </cell>
          <cell r="E153">
            <v>1.345</v>
          </cell>
        </row>
        <row r="154">
          <cell r="A154" t="str">
            <v>US0010551028</v>
          </cell>
          <cell r="E154">
            <v>95.365465930799999</v>
          </cell>
        </row>
        <row r="155">
          <cell r="A155" t="str">
            <v>IL0010979487</v>
          </cell>
          <cell r="E155">
            <v>58.685134499999997</v>
          </cell>
        </row>
        <row r="156">
          <cell r="A156" t="str">
            <v>CA00829Q1019</v>
          </cell>
          <cell r="E156">
            <v>1.110758495</v>
          </cell>
        </row>
        <row r="157">
          <cell r="A157" t="str">
            <v>SE0005999836</v>
          </cell>
          <cell r="E157">
            <v>16.734142859999999</v>
          </cell>
        </row>
        <row r="158">
          <cell r="A158" t="str">
            <v>FR0014005AC9</v>
          </cell>
          <cell r="E158">
            <v>1.6279999999999999</v>
          </cell>
        </row>
        <row r="159">
          <cell r="A159" t="str">
            <v>CA0011811068</v>
          </cell>
          <cell r="E159">
            <v>20.729927112399999</v>
          </cell>
        </row>
        <row r="160">
          <cell r="A160" t="str">
            <v>IT0005421919</v>
          </cell>
          <cell r="E160">
            <v>0.23899999999999999</v>
          </cell>
        </row>
        <row r="161">
          <cell r="A161" t="str">
            <v>US0010841023</v>
          </cell>
          <cell r="E161">
            <v>74.408545064400002</v>
          </cell>
        </row>
        <row r="162">
          <cell r="A162" t="str">
            <v>BE0974264930</v>
          </cell>
          <cell r="E162">
            <v>51.7</v>
          </cell>
        </row>
        <row r="163">
          <cell r="A163" t="str">
            <v>BE0003755692</v>
          </cell>
          <cell r="E163">
            <v>0.89</v>
          </cell>
        </row>
        <row r="164">
          <cell r="A164" t="str">
            <v>US00846U1016</v>
          </cell>
          <cell r="E164">
            <v>91.031073283200001</v>
          </cell>
        </row>
        <row r="165">
          <cell r="A165" t="str">
            <v>VGG885761301</v>
          </cell>
          <cell r="E165">
            <v>2.5600282440000002</v>
          </cell>
        </row>
        <row r="166">
          <cell r="A166" t="str">
            <v>US00857U1079</v>
          </cell>
          <cell r="E166">
            <v>4.8817090308000006</v>
          </cell>
        </row>
        <row r="167">
          <cell r="A167" t="str">
            <v>US00847J1051</v>
          </cell>
          <cell r="E167">
            <v>60.425494242000013</v>
          </cell>
        </row>
        <row r="168">
          <cell r="A168" t="str">
            <v>NO0010872468</v>
          </cell>
          <cell r="E168">
            <v>2.1508962060000001</v>
          </cell>
        </row>
        <row r="169">
          <cell r="A169" t="str">
            <v>US00847X1046</v>
          </cell>
          <cell r="E169">
            <v>24.5586157752</v>
          </cell>
        </row>
        <row r="170">
          <cell r="A170" t="str">
            <v>AU000000AGL7</v>
          </cell>
          <cell r="E170">
            <v>5.8232761829999999</v>
          </cell>
        </row>
        <row r="171">
          <cell r="A171" t="str">
            <v>US00123Q1040</v>
          </cell>
          <cell r="E171">
            <v>7.4240819076000006</v>
          </cell>
        </row>
        <row r="172">
          <cell r="A172" t="str">
            <v>CA0084741085</v>
          </cell>
          <cell r="E172">
            <v>106.87400879320001</v>
          </cell>
        </row>
        <row r="173">
          <cell r="A173" t="str">
            <v>US0084921008</v>
          </cell>
          <cell r="E173">
            <v>68.290960329599997</v>
          </cell>
        </row>
        <row r="174">
          <cell r="A174" t="str">
            <v>FR0013452281</v>
          </cell>
          <cell r="E174">
            <v>0.95599999999999996</v>
          </cell>
        </row>
        <row r="175">
          <cell r="A175" t="str">
            <v>FR0010641449</v>
          </cell>
          <cell r="E175">
            <v>6.5000000000000002E-2</v>
          </cell>
        </row>
        <row r="176">
          <cell r="A176" t="str">
            <v>NL0011794037</v>
          </cell>
          <cell r="E176">
            <v>34.299999999999997</v>
          </cell>
        </row>
        <row r="177">
          <cell r="A177" t="str">
            <v>JP3105090009</v>
          </cell>
          <cell r="E177">
            <v>12.75940744</v>
          </cell>
        </row>
        <row r="178">
          <cell r="A178" t="str">
            <v>JP3160060004</v>
          </cell>
          <cell r="E178">
            <v>25.667252000000001</v>
          </cell>
        </row>
        <row r="179">
          <cell r="A179" t="str">
            <v>HK0000069689</v>
          </cell>
          <cell r="E179">
            <v>5.997906102</v>
          </cell>
        </row>
        <row r="180">
          <cell r="A180" t="str">
            <v>IE00BF0L3536</v>
          </cell>
          <cell r="E180">
            <v>5.76</v>
          </cell>
        </row>
        <row r="181">
          <cell r="A181" t="str">
            <v>JP3100800006</v>
          </cell>
          <cell r="E181">
            <v>20.100860000000001</v>
          </cell>
        </row>
        <row r="182">
          <cell r="A182" t="str">
            <v>JP3103200006</v>
          </cell>
          <cell r="E182">
            <v>7.5764780000000007</v>
          </cell>
        </row>
        <row r="183">
          <cell r="A183" t="str">
            <v>JP3104790005</v>
          </cell>
          <cell r="E183">
            <v>15.449830240000001</v>
          </cell>
        </row>
        <row r="184">
          <cell r="A184" t="str">
            <v>JP3103600007</v>
          </cell>
          <cell r="E184">
            <v>46.201053600000002</v>
          </cell>
        </row>
        <row r="185">
          <cell r="A185" t="str">
            <v>JP3102400003</v>
          </cell>
          <cell r="E185">
            <v>5.3375514400000004</v>
          </cell>
        </row>
        <row r="186">
          <cell r="A186" t="str">
            <v>JP3105040004</v>
          </cell>
          <cell r="E186">
            <v>1.98534648</v>
          </cell>
        </row>
        <row r="187">
          <cell r="A187" t="str">
            <v>SG2D63974620</v>
          </cell>
          <cell r="E187">
            <v>0.82514339670000003</v>
          </cell>
        </row>
        <row r="188">
          <cell r="A188" t="str">
            <v>JP3105250009</v>
          </cell>
          <cell r="E188">
            <v>32.099527199999997</v>
          </cell>
        </row>
        <row r="189">
          <cell r="A189" t="str">
            <v>JP3105050003</v>
          </cell>
          <cell r="E189">
            <v>14.868451520000001</v>
          </cell>
        </row>
        <row r="190">
          <cell r="A190" t="str">
            <v>CA0089118776</v>
          </cell>
          <cell r="E190">
            <v>8.8670263857999991</v>
          </cell>
        </row>
        <row r="191">
          <cell r="A191" t="str">
            <v>FR001400J770</v>
          </cell>
          <cell r="E191">
            <v>7.6440000000000001</v>
          </cell>
        </row>
        <row r="192">
          <cell r="A192" t="str">
            <v>US00912X3026</v>
          </cell>
          <cell r="E192">
            <v>37.508827616399998</v>
          </cell>
        </row>
        <row r="193">
          <cell r="A193" t="str">
            <v>FR0000120073</v>
          </cell>
          <cell r="E193">
            <v>174.26</v>
          </cell>
        </row>
        <row r="194">
          <cell r="A194" t="str">
            <v>NZAIRE0001S2</v>
          </cell>
          <cell r="E194">
            <v>0.30102348249999999</v>
          </cell>
        </row>
        <row r="195">
          <cell r="A195" t="str">
            <v>US0091581068</v>
          </cell>
          <cell r="E195">
            <v>234.198445908</v>
          </cell>
        </row>
        <row r="196">
          <cell r="A196" t="str">
            <v>JP3160670000</v>
          </cell>
          <cell r="E196">
            <v>11.361624559999999</v>
          </cell>
        </row>
        <row r="197">
          <cell r="A197" t="str">
            <v>US0090661010</v>
          </cell>
          <cell r="E197">
            <v>101.20056479039999</v>
          </cell>
        </row>
        <row r="198">
          <cell r="A198" t="str">
            <v>NL0000235190</v>
          </cell>
          <cell r="E198">
            <v>140.94</v>
          </cell>
        </row>
        <row r="199">
          <cell r="A199" t="str">
            <v>IL0010958358</v>
          </cell>
          <cell r="E199">
            <v>12.95873379</v>
          </cell>
        </row>
        <row r="200">
          <cell r="A200" t="str">
            <v>GB00BKDRYJ47</v>
          </cell>
          <cell r="E200">
            <v>1.9082143680000001</v>
          </cell>
        </row>
        <row r="201">
          <cell r="A201" t="str">
            <v>NO0010895568</v>
          </cell>
          <cell r="E201">
            <v>0.1092121717</v>
          </cell>
        </row>
        <row r="202">
          <cell r="A202" t="str">
            <v>FR0014003V77</v>
          </cell>
          <cell r="E202">
            <v>1.02</v>
          </cell>
        </row>
        <row r="203">
          <cell r="A203" t="str">
            <v>JP3101600009</v>
          </cell>
          <cell r="E203">
            <v>11.82549056</v>
          </cell>
        </row>
        <row r="204">
          <cell r="A204" t="str">
            <v>JP3102000001</v>
          </cell>
          <cell r="E204">
            <v>9.234025840000001</v>
          </cell>
        </row>
        <row r="205">
          <cell r="A205" t="str">
            <v>DE000A0WMPJ6</v>
          </cell>
          <cell r="E205">
            <v>10.28</v>
          </cell>
        </row>
        <row r="206">
          <cell r="A206" t="str">
            <v>JP3101850000</v>
          </cell>
          <cell r="E206">
            <v>7.8238732000000004</v>
          </cell>
        </row>
        <row r="207">
          <cell r="A207" t="str">
            <v>GB00BFZNLB60</v>
          </cell>
          <cell r="E207">
            <v>4.8874608200000003</v>
          </cell>
        </row>
        <row r="208">
          <cell r="A208" t="str">
            <v>NL0000018034</v>
          </cell>
          <cell r="E208">
            <v>10.050000000000001</v>
          </cell>
        </row>
        <row r="209">
          <cell r="A209" t="str">
            <v>JP3119600009</v>
          </cell>
          <cell r="E209">
            <v>18.075311800000001</v>
          </cell>
        </row>
        <row r="210">
          <cell r="A210" t="str">
            <v>US00971T1016</v>
          </cell>
          <cell r="E210">
            <v>65.775070503600006</v>
          </cell>
        </row>
        <row r="211">
          <cell r="A211" t="str">
            <v>NO0010215684</v>
          </cell>
          <cell r="E211">
            <v>0.91704877000000007</v>
          </cell>
        </row>
        <row r="212">
          <cell r="A212" t="str">
            <v>NO0010234552</v>
          </cell>
          <cell r="E212">
            <v>48.270112529999999</v>
          </cell>
        </row>
        <row r="213">
          <cell r="A213" t="str">
            <v>NO0010886625</v>
          </cell>
          <cell r="E213">
            <v>4.4185077100000001</v>
          </cell>
        </row>
        <row r="214">
          <cell r="A214" t="str">
            <v>NO0010345853</v>
          </cell>
          <cell r="E214">
            <v>18.165902453000001</v>
          </cell>
        </row>
        <row r="215">
          <cell r="A215" t="str">
            <v>NO0010890304</v>
          </cell>
          <cell r="E215">
            <v>0.28995414745999998</v>
          </cell>
        </row>
        <row r="216">
          <cell r="A216" t="str">
            <v>NO0010921232</v>
          </cell>
          <cell r="E216">
            <v>0.10187578154</v>
          </cell>
        </row>
        <row r="217">
          <cell r="A217" t="str">
            <v>NO0010716582</v>
          </cell>
          <cell r="E217">
            <v>2.4476865351999999</v>
          </cell>
        </row>
        <row r="218">
          <cell r="A218" t="str">
            <v>US00973Y1082</v>
          </cell>
          <cell r="E218">
            <v>33.6158191488</v>
          </cell>
        </row>
        <row r="219">
          <cell r="A219" t="str">
            <v>KYG0146B1032</v>
          </cell>
          <cell r="E219">
            <v>9.9813352020000004</v>
          </cell>
        </row>
        <row r="220">
          <cell r="A220" t="str">
            <v>JP3107600003</v>
          </cell>
          <cell r="E220">
            <v>13.80465216</v>
          </cell>
        </row>
        <row r="221">
          <cell r="A221" t="str">
            <v>SE0015193412</v>
          </cell>
          <cell r="E221">
            <v>0.1208837015</v>
          </cell>
        </row>
        <row r="222">
          <cell r="A222" t="str">
            <v>FI4000058870</v>
          </cell>
          <cell r="E222">
            <v>9.34</v>
          </cell>
        </row>
        <row r="223">
          <cell r="A223" t="str">
            <v>NO0003097503</v>
          </cell>
          <cell r="E223">
            <v>5.2021675680000001</v>
          </cell>
        </row>
        <row r="224">
          <cell r="A224" t="str">
            <v>FR0000053027</v>
          </cell>
          <cell r="E224">
            <v>7.62</v>
          </cell>
        </row>
        <row r="225">
          <cell r="A225" t="str">
            <v>NL0013267909</v>
          </cell>
          <cell r="E225">
            <v>51.86</v>
          </cell>
        </row>
        <row r="226">
          <cell r="A226" t="str">
            <v>IT0005446700</v>
          </cell>
          <cell r="E226">
            <v>33.700000000000003</v>
          </cell>
        </row>
        <row r="227">
          <cell r="A227" t="str">
            <v>IT0005446700</v>
          </cell>
          <cell r="E227">
            <v>33.700000000000003</v>
          </cell>
        </row>
        <row r="228">
          <cell r="A228" t="str">
            <v>US0113111076</v>
          </cell>
          <cell r="E228">
            <v>149.89406752799999</v>
          </cell>
        </row>
        <row r="229">
          <cell r="A229" t="str">
            <v>CA0115321089</v>
          </cell>
          <cell r="E229">
            <v>26.2900667788</v>
          </cell>
        </row>
        <row r="230">
          <cell r="A230" t="str">
            <v>FR0000062465</v>
          </cell>
          <cell r="E230">
            <v>4.5599999999999996</v>
          </cell>
        </row>
        <row r="231">
          <cell r="A231" t="str">
            <v>US0116421050</v>
          </cell>
          <cell r="E231">
            <v>45.409604438400002</v>
          </cell>
        </row>
        <row r="232">
          <cell r="A232" t="str">
            <v>IL0010838568</v>
          </cell>
          <cell r="E232">
            <v>0.66581825399999994</v>
          </cell>
        </row>
        <row r="233">
          <cell r="A233" t="str">
            <v>US0116591092</v>
          </cell>
          <cell r="E233">
            <v>40.4572739388</v>
          </cell>
        </row>
        <row r="234">
          <cell r="A234" t="str">
            <v>IL0006250125</v>
          </cell>
          <cell r="E234">
            <v>4.0203517499999997</v>
          </cell>
        </row>
        <row r="235">
          <cell r="A235" t="str">
            <v>US0123481089</v>
          </cell>
          <cell r="E235">
            <v>57.450564868800001</v>
          </cell>
        </row>
        <row r="236">
          <cell r="A236" t="str">
            <v>US0126531013</v>
          </cell>
          <cell r="E236">
            <v>47.678319123599998</v>
          </cell>
        </row>
        <row r="237">
          <cell r="A237" t="str">
            <v>US0130911037</v>
          </cell>
          <cell r="E237">
            <v>17.602401098400001</v>
          </cell>
        </row>
        <row r="238">
          <cell r="A238" t="str">
            <v>FR0014000JX7</v>
          </cell>
          <cell r="E238">
            <v>0.38700000000000001</v>
          </cell>
        </row>
        <row r="239">
          <cell r="A239" t="str">
            <v>US0138721065</v>
          </cell>
          <cell r="E239">
            <v>21.786723124800002</v>
          </cell>
        </row>
        <row r="240">
          <cell r="A240" t="str">
            <v>AU0000339426</v>
          </cell>
          <cell r="E240">
            <v>21.942779819999998</v>
          </cell>
        </row>
        <row r="241">
          <cell r="A241" t="str">
            <v>CH0432492467</v>
          </cell>
          <cell r="E241">
            <v>81.373501919999995</v>
          </cell>
        </row>
        <row r="242">
          <cell r="A242" t="str">
            <v>JP3126210008</v>
          </cell>
          <cell r="E242">
            <v>9.1659921600000001</v>
          </cell>
        </row>
        <row r="243">
          <cell r="A243" t="str">
            <v>IT0004720733</v>
          </cell>
          <cell r="E243">
            <v>14.16</v>
          </cell>
        </row>
        <row r="244">
          <cell r="A244" t="str">
            <v>US0144911049</v>
          </cell>
          <cell r="E244">
            <v>14.671610143200001</v>
          </cell>
        </row>
        <row r="245">
          <cell r="A245" t="str">
            <v>US0147521092</v>
          </cell>
          <cell r="E245">
            <v>179.73163809600001</v>
          </cell>
        </row>
        <row r="246">
          <cell r="A246" t="str">
            <v>US0152711091</v>
          </cell>
          <cell r="E246">
            <v>69.844632643200001</v>
          </cell>
        </row>
        <row r="247">
          <cell r="A247" t="str">
            <v>GB00BDHXPG30</v>
          </cell>
          <cell r="E247">
            <v>2.4203454299999998</v>
          </cell>
        </row>
        <row r="248">
          <cell r="A248" t="str">
            <v>SE0000695876</v>
          </cell>
          <cell r="E248">
            <v>35.897435489999999</v>
          </cell>
        </row>
        <row r="249">
          <cell r="A249" t="str">
            <v>NL0012817175</v>
          </cell>
          <cell r="E249">
            <v>12.68</v>
          </cell>
        </row>
        <row r="250">
          <cell r="A250" t="str">
            <v>IT0005244030</v>
          </cell>
          <cell r="E250">
            <v>2.11</v>
          </cell>
        </row>
        <row r="251">
          <cell r="A251" t="str">
            <v>IT0005466039</v>
          </cell>
          <cell r="E251">
            <v>0.28100000000000003</v>
          </cell>
        </row>
        <row r="252">
          <cell r="A252" t="str">
            <v>JP3126340003</v>
          </cell>
          <cell r="E252">
            <v>12.997525319999999</v>
          </cell>
        </row>
        <row r="253">
          <cell r="A253" t="str">
            <v>CA0158571053</v>
          </cell>
          <cell r="E253">
            <v>4.5826721907999994</v>
          </cell>
        </row>
        <row r="254">
          <cell r="A254" t="str">
            <v>US01626W1018</v>
          </cell>
          <cell r="E254">
            <v>4.4138418000000001</v>
          </cell>
        </row>
        <row r="255">
          <cell r="A255" t="str">
            <v>US0162551016</v>
          </cell>
          <cell r="E255">
            <v>144.906426294</v>
          </cell>
        </row>
        <row r="256">
          <cell r="A256" t="str">
            <v>US01625V1044</v>
          </cell>
          <cell r="E256">
            <v>17.152189234800002</v>
          </cell>
        </row>
        <row r="257">
          <cell r="A257" t="str">
            <v>SE0007158910</v>
          </cell>
          <cell r="E257">
            <v>11.228070047999999</v>
          </cell>
        </row>
        <row r="258">
          <cell r="A258" t="str">
            <v>CA01626P1484</v>
          </cell>
          <cell r="E258">
            <v>44.182799335399999</v>
          </cell>
        </row>
        <row r="259">
          <cell r="A259" t="str">
            <v>DK0061802139</v>
          </cell>
          <cell r="E259">
            <v>19.637917347999998</v>
          </cell>
        </row>
        <row r="260">
          <cell r="A260" t="str">
            <v>US01644J1088</v>
          </cell>
          <cell r="E260">
            <v>22.025070582000001</v>
          </cell>
        </row>
        <row r="261">
          <cell r="A261" t="str">
            <v>AU000000ALK9</v>
          </cell>
          <cell r="E261">
            <v>0.41353700430000001</v>
          </cell>
        </row>
        <row r="262">
          <cell r="A262" t="str">
            <v>IE00B56GVS15</v>
          </cell>
          <cell r="E262">
            <v>24.664547978400002</v>
          </cell>
        </row>
        <row r="263">
          <cell r="A263" t="str">
            <v>IT0005461303</v>
          </cell>
          <cell r="E263">
            <v>1.395</v>
          </cell>
        </row>
        <row r="264">
          <cell r="A264" t="str">
            <v>IE00BFRT3W74</v>
          </cell>
          <cell r="E264">
            <v>112.023304884</v>
          </cell>
        </row>
        <row r="265">
          <cell r="A265" t="str">
            <v>US01749D1054</v>
          </cell>
          <cell r="E265">
            <v>17.549434996799999</v>
          </cell>
        </row>
        <row r="266">
          <cell r="A266" t="str">
            <v>SE0017615644</v>
          </cell>
          <cell r="E266">
            <v>6.6441744634999997</v>
          </cell>
        </row>
        <row r="267">
          <cell r="A267" t="str">
            <v>US0185223007</v>
          </cell>
          <cell r="E267">
            <v>57.362288032800002</v>
          </cell>
        </row>
        <row r="268">
          <cell r="A268" t="str">
            <v>GB00BNTJ3546</v>
          </cell>
          <cell r="E268">
            <v>4.8520000000000003</v>
          </cell>
        </row>
        <row r="269">
          <cell r="A269" t="str">
            <v>US0188021085</v>
          </cell>
          <cell r="E269">
            <v>54.378530976</v>
          </cell>
        </row>
        <row r="270">
          <cell r="A270" t="str">
            <v>DE0008404005</v>
          </cell>
          <cell r="E270">
            <v>343</v>
          </cell>
        </row>
        <row r="271">
          <cell r="A271" t="str">
            <v>CA01921D1050</v>
          </cell>
          <cell r="E271">
            <v>3.6369406722000002</v>
          </cell>
        </row>
        <row r="272">
          <cell r="A272" t="str">
            <v>CA0194561027</v>
          </cell>
          <cell r="E272">
            <v>9.5207870999999997</v>
          </cell>
        </row>
        <row r="273">
          <cell r="A273" t="str">
            <v>SE0009922305</v>
          </cell>
          <cell r="E273">
            <v>10.868196008</v>
          </cell>
        </row>
        <row r="274">
          <cell r="A274" t="str">
            <v>US01973R1014</v>
          </cell>
          <cell r="E274">
            <v>78.592867090799999</v>
          </cell>
        </row>
        <row r="275">
          <cell r="A275" t="str">
            <v>CH0008837566</v>
          </cell>
          <cell r="E275">
            <v>196.95497280000001</v>
          </cell>
        </row>
        <row r="276">
          <cell r="A276" t="str">
            <v>US0200021014</v>
          </cell>
          <cell r="E276">
            <v>171.73375675439999</v>
          </cell>
        </row>
        <row r="277">
          <cell r="A277" t="str">
            <v>US02005N1000</v>
          </cell>
          <cell r="E277">
            <v>28.5399010788</v>
          </cell>
        </row>
        <row r="278">
          <cell r="A278" t="str">
            <v>DK0015250344</v>
          </cell>
          <cell r="E278">
            <v>2.002638911</v>
          </cell>
        </row>
        <row r="279">
          <cell r="A279" t="str">
            <v>IT0005434615</v>
          </cell>
          <cell r="E279">
            <v>3.2149999999999999</v>
          </cell>
        </row>
        <row r="280">
          <cell r="A280" t="str">
            <v>ES0157097017</v>
          </cell>
          <cell r="E280">
            <v>9.4</v>
          </cell>
        </row>
        <row r="281">
          <cell r="A281" t="str">
            <v>NL0010696704</v>
          </cell>
          <cell r="E281">
            <v>1.1200000000000001</v>
          </cell>
        </row>
        <row r="282">
          <cell r="A282" t="str">
            <v>US02043Q1076</v>
          </cell>
          <cell r="E282">
            <v>203.85769737480001</v>
          </cell>
        </row>
        <row r="283">
          <cell r="A283" t="str">
            <v>IL0003900136</v>
          </cell>
          <cell r="E283">
            <v>7.17902811</v>
          </cell>
        </row>
        <row r="284">
          <cell r="A284" t="str">
            <v>JP3126470008</v>
          </cell>
          <cell r="E284">
            <v>14.268518159999999</v>
          </cell>
        </row>
        <row r="285">
          <cell r="A285" t="str">
            <v>FR0000053324</v>
          </cell>
          <cell r="E285">
            <v>15.58</v>
          </cell>
        </row>
        <row r="286">
          <cell r="A286" t="str">
            <v>GB00BF1TM596</v>
          </cell>
          <cell r="E286">
            <v>29.231224999999998</v>
          </cell>
        </row>
        <row r="287">
          <cell r="A287" t="str">
            <v>AU0000033060</v>
          </cell>
          <cell r="E287">
            <v>0.40791065050000003</v>
          </cell>
        </row>
        <row r="288">
          <cell r="A288" t="str">
            <v>US0207641061</v>
          </cell>
          <cell r="E288">
            <v>104.17549416360001</v>
          </cell>
        </row>
        <row r="289">
          <cell r="A289" t="str">
            <v>US02079K3059</v>
          </cell>
          <cell r="E289">
            <v>137.9855223516</v>
          </cell>
        </row>
        <row r="290">
          <cell r="A290" t="str">
            <v>US02079K1079</v>
          </cell>
          <cell r="E290">
            <v>140.07768336480001</v>
          </cell>
        </row>
        <row r="291">
          <cell r="A291" t="str">
            <v>US02081G2012</v>
          </cell>
          <cell r="E291">
            <v>8.7482344475999998</v>
          </cell>
        </row>
        <row r="292">
          <cell r="A292" t="str">
            <v>GB00BNDRMJ14</v>
          </cell>
          <cell r="E292">
            <v>1.4697459930000001</v>
          </cell>
        </row>
        <row r="293">
          <cell r="A293" t="str">
            <v>JP3126400005</v>
          </cell>
          <cell r="E293">
            <v>8.6712017600000006</v>
          </cell>
        </row>
        <row r="294">
          <cell r="A294" t="str">
            <v>AU000000ALQ6</v>
          </cell>
          <cell r="E294">
            <v>8.6083213140000012</v>
          </cell>
        </row>
        <row r="295">
          <cell r="A295" t="str">
            <v>CH0024590272</v>
          </cell>
          <cell r="E295">
            <v>258.071483</v>
          </cell>
        </row>
        <row r="296">
          <cell r="A296" t="str">
            <v>FR0010220475</v>
          </cell>
          <cell r="E296">
            <v>19.87</v>
          </cell>
        </row>
        <row r="297">
          <cell r="A297" t="str">
            <v>DE000A0LD2U1</v>
          </cell>
          <cell r="E297">
            <v>5.56</v>
          </cell>
        </row>
        <row r="298">
          <cell r="A298" t="str">
            <v>CA0213611001</v>
          </cell>
          <cell r="E298">
            <v>25.1285307526</v>
          </cell>
        </row>
        <row r="299">
          <cell r="A299" t="str">
            <v>FR0000053837</v>
          </cell>
          <cell r="E299">
            <v>22.85</v>
          </cell>
        </row>
        <row r="300">
          <cell r="A300" t="str">
            <v>FR0000033219</v>
          </cell>
          <cell r="E300">
            <v>98.64</v>
          </cell>
        </row>
        <row r="301">
          <cell r="A301" t="str">
            <v>FR0000039216</v>
          </cell>
          <cell r="E301">
            <v>486</v>
          </cell>
        </row>
        <row r="302">
          <cell r="A302" t="str">
            <v>IT0005472730</v>
          </cell>
          <cell r="E302">
            <v>7.2</v>
          </cell>
        </row>
        <row r="303">
          <cell r="A303" t="str">
            <v>JP3126350002</v>
          </cell>
          <cell r="E303">
            <v>15.276653599999999</v>
          </cell>
        </row>
        <row r="304">
          <cell r="A304" t="str">
            <v>FR0000071946</v>
          </cell>
          <cell r="E304">
            <v>82.95</v>
          </cell>
        </row>
        <row r="305">
          <cell r="A305" t="str">
            <v>IE00BLRPRP89</v>
          </cell>
          <cell r="E305">
            <v>3.3347228E-2</v>
          </cell>
        </row>
        <row r="306">
          <cell r="A306" t="str">
            <v>FR0000061244</v>
          </cell>
          <cell r="E306">
            <v>0.3599</v>
          </cell>
        </row>
        <row r="307">
          <cell r="A307" t="str">
            <v>US02156K1034</v>
          </cell>
          <cell r="E307">
            <v>2.0215395443999999</v>
          </cell>
        </row>
        <row r="308">
          <cell r="A308" t="str">
            <v>CA0209361009</v>
          </cell>
          <cell r="E308">
            <v>15.2396065514</v>
          </cell>
        </row>
        <row r="309">
          <cell r="A309" t="str">
            <v>PTALT0AE0002</v>
          </cell>
          <cell r="E309">
            <v>6.1390000000000002</v>
          </cell>
        </row>
        <row r="310">
          <cell r="A310" t="str">
            <v>US02209S1033</v>
          </cell>
          <cell r="E310">
            <v>50.776836067200001</v>
          </cell>
        </row>
        <row r="311">
          <cell r="A311" t="str">
            <v>IL0011849366</v>
          </cell>
          <cell r="E311">
            <v>1.238748381</v>
          </cell>
        </row>
        <row r="312">
          <cell r="A312" t="str">
            <v>CA02215R1073</v>
          </cell>
          <cell r="E312">
            <v>31.228181687999999</v>
          </cell>
        </row>
        <row r="313">
          <cell r="A313" t="str">
            <v>US02217A1025</v>
          </cell>
          <cell r="E313">
            <v>4.4050141164000003</v>
          </cell>
        </row>
        <row r="314">
          <cell r="A314" t="str">
            <v>NL0012194724</v>
          </cell>
          <cell r="E314">
            <v>1.34</v>
          </cell>
        </row>
        <row r="315">
          <cell r="A315" t="str">
            <v>LU2458332611</v>
          </cell>
          <cell r="E315">
            <v>7.5918078959999997</v>
          </cell>
        </row>
        <row r="316">
          <cell r="A316" t="str">
            <v>GB00BNKGZC51</v>
          </cell>
          <cell r="E316">
            <v>0.20100000000000001</v>
          </cell>
        </row>
        <row r="317">
          <cell r="A317" t="str">
            <v>JP3122800000</v>
          </cell>
          <cell r="E317">
            <v>8.1980584400000005</v>
          </cell>
        </row>
        <row r="318">
          <cell r="A318" t="str">
            <v>DE0005093108</v>
          </cell>
          <cell r="E318">
            <v>72</v>
          </cell>
        </row>
        <row r="319">
          <cell r="A319" t="str">
            <v>ES0109067019</v>
          </cell>
          <cell r="E319">
            <v>68.88</v>
          </cell>
        </row>
        <row r="320">
          <cell r="A320" t="str">
            <v>JP3124400007</v>
          </cell>
          <cell r="E320">
            <v>23.10671168</v>
          </cell>
        </row>
        <row r="321">
          <cell r="A321" t="str">
            <v>US0231351067</v>
          </cell>
          <cell r="E321">
            <v>158.53636977240001</v>
          </cell>
        </row>
        <row r="322">
          <cell r="A322" t="str">
            <v>KYG037AX1015</v>
          </cell>
          <cell r="E322">
            <v>39.839336086800003</v>
          </cell>
        </row>
        <row r="323">
          <cell r="A323" t="str">
            <v>SE0009663826</v>
          </cell>
          <cell r="E323">
            <v>10.040485715999999</v>
          </cell>
        </row>
        <row r="324">
          <cell r="A324" t="str">
            <v>IT0004779515</v>
          </cell>
          <cell r="E324">
            <v>1.03</v>
          </cell>
        </row>
        <row r="325">
          <cell r="A325" t="str">
            <v>DK0060946788</v>
          </cell>
          <cell r="E325">
            <v>15.793386462000001</v>
          </cell>
        </row>
        <row r="326">
          <cell r="A326" t="str">
            <v>US00165C3025</v>
          </cell>
          <cell r="E326">
            <v>2.6129943456000002</v>
          </cell>
        </row>
        <row r="327">
          <cell r="A327" t="str">
            <v>JE00BJ1F3079</v>
          </cell>
          <cell r="E327">
            <v>8.2627118496000005</v>
          </cell>
        </row>
        <row r="328">
          <cell r="A328" t="str">
            <v>GB0022569080</v>
          </cell>
          <cell r="E328">
            <v>74.638064838000005</v>
          </cell>
        </row>
        <row r="329">
          <cell r="A329" t="str">
            <v>US0234361089</v>
          </cell>
          <cell r="E329">
            <v>80.843926408800002</v>
          </cell>
        </row>
        <row r="330">
          <cell r="A330" t="str">
            <v>US0239391016</v>
          </cell>
          <cell r="E330">
            <v>16.5607344336</v>
          </cell>
        </row>
        <row r="331">
          <cell r="A331" t="str">
            <v>KYG0260P1028</v>
          </cell>
          <cell r="E331">
            <v>19.994703353999999</v>
          </cell>
        </row>
        <row r="332">
          <cell r="A332" t="str">
            <v>US0236081024</v>
          </cell>
          <cell r="E332">
            <v>87.420550690799999</v>
          </cell>
        </row>
        <row r="333">
          <cell r="A333" t="str">
            <v>US02361E1082</v>
          </cell>
          <cell r="E333">
            <v>8.4569208888000009</v>
          </cell>
        </row>
        <row r="334">
          <cell r="A334" t="str">
            <v>US02376R1023</v>
          </cell>
          <cell r="E334">
            <v>8.6952683460000006</v>
          </cell>
        </row>
        <row r="335">
          <cell r="A335" t="str">
            <v>US0240131047</v>
          </cell>
          <cell r="E335">
            <v>16.693149687599998</v>
          </cell>
        </row>
        <row r="336">
          <cell r="A336" t="str">
            <v>US0240611030</v>
          </cell>
          <cell r="E336">
            <v>2.8425141192000001</v>
          </cell>
        </row>
        <row r="337">
          <cell r="A337" t="str">
            <v>US02553E1064</v>
          </cell>
          <cell r="E337">
            <v>9.1366525260000007</v>
          </cell>
        </row>
        <row r="338">
          <cell r="A338" t="str">
            <v>US0255371017</v>
          </cell>
          <cell r="E338">
            <v>94.173728644800008</v>
          </cell>
        </row>
        <row r="339">
          <cell r="A339" t="str">
            <v>US0258161092</v>
          </cell>
          <cell r="E339">
            <v>227.63064930959999</v>
          </cell>
        </row>
        <row r="340">
          <cell r="A340" t="str">
            <v>US0259321042</v>
          </cell>
          <cell r="E340">
            <v>112.1468924544</v>
          </cell>
        </row>
        <row r="341">
          <cell r="A341" t="str">
            <v>US3981823038</v>
          </cell>
          <cell r="E341">
            <v>26.7831920424</v>
          </cell>
        </row>
        <row r="342">
          <cell r="A342" t="str">
            <v>US02665T3068</v>
          </cell>
          <cell r="E342">
            <v>31.885593163199999</v>
          </cell>
        </row>
        <row r="343">
          <cell r="A343" t="str">
            <v>US0268747849</v>
          </cell>
          <cell r="E343">
            <v>72.342867102</v>
          </cell>
        </row>
        <row r="344">
          <cell r="A344" t="str">
            <v>US0298991011</v>
          </cell>
          <cell r="E344">
            <v>70.347810608399996</v>
          </cell>
        </row>
        <row r="345">
          <cell r="A345" t="str">
            <v>US0301112076</v>
          </cell>
          <cell r="E345">
            <v>16.110522570000001</v>
          </cell>
        </row>
        <row r="346">
          <cell r="A346" t="str">
            <v>US03027X1000</v>
          </cell>
          <cell r="E346">
            <v>192.45233016360001</v>
          </cell>
        </row>
        <row r="347">
          <cell r="A347" t="str">
            <v>US0304201033</v>
          </cell>
          <cell r="E347">
            <v>129.66101671679999</v>
          </cell>
        </row>
        <row r="348">
          <cell r="A348" t="str">
            <v>US0305061097</v>
          </cell>
          <cell r="E348">
            <v>49.205508386400012</v>
          </cell>
        </row>
        <row r="349">
          <cell r="A349" t="str">
            <v>US03064D1081</v>
          </cell>
          <cell r="E349">
            <v>17.0462570316</v>
          </cell>
        </row>
        <row r="350">
          <cell r="A350" t="str">
            <v>US03076C1062</v>
          </cell>
          <cell r="E350">
            <v>420.58615743839999</v>
          </cell>
        </row>
        <row r="351">
          <cell r="A351" t="str">
            <v>US03076K1088</v>
          </cell>
          <cell r="E351">
            <v>46.265889747599999</v>
          </cell>
        </row>
        <row r="352">
          <cell r="A352" t="str">
            <v>US03071H1005</v>
          </cell>
          <cell r="E352">
            <v>43.335098792399997</v>
          </cell>
        </row>
        <row r="353">
          <cell r="A353" t="str">
            <v>US0311001004</v>
          </cell>
          <cell r="E353">
            <v>141.42831895559999</v>
          </cell>
        </row>
        <row r="354">
          <cell r="A354" t="str">
            <v>NL0000888691</v>
          </cell>
          <cell r="E354">
            <v>14.74</v>
          </cell>
        </row>
        <row r="355">
          <cell r="A355" t="str">
            <v>US0311621009</v>
          </cell>
          <cell r="E355">
            <v>260.681496708</v>
          </cell>
        </row>
        <row r="356">
          <cell r="A356" t="str">
            <v>US03152W1099</v>
          </cell>
          <cell r="E356">
            <v>6.0911016840000007</v>
          </cell>
        </row>
        <row r="357">
          <cell r="A357" t="str">
            <v>US0316521006</v>
          </cell>
          <cell r="E357">
            <v>15.077683588799999</v>
          </cell>
        </row>
        <row r="358">
          <cell r="A358" t="str">
            <v>US0017441017</v>
          </cell>
          <cell r="E358">
            <v>16.737288105600001</v>
          </cell>
        </row>
        <row r="359">
          <cell r="A359" t="str">
            <v>US03168L1052</v>
          </cell>
          <cell r="E359">
            <v>6.3294491411999996</v>
          </cell>
        </row>
        <row r="360">
          <cell r="A360" t="str">
            <v>FR0011051598</v>
          </cell>
          <cell r="E360">
            <v>0.97809999999999997</v>
          </cell>
        </row>
        <row r="361">
          <cell r="A361" t="str">
            <v>IL0004730177</v>
          </cell>
          <cell r="E361">
            <v>0.68790018600000002</v>
          </cell>
        </row>
        <row r="362">
          <cell r="A362" t="str">
            <v>IL0010972789</v>
          </cell>
          <cell r="E362">
            <v>4.5123948</v>
          </cell>
        </row>
        <row r="363">
          <cell r="A363" t="str">
            <v>AU0000340770</v>
          </cell>
          <cell r="E363">
            <v>4.1691281658000001</v>
          </cell>
        </row>
        <row r="364">
          <cell r="A364" t="str">
            <v>AU000000AMP6</v>
          </cell>
          <cell r="E364">
            <v>0.61889891800000008</v>
          </cell>
        </row>
        <row r="365">
          <cell r="A365" t="str">
            <v>US03209R1032</v>
          </cell>
          <cell r="E365">
            <v>20.745056460000001</v>
          </cell>
        </row>
        <row r="366">
          <cell r="A366" t="str">
            <v>US0320951017</v>
          </cell>
          <cell r="E366">
            <v>58.050847353600012</v>
          </cell>
        </row>
        <row r="367">
          <cell r="A367" t="str">
            <v>IT0004056880</v>
          </cell>
          <cell r="E367">
            <v>16.75</v>
          </cell>
        </row>
        <row r="368">
          <cell r="A368" t="str">
            <v>AU0000361909</v>
          </cell>
          <cell r="E368">
            <v>9.8461191500000003E-2</v>
          </cell>
        </row>
        <row r="369">
          <cell r="A369" t="str">
            <v>US03213A1043</v>
          </cell>
          <cell r="E369">
            <v>7.4947033764000004</v>
          </cell>
        </row>
        <row r="370">
          <cell r="A370" t="str">
            <v>FR0012789667</v>
          </cell>
          <cell r="E370">
            <v>6</v>
          </cell>
        </row>
        <row r="371">
          <cell r="A371" t="str">
            <v>AU0000088338</v>
          </cell>
          <cell r="E371">
            <v>11.984133593999999</v>
          </cell>
        </row>
        <row r="372">
          <cell r="A372" t="str">
            <v>NO0010272065</v>
          </cell>
          <cell r="E372">
            <v>2.0842017500000001</v>
          </cell>
        </row>
        <row r="373">
          <cell r="A373" t="str">
            <v>AT0000A3EPA4</v>
          </cell>
          <cell r="E373">
            <v>6.6245545949999993</v>
          </cell>
        </row>
        <row r="374">
          <cell r="A374" t="str">
            <v>FR0004125920</v>
          </cell>
          <cell r="E374">
            <v>65.3</v>
          </cell>
        </row>
        <row r="375">
          <cell r="A375" t="str">
            <v>JP3128660002</v>
          </cell>
          <cell r="E375">
            <v>2.8141204000000002</v>
          </cell>
        </row>
        <row r="376">
          <cell r="A376" t="str">
            <v>US03237H1014</v>
          </cell>
          <cell r="E376">
            <v>3.4251412368</v>
          </cell>
        </row>
        <row r="377">
          <cell r="A377" t="str">
            <v>JP3429800000</v>
          </cell>
          <cell r="E377">
            <v>16.241494880000001</v>
          </cell>
        </row>
        <row r="378">
          <cell r="A378" t="str">
            <v>US0326541051</v>
          </cell>
          <cell r="E378">
            <v>158.49223135439999</v>
          </cell>
        </row>
        <row r="379">
          <cell r="A379" t="str">
            <v>IL0010806136</v>
          </cell>
          <cell r="E379">
            <v>21.52508328</v>
          </cell>
        </row>
        <row r="380">
          <cell r="A380" t="str">
            <v>US0341641035</v>
          </cell>
          <cell r="E380">
            <v>32.989053613199999</v>
          </cell>
        </row>
        <row r="381">
          <cell r="A381" t="str">
            <v>NO0010829765</v>
          </cell>
          <cell r="E381">
            <v>2.7011254679999999</v>
          </cell>
        </row>
        <row r="382">
          <cell r="A382" t="str">
            <v>NO0010829765</v>
          </cell>
          <cell r="E382">
            <v>2.7011254679999999</v>
          </cell>
        </row>
        <row r="383">
          <cell r="A383" t="str">
            <v>CA0342231077</v>
          </cell>
          <cell r="E383">
            <v>25.6236116818</v>
          </cell>
        </row>
        <row r="384">
          <cell r="A384" t="str">
            <v>AT0000730007</v>
          </cell>
          <cell r="E384">
            <v>53.4</v>
          </cell>
        </row>
        <row r="385">
          <cell r="A385" t="str">
            <v>JP3122450004</v>
          </cell>
          <cell r="E385">
            <v>6.6611157600000004</v>
          </cell>
        </row>
        <row r="386">
          <cell r="A386" t="str">
            <v>US00183L2010</v>
          </cell>
          <cell r="E386">
            <v>10.6991525232</v>
          </cell>
        </row>
        <row r="387">
          <cell r="A387" t="str">
            <v>GB00B1XZS820</v>
          </cell>
          <cell r="E387">
            <v>23.747447189999999</v>
          </cell>
        </row>
        <row r="388">
          <cell r="A388" t="str">
            <v>GB00BRXH2664</v>
          </cell>
          <cell r="E388">
            <v>38.6917372188</v>
          </cell>
        </row>
        <row r="389">
          <cell r="A389" t="str">
            <v>US00182C1036</v>
          </cell>
          <cell r="E389">
            <v>61.396539437999998</v>
          </cell>
        </row>
        <row r="390">
          <cell r="A390" t="str">
            <v>JP3122440005</v>
          </cell>
          <cell r="E390">
            <v>3.2223224799999999</v>
          </cell>
        </row>
        <row r="391">
          <cell r="A391" t="str">
            <v>US0357108390</v>
          </cell>
          <cell r="E391">
            <v>15.854519745599999</v>
          </cell>
        </row>
        <row r="392">
          <cell r="A392" t="str">
            <v>JP3128800004</v>
          </cell>
          <cell r="E392">
            <v>7.7898563599999999</v>
          </cell>
        </row>
        <row r="393">
          <cell r="A393" t="str">
            <v>AU000000ANN9</v>
          </cell>
          <cell r="E393">
            <v>16.5358538182</v>
          </cell>
        </row>
        <row r="394">
          <cell r="A394" t="str">
            <v>US03662Q1058</v>
          </cell>
          <cell r="E394">
            <v>268.43220290879998</v>
          </cell>
        </row>
        <row r="395">
          <cell r="A395" t="str">
            <v>IT0005366601</v>
          </cell>
          <cell r="E395">
            <v>3.14</v>
          </cell>
        </row>
        <row r="396">
          <cell r="A396" t="str">
            <v>AU0000088841</v>
          </cell>
          <cell r="E396">
            <v>2.4755956719999999</v>
          </cell>
        </row>
        <row r="397">
          <cell r="A397" t="str">
            <v>US03676B1026</v>
          </cell>
          <cell r="E397">
            <v>14.768714662800001</v>
          </cell>
        </row>
        <row r="398">
          <cell r="A398" t="str">
            <v>US03674X1063</v>
          </cell>
          <cell r="E398">
            <v>29.219632716</v>
          </cell>
        </row>
        <row r="399">
          <cell r="A399" t="str">
            <v>FR0014005AL0</v>
          </cell>
          <cell r="E399">
            <v>10</v>
          </cell>
        </row>
        <row r="400">
          <cell r="A400" t="str">
            <v>GB0000456144</v>
          </cell>
          <cell r="E400">
            <v>17.965510885</v>
          </cell>
        </row>
        <row r="401">
          <cell r="A401" t="str">
            <v>JP3164780003</v>
          </cell>
          <cell r="E401">
            <v>21.987248399999999</v>
          </cell>
        </row>
        <row r="402">
          <cell r="A402" t="str">
            <v>JP3164770004</v>
          </cell>
          <cell r="E402">
            <v>5.0468620800000004</v>
          </cell>
        </row>
        <row r="403">
          <cell r="A403" t="str">
            <v>AU000000ANZ3</v>
          </cell>
          <cell r="E403">
            <v>15.5399891956</v>
          </cell>
        </row>
        <row r="404">
          <cell r="A404" t="str">
            <v>JP3105400000</v>
          </cell>
          <cell r="E404">
            <v>7.61358728</v>
          </cell>
        </row>
        <row r="405">
          <cell r="A405" t="str">
            <v>IE00BLP1HW54</v>
          </cell>
          <cell r="E405">
            <v>334.66631295960002</v>
          </cell>
        </row>
        <row r="406">
          <cell r="A406" t="str">
            <v>JP3106200003</v>
          </cell>
          <cell r="E406">
            <v>12.221322880000001</v>
          </cell>
        </row>
        <row r="407">
          <cell r="A407" t="str">
            <v>JP3825750007</v>
          </cell>
          <cell r="E407">
            <v>11.287406000000001</v>
          </cell>
        </row>
        <row r="408">
          <cell r="A408" t="str">
            <v>JP3711200000</v>
          </cell>
          <cell r="E408">
            <v>11.392548959999999</v>
          </cell>
        </row>
        <row r="409">
          <cell r="A409" t="str">
            <v>DK0010244508</v>
          </cell>
          <cell r="E409">
            <v>1444.7130873000001</v>
          </cell>
        </row>
        <row r="410">
          <cell r="A410" t="str">
            <v>DK0010244425</v>
          </cell>
          <cell r="E410">
            <v>1423.9499413999999</v>
          </cell>
        </row>
        <row r="411">
          <cell r="A411" t="str">
            <v>US03743Q1085</v>
          </cell>
          <cell r="E411">
            <v>13.1444208804</v>
          </cell>
        </row>
        <row r="412">
          <cell r="A412" t="str">
            <v>AU000000APA1</v>
          </cell>
          <cell r="E412">
            <v>4.5292148090000008</v>
          </cell>
        </row>
        <row r="413">
          <cell r="A413" t="str">
            <v>US03748R7474</v>
          </cell>
          <cell r="E413">
            <v>6.8237994228000014</v>
          </cell>
        </row>
        <row r="414">
          <cell r="A414" t="str">
            <v>US03753U1060</v>
          </cell>
          <cell r="E414">
            <v>16.746115789200001</v>
          </cell>
        </row>
        <row r="415">
          <cell r="A415" t="str">
            <v>LU0569974404</v>
          </cell>
          <cell r="E415">
            <v>26.06</v>
          </cell>
        </row>
        <row r="416">
          <cell r="A416" t="str">
            <v>US00187Y1001</v>
          </cell>
          <cell r="E416">
            <v>31.6295903388</v>
          </cell>
        </row>
        <row r="417">
          <cell r="A417" t="str">
            <v>US0375981091</v>
          </cell>
          <cell r="E417">
            <v>40.757415181200003</v>
          </cell>
        </row>
        <row r="418">
          <cell r="A418" t="str">
            <v>US03770N1019</v>
          </cell>
          <cell r="E418">
            <v>28.998940626</v>
          </cell>
        </row>
        <row r="419">
          <cell r="A419" t="str">
            <v>US03762U1051</v>
          </cell>
          <cell r="E419">
            <v>7.3622881223999999</v>
          </cell>
        </row>
        <row r="420">
          <cell r="A420" t="str">
            <v>US03769M1062</v>
          </cell>
          <cell r="E420">
            <v>112.85310714240001</v>
          </cell>
        </row>
        <row r="421">
          <cell r="A421" t="str">
            <v>SE0023313762</v>
          </cell>
          <cell r="E421">
            <v>6.7863247093000014</v>
          </cell>
        </row>
        <row r="422">
          <cell r="A422" t="str">
            <v>AU000000APX3</v>
          </cell>
          <cell r="E422">
            <v>0.4726137192</v>
          </cell>
        </row>
        <row r="423">
          <cell r="A423" t="str">
            <v>US03783C1009</v>
          </cell>
          <cell r="E423">
            <v>195.85098834959999</v>
          </cell>
        </row>
        <row r="424">
          <cell r="A424" t="str">
            <v>US03782L1017</v>
          </cell>
          <cell r="E424">
            <v>24.214336114799998</v>
          </cell>
        </row>
        <row r="425">
          <cell r="A425" t="str">
            <v>JP3160960005</v>
          </cell>
          <cell r="E425">
            <v>7.7743941599999999</v>
          </cell>
        </row>
        <row r="426">
          <cell r="A426" t="str">
            <v>US0378331005</v>
          </cell>
          <cell r="E426">
            <v>178.4427962904</v>
          </cell>
        </row>
        <row r="427">
          <cell r="A427" t="str">
            <v>US03784Y2000</v>
          </cell>
          <cell r="E427">
            <v>10.15183614</v>
          </cell>
        </row>
        <row r="428">
          <cell r="A428" t="str">
            <v>US0381692070</v>
          </cell>
          <cell r="E428">
            <v>3.0367231584000001</v>
          </cell>
        </row>
        <row r="429">
          <cell r="A429" t="str">
            <v>US03820C1053</v>
          </cell>
          <cell r="E429">
            <v>199.638064614</v>
          </cell>
        </row>
        <row r="430">
          <cell r="A430" t="str">
            <v>US0382221051</v>
          </cell>
          <cell r="E430">
            <v>128.39865796199999</v>
          </cell>
        </row>
        <row r="431">
          <cell r="A431" t="str">
            <v>GB00BPVDXX64</v>
          </cell>
          <cell r="E431">
            <v>1.2651274180000001</v>
          </cell>
        </row>
        <row r="432">
          <cell r="A432" t="str">
            <v>US03823U1025</v>
          </cell>
          <cell r="E432">
            <v>10.107697721999999</v>
          </cell>
        </row>
        <row r="433">
          <cell r="A433" t="str">
            <v>US03831W1080</v>
          </cell>
          <cell r="E433">
            <v>216.6931493292</v>
          </cell>
        </row>
        <row r="434">
          <cell r="A434" t="str">
            <v>US0383361039</v>
          </cell>
          <cell r="E434">
            <v>127.0656777384</v>
          </cell>
        </row>
        <row r="435">
          <cell r="A435" t="str">
            <v>JE00BTDN8H13</v>
          </cell>
          <cell r="E435">
            <v>44.791666586400012</v>
          </cell>
        </row>
        <row r="436">
          <cell r="A436" t="str">
            <v>SE0022062196</v>
          </cell>
          <cell r="E436">
            <v>12.946468589</v>
          </cell>
        </row>
        <row r="437">
          <cell r="A437" t="str">
            <v>NO0010307135</v>
          </cell>
          <cell r="E437">
            <v>6.4026677759999998E-2</v>
          </cell>
        </row>
        <row r="438">
          <cell r="A438" t="str">
            <v>GB00BK6RLF66</v>
          </cell>
          <cell r="E438">
            <v>0.57820000000000005</v>
          </cell>
        </row>
        <row r="439">
          <cell r="A439" t="str">
            <v>FR0010340711</v>
          </cell>
          <cell r="E439">
            <v>3.4</v>
          </cell>
        </row>
        <row r="440">
          <cell r="A440" t="str">
            <v>NO0010778095</v>
          </cell>
          <cell r="E440">
            <v>6.4860358460000003E-2</v>
          </cell>
        </row>
        <row r="441">
          <cell r="A441" t="str">
            <v>IL0010916513</v>
          </cell>
          <cell r="E441">
            <v>11.86903845</v>
          </cell>
        </row>
        <row r="442">
          <cell r="A442" t="str">
            <v>AU000000ARU5</v>
          </cell>
          <cell r="E442">
            <v>0.10690072220000001</v>
          </cell>
        </row>
        <row r="443">
          <cell r="A443" t="str">
            <v>US03852U1060</v>
          </cell>
          <cell r="E443">
            <v>28.804731586799999</v>
          </cell>
        </row>
        <row r="444">
          <cell r="A444" t="str">
            <v>FR0014003U94</v>
          </cell>
          <cell r="E444">
            <v>7.5</v>
          </cell>
        </row>
        <row r="445">
          <cell r="A445" t="str">
            <v>JP3125100002</v>
          </cell>
          <cell r="E445">
            <v>19.234976799999998</v>
          </cell>
        </row>
        <row r="446">
          <cell r="A446" t="str">
            <v>AU000000ARB5</v>
          </cell>
          <cell r="E446">
            <v>16.8621823386</v>
          </cell>
        </row>
        <row r="447">
          <cell r="A447" t="str">
            <v>CH0110240600</v>
          </cell>
          <cell r="E447">
            <v>11.35946444</v>
          </cell>
        </row>
        <row r="448">
          <cell r="A448" t="str">
            <v>US0389231087</v>
          </cell>
          <cell r="E448">
            <v>9.5692090224000008</v>
          </cell>
        </row>
        <row r="449">
          <cell r="A449" t="str">
            <v>CA00208D4084</v>
          </cell>
          <cell r="E449">
            <v>16.344017855000001</v>
          </cell>
        </row>
        <row r="450">
          <cell r="A450" t="str">
            <v>NL0006237562</v>
          </cell>
          <cell r="E450">
            <v>41.86</v>
          </cell>
        </row>
        <row r="451">
          <cell r="A451" t="str">
            <v>US03937C1053</v>
          </cell>
          <cell r="E451">
            <v>53.5134179832</v>
          </cell>
        </row>
        <row r="452">
          <cell r="A452" t="str">
            <v>US03940C1009</v>
          </cell>
          <cell r="E452">
            <v>54.228460354799999</v>
          </cell>
        </row>
        <row r="453">
          <cell r="A453" t="str">
            <v>LU1598757687</v>
          </cell>
          <cell r="E453">
            <v>23.86</v>
          </cell>
        </row>
        <row r="454">
          <cell r="A454" t="str">
            <v>LU1598757687</v>
          </cell>
          <cell r="E454">
            <v>23.85</v>
          </cell>
        </row>
        <row r="455">
          <cell r="A455" t="str">
            <v>BMG0450A1053</v>
          </cell>
          <cell r="E455">
            <v>81.620762565600003</v>
          </cell>
        </row>
        <row r="456">
          <cell r="A456" t="str">
            <v>BMG0451H2087</v>
          </cell>
          <cell r="E456">
            <v>1.684035014</v>
          </cell>
        </row>
        <row r="457">
          <cell r="A457" t="str">
            <v>US03945R1023</v>
          </cell>
          <cell r="E457">
            <v>6.2853107232000003</v>
          </cell>
        </row>
        <row r="458">
          <cell r="A458" t="str">
            <v>US0394831020</v>
          </cell>
          <cell r="E458">
            <v>40.669138345199997</v>
          </cell>
        </row>
        <row r="459">
          <cell r="A459" t="str">
            <v>FR001400KO61</v>
          </cell>
          <cell r="E459">
            <v>0.1875</v>
          </cell>
        </row>
        <row r="460">
          <cell r="A460" t="str">
            <v>US03957W1062</v>
          </cell>
          <cell r="E460">
            <v>20.7803671944</v>
          </cell>
        </row>
        <row r="461">
          <cell r="A461" t="str">
            <v>JP3100100001</v>
          </cell>
          <cell r="E461">
            <v>10.84827952</v>
          </cell>
        </row>
        <row r="462">
          <cell r="A462" t="str">
            <v>VGG0457F1071</v>
          </cell>
          <cell r="E462">
            <v>6.3029660904</v>
          </cell>
        </row>
        <row r="463">
          <cell r="A463" t="str">
            <v>US0396531008</v>
          </cell>
          <cell r="E463">
            <v>68.414547900000002</v>
          </cell>
        </row>
        <row r="464">
          <cell r="A464" t="str">
            <v>JP3968600001</v>
          </cell>
          <cell r="E464">
            <v>17.973261279999999</v>
          </cell>
        </row>
        <row r="465">
          <cell r="A465" t="str">
            <v>NO0010859580</v>
          </cell>
          <cell r="E465">
            <v>0.41600666930000002</v>
          </cell>
        </row>
        <row r="466">
          <cell r="A466" t="str">
            <v>NO0010917719</v>
          </cell>
          <cell r="E466">
            <v>4.5435598150000001</v>
          </cell>
        </row>
        <row r="467">
          <cell r="A467" t="str">
            <v>NO0010014632</v>
          </cell>
          <cell r="E467">
            <v>1.4089203830000001</v>
          </cell>
        </row>
        <row r="468">
          <cell r="A468" t="str">
            <v>US03969T1097</v>
          </cell>
          <cell r="E468">
            <v>9.3308615652000011</v>
          </cell>
        </row>
        <row r="469">
          <cell r="A469" t="str">
            <v>FR0013398997</v>
          </cell>
          <cell r="E469">
            <v>4.0999999999999996</v>
          </cell>
        </row>
        <row r="470">
          <cell r="A470" t="str">
            <v>US03969K1088</v>
          </cell>
          <cell r="E470">
            <v>11.643714668399999</v>
          </cell>
        </row>
        <row r="471">
          <cell r="A471" t="str">
            <v>US0396971071</v>
          </cell>
          <cell r="E471">
            <v>4.0960451903999999</v>
          </cell>
        </row>
        <row r="472">
          <cell r="A472" t="str">
            <v>JP3116700000</v>
          </cell>
          <cell r="E472">
            <v>11.101859599999999</v>
          </cell>
        </row>
        <row r="473">
          <cell r="A473" t="str">
            <v>JP3167620008</v>
          </cell>
          <cell r="E473">
            <v>12.2460624</v>
          </cell>
        </row>
        <row r="474">
          <cell r="A474" t="str">
            <v>AU000000ARF6</v>
          </cell>
          <cell r="E474">
            <v>2.0311137218000002</v>
          </cell>
        </row>
        <row r="475">
          <cell r="A475" t="str">
            <v>NO0003572802</v>
          </cell>
          <cell r="E475">
            <v>10.42100875</v>
          </cell>
        </row>
        <row r="476">
          <cell r="A476" t="str">
            <v>US03990B1017</v>
          </cell>
          <cell r="E476">
            <v>124.7528246352</v>
          </cell>
        </row>
        <row r="477">
          <cell r="A477" t="str">
            <v>FR0010481960</v>
          </cell>
          <cell r="E477">
            <v>60.1</v>
          </cell>
        </row>
        <row r="478">
          <cell r="A478" t="str">
            <v>US04010E1091</v>
          </cell>
          <cell r="E478">
            <v>128.76942067319999</v>
          </cell>
        </row>
        <row r="479">
          <cell r="A479" t="str">
            <v>NL0010832176</v>
          </cell>
          <cell r="E479">
            <v>530</v>
          </cell>
        </row>
        <row r="480">
          <cell r="A480" t="str">
            <v>NO0013257410</v>
          </cell>
          <cell r="E480">
            <v>0.33347228000000001</v>
          </cell>
        </row>
        <row r="481">
          <cell r="A481" t="str">
            <v>JP3126110000</v>
          </cell>
          <cell r="E481">
            <v>30.646080399999999</v>
          </cell>
        </row>
        <row r="482">
          <cell r="A482" t="str">
            <v>NL0015000D84</v>
          </cell>
          <cell r="E482">
            <v>27.458402400000001</v>
          </cell>
        </row>
        <row r="483">
          <cell r="A483" t="str">
            <v>NZARGE0010S7</v>
          </cell>
          <cell r="E483">
            <v>0.52351910000000001</v>
          </cell>
        </row>
        <row r="484">
          <cell r="A484" t="str">
            <v>JP3125800007</v>
          </cell>
          <cell r="E484">
            <v>37.047431199999998</v>
          </cell>
        </row>
        <row r="485">
          <cell r="A485" t="str">
            <v>CA04040Y1097</v>
          </cell>
          <cell r="E485">
            <v>4.7730879327999993</v>
          </cell>
        </row>
        <row r="486">
          <cell r="A486" t="str">
            <v>JP3126000003</v>
          </cell>
          <cell r="E486">
            <v>7.7311000000000014</v>
          </cell>
        </row>
        <row r="487">
          <cell r="A487" t="str">
            <v>US0404132054</v>
          </cell>
          <cell r="E487">
            <v>64.618643951999999</v>
          </cell>
        </row>
        <row r="488">
          <cell r="A488" t="str">
            <v>AU000000ALL7</v>
          </cell>
          <cell r="E488">
            <v>35.001546989799998</v>
          </cell>
        </row>
        <row r="489">
          <cell r="A489" t="str">
            <v>NL0015000N33</v>
          </cell>
          <cell r="E489">
            <v>3.8260000000000001</v>
          </cell>
        </row>
        <row r="490">
          <cell r="A490" t="str">
            <v>CA04045U1021</v>
          </cell>
          <cell r="E490">
            <v>26.880355579</v>
          </cell>
        </row>
        <row r="491">
          <cell r="A491" t="str">
            <v>SE0010468116</v>
          </cell>
          <cell r="E491">
            <v>2.9743589406000002</v>
          </cell>
        </row>
        <row r="492">
          <cell r="A492" t="str">
            <v>FR0010313833</v>
          </cell>
          <cell r="E492">
            <v>62.45</v>
          </cell>
        </row>
        <row r="493">
          <cell r="A493" t="str">
            <v>US04206A1016</v>
          </cell>
          <cell r="E493">
            <v>8.1038135447999995</v>
          </cell>
        </row>
        <row r="494">
          <cell r="A494" t="str">
            <v>US0423157058</v>
          </cell>
          <cell r="E494">
            <v>12.561793762800001</v>
          </cell>
        </row>
        <row r="495">
          <cell r="A495" t="str">
            <v>US04247X1028</v>
          </cell>
          <cell r="E495">
            <v>119.8975986552</v>
          </cell>
        </row>
        <row r="496">
          <cell r="A496" t="str">
            <v>LU1673108939</v>
          </cell>
          <cell r="E496">
            <v>2.762</v>
          </cell>
        </row>
        <row r="497">
          <cell r="A497" t="str">
            <v>KYG0567U1278</v>
          </cell>
          <cell r="E497">
            <v>13.0561440444</v>
          </cell>
        </row>
        <row r="498">
          <cell r="A498" t="str">
            <v>IT0005540676</v>
          </cell>
          <cell r="E498">
            <v>0.93</v>
          </cell>
        </row>
        <row r="499">
          <cell r="A499" t="str">
            <v>US04271T1007</v>
          </cell>
          <cell r="E499">
            <v>3.5840395416000002</v>
          </cell>
        </row>
        <row r="500">
          <cell r="A500" t="str">
            <v>NO0012861667</v>
          </cell>
          <cell r="E500">
            <v>3.2096706949999998E-2</v>
          </cell>
        </row>
        <row r="501">
          <cell r="A501" t="str">
            <v>US0427351004</v>
          </cell>
          <cell r="E501">
            <v>88.806497015999994</v>
          </cell>
        </row>
        <row r="502">
          <cell r="A502" t="str">
            <v>US04280A1007</v>
          </cell>
          <cell r="E502">
            <v>11.3612287932</v>
          </cell>
        </row>
        <row r="503">
          <cell r="A503" t="str">
            <v>FR0012185536</v>
          </cell>
          <cell r="E503">
            <v>10.3</v>
          </cell>
        </row>
        <row r="504">
          <cell r="A504" t="str">
            <v>IT0005386369</v>
          </cell>
          <cell r="E504">
            <v>2.2599999999999998</v>
          </cell>
        </row>
        <row r="505">
          <cell r="A505" t="str">
            <v>US3635761097</v>
          </cell>
          <cell r="E505">
            <v>296.22175088159997</v>
          </cell>
        </row>
        <row r="506">
          <cell r="A506" t="str">
            <v>JP3606600009</v>
          </cell>
          <cell r="E506">
            <v>17.38569768</v>
          </cell>
        </row>
        <row r="507">
          <cell r="A507" t="str">
            <v>CA04315L1058</v>
          </cell>
          <cell r="E507">
            <v>4.4493811713999998</v>
          </cell>
        </row>
        <row r="508">
          <cell r="A508" t="str">
            <v>US04316A1088</v>
          </cell>
          <cell r="E508">
            <v>31.320621412800001</v>
          </cell>
        </row>
        <row r="509">
          <cell r="A509" t="str">
            <v>US2289031005</v>
          </cell>
          <cell r="E509">
            <v>20.3213276472</v>
          </cell>
        </row>
        <row r="510">
          <cell r="A510" t="str">
            <v>FR0000074783</v>
          </cell>
          <cell r="E510">
            <v>3.1269999999999998</v>
          </cell>
        </row>
        <row r="511">
          <cell r="A511" t="str">
            <v>FR0000076952</v>
          </cell>
          <cell r="E511">
            <v>10800</v>
          </cell>
        </row>
        <row r="512">
          <cell r="A512" t="str">
            <v>FR001400JWR8</v>
          </cell>
          <cell r="E512">
            <v>4</v>
          </cell>
        </row>
        <row r="513">
          <cell r="A513" t="str">
            <v>US04335A1051</v>
          </cell>
          <cell r="E513">
            <v>6.6913841688</v>
          </cell>
        </row>
        <row r="514">
          <cell r="A514" t="str">
            <v>IL0005870147</v>
          </cell>
          <cell r="E514">
            <v>5.3596689299999998</v>
          </cell>
        </row>
        <row r="515">
          <cell r="A515" t="str">
            <v>CH0043238366</v>
          </cell>
          <cell r="E515">
            <v>2.1336788719999999</v>
          </cell>
        </row>
        <row r="516">
          <cell r="A516" t="str">
            <v>JP3131300000</v>
          </cell>
          <cell r="E516">
            <v>14.24687108</v>
          </cell>
        </row>
        <row r="517">
          <cell r="A517" t="str">
            <v>JP3110500000</v>
          </cell>
          <cell r="E517">
            <v>8.392882160000001</v>
          </cell>
        </row>
        <row r="518">
          <cell r="A518" t="str">
            <v>JP3114400009</v>
          </cell>
          <cell r="E518">
            <v>4.5520716800000001</v>
          </cell>
        </row>
        <row r="519">
          <cell r="A519" t="str">
            <v>JP3112000009</v>
          </cell>
          <cell r="E519">
            <v>26.335219039999998</v>
          </cell>
        </row>
        <row r="520">
          <cell r="A520" t="str">
            <v>JP3116000005</v>
          </cell>
          <cell r="E520">
            <v>12.11927236</v>
          </cell>
        </row>
        <row r="521">
          <cell r="A521" t="str">
            <v>JP3110650003</v>
          </cell>
          <cell r="E521">
            <v>13.4675762</v>
          </cell>
        </row>
        <row r="522">
          <cell r="A522" t="str">
            <v>JP3111200006</v>
          </cell>
          <cell r="E522">
            <v>5.9572764160000009</v>
          </cell>
        </row>
        <row r="523">
          <cell r="A523" t="str">
            <v>JP3112800002</v>
          </cell>
          <cell r="E523">
            <v>11.91826376</v>
          </cell>
        </row>
        <row r="524">
          <cell r="A524" t="str">
            <v>JP3117200000</v>
          </cell>
          <cell r="E524">
            <v>21.801701999999999</v>
          </cell>
        </row>
        <row r="525">
          <cell r="A525" t="str">
            <v>US04342Y1047</v>
          </cell>
          <cell r="E525">
            <v>13.8506355684</v>
          </cell>
        </row>
        <row r="526">
          <cell r="A526" t="str">
            <v>JP3110000001</v>
          </cell>
          <cell r="E526">
            <v>4.5273321600000003</v>
          </cell>
        </row>
        <row r="527">
          <cell r="A527" t="str">
            <v>US0434361046</v>
          </cell>
          <cell r="E527">
            <v>196.1158188576</v>
          </cell>
        </row>
        <row r="528">
          <cell r="A528" t="str">
            <v>BE0003856730</v>
          </cell>
          <cell r="E528">
            <v>44.3</v>
          </cell>
        </row>
        <row r="529">
          <cell r="A529" t="str">
            <v>IT0004093263</v>
          </cell>
          <cell r="E529">
            <v>3.1949999999999998</v>
          </cell>
        </row>
        <row r="530">
          <cell r="A530" t="str">
            <v>US00191U1025</v>
          </cell>
          <cell r="E530">
            <v>52.030367138400003</v>
          </cell>
        </row>
        <row r="531">
          <cell r="A531" t="str">
            <v>IL0011989105</v>
          </cell>
          <cell r="E531">
            <v>13.753203299999999</v>
          </cell>
        </row>
        <row r="532">
          <cell r="A532" t="str">
            <v>US0441861046</v>
          </cell>
          <cell r="E532">
            <v>44.456214609600003</v>
          </cell>
        </row>
        <row r="533">
          <cell r="A533" t="str">
            <v>GB00B132NW22</v>
          </cell>
          <cell r="E533">
            <v>1.507161961</v>
          </cell>
        </row>
        <row r="534">
          <cell r="A534" t="str">
            <v>IL0003120172</v>
          </cell>
          <cell r="E534">
            <v>12.84832413</v>
          </cell>
        </row>
        <row r="535">
          <cell r="A535" t="str">
            <v>GB0000536739</v>
          </cell>
          <cell r="E535">
            <v>46.103488069999997</v>
          </cell>
        </row>
        <row r="536">
          <cell r="A536" t="str">
            <v>GB00BLH42507</v>
          </cell>
          <cell r="E536">
            <v>5.6123951999999999</v>
          </cell>
        </row>
        <row r="537">
          <cell r="A537" t="str">
            <v>IL0011323156</v>
          </cell>
          <cell r="E537">
            <v>13.7772054</v>
          </cell>
        </row>
        <row r="538">
          <cell r="A538" t="str">
            <v>JP3389640008</v>
          </cell>
          <cell r="E538">
            <v>5.4488792799999999</v>
          </cell>
        </row>
        <row r="539">
          <cell r="A539" t="str">
            <v>JP3118000003</v>
          </cell>
          <cell r="E539">
            <v>17.13521004</v>
          </cell>
        </row>
        <row r="540">
          <cell r="A540" t="str">
            <v>JP3119660003</v>
          </cell>
          <cell r="E540">
            <v>14.20048448</v>
          </cell>
        </row>
        <row r="541">
          <cell r="A541" t="str">
            <v>IT0005337123</v>
          </cell>
          <cell r="E541">
            <v>0.107</v>
          </cell>
        </row>
        <row r="542">
          <cell r="A542" t="str">
            <v>JP3119920001</v>
          </cell>
          <cell r="E542">
            <v>8.8505632800000011</v>
          </cell>
        </row>
        <row r="543">
          <cell r="A543" t="str">
            <v>NL0000334118</v>
          </cell>
          <cell r="E543">
            <v>408</v>
          </cell>
        </row>
        <row r="544">
          <cell r="A544" t="str">
            <v>NL0010273215</v>
          </cell>
          <cell r="E544">
            <v>605.4</v>
          </cell>
        </row>
        <row r="545">
          <cell r="A545" t="str">
            <v>SE0023615638</v>
          </cell>
          <cell r="E545">
            <v>8.3400808770000001</v>
          </cell>
        </row>
        <row r="546">
          <cell r="A546" t="str">
            <v>KYG0535Q1331</v>
          </cell>
          <cell r="E546">
            <v>5.6906129999999999</v>
          </cell>
        </row>
        <row r="547">
          <cell r="A547" t="str">
            <v>GB0030927254</v>
          </cell>
          <cell r="E547">
            <v>3.3791296100000001</v>
          </cell>
        </row>
        <row r="548">
          <cell r="A548" t="str">
            <v>US04523Y1055</v>
          </cell>
          <cell r="E548">
            <v>4.5727401048000003</v>
          </cell>
        </row>
        <row r="549">
          <cell r="A549" t="str">
            <v>AU000000APZ8</v>
          </cell>
          <cell r="E549">
            <v>1.716037909</v>
          </cell>
        </row>
        <row r="550">
          <cell r="A550" t="str">
            <v>NL0011872643</v>
          </cell>
          <cell r="E550">
            <v>52.9</v>
          </cell>
        </row>
        <row r="551">
          <cell r="A551" t="str">
            <v>SE0007100581</v>
          </cell>
          <cell r="E551">
            <v>25.533063137999999</v>
          </cell>
        </row>
        <row r="552">
          <cell r="A552" t="str">
            <v>GB0006731235</v>
          </cell>
          <cell r="E552">
            <v>24.600998959999998</v>
          </cell>
        </row>
        <row r="553">
          <cell r="A553" t="str">
            <v>US0454871056</v>
          </cell>
          <cell r="E553">
            <v>17.4876412116</v>
          </cell>
        </row>
        <row r="554">
          <cell r="A554" t="str">
            <v>GB00BVGBWW93</v>
          </cell>
          <cell r="E554">
            <v>0.55913487179999999</v>
          </cell>
        </row>
        <row r="555">
          <cell r="A555" t="str">
            <v>US04621X1081</v>
          </cell>
          <cell r="E555">
            <v>171.08050816799999</v>
          </cell>
        </row>
        <row r="556">
          <cell r="A556" t="str">
            <v>BMG0585R1060</v>
          </cell>
          <cell r="E556">
            <v>72.316384051200004</v>
          </cell>
        </row>
        <row r="557">
          <cell r="A557" t="str">
            <v>FR0000074148</v>
          </cell>
          <cell r="E557">
            <v>33.799999999999997</v>
          </cell>
        </row>
        <row r="558">
          <cell r="A558" t="str">
            <v>US00217D1000</v>
          </cell>
          <cell r="E558">
            <v>20.233050811199998</v>
          </cell>
        </row>
        <row r="559">
          <cell r="A559" t="str">
            <v>US0462241011</v>
          </cell>
          <cell r="E559">
            <v>30.437853052800001</v>
          </cell>
        </row>
        <row r="560">
          <cell r="A560" t="str">
            <v>JP3942400007</v>
          </cell>
          <cell r="E560">
            <v>8.2691845600000011</v>
          </cell>
        </row>
        <row r="561">
          <cell r="A561" t="str">
            <v>US04626A1034</v>
          </cell>
          <cell r="E561">
            <v>53.036723068800001</v>
          </cell>
        </row>
        <row r="562">
          <cell r="A562" t="str">
            <v>GB00BN7CG237</v>
          </cell>
          <cell r="E562">
            <v>0.78398145450000001</v>
          </cell>
        </row>
        <row r="563">
          <cell r="A563" t="str">
            <v>US03763A2078</v>
          </cell>
          <cell r="E563">
            <v>29.802259833600001</v>
          </cell>
        </row>
        <row r="564">
          <cell r="A564" t="str">
            <v>GB0009895292</v>
          </cell>
          <cell r="E564">
            <v>120.1987972</v>
          </cell>
        </row>
        <row r="565">
          <cell r="A565" t="str">
            <v>JP3119820003</v>
          </cell>
          <cell r="E565">
            <v>4.4592984800000002</v>
          </cell>
        </row>
        <row r="566">
          <cell r="A566" t="str">
            <v>AU000000ASX7</v>
          </cell>
          <cell r="E566">
            <v>37.865361073999999</v>
          </cell>
        </row>
        <row r="567">
          <cell r="A567" t="str">
            <v>AT0000969985</v>
          </cell>
          <cell r="E567">
            <v>12.76</v>
          </cell>
        </row>
        <row r="568">
          <cell r="A568" t="str">
            <v>US00206R1023</v>
          </cell>
          <cell r="E568">
            <v>24.276129900000001</v>
          </cell>
        </row>
        <row r="569">
          <cell r="A569" t="str">
            <v>CY0106002112</v>
          </cell>
          <cell r="E569">
            <v>4.2852975850000004</v>
          </cell>
        </row>
        <row r="570">
          <cell r="A570" t="str">
            <v>FR0010478248</v>
          </cell>
          <cell r="E570">
            <v>0.12</v>
          </cell>
        </row>
        <row r="571">
          <cell r="A571" t="str">
            <v>CA0467894006</v>
          </cell>
          <cell r="E571">
            <v>31.735956999999999</v>
          </cell>
        </row>
        <row r="572">
          <cell r="A572" t="str">
            <v>NO0004822503</v>
          </cell>
          <cell r="E572">
            <v>11.17132138</v>
          </cell>
        </row>
        <row r="573">
          <cell r="A573" t="str">
            <v>FR0011992700</v>
          </cell>
          <cell r="E573">
            <v>4.2</v>
          </cell>
        </row>
        <row r="574">
          <cell r="A574" t="str">
            <v>BE0003837540</v>
          </cell>
          <cell r="E574">
            <v>2.87</v>
          </cell>
        </row>
        <row r="575">
          <cell r="A575" t="str">
            <v>CA04682R1073</v>
          </cell>
          <cell r="E575">
            <v>2.9197080440000001</v>
          </cell>
        </row>
        <row r="576">
          <cell r="A576" t="str">
            <v>US01741R1023</v>
          </cell>
          <cell r="E576">
            <v>41.693149642800002</v>
          </cell>
        </row>
        <row r="577">
          <cell r="A577" t="str">
            <v>CA04764T1049</v>
          </cell>
          <cell r="E577">
            <v>43.776579085799987</v>
          </cell>
        </row>
        <row r="578">
          <cell r="A578" t="str">
            <v>US0476491081</v>
          </cell>
          <cell r="E578">
            <v>50.291313469199999</v>
          </cell>
        </row>
        <row r="579">
          <cell r="A579" t="str">
            <v>FR0013455482</v>
          </cell>
          <cell r="E579">
            <v>44.2</v>
          </cell>
        </row>
        <row r="580">
          <cell r="A580" t="str">
            <v>US0477263026</v>
          </cell>
          <cell r="E580">
            <v>33.624646832400003</v>
          </cell>
        </row>
        <row r="581">
          <cell r="A581" t="str">
            <v>NO0013464750</v>
          </cell>
          <cell r="E581">
            <v>0.66502709439000007</v>
          </cell>
        </row>
        <row r="582">
          <cell r="A582" t="str">
            <v>US04911A1079</v>
          </cell>
          <cell r="E582">
            <v>21.804378492000001</v>
          </cell>
        </row>
        <row r="583">
          <cell r="A583" t="str">
            <v>AU0000013559</v>
          </cell>
          <cell r="E583">
            <v>2.7175288854000001</v>
          </cell>
        </row>
        <row r="584">
          <cell r="A584" t="str">
            <v>SE0017486889</v>
          </cell>
          <cell r="E584">
            <v>13.832658412500001</v>
          </cell>
        </row>
        <row r="585">
          <cell r="A585" t="str">
            <v>SE0017486897</v>
          </cell>
          <cell r="E585">
            <v>12.1682409775</v>
          </cell>
        </row>
        <row r="586">
          <cell r="A586" t="str">
            <v>US6420451089</v>
          </cell>
          <cell r="E586">
            <v>11.8114406568</v>
          </cell>
        </row>
        <row r="587">
          <cell r="A587" t="str">
            <v>US0494681010</v>
          </cell>
          <cell r="E587">
            <v>182.95374261000001</v>
          </cell>
        </row>
        <row r="588">
          <cell r="A588" t="str">
            <v>US0495601058</v>
          </cell>
          <cell r="E588">
            <v>137.95021161720001</v>
          </cell>
        </row>
        <row r="589">
          <cell r="A589" t="str">
            <v>US04956D1072</v>
          </cell>
          <cell r="E589">
            <v>29.705155313999999</v>
          </cell>
        </row>
        <row r="590">
          <cell r="A590" t="str">
            <v>JP3121900009</v>
          </cell>
          <cell r="E590">
            <v>4.0758359200000003</v>
          </cell>
        </row>
        <row r="591">
          <cell r="A591" t="str">
            <v>FR0004153930</v>
          </cell>
          <cell r="E591">
            <v>9.7999999999999997E-3</v>
          </cell>
        </row>
        <row r="592">
          <cell r="A592" t="str">
            <v>IT0005449464</v>
          </cell>
          <cell r="E592">
            <v>1.78</v>
          </cell>
        </row>
        <row r="593">
          <cell r="A593" t="str">
            <v>FR0000051732</v>
          </cell>
          <cell r="E593">
            <v>3.8E-3</v>
          </cell>
        </row>
        <row r="594">
          <cell r="A594" t="str">
            <v>DE0005104400</v>
          </cell>
          <cell r="E594">
            <v>132.80000000000001</v>
          </cell>
        </row>
        <row r="595">
          <cell r="A595" t="str">
            <v>IL0010961063</v>
          </cell>
          <cell r="E595">
            <v>17.804757779999999</v>
          </cell>
        </row>
        <row r="596">
          <cell r="A596" t="str">
            <v>US04963C2098</v>
          </cell>
          <cell r="E596">
            <v>28.566384129599999</v>
          </cell>
        </row>
        <row r="597">
          <cell r="A597" t="str">
            <v>SE0024320832</v>
          </cell>
          <cell r="E597">
            <v>2.8326585373499999</v>
          </cell>
        </row>
        <row r="598">
          <cell r="A598" t="str">
            <v>CA00217Y1043</v>
          </cell>
          <cell r="E598">
            <v>21.878768755799999</v>
          </cell>
        </row>
        <row r="599">
          <cell r="A599" t="str">
            <v>SE0007666110</v>
          </cell>
          <cell r="E599">
            <v>5.5330633650000003</v>
          </cell>
        </row>
        <row r="600">
          <cell r="A600" t="str">
            <v>AU000000AUB9</v>
          </cell>
          <cell r="E600">
            <v>17.1772581514</v>
          </cell>
        </row>
        <row r="601">
          <cell r="A601" t="str">
            <v>FR0000063737</v>
          </cell>
          <cell r="E601">
            <v>44.6</v>
          </cell>
        </row>
        <row r="602">
          <cell r="A602" t="str">
            <v>NZAIAE0002S6</v>
          </cell>
          <cell r="E602">
            <v>4.1933879909999998</v>
          </cell>
        </row>
        <row r="603">
          <cell r="A603" t="str">
            <v>GB00BMVQDZ64</v>
          </cell>
          <cell r="E603">
            <v>7.2259588199999998</v>
          </cell>
        </row>
        <row r="604">
          <cell r="A604" t="str">
            <v>FR00140059B5</v>
          </cell>
          <cell r="E604">
            <v>2.74</v>
          </cell>
        </row>
        <row r="605">
          <cell r="A605" t="str">
            <v>AU000000AD88</v>
          </cell>
          <cell r="E605">
            <v>3.3701859262</v>
          </cell>
        </row>
        <row r="606">
          <cell r="A606" t="str">
            <v>IL0010829658</v>
          </cell>
          <cell r="E606">
            <v>8.0331920760000006</v>
          </cell>
        </row>
        <row r="607">
          <cell r="A607" t="str">
            <v>IL0010829658</v>
          </cell>
          <cell r="E607">
            <v>8.1175102199999998</v>
          </cell>
        </row>
        <row r="608">
          <cell r="A608" t="str">
            <v>FR0000061780</v>
          </cell>
          <cell r="E608">
            <v>6.5</v>
          </cell>
        </row>
        <row r="609">
          <cell r="A609" t="str">
            <v>FR0013410370</v>
          </cell>
          <cell r="E609">
            <v>1.5E-3</v>
          </cell>
        </row>
        <row r="610">
          <cell r="A610" t="str">
            <v>IL0003730194</v>
          </cell>
          <cell r="E610">
            <v>4.5555985799999998</v>
          </cell>
        </row>
        <row r="611">
          <cell r="A611" t="str">
            <v>FR0000039232</v>
          </cell>
          <cell r="E611">
            <v>5.08</v>
          </cell>
        </row>
        <row r="612">
          <cell r="A612" t="str">
            <v>AU000000AMI1</v>
          </cell>
          <cell r="E612">
            <v>0.13503249119999999</v>
          </cell>
        </row>
        <row r="613">
          <cell r="A613" t="str">
            <v>CA05156V1022</v>
          </cell>
          <cell r="E613">
            <v>6.8414547900000002</v>
          </cell>
        </row>
        <row r="614">
          <cell r="A614" t="str">
            <v>AU000000AZJ1</v>
          </cell>
          <cell r="E614">
            <v>1.7329169704</v>
          </cell>
        </row>
        <row r="615">
          <cell r="A615" t="str">
            <v>NO0011032310</v>
          </cell>
          <cell r="E615">
            <v>7.2947061250000003</v>
          </cell>
        </row>
        <row r="616">
          <cell r="A616" t="str">
            <v>US0517741072</v>
          </cell>
          <cell r="E616">
            <v>5.4201977304</v>
          </cell>
        </row>
        <row r="617">
          <cell r="A617" t="str">
            <v>NO0006001601</v>
          </cell>
          <cell r="E617">
            <v>19.324718625999999</v>
          </cell>
        </row>
        <row r="618">
          <cell r="A618" t="str">
            <v>DE0006766504</v>
          </cell>
          <cell r="E618">
            <v>75.400000000000006</v>
          </cell>
        </row>
        <row r="619">
          <cell r="A619" t="str">
            <v>AU0000106643</v>
          </cell>
          <cell r="E619">
            <v>2.194277982</v>
          </cell>
        </row>
        <row r="620">
          <cell r="A620" t="str">
            <v>AU000000ASB3</v>
          </cell>
          <cell r="E620">
            <v>2.7287815929999999</v>
          </cell>
        </row>
        <row r="621">
          <cell r="A621" t="str">
            <v>NO0010073489</v>
          </cell>
          <cell r="E621">
            <v>7.9783242990000014</v>
          </cell>
        </row>
        <row r="622">
          <cell r="A622" t="str">
            <v>AU000000ANG3</v>
          </cell>
          <cell r="E622">
            <v>0.23912003649999999</v>
          </cell>
        </row>
        <row r="623">
          <cell r="A623" t="str">
            <v>AU0000148496</v>
          </cell>
          <cell r="E623">
            <v>1.6766534324</v>
          </cell>
        </row>
        <row r="624">
          <cell r="A624" t="str">
            <v>AU000000AEF4</v>
          </cell>
          <cell r="E624">
            <v>2.8469350227999999</v>
          </cell>
        </row>
        <row r="625">
          <cell r="A625" t="str">
            <v>AU000000AFG9</v>
          </cell>
          <cell r="E625">
            <v>0.91990884630000003</v>
          </cell>
        </row>
        <row r="626">
          <cell r="A626" t="str">
            <v>AU0000124349</v>
          </cell>
          <cell r="E626">
            <v>45.573465779999999</v>
          </cell>
        </row>
        <row r="627">
          <cell r="A627" t="str">
            <v>GB00BVYVFW23</v>
          </cell>
          <cell r="E627">
            <v>9.2744830680000003</v>
          </cell>
        </row>
        <row r="628">
          <cell r="A628" t="str">
            <v>DE000A2LQ884</v>
          </cell>
          <cell r="E628">
            <v>19.88</v>
          </cell>
        </row>
        <row r="629">
          <cell r="A629" t="str">
            <v>JP3172500005</v>
          </cell>
          <cell r="E629">
            <v>8.943336480000001</v>
          </cell>
        </row>
        <row r="630">
          <cell r="A630" t="str">
            <v>US0527691069</v>
          </cell>
          <cell r="E630">
            <v>234.23375664240001</v>
          </cell>
        </row>
        <row r="631">
          <cell r="A631" t="str">
            <v>US0528001094</v>
          </cell>
          <cell r="E631">
            <v>72.598869926399999</v>
          </cell>
        </row>
        <row r="632">
          <cell r="A632" t="str">
            <v>US0530151036</v>
          </cell>
          <cell r="E632">
            <v>263.11793738159997</v>
          </cell>
        </row>
        <row r="633">
          <cell r="A633" t="str">
            <v>IL0011581613</v>
          </cell>
          <cell r="E633">
            <v>5.3116647300000004</v>
          </cell>
        </row>
        <row r="634">
          <cell r="A634" t="str">
            <v>US05329W1027</v>
          </cell>
          <cell r="E634">
            <v>144.685734204</v>
          </cell>
        </row>
        <row r="635">
          <cell r="A635" t="str">
            <v>BMG0670A1099</v>
          </cell>
          <cell r="E635">
            <v>0.62651104604999996</v>
          </cell>
        </row>
        <row r="636">
          <cell r="A636" t="str">
            <v>US0533321024</v>
          </cell>
          <cell r="E636">
            <v>3205.4819857811999</v>
          </cell>
        </row>
        <row r="637">
          <cell r="A637" t="str">
            <v>IE00BDGMC594</v>
          </cell>
          <cell r="E637">
            <v>6.9826977276000006</v>
          </cell>
        </row>
        <row r="638">
          <cell r="A638" t="str">
            <v>JP3122500006</v>
          </cell>
          <cell r="E638">
            <v>12.0295916</v>
          </cell>
        </row>
        <row r="639">
          <cell r="A639" t="str">
            <v>US0534841012</v>
          </cell>
          <cell r="E639">
            <v>176.99505618000001</v>
          </cell>
        </row>
        <row r="640">
          <cell r="A640" t="str">
            <v>BMG067231032</v>
          </cell>
          <cell r="E640">
            <v>0.83451438070000006</v>
          </cell>
        </row>
        <row r="641">
          <cell r="A641" t="str">
            <v>US05350V1061</v>
          </cell>
          <cell r="E641">
            <v>10.6197033708</v>
          </cell>
        </row>
        <row r="642">
          <cell r="A642" t="str">
            <v>JP3548680002</v>
          </cell>
          <cell r="E642">
            <v>10.50192624</v>
          </cell>
        </row>
        <row r="643">
          <cell r="A643" t="str">
            <v>NL0012047823</v>
          </cell>
          <cell r="E643">
            <v>0.78700000000000003</v>
          </cell>
        </row>
        <row r="644">
          <cell r="A644" t="str">
            <v>US05352A1007</v>
          </cell>
          <cell r="E644">
            <v>13.594632744</v>
          </cell>
        </row>
        <row r="645">
          <cell r="A645" t="str">
            <v>SE0012454072</v>
          </cell>
          <cell r="E645">
            <v>28.645973584</v>
          </cell>
        </row>
        <row r="646">
          <cell r="A646" t="str">
            <v>FR001400CFI7</v>
          </cell>
          <cell r="E646">
            <v>5.3400000000000003E-2</v>
          </cell>
        </row>
        <row r="647">
          <cell r="A647" t="str">
            <v>FR001400IV58</v>
          </cell>
          <cell r="E647">
            <v>8.0000000000000004E-4</v>
          </cell>
        </row>
        <row r="648">
          <cell r="A648" t="str">
            <v>US0536041041</v>
          </cell>
          <cell r="E648">
            <v>13.091454778799999</v>
          </cell>
        </row>
        <row r="649">
          <cell r="A649" t="str">
            <v>US0536111091</v>
          </cell>
          <cell r="E649">
            <v>149.62923702000001</v>
          </cell>
        </row>
        <row r="650">
          <cell r="A650" t="str">
            <v>JP3160950006</v>
          </cell>
          <cell r="E650">
            <v>7.5269989600000002</v>
          </cell>
        </row>
        <row r="651">
          <cell r="A651" t="str">
            <v>IL0011718181</v>
          </cell>
          <cell r="E651">
            <v>4.7236132799999986</v>
          </cell>
        </row>
        <row r="652">
          <cell r="A652" t="str">
            <v>US05370A1088</v>
          </cell>
          <cell r="E652">
            <v>23.552259844799998</v>
          </cell>
        </row>
        <row r="653">
          <cell r="A653" t="str">
            <v>US05368X1028</v>
          </cell>
          <cell r="E653">
            <v>6.9826977276000006</v>
          </cell>
        </row>
        <row r="654">
          <cell r="A654" t="str">
            <v>US05368V1061</v>
          </cell>
          <cell r="E654">
            <v>27.921963226799999</v>
          </cell>
        </row>
        <row r="655">
          <cell r="A655" t="str">
            <v>IT0005119810</v>
          </cell>
          <cell r="E655">
            <v>19.440000000000001</v>
          </cell>
        </row>
        <row r="656">
          <cell r="A656" t="str">
            <v>US0537741052</v>
          </cell>
          <cell r="E656">
            <v>61.528954692000013</v>
          </cell>
        </row>
        <row r="657">
          <cell r="A657" t="str">
            <v>US05379B1070</v>
          </cell>
          <cell r="E657">
            <v>36.802612928400002</v>
          </cell>
        </row>
        <row r="658">
          <cell r="A658" t="str">
            <v>GB00BPQY8M80</v>
          </cell>
          <cell r="E658">
            <v>6.1104952739999998</v>
          </cell>
        </row>
        <row r="659">
          <cell r="A659" t="str">
            <v>US0538071038</v>
          </cell>
          <cell r="E659">
            <v>40.995762638400002</v>
          </cell>
        </row>
        <row r="660">
          <cell r="A660" t="str">
            <v>CH0023405456</v>
          </cell>
          <cell r="E660">
            <v>38.375985380000003</v>
          </cell>
        </row>
        <row r="661">
          <cell r="A661" t="str">
            <v>GB0000667013</v>
          </cell>
          <cell r="E661">
            <v>16.252561100000001</v>
          </cell>
        </row>
        <row r="662">
          <cell r="A662" t="str">
            <v>JP3126800006</v>
          </cell>
          <cell r="E662">
            <v>15.33231752</v>
          </cell>
        </row>
        <row r="663">
          <cell r="A663" t="str">
            <v>NO0012785098</v>
          </cell>
          <cell r="E663">
            <v>0.1067111296</v>
          </cell>
        </row>
        <row r="664">
          <cell r="A664" t="str">
            <v>NO0010607971</v>
          </cell>
          <cell r="E664">
            <v>0.22592746969999999</v>
          </cell>
        </row>
        <row r="665">
          <cell r="A665" t="str">
            <v>FR0000120628</v>
          </cell>
          <cell r="E665">
            <v>38.880000000000003</v>
          </cell>
        </row>
        <row r="666">
          <cell r="A666" t="str">
            <v>NO0010840515</v>
          </cell>
          <cell r="E666">
            <v>0.34097540630000001</v>
          </cell>
        </row>
        <row r="667">
          <cell r="A667" t="str">
            <v>BMG0750C1082</v>
          </cell>
          <cell r="E667">
            <v>27.551200515600001</v>
          </cell>
        </row>
        <row r="668">
          <cell r="A668" t="str">
            <v>US0545402085</v>
          </cell>
          <cell r="E668">
            <v>41.640183541200003</v>
          </cell>
        </row>
        <row r="669">
          <cell r="A669" t="str">
            <v>SE0006993770</v>
          </cell>
          <cell r="E669">
            <v>22.366171586</v>
          </cell>
        </row>
        <row r="670">
          <cell r="A670" t="str">
            <v>JP3772400002</v>
          </cell>
          <cell r="E670">
            <v>6.6549308800000002</v>
          </cell>
        </row>
        <row r="671">
          <cell r="A671" t="str">
            <v>BMG0692U1099</v>
          </cell>
          <cell r="E671">
            <v>83.456920754400002</v>
          </cell>
        </row>
        <row r="672">
          <cell r="A672" t="str">
            <v>US05464C1018</v>
          </cell>
          <cell r="E672">
            <v>510.61087479119999</v>
          </cell>
        </row>
        <row r="673">
          <cell r="A673" t="str">
            <v>US05465C1009</v>
          </cell>
          <cell r="E673">
            <v>52.056850189199999</v>
          </cell>
        </row>
        <row r="674">
          <cell r="A674" t="str">
            <v>US05464T1043</v>
          </cell>
          <cell r="E674">
            <v>91.657838818800002</v>
          </cell>
        </row>
        <row r="675">
          <cell r="A675" t="str">
            <v>CA05466C1095</v>
          </cell>
          <cell r="E675">
            <v>7.2421453873999999</v>
          </cell>
        </row>
        <row r="676">
          <cell r="A676" t="str">
            <v>IL0002090152</v>
          </cell>
          <cell r="E676">
            <v>11.89304055</v>
          </cell>
        </row>
        <row r="677">
          <cell r="A677" t="str">
            <v>NO0012861683</v>
          </cell>
          <cell r="E677">
            <v>0.28761984149999997</v>
          </cell>
        </row>
        <row r="678">
          <cell r="A678" t="str">
            <v>FR0013258662</v>
          </cell>
          <cell r="E678">
            <v>8.27</v>
          </cell>
        </row>
        <row r="679">
          <cell r="A679" t="str">
            <v>JP3937200008</v>
          </cell>
          <cell r="E679">
            <v>7.1404439600000007</v>
          </cell>
        </row>
        <row r="680">
          <cell r="A680" t="str">
            <v>JP3879170003</v>
          </cell>
          <cell r="E680">
            <v>7.5579233600000002</v>
          </cell>
        </row>
        <row r="681">
          <cell r="A681" t="str">
            <v>US05478C1053</v>
          </cell>
          <cell r="E681">
            <v>41.189971677599999</v>
          </cell>
        </row>
        <row r="682">
          <cell r="A682" t="str">
            <v>BE0974400328</v>
          </cell>
          <cell r="E682">
            <v>15.54</v>
          </cell>
        </row>
        <row r="683">
          <cell r="A683" t="str">
            <v>US1143401024</v>
          </cell>
          <cell r="E683">
            <v>22.872528207599998</v>
          </cell>
        </row>
        <row r="684">
          <cell r="A684" t="str">
            <v>NL00150006Z9</v>
          </cell>
          <cell r="E684">
            <v>1.4</v>
          </cell>
        </row>
        <row r="685">
          <cell r="A685" t="str">
            <v>IT0003261697</v>
          </cell>
          <cell r="E685">
            <v>22.59</v>
          </cell>
        </row>
        <row r="686">
          <cell r="A686" t="str">
            <v>IL0007150118</v>
          </cell>
          <cell r="E686">
            <v>4.0899578399999994</v>
          </cell>
        </row>
        <row r="687">
          <cell r="A687" t="str">
            <v>IL0011194789</v>
          </cell>
          <cell r="E687">
            <v>64.70966159999999</v>
          </cell>
        </row>
        <row r="688">
          <cell r="A688" t="str">
            <v>US0024741045</v>
          </cell>
          <cell r="E688">
            <v>72.36935015280001</v>
          </cell>
        </row>
        <row r="689">
          <cell r="A689" t="str">
            <v>IL0011076630</v>
          </cell>
          <cell r="E689">
            <v>4.7332141200000004</v>
          </cell>
        </row>
        <row r="690">
          <cell r="A690" t="str">
            <v>LU1072616219</v>
          </cell>
          <cell r="E690">
            <v>3.6632571170000001</v>
          </cell>
        </row>
        <row r="691">
          <cell r="A691" t="str">
            <v>LU1789205884</v>
          </cell>
          <cell r="E691">
            <v>5.91</v>
          </cell>
        </row>
        <row r="692">
          <cell r="A692" t="str">
            <v>PTBCP0AM0015</v>
          </cell>
          <cell r="E692">
            <v>0.56920000000000004</v>
          </cell>
        </row>
        <row r="693">
          <cell r="A693" t="str">
            <v>IT0005187460</v>
          </cell>
          <cell r="E693">
            <v>4.32</v>
          </cell>
        </row>
        <row r="694">
          <cell r="A694" t="str">
            <v>NO0010633951</v>
          </cell>
          <cell r="E694">
            <v>0.86536056660000005</v>
          </cell>
        </row>
        <row r="695">
          <cell r="A695" t="str">
            <v>CA11777Q2099</v>
          </cell>
          <cell r="E695">
            <v>2.9324024268</v>
          </cell>
        </row>
        <row r="696">
          <cell r="A696" t="str">
            <v>GB0009697037</v>
          </cell>
          <cell r="E696">
            <v>8.5764414149999997</v>
          </cell>
        </row>
        <row r="697">
          <cell r="A697" t="str">
            <v>CH1176493729</v>
          </cell>
          <cell r="E697">
            <v>52.197386979999997</v>
          </cell>
        </row>
        <row r="698">
          <cell r="A698" t="str">
            <v>CA0565331026</v>
          </cell>
          <cell r="E698">
            <v>23.573468859599998</v>
          </cell>
        </row>
        <row r="699">
          <cell r="A699" t="str">
            <v>US0565251081</v>
          </cell>
          <cell r="E699">
            <v>164.0271889716</v>
          </cell>
        </row>
        <row r="700">
          <cell r="A700" t="str">
            <v>GB0002634946</v>
          </cell>
          <cell r="E700">
            <v>20.385856315000002</v>
          </cell>
        </row>
        <row r="701">
          <cell r="A701" t="str">
            <v>FR0013384369</v>
          </cell>
          <cell r="E701">
            <v>15.2</v>
          </cell>
        </row>
        <row r="702">
          <cell r="A702" t="str">
            <v>MC0000031187</v>
          </cell>
          <cell r="E702">
            <v>100.26</v>
          </cell>
        </row>
        <row r="703">
          <cell r="A703" t="str">
            <v>US05722G1004</v>
          </cell>
          <cell r="E703">
            <v>33.686440617599999</v>
          </cell>
        </row>
        <row r="704">
          <cell r="A704" t="str">
            <v>FO0000000179</v>
          </cell>
          <cell r="E704">
            <v>41.934139209999998</v>
          </cell>
        </row>
        <row r="705">
          <cell r="A705" t="str">
            <v>US0576652004</v>
          </cell>
          <cell r="E705">
            <v>143.97951951600001</v>
          </cell>
        </row>
        <row r="706">
          <cell r="A706" t="str">
            <v>GB0000961622</v>
          </cell>
          <cell r="E706">
            <v>5.0418016879999996</v>
          </cell>
        </row>
        <row r="707">
          <cell r="A707" t="str">
            <v>US0584981064</v>
          </cell>
          <cell r="E707">
            <v>42.019773936</v>
          </cell>
        </row>
        <row r="708">
          <cell r="A708" t="str">
            <v>CA0585861085</v>
          </cell>
          <cell r="E708">
            <v>1.047286581</v>
          </cell>
        </row>
        <row r="709">
          <cell r="A709" t="str">
            <v>CH0012410517</v>
          </cell>
          <cell r="E709">
            <v>196.3070946</v>
          </cell>
        </row>
        <row r="710">
          <cell r="A710" t="str">
            <v>GB00BN44P254</v>
          </cell>
          <cell r="E710">
            <v>3.8234442300000002</v>
          </cell>
        </row>
        <row r="711">
          <cell r="A711" t="str">
            <v>NO0010810476</v>
          </cell>
          <cell r="E711">
            <v>4.5435598150000001</v>
          </cell>
        </row>
        <row r="712">
          <cell r="A712" t="str">
            <v>FR0013258399</v>
          </cell>
          <cell r="E712">
            <v>0.35</v>
          </cell>
        </row>
        <row r="713">
          <cell r="A713" t="str">
            <v>NL0000337319</v>
          </cell>
          <cell r="E713">
            <v>5.1100000000000003</v>
          </cell>
        </row>
        <row r="714">
          <cell r="A714" t="str">
            <v>US05990K1060</v>
          </cell>
          <cell r="E714">
            <v>11.387711844</v>
          </cell>
        </row>
        <row r="715">
          <cell r="A715" t="str">
            <v>IT0001031084</v>
          </cell>
          <cell r="E715">
            <v>47.96</v>
          </cell>
        </row>
        <row r="716">
          <cell r="A716" t="str">
            <v>IT0003188064</v>
          </cell>
          <cell r="E716">
            <v>20.28</v>
          </cell>
        </row>
        <row r="717">
          <cell r="A717" t="str">
            <v>IT0004776628</v>
          </cell>
          <cell r="E717">
            <v>13.62</v>
          </cell>
        </row>
        <row r="718">
          <cell r="A718" t="str">
            <v>IT0005508921</v>
          </cell>
          <cell r="E718">
            <v>6.6779999999999999</v>
          </cell>
        </row>
        <row r="719">
          <cell r="A719" t="str">
            <v>US05945F1030</v>
          </cell>
          <cell r="E719">
            <v>93.573446160000003</v>
          </cell>
        </row>
        <row r="720">
          <cell r="A720" t="str">
            <v>IT0005218380</v>
          </cell>
          <cell r="E720">
            <v>9.32</v>
          </cell>
        </row>
        <row r="721">
          <cell r="A721" t="str">
            <v>ES0113860A34</v>
          </cell>
          <cell r="E721">
            <v>2.4910000000000001</v>
          </cell>
        </row>
        <row r="722">
          <cell r="A722" t="str">
            <v>PAP169941328</v>
          </cell>
          <cell r="E722">
            <v>33.412782426</v>
          </cell>
        </row>
        <row r="723">
          <cell r="A723" t="str">
            <v>ES0113900J37</v>
          </cell>
          <cell r="E723">
            <v>6.0060000000000002</v>
          </cell>
        </row>
        <row r="724">
          <cell r="A724" t="str">
            <v>US05969A1051</v>
          </cell>
          <cell r="E724">
            <v>40.660310661600001</v>
          </cell>
        </row>
        <row r="725">
          <cell r="A725" t="str">
            <v>JP3778630008</v>
          </cell>
          <cell r="E725">
            <v>29.910079679999999</v>
          </cell>
        </row>
        <row r="726">
          <cell r="A726" t="str">
            <v>JP3779000003</v>
          </cell>
          <cell r="E726">
            <v>9.005185280000001</v>
          </cell>
        </row>
        <row r="727">
          <cell r="A727" t="str">
            <v>NL0015000X07</v>
          </cell>
          <cell r="E727">
            <v>8.48</v>
          </cell>
        </row>
        <row r="728">
          <cell r="A728" t="str">
            <v>BE0003870871</v>
          </cell>
          <cell r="E728">
            <v>2.9049999999999998</v>
          </cell>
        </row>
        <row r="729">
          <cell r="A729" t="str">
            <v>HK0023000190</v>
          </cell>
          <cell r="E729">
            <v>1.2268961627999999</v>
          </cell>
        </row>
        <row r="730">
          <cell r="A730" t="str">
            <v>IL0006625771</v>
          </cell>
          <cell r="E730">
            <v>12.6971109</v>
          </cell>
        </row>
        <row r="731">
          <cell r="A731" t="str">
            <v>IL0006046119</v>
          </cell>
          <cell r="E731">
            <v>12.524295779999999</v>
          </cell>
        </row>
        <row r="732">
          <cell r="A732" t="str">
            <v>US0640581007</v>
          </cell>
          <cell r="E732">
            <v>68.652895357199995</v>
          </cell>
        </row>
        <row r="733">
          <cell r="A733" t="str">
            <v>US0605051046</v>
          </cell>
          <cell r="E733">
            <v>33.536369996399998</v>
          </cell>
        </row>
        <row r="734">
          <cell r="A734" t="str">
            <v>US0625401098</v>
          </cell>
          <cell r="E734">
            <v>55.905720238800001</v>
          </cell>
        </row>
        <row r="735">
          <cell r="A735" t="str">
            <v>IE00BD1RP616</v>
          </cell>
          <cell r="E735">
            <v>10.49</v>
          </cell>
        </row>
        <row r="736">
          <cell r="A736" t="str">
            <v>JP3152400002</v>
          </cell>
          <cell r="E736">
            <v>16.798134080000001</v>
          </cell>
        </row>
        <row r="737">
          <cell r="A737" t="str">
            <v>CA0636711016</v>
          </cell>
          <cell r="E737">
            <v>82.158045481599999</v>
          </cell>
        </row>
        <row r="738">
          <cell r="A738" t="str">
            <v>BMG0772R2087</v>
          </cell>
          <cell r="E738">
            <v>32.547669433199999</v>
          </cell>
        </row>
        <row r="739">
          <cell r="A739" t="str">
            <v>JP3648800005</v>
          </cell>
          <cell r="E739">
            <v>39.645080800000002</v>
          </cell>
        </row>
        <row r="740">
          <cell r="A740" t="str">
            <v>CA0641491075</v>
          </cell>
          <cell r="E740">
            <v>41.593145244200002</v>
          </cell>
        </row>
        <row r="741">
          <cell r="A741" t="str">
            <v>JP3315200000</v>
          </cell>
          <cell r="E741">
            <v>11.94918816</v>
          </cell>
        </row>
        <row r="742">
          <cell r="A742" t="str">
            <v>JP3975000005</v>
          </cell>
          <cell r="E742">
            <v>6.1044765600000002</v>
          </cell>
        </row>
        <row r="743">
          <cell r="A743" t="str">
            <v>US06417N1037</v>
          </cell>
          <cell r="E743">
            <v>34.639830446399998</v>
          </cell>
        </row>
        <row r="744">
          <cell r="A744" t="str">
            <v>AU000000BOQ8</v>
          </cell>
          <cell r="E744">
            <v>3.6571299700000002</v>
          </cell>
        </row>
        <row r="745">
          <cell r="A745" t="str">
            <v>ES0113679I37</v>
          </cell>
          <cell r="E745">
            <v>10.055</v>
          </cell>
        </row>
        <row r="746">
          <cell r="A746" t="str">
            <v>US06652K1034</v>
          </cell>
          <cell r="E746">
            <v>26.915607296400001</v>
          </cell>
        </row>
        <row r="747">
          <cell r="A747" t="str">
            <v>US06652V2088</v>
          </cell>
          <cell r="E747">
            <v>52.842514029599997</v>
          </cell>
        </row>
        <row r="748">
          <cell r="A748" t="str">
            <v>AU000000BMN9</v>
          </cell>
          <cell r="E748">
            <v>1.2377978359999999</v>
          </cell>
        </row>
        <row r="749">
          <cell r="A749" t="str">
            <v>AU000000BAP9</v>
          </cell>
          <cell r="E749">
            <v>2.5712436865999999</v>
          </cell>
        </row>
        <row r="750">
          <cell r="A750" t="str">
            <v>FR0000062788</v>
          </cell>
          <cell r="E750">
            <v>3.8</v>
          </cell>
        </row>
        <row r="751">
          <cell r="A751" t="str">
            <v>GB0031348658</v>
          </cell>
          <cell r="E751">
            <v>3.2645432080000001</v>
          </cell>
        </row>
        <row r="752">
          <cell r="A752" t="str">
            <v>BE0974362940</v>
          </cell>
          <cell r="E752">
            <v>12.1</v>
          </cell>
        </row>
        <row r="753">
          <cell r="A753" t="str">
            <v>SGXZ33675836</v>
          </cell>
          <cell r="E753">
            <v>6.6694455999999999E-2</v>
          </cell>
        </row>
        <row r="754">
          <cell r="A754" t="str">
            <v>GB0000811801</v>
          </cell>
          <cell r="E754">
            <v>5.0008779729999997</v>
          </cell>
        </row>
        <row r="755">
          <cell r="A755" t="str">
            <v>US0684631080</v>
          </cell>
          <cell r="E755">
            <v>35.699152478400002</v>
          </cell>
        </row>
        <row r="756">
          <cell r="A756" t="str">
            <v>CA0679011084</v>
          </cell>
          <cell r="E756">
            <v>18.0323707674</v>
          </cell>
        </row>
        <row r="757">
          <cell r="A757" t="str">
            <v>CH0009002962</v>
          </cell>
          <cell r="E757">
            <v>822.80531399999995</v>
          </cell>
        </row>
        <row r="758">
          <cell r="A758" t="str">
            <v>JP3835210000</v>
          </cell>
          <cell r="E758">
            <v>17.466101120000001</v>
          </cell>
        </row>
        <row r="759">
          <cell r="A759" t="str">
            <v>JP3835260005</v>
          </cell>
          <cell r="E759">
            <v>2.6038344800000002</v>
          </cell>
        </row>
        <row r="760">
          <cell r="A760" t="str">
            <v>DE000BASF111</v>
          </cell>
          <cell r="E760">
            <v>41.95</v>
          </cell>
        </row>
        <row r="761">
          <cell r="A761" t="str">
            <v>NL0011872650</v>
          </cell>
          <cell r="E761">
            <v>18.559999999999999</v>
          </cell>
        </row>
        <row r="762">
          <cell r="A762" t="str">
            <v>CH0011432447</v>
          </cell>
          <cell r="E762">
            <v>45.027534899999999</v>
          </cell>
        </row>
        <row r="763">
          <cell r="A763" t="str">
            <v>FR0004023208</v>
          </cell>
          <cell r="E763">
            <v>59</v>
          </cell>
        </row>
        <row r="764">
          <cell r="A764" t="str">
            <v>FR0000035370</v>
          </cell>
          <cell r="E764">
            <v>26.25</v>
          </cell>
        </row>
        <row r="765">
          <cell r="A765" t="str">
            <v>US0708301041</v>
          </cell>
          <cell r="E765">
            <v>24.390889786799999</v>
          </cell>
        </row>
        <row r="766">
          <cell r="A766" t="str">
            <v>JP3855450007</v>
          </cell>
          <cell r="E766">
            <v>29.7801972</v>
          </cell>
        </row>
        <row r="767">
          <cell r="A767" t="str">
            <v>CA0717341071</v>
          </cell>
          <cell r="E767">
            <v>4.0114249647999998</v>
          </cell>
        </row>
        <row r="768">
          <cell r="A768" t="str">
            <v>CA0717341071</v>
          </cell>
          <cell r="E768">
            <v>3.9901129871999998</v>
          </cell>
        </row>
        <row r="769">
          <cell r="A769" t="str">
            <v>DK0015998017</v>
          </cell>
          <cell r="E769">
            <v>20.227322780000002</v>
          </cell>
        </row>
        <row r="770">
          <cell r="A770" t="str">
            <v>AT0000BAWAG2</v>
          </cell>
          <cell r="E770">
            <v>88.55</v>
          </cell>
        </row>
        <row r="771">
          <cell r="A771" t="str">
            <v>US0718131099</v>
          </cell>
          <cell r="E771">
            <v>24.540960408</v>
          </cell>
        </row>
        <row r="772">
          <cell r="A772" t="str">
            <v>JP3835250006</v>
          </cell>
          <cell r="E772">
            <v>47.3761808</v>
          </cell>
        </row>
        <row r="773">
          <cell r="A773" t="str">
            <v>DE000BAY0017</v>
          </cell>
          <cell r="E773">
            <v>20.824999999999999</v>
          </cell>
        </row>
        <row r="774">
          <cell r="A774" t="str">
            <v>CA07317Q1054</v>
          </cell>
          <cell r="E774">
            <v>1.4217708736000001</v>
          </cell>
        </row>
        <row r="775">
          <cell r="A775" t="str">
            <v>CH0038389992</v>
          </cell>
          <cell r="E775">
            <v>28.992549449999999</v>
          </cell>
        </row>
        <row r="776">
          <cell r="A776" t="str">
            <v>VGG0896C1032</v>
          </cell>
          <cell r="E776">
            <v>23.578742895600001</v>
          </cell>
        </row>
        <row r="777">
          <cell r="A777" t="str">
            <v>ES0113211835</v>
          </cell>
          <cell r="E777">
            <v>11.91</v>
          </cell>
        </row>
        <row r="778">
          <cell r="A778" t="str">
            <v>IT0000784196</v>
          </cell>
          <cell r="E778">
            <v>10.220000000000001</v>
          </cell>
        </row>
        <row r="779">
          <cell r="A779" t="str">
            <v>CA05534B7604</v>
          </cell>
          <cell r="E779">
            <v>18.832116883800001</v>
          </cell>
        </row>
        <row r="780">
          <cell r="A780" t="str">
            <v>FR0000035305</v>
          </cell>
          <cell r="E780">
            <v>0.87</v>
          </cell>
        </row>
        <row r="781">
          <cell r="A781" t="str">
            <v>NL0012866412</v>
          </cell>
          <cell r="E781">
            <v>97.38</v>
          </cell>
        </row>
        <row r="782">
          <cell r="A782" t="str">
            <v>AU000000BPT9</v>
          </cell>
          <cell r="E782">
            <v>0.65265704079999998</v>
          </cell>
        </row>
        <row r="783">
          <cell r="A783" t="str">
            <v>AU000000BLX0</v>
          </cell>
          <cell r="E783">
            <v>1.8848285229999999</v>
          </cell>
        </row>
        <row r="784">
          <cell r="A784" t="str">
            <v>US0736851090</v>
          </cell>
          <cell r="E784">
            <v>108.69526816680001</v>
          </cell>
        </row>
        <row r="785">
          <cell r="A785" t="str">
            <v>US07373V1052</v>
          </cell>
          <cell r="E785">
            <v>15.2542372608</v>
          </cell>
        </row>
        <row r="786">
          <cell r="A786" t="str">
            <v>GB00BYQ0JC66</v>
          </cell>
          <cell r="E786">
            <v>10.821399495</v>
          </cell>
        </row>
        <row r="787">
          <cell r="A787" t="str">
            <v>DE0005158703</v>
          </cell>
          <cell r="E787">
            <v>35.5</v>
          </cell>
        </row>
        <row r="788">
          <cell r="A788" t="str">
            <v>US0758871091</v>
          </cell>
          <cell r="E788">
            <v>178.35451945439999</v>
          </cell>
        </row>
        <row r="789">
          <cell r="A789" t="str">
            <v>JP3758110005</v>
          </cell>
          <cell r="E789">
            <v>24.677671199999999</v>
          </cell>
        </row>
        <row r="790">
          <cell r="A790" t="str">
            <v>LU1704650164</v>
          </cell>
          <cell r="E790">
            <v>23.18</v>
          </cell>
        </row>
        <row r="791">
          <cell r="A791" t="str">
            <v>AU000000BGA8</v>
          </cell>
          <cell r="E791">
            <v>2.9594620988</v>
          </cell>
        </row>
        <row r="792">
          <cell r="A792" t="str">
            <v>DE0005200000</v>
          </cell>
          <cell r="E792">
            <v>118.95</v>
          </cell>
        </row>
        <row r="793">
          <cell r="A793" t="str">
            <v>KYG1146Y1017</v>
          </cell>
          <cell r="E793">
            <v>16.502777699999999</v>
          </cell>
        </row>
        <row r="794">
          <cell r="A794" t="str">
            <v>SE0011090547</v>
          </cell>
          <cell r="E794">
            <v>16.266306608000001</v>
          </cell>
        </row>
        <row r="795">
          <cell r="A795" t="str">
            <v>SE0015949748</v>
          </cell>
          <cell r="E795">
            <v>12.8969859085</v>
          </cell>
        </row>
        <row r="796">
          <cell r="A796" t="str">
            <v>BE0974258874</v>
          </cell>
          <cell r="E796">
            <v>32.049999999999997</v>
          </cell>
        </row>
        <row r="797">
          <cell r="A797" t="str">
            <v>JP3835700000</v>
          </cell>
          <cell r="E797">
            <v>43.356008800000012</v>
          </cell>
        </row>
        <row r="798">
          <cell r="A798" t="str">
            <v>US0774541066</v>
          </cell>
          <cell r="E798">
            <v>83.810028098399997</v>
          </cell>
        </row>
        <row r="799">
          <cell r="A799" t="str">
            <v>FR0014003FE9</v>
          </cell>
          <cell r="E799">
            <v>15.12</v>
          </cell>
        </row>
        <row r="800">
          <cell r="A800" t="str">
            <v>CH1101098163</v>
          </cell>
          <cell r="E800">
            <v>582.55048149999993</v>
          </cell>
        </row>
        <row r="801">
          <cell r="A801" t="str">
            <v>AU0000019374</v>
          </cell>
          <cell r="E801">
            <v>0.50355866510000002</v>
          </cell>
        </row>
        <row r="802">
          <cell r="A802" t="str">
            <v>IT0005497042</v>
          </cell>
          <cell r="E802">
            <v>2.86</v>
          </cell>
        </row>
        <row r="803">
          <cell r="A803" t="str">
            <v>US07831C1036</v>
          </cell>
          <cell r="E803">
            <v>66.719632648800001</v>
          </cell>
        </row>
        <row r="804">
          <cell r="A804" t="str">
            <v>JP3835760004</v>
          </cell>
          <cell r="E804">
            <v>6.9889144000000014</v>
          </cell>
        </row>
        <row r="805">
          <cell r="A805" t="str">
            <v>JP3835650007</v>
          </cell>
          <cell r="E805">
            <v>5.48598856</v>
          </cell>
        </row>
        <row r="806">
          <cell r="A806" t="str">
            <v>GB0000904986</v>
          </cell>
          <cell r="E806">
            <v>28.4127507</v>
          </cell>
        </row>
        <row r="807">
          <cell r="A807" t="str">
            <v>BE0974314461</v>
          </cell>
          <cell r="E807">
            <v>0.81</v>
          </cell>
        </row>
        <row r="808">
          <cell r="A808" t="str">
            <v>US08160H1014</v>
          </cell>
          <cell r="E808">
            <v>31.6560733896</v>
          </cell>
        </row>
        <row r="809">
          <cell r="A809" t="str">
            <v>GB00BGHPT808</v>
          </cell>
          <cell r="E809">
            <v>0.2234264276</v>
          </cell>
        </row>
        <row r="810">
          <cell r="A810" t="str">
            <v>AU000000BEN6</v>
          </cell>
          <cell r="E810">
            <v>5.8570343058000001</v>
          </cell>
        </row>
        <row r="811">
          <cell r="A811" t="str">
            <v>FR0000035164</v>
          </cell>
          <cell r="E811">
            <v>7.73</v>
          </cell>
        </row>
        <row r="812">
          <cell r="A812" t="str">
            <v>PTSLB0AM0010</v>
          </cell>
          <cell r="E812">
            <v>3.7505000000000002</v>
          </cell>
        </row>
        <row r="813">
          <cell r="A813" t="str">
            <v>US08265T2087</v>
          </cell>
          <cell r="E813">
            <v>37.6235875032</v>
          </cell>
        </row>
        <row r="814">
          <cell r="A814" t="str">
            <v>NO0010950249</v>
          </cell>
          <cell r="E814">
            <v>0.2392663609</v>
          </cell>
        </row>
        <row r="815">
          <cell r="A815" t="str">
            <v>NO0013251173</v>
          </cell>
          <cell r="E815">
            <v>0.1450604418</v>
          </cell>
        </row>
        <row r="816">
          <cell r="A816" t="str">
            <v>SE0000101362</v>
          </cell>
          <cell r="E816">
            <v>26.990552999999998</v>
          </cell>
        </row>
        <row r="817">
          <cell r="A817" t="str">
            <v>GB00BP0RGD03</v>
          </cell>
          <cell r="E817">
            <v>45.17978136</v>
          </cell>
        </row>
        <row r="818">
          <cell r="A818" t="str">
            <v>US0846701086</v>
          </cell>
          <cell r="E818">
            <v>699593.9253</v>
          </cell>
        </row>
        <row r="819">
          <cell r="A819" t="str">
            <v>US0846707026</v>
          </cell>
          <cell r="E819">
            <v>466.25176470119999</v>
          </cell>
        </row>
        <row r="820">
          <cell r="A820" t="str">
            <v>US0846801076</v>
          </cell>
          <cell r="E820">
            <v>20.7980225616</v>
          </cell>
        </row>
        <row r="821">
          <cell r="A821" t="str">
            <v>FR0000066961</v>
          </cell>
          <cell r="E821">
            <v>3.34</v>
          </cell>
        </row>
        <row r="822">
          <cell r="A822" t="str">
            <v>US08579W1036</v>
          </cell>
          <cell r="E822">
            <v>59.578036616399999</v>
          </cell>
        </row>
        <row r="823">
          <cell r="A823" t="str">
            <v>IT0005585127</v>
          </cell>
          <cell r="E823">
            <v>4.7</v>
          </cell>
        </row>
        <row r="824">
          <cell r="A824" t="str">
            <v>US0865161014</v>
          </cell>
          <cell r="E824">
            <v>53.9724575304</v>
          </cell>
        </row>
        <row r="825">
          <cell r="A825" t="str">
            <v>IL0010815616</v>
          </cell>
          <cell r="E825">
            <v>118.090332</v>
          </cell>
        </row>
        <row r="826">
          <cell r="A826" t="str">
            <v>SE0022726485</v>
          </cell>
          <cell r="E826">
            <v>14.179037176</v>
          </cell>
        </row>
        <row r="827">
          <cell r="A827" t="str">
            <v>DK0060952240</v>
          </cell>
          <cell r="E827">
            <v>10.949167666999999</v>
          </cell>
        </row>
        <row r="828">
          <cell r="A828" t="str">
            <v>NL0000285278</v>
          </cell>
          <cell r="E828">
            <v>2.7</v>
          </cell>
        </row>
        <row r="829">
          <cell r="A829" t="str">
            <v>NO0010890965</v>
          </cell>
          <cell r="E829">
            <v>1.7465610665</v>
          </cell>
        </row>
        <row r="830">
          <cell r="A830" t="str">
            <v>US6903701018</v>
          </cell>
          <cell r="E830">
            <v>3.3103813500000001</v>
          </cell>
        </row>
        <row r="831">
          <cell r="A831" t="str">
            <v>IL0002300114</v>
          </cell>
          <cell r="E831">
            <v>1.28651256</v>
          </cell>
        </row>
        <row r="832">
          <cell r="A832" t="str">
            <v>IT0005244402</v>
          </cell>
          <cell r="E832">
            <v>7.6849999999999996</v>
          </cell>
        </row>
        <row r="833">
          <cell r="A833" t="str">
            <v>US0889291045</v>
          </cell>
          <cell r="E833">
            <v>7.4947033764000004</v>
          </cell>
        </row>
        <row r="834">
          <cell r="A834" t="str">
            <v>SE0010948588</v>
          </cell>
          <cell r="E834">
            <v>2.1448492784000002</v>
          </cell>
        </row>
        <row r="835">
          <cell r="A835" t="str">
            <v>AU000000BHP4</v>
          </cell>
          <cell r="E835">
            <v>20.536191370000001</v>
          </cell>
        </row>
        <row r="836">
          <cell r="A836" t="str">
            <v>FR0000120966</v>
          </cell>
          <cell r="E836">
            <v>56.9</v>
          </cell>
        </row>
        <row r="837">
          <cell r="A837" t="str">
            <v>JP3800390001</v>
          </cell>
          <cell r="E837">
            <v>9.48760592</v>
          </cell>
        </row>
        <row r="838">
          <cell r="A838" t="str">
            <v>SE0013647385</v>
          </cell>
          <cell r="E838">
            <v>3.5195681111999999</v>
          </cell>
        </row>
        <row r="839">
          <cell r="A839" t="str">
            <v>NO0012706763</v>
          </cell>
          <cell r="E839">
            <v>11.33805752</v>
          </cell>
        </row>
        <row r="840">
          <cell r="A840" t="str">
            <v>IT0005495335</v>
          </cell>
          <cell r="E840">
            <v>2.8</v>
          </cell>
        </row>
        <row r="841">
          <cell r="A841" t="str">
            <v>IL0010972607</v>
          </cell>
          <cell r="E841">
            <v>128.93928120000001</v>
          </cell>
        </row>
        <row r="842">
          <cell r="A842" t="str">
            <v>GB0002869419</v>
          </cell>
          <cell r="E842">
            <v>11.01432558</v>
          </cell>
        </row>
        <row r="843">
          <cell r="A843" t="str">
            <v>US08975B1098</v>
          </cell>
          <cell r="E843">
            <v>2.2687146852</v>
          </cell>
        </row>
        <row r="844">
          <cell r="A844" t="str">
            <v>FR0000074072</v>
          </cell>
          <cell r="E844">
            <v>0.92100000000000004</v>
          </cell>
        </row>
        <row r="845">
          <cell r="A845" t="str">
            <v>FR0004174233</v>
          </cell>
          <cell r="E845">
            <v>19</v>
          </cell>
        </row>
        <row r="846">
          <cell r="A846" t="str">
            <v>DE0005909006</v>
          </cell>
          <cell r="E846">
            <v>68.45</v>
          </cell>
        </row>
        <row r="847">
          <cell r="A847" t="str">
            <v>SE0009921588</v>
          </cell>
          <cell r="E847">
            <v>10.823211753000001</v>
          </cell>
        </row>
        <row r="848">
          <cell r="A848" t="str">
            <v>US0900431000</v>
          </cell>
          <cell r="E848">
            <v>37.261652475600002</v>
          </cell>
        </row>
        <row r="849">
          <cell r="A849" t="str">
            <v>SE0000862997</v>
          </cell>
          <cell r="E849">
            <v>8.6909580660000003</v>
          </cell>
        </row>
        <row r="850">
          <cell r="A850" t="str">
            <v>SE0010323311</v>
          </cell>
          <cell r="E850">
            <v>15.654520740000001</v>
          </cell>
        </row>
        <row r="851">
          <cell r="A851" t="str">
            <v>BE0974281132</v>
          </cell>
          <cell r="E851">
            <v>0.28999999999999998</v>
          </cell>
        </row>
        <row r="852">
          <cell r="A852" t="str">
            <v>US09058V1035</v>
          </cell>
          <cell r="E852">
            <v>6.5324858640000008</v>
          </cell>
        </row>
        <row r="853">
          <cell r="A853" t="str">
            <v>NO0010955198</v>
          </cell>
          <cell r="E853">
            <v>0.11838265940000001</v>
          </cell>
        </row>
        <row r="854">
          <cell r="A854" t="str">
            <v>SE0017769995</v>
          </cell>
          <cell r="E854">
            <v>9.1318037650000008</v>
          </cell>
        </row>
        <row r="855">
          <cell r="A855" t="str">
            <v>US09062X1037</v>
          </cell>
          <cell r="E855">
            <v>103.2662427528</v>
          </cell>
        </row>
        <row r="856">
          <cell r="A856" t="str">
            <v>VGG1110E1079</v>
          </cell>
          <cell r="E856">
            <v>16.3841807616</v>
          </cell>
        </row>
        <row r="857">
          <cell r="A857" t="str">
            <v>US09062W2044</v>
          </cell>
          <cell r="E857">
            <v>19.800494314800002</v>
          </cell>
        </row>
        <row r="858">
          <cell r="A858" t="str">
            <v>IL0011015182</v>
          </cell>
          <cell r="E858">
            <v>4.0803569999999997E-3</v>
          </cell>
        </row>
        <row r="859">
          <cell r="A859" t="str">
            <v>US09061G1013</v>
          </cell>
          <cell r="E859">
            <v>52.983756967200001</v>
          </cell>
        </row>
        <row r="860">
          <cell r="A860" t="str">
            <v>FR0013280286</v>
          </cell>
          <cell r="E860">
            <v>118.8</v>
          </cell>
        </row>
        <row r="861">
          <cell r="A861" t="str">
            <v>FR001400OLP5</v>
          </cell>
          <cell r="E861">
            <v>0.1741</v>
          </cell>
        </row>
        <row r="862">
          <cell r="A862" t="str">
            <v>US0905722072</v>
          </cell>
          <cell r="E862">
            <v>216.2605928328</v>
          </cell>
        </row>
        <row r="863">
          <cell r="A863" t="str">
            <v>BE0974280126</v>
          </cell>
          <cell r="E863">
            <v>2E-3</v>
          </cell>
        </row>
        <row r="864">
          <cell r="A864" t="str">
            <v>FR0011005933</v>
          </cell>
          <cell r="E864">
            <v>1.4001999999999999</v>
          </cell>
        </row>
        <row r="865">
          <cell r="A865" t="str">
            <v>SE0000454746</v>
          </cell>
          <cell r="E865">
            <v>8.2051281120000006</v>
          </cell>
        </row>
        <row r="866">
          <cell r="A866" t="str">
            <v>BE0974386188</v>
          </cell>
          <cell r="E866">
            <v>3.2</v>
          </cell>
        </row>
        <row r="867">
          <cell r="A867" t="str">
            <v>US09073M1045</v>
          </cell>
          <cell r="E867">
            <v>45.082980145199997</v>
          </cell>
        </row>
        <row r="868">
          <cell r="A868" t="str">
            <v>FR0013345493</v>
          </cell>
          <cell r="E868">
            <v>1.7001999999999999</v>
          </cell>
        </row>
        <row r="869">
          <cell r="A869" t="str">
            <v>JP3754200008</v>
          </cell>
          <cell r="E869">
            <v>27.36190912</v>
          </cell>
        </row>
        <row r="870">
          <cell r="A870" t="str">
            <v>CA0906971035</v>
          </cell>
          <cell r="E870">
            <v>3.6686766292000001</v>
          </cell>
        </row>
        <row r="871">
          <cell r="A871" t="str">
            <v>CA09076P1045</v>
          </cell>
          <cell r="E871">
            <v>13.005395178600001</v>
          </cell>
        </row>
        <row r="872">
          <cell r="A872" t="str">
            <v>JE00BS44BN30</v>
          </cell>
          <cell r="E872">
            <v>41.807909529600003</v>
          </cell>
        </row>
        <row r="873">
          <cell r="A873" t="str">
            <v>KYG114481008</v>
          </cell>
          <cell r="E873">
            <v>6.355932192</v>
          </cell>
        </row>
        <row r="874">
          <cell r="A874" t="str">
            <v>CA09173B1076</v>
          </cell>
          <cell r="E874">
            <v>0.70453824539999998</v>
          </cell>
        </row>
        <row r="875">
          <cell r="A875" t="str">
            <v>FI0009007264</v>
          </cell>
          <cell r="E875">
            <v>7.86</v>
          </cell>
        </row>
        <row r="876">
          <cell r="A876" t="str">
            <v>US09180C1062</v>
          </cell>
          <cell r="E876">
            <v>28.045550797200001</v>
          </cell>
        </row>
        <row r="877">
          <cell r="A877" t="str">
            <v>US05550J1016</v>
          </cell>
          <cell r="E877">
            <v>104.83757043360001</v>
          </cell>
        </row>
        <row r="878">
          <cell r="A878" t="str">
            <v>CH0130293662</v>
          </cell>
          <cell r="E878">
            <v>167.36853500000001</v>
          </cell>
        </row>
        <row r="879">
          <cell r="A879" t="str">
            <v>AU000000BC88</v>
          </cell>
          <cell r="E879">
            <v>0.57951444140000008</v>
          </cell>
        </row>
        <row r="880">
          <cell r="A880" t="str">
            <v>US0921131092</v>
          </cell>
          <cell r="E880">
            <v>53.124999904799999</v>
          </cell>
        </row>
        <row r="881">
          <cell r="A881" t="str">
            <v>NO0010755101</v>
          </cell>
          <cell r="E881">
            <v>1.2505210500000001E-2</v>
          </cell>
        </row>
        <row r="882">
          <cell r="A882" t="str">
            <v>US09227Q1004</v>
          </cell>
          <cell r="E882">
            <v>54.334392557999998</v>
          </cell>
        </row>
        <row r="883">
          <cell r="A883" t="str">
            <v>CA09228F1036</v>
          </cell>
          <cell r="E883">
            <v>2.8625833213999998</v>
          </cell>
        </row>
        <row r="884">
          <cell r="A884" t="str">
            <v>US09239B1098</v>
          </cell>
          <cell r="E884">
            <v>39.936440606400012</v>
          </cell>
        </row>
        <row r="885">
          <cell r="A885" t="str">
            <v>US09290D1019</v>
          </cell>
          <cell r="E885">
            <v>784.28672175840006</v>
          </cell>
        </row>
        <row r="886">
          <cell r="A886" t="str">
            <v>US09260D1072</v>
          </cell>
          <cell r="E886">
            <v>117.8848867944</v>
          </cell>
        </row>
        <row r="887">
          <cell r="A887" t="str">
            <v>US09257W1009</v>
          </cell>
          <cell r="E887">
            <v>16.198799405999999</v>
          </cell>
        </row>
        <row r="888">
          <cell r="A888" t="str">
            <v>FR0000062150</v>
          </cell>
          <cell r="E888">
            <v>125</v>
          </cell>
        </row>
        <row r="889">
          <cell r="A889" t="str">
            <v>US8522341036</v>
          </cell>
          <cell r="E889">
            <v>48.6228812688</v>
          </cell>
        </row>
        <row r="890">
          <cell r="A890" t="str">
            <v>US0937121079</v>
          </cell>
          <cell r="E890">
            <v>16.1634886716</v>
          </cell>
        </row>
        <row r="891">
          <cell r="A891" t="str">
            <v>US0942351083</v>
          </cell>
          <cell r="E891">
            <v>6.6825564852000001</v>
          </cell>
        </row>
        <row r="892">
          <cell r="A892" t="str">
            <v>GB0033147751</v>
          </cell>
          <cell r="E892">
            <v>6.8167216699999997</v>
          </cell>
        </row>
        <row r="893">
          <cell r="A893" t="str">
            <v>US0953061068</v>
          </cell>
          <cell r="E893">
            <v>29.749293732000009</v>
          </cell>
        </row>
        <row r="894">
          <cell r="A894" t="str">
            <v>US09581B1035</v>
          </cell>
          <cell r="E894">
            <v>15.519067768799999</v>
          </cell>
        </row>
        <row r="895">
          <cell r="A895" t="str">
            <v>IL0010985658</v>
          </cell>
          <cell r="E895">
            <v>75.750627600000001</v>
          </cell>
        </row>
        <row r="896">
          <cell r="A896" t="str">
            <v>FR0011041011</v>
          </cell>
          <cell r="E896">
            <v>0.61</v>
          </cell>
        </row>
        <row r="897">
          <cell r="A897" t="str">
            <v>US09624H2085</v>
          </cell>
          <cell r="E897">
            <v>62.102754125999986</v>
          </cell>
        </row>
        <row r="898">
          <cell r="A898" t="str">
            <v>NO0010379266</v>
          </cell>
          <cell r="E898">
            <v>47.936640250000004</v>
          </cell>
        </row>
        <row r="899">
          <cell r="A899" t="str">
            <v>US09627Y1091</v>
          </cell>
          <cell r="E899">
            <v>71.901482922</v>
          </cell>
        </row>
        <row r="900">
          <cell r="A900" t="str">
            <v>AU000000BSL0</v>
          </cell>
          <cell r="E900">
            <v>12.017891716799999</v>
          </cell>
        </row>
        <row r="901">
          <cell r="A901" t="str">
            <v>KYG137071075</v>
          </cell>
          <cell r="E901">
            <v>8.8276836000000003</v>
          </cell>
        </row>
        <row r="902">
          <cell r="A902" t="str">
            <v>JP3799700004</v>
          </cell>
          <cell r="E902">
            <v>17.645462640000002</v>
          </cell>
        </row>
        <row r="903">
          <cell r="A903" t="str">
            <v>DE0005190003</v>
          </cell>
          <cell r="E903">
            <v>70.14</v>
          </cell>
        </row>
        <row r="904">
          <cell r="A904" t="str">
            <v>DE0005190037</v>
          </cell>
          <cell r="E904">
            <v>66.150000000000006</v>
          </cell>
        </row>
        <row r="905">
          <cell r="A905" t="str">
            <v>FR0000131104</v>
          </cell>
          <cell r="E905">
            <v>70.58</v>
          </cell>
        </row>
        <row r="906">
          <cell r="A906" t="str">
            <v>FR0011365907</v>
          </cell>
          <cell r="E906">
            <v>18.899999999999999</v>
          </cell>
        </row>
        <row r="907">
          <cell r="A907" t="str">
            <v>CA0966311064</v>
          </cell>
          <cell r="E907">
            <v>39.206601277799997</v>
          </cell>
        </row>
        <row r="908">
          <cell r="A908" t="str">
            <v>GB00B3FLWH99</v>
          </cell>
          <cell r="E908">
            <v>5.7433510879999998</v>
          </cell>
        </row>
        <row r="909">
          <cell r="A909" t="str">
            <v>US0970231058</v>
          </cell>
          <cell r="E909">
            <v>137.28813534720001</v>
          </cell>
        </row>
        <row r="910">
          <cell r="A910" t="str">
            <v>FR0000061129</v>
          </cell>
          <cell r="E910">
            <v>24.35</v>
          </cell>
        </row>
        <row r="911">
          <cell r="A911" t="str">
            <v>US09739D1000</v>
          </cell>
          <cell r="E911">
            <v>82.865465953200001</v>
          </cell>
        </row>
        <row r="912">
          <cell r="A912" t="str">
            <v>US05561Q2012</v>
          </cell>
          <cell r="E912">
            <v>80.490819064800007</v>
          </cell>
        </row>
        <row r="913">
          <cell r="A913" t="str">
            <v>USU7744C1063</v>
          </cell>
          <cell r="E913">
            <v>1.794797215</v>
          </cell>
        </row>
        <row r="914">
          <cell r="A914" t="str">
            <v>SE0020050417</v>
          </cell>
          <cell r="E914">
            <v>25.695006456000002</v>
          </cell>
        </row>
        <row r="915">
          <cell r="A915" t="str">
            <v>FR0000039299</v>
          </cell>
          <cell r="E915">
            <v>5.2850000000000001</v>
          </cell>
        </row>
        <row r="916">
          <cell r="A916" t="str">
            <v>IT0003516066</v>
          </cell>
          <cell r="E916">
            <v>1.25</v>
          </cell>
        </row>
        <row r="917">
          <cell r="A917" t="str">
            <v>CA0977518616</v>
          </cell>
          <cell r="E917">
            <v>54.141542641999997</v>
          </cell>
        </row>
        <row r="918">
          <cell r="A918" t="str">
            <v>SE0008091581</v>
          </cell>
          <cell r="E918">
            <v>0.9734592782</v>
          </cell>
        </row>
        <row r="919">
          <cell r="A919" t="str">
            <v>FR0000063935</v>
          </cell>
          <cell r="E919">
            <v>7.77</v>
          </cell>
        </row>
        <row r="920">
          <cell r="A920" t="str">
            <v>SE0009858152</v>
          </cell>
          <cell r="E920">
            <v>28.681960988</v>
          </cell>
        </row>
        <row r="921">
          <cell r="A921" t="str">
            <v>NO0003110603</v>
          </cell>
          <cell r="E921">
            <v>18.841183820000001</v>
          </cell>
        </row>
        <row r="922">
          <cell r="A922" t="str">
            <v>IL0004850116</v>
          </cell>
          <cell r="E922">
            <v>4.0083506999999997E-2</v>
          </cell>
        </row>
        <row r="923">
          <cell r="A923" t="str">
            <v>US09857L1089</v>
          </cell>
          <cell r="E923">
            <v>4071.7160943983999</v>
          </cell>
        </row>
        <row r="924">
          <cell r="A924" t="str">
            <v>FR001400OS22</v>
          </cell>
          <cell r="E924">
            <v>2.8E-3</v>
          </cell>
        </row>
        <row r="925">
          <cell r="A925" t="str">
            <v>US0994061002</v>
          </cell>
          <cell r="E925">
            <v>81.294138272400005</v>
          </cell>
        </row>
        <row r="926">
          <cell r="A926" t="str">
            <v>US0995021062</v>
          </cell>
          <cell r="E926">
            <v>97.360522424400003</v>
          </cell>
        </row>
        <row r="927">
          <cell r="A927" t="str">
            <v>SE0009888738</v>
          </cell>
          <cell r="E927">
            <v>8.7179486190000013</v>
          </cell>
        </row>
        <row r="928">
          <cell r="A928" t="str">
            <v>CA09950M3003</v>
          </cell>
          <cell r="E928">
            <v>18.3497303374</v>
          </cell>
        </row>
        <row r="929">
          <cell r="A929" t="str">
            <v>NO0013256180</v>
          </cell>
          <cell r="E929">
            <v>1.4567736551799999</v>
          </cell>
        </row>
        <row r="930">
          <cell r="A930" t="str">
            <v>US0997241064</v>
          </cell>
          <cell r="E930">
            <v>23.0225988288</v>
          </cell>
        </row>
        <row r="931">
          <cell r="A931" t="str">
            <v>NO0010657505</v>
          </cell>
          <cell r="E931">
            <v>13.889120461999999</v>
          </cell>
        </row>
        <row r="932">
          <cell r="A932" t="str">
            <v>AU000000BOE4</v>
          </cell>
          <cell r="E932">
            <v>1.4628519879999999</v>
          </cell>
        </row>
        <row r="933">
          <cell r="A933" t="str">
            <v>CH0238627142</v>
          </cell>
          <cell r="E933">
            <v>188.53255619999999</v>
          </cell>
        </row>
        <row r="934">
          <cell r="A934" t="str">
            <v>US1005571070</v>
          </cell>
          <cell r="E934">
            <v>214.4862284292</v>
          </cell>
        </row>
        <row r="935">
          <cell r="A935" t="str">
            <v>US1011371077</v>
          </cell>
          <cell r="E935">
            <v>83.18326256280001</v>
          </cell>
        </row>
        <row r="936">
          <cell r="A936" t="str">
            <v>AU000000BOT2</v>
          </cell>
          <cell r="E936">
            <v>0.21098826749999999</v>
          </cell>
        </row>
        <row r="937">
          <cell r="A937" t="str">
            <v>FR0000054421</v>
          </cell>
          <cell r="E937">
            <v>49</v>
          </cell>
        </row>
        <row r="938">
          <cell r="A938" t="str">
            <v>FR0000074254</v>
          </cell>
          <cell r="E938">
            <v>4.4800000000000004</v>
          </cell>
        </row>
        <row r="939">
          <cell r="A939" t="str">
            <v>NO0010360266</v>
          </cell>
          <cell r="E939">
            <v>6.4276781969999996</v>
          </cell>
        </row>
        <row r="940">
          <cell r="A940" t="str">
            <v>FR0000120503</v>
          </cell>
          <cell r="E940">
            <v>36.74</v>
          </cell>
        </row>
        <row r="941">
          <cell r="A941" t="str">
            <v>US10316T1043</v>
          </cell>
          <cell r="E941">
            <v>26.438912382000002</v>
          </cell>
        </row>
        <row r="942">
          <cell r="A942" t="str">
            <v>US1033041013</v>
          </cell>
          <cell r="E942">
            <v>57.582980122800002</v>
          </cell>
        </row>
        <row r="943">
          <cell r="A943" t="str">
            <v>CA1033101082</v>
          </cell>
          <cell r="E943">
            <v>132.33894068999999</v>
          </cell>
        </row>
        <row r="944">
          <cell r="A944" t="str">
            <v>GB0007980591</v>
          </cell>
          <cell r="E944">
            <v>4.0543709075000001</v>
          </cell>
        </row>
        <row r="945">
          <cell r="A945" t="str">
            <v>IT0000066123</v>
          </cell>
          <cell r="E945">
            <v>6.6260000000000003</v>
          </cell>
        </row>
        <row r="946">
          <cell r="A946" t="str">
            <v>BE0974268972</v>
          </cell>
          <cell r="E946">
            <v>1.4139999999999999</v>
          </cell>
        </row>
        <row r="947">
          <cell r="A947" t="str">
            <v>CH0531751755</v>
          </cell>
          <cell r="E947">
            <v>105.55015675</v>
          </cell>
        </row>
        <row r="948">
          <cell r="A948" t="str">
            <v>BE0003008019</v>
          </cell>
          <cell r="E948">
            <v>330</v>
          </cell>
        </row>
        <row r="949">
          <cell r="A949" t="str">
            <v>US1046741062</v>
          </cell>
          <cell r="E949">
            <v>59.445621362399997</v>
          </cell>
        </row>
        <row r="950">
          <cell r="A950" t="str">
            <v>AU000000BRN8</v>
          </cell>
          <cell r="E950">
            <v>0.1237797836</v>
          </cell>
        </row>
        <row r="951">
          <cell r="A951" t="str">
            <v>IL0011007189</v>
          </cell>
          <cell r="E951">
            <v>3.7851311700000001</v>
          </cell>
        </row>
        <row r="952">
          <cell r="A952" t="str">
            <v>AU000000BXB1</v>
          </cell>
          <cell r="E952">
            <v>11.702815903999999</v>
          </cell>
        </row>
        <row r="953">
          <cell r="A953" t="str">
            <v>US1053682035</v>
          </cell>
          <cell r="E953">
            <v>3.2927259828</v>
          </cell>
        </row>
        <row r="954">
          <cell r="A954" t="str">
            <v>SE0007491303</v>
          </cell>
          <cell r="E954">
            <v>8.2681060689999999</v>
          </cell>
        </row>
        <row r="955">
          <cell r="A955" t="str">
            <v>AU000000BVS9</v>
          </cell>
          <cell r="E955">
            <v>1.2096660669999999</v>
          </cell>
        </row>
        <row r="956">
          <cell r="A956" t="str">
            <v>US10576N1028</v>
          </cell>
          <cell r="E956">
            <v>25.609110123600001</v>
          </cell>
        </row>
        <row r="957">
          <cell r="A957" t="str">
            <v>US0185811082</v>
          </cell>
          <cell r="E957">
            <v>40.280720266800003</v>
          </cell>
        </row>
        <row r="958">
          <cell r="A958" t="str">
            <v>SE0000648669</v>
          </cell>
          <cell r="E958">
            <v>0.18713450079999999</v>
          </cell>
        </row>
        <row r="959">
          <cell r="A959" t="str">
            <v>LU1068091351</v>
          </cell>
          <cell r="E959">
            <v>109.32</v>
          </cell>
        </row>
        <row r="960">
          <cell r="A960" t="str">
            <v>GB00BM8NFJ84</v>
          </cell>
          <cell r="E960">
            <v>5.27331299</v>
          </cell>
        </row>
        <row r="961">
          <cell r="A961" t="str">
            <v>NL0015001KT6</v>
          </cell>
          <cell r="E961">
            <v>7.6449999999999996</v>
          </cell>
        </row>
        <row r="962">
          <cell r="A962" t="str">
            <v>DE000A1DAHH0</v>
          </cell>
          <cell r="E962">
            <v>57.1</v>
          </cell>
        </row>
        <row r="963">
          <cell r="A963" t="str">
            <v>AU000000BRG2</v>
          </cell>
          <cell r="E963">
            <v>15.303682336</v>
          </cell>
        </row>
        <row r="964">
          <cell r="A964" t="str">
            <v>AU000000BKW4</v>
          </cell>
          <cell r="E964">
            <v>13.683292441600001</v>
          </cell>
        </row>
        <row r="965">
          <cell r="A965" t="str">
            <v>US10806X1028</v>
          </cell>
          <cell r="E965">
            <v>30.225988646400001</v>
          </cell>
        </row>
        <row r="966">
          <cell r="A966" t="str">
            <v>GB00BND88V85</v>
          </cell>
          <cell r="E966">
            <v>3.1195563320000002</v>
          </cell>
        </row>
        <row r="967">
          <cell r="A967" t="str">
            <v>JP3830800003</v>
          </cell>
          <cell r="E967">
            <v>35.56306</v>
          </cell>
        </row>
        <row r="968">
          <cell r="A968" t="str">
            <v>US1091941005</v>
          </cell>
          <cell r="E968">
            <v>104.3079094176</v>
          </cell>
        </row>
        <row r="969">
          <cell r="A969" t="str">
            <v>KYG1644A1004</v>
          </cell>
          <cell r="E969">
            <v>0.31070746980000002</v>
          </cell>
        </row>
        <row r="970">
          <cell r="A970" t="str">
            <v>US10922N1037</v>
          </cell>
          <cell r="E970">
            <v>44.721045117599999</v>
          </cell>
        </row>
        <row r="971">
          <cell r="A971" t="str">
            <v>US10950A1060</v>
          </cell>
          <cell r="E971">
            <v>15.077683588799999</v>
          </cell>
        </row>
        <row r="972">
          <cell r="A972" t="str">
            <v>US10948C1071</v>
          </cell>
          <cell r="E972">
            <v>11.7055084536</v>
          </cell>
        </row>
        <row r="973">
          <cell r="A973" t="str">
            <v>US1096411004</v>
          </cell>
          <cell r="E973">
            <v>133.31567772720001</v>
          </cell>
        </row>
        <row r="974">
          <cell r="A974" t="str">
            <v>US1096961040</v>
          </cell>
          <cell r="E974">
            <v>76.924434890400008</v>
          </cell>
        </row>
        <row r="975">
          <cell r="A975" t="str">
            <v>US1101221083</v>
          </cell>
          <cell r="E975">
            <v>44.138418000000001</v>
          </cell>
        </row>
        <row r="976">
          <cell r="A976" t="str">
            <v>GB0002875804</v>
          </cell>
          <cell r="E976">
            <v>37.392583019999996</v>
          </cell>
        </row>
        <row r="977">
          <cell r="A977" t="str">
            <v>GB0001367019</v>
          </cell>
          <cell r="E977">
            <v>4.2841283359999993</v>
          </cell>
        </row>
        <row r="978">
          <cell r="A978" t="str">
            <v>US11120U1051</v>
          </cell>
          <cell r="E978">
            <v>22.042725949200001</v>
          </cell>
        </row>
        <row r="979">
          <cell r="A979" t="str">
            <v>US11135F1012</v>
          </cell>
          <cell r="E979">
            <v>157.97139802199999</v>
          </cell>
        </row>
        <row r="980">
          <cell r="A980" t="str">
            <v>JP3831490002</v>
          </cell>
          <cell r="E980">
            <v>4.0510963999999996</v>
          </cell>
        </row>
        <row r="981">
          <cell r="A981" t="str">
            <v>FR001400AJZ7</v>
          </cell>
          <cell r="E981">
            <v>1.4</v>
          </cell>
        </row>
        <row r="982">
          <cell r="A982" t="str">
            <v>US11133T1034</v>
          </cell>
          <cell r="E982">
            <v>208.12146855360001</v>
          </cell>
        </row>
        <row r="983">
          <cell r="A983" t="str">
            <v>US11135E2037</v>
          </cell>
          <cell r="E983">
            <v>13.9212570372</v>
          </cell>
        </row>
        <row r="984">
          <cell r="A984" t="str">
            <v>JP3831550003</v>
          </cell>
          <cell r="E984">
            <v>23.162375600000001</v>
          </cell>
        </row>
        <row r="985">
          <cell r="A985" t="str">
            <v>US1124631045</v>
          </cell>
          <cell r="E985">
            <v>5.4819915155999999</v>
          </cell>
        </row>
        <row r="986">
          <cell r="A986" t="str">
            <v>CA1130041058</v>
          </cell>
          <cell r="E986">
            <v>43.173595902800002</v>
          </cell>
        </row>
        <row r="987">
          <cell r="A987" t="str">
            <v>CA11271J1075</v>
          </cell>
          <cell r="E987">
            <v>43.687718406199998</v>
          </cell>
        </row>
        <row r="988">
          <cell r="A988" t="str">
            <v>BMG162521014</v>
          </cell>
          <cell r="E988">
            <v>25.2295197288</v>
          </cell>
        </row>
        <row r="989">
          <cell r="A989" t="str">
            <v>CA11276H1064</v>
          </cell>
          <cell r="E989">
            <v>31.513805301000001</v>
          </cell>
        </row>
        <row r="990">
          <cell r="A990" t="str">
            <v>CA11285B1085</v>
          </cell>
          <cell r="E990">
            <v>23.587570579200001</v>
          </cell>
        </row>
        <row r="991">
          <cell r="A991" t="str">
            <v>BMG162581083</v>
          </cell>
          <cell r="E991">
            <v>18.800380926799999</v>
          </cell>
        </row>
        <row r="992">
          <cell r="A992" t="str">
            <v>BMG174341047</v>
          </cell>
          <cell r="E992">
            <v>43.744843128799999</v>
          </cell>
        </row>
        <row r="993">
          <cell r="A993" t="str">
            <v>US11373M1071</v>
          </cell>
          <cell r="E993">
            <v>8.6599576116000012</v>
          </cell>
        </row>
        <row r="994">
          <cell r="A994" t="str">
            <v>JP3830000000</v>
          </cell>
          <cell r="E994">
            <v>14.534468</v>
          </cell>
        </row>
        <row r="995">
          <cell r="A995" t="str">
            <v>US1152361010</v>
          </cell>
          <cell r="E995">
            <v>105.5173020708</v>
          </cell>
        </row>
        <row r="996">
          <cell r="A996" t="str">
            <v>US1156371007</v>
          </cell>
          <cell r="E996">
            <v>29.343220286400001</v>
          </cell>
        </row>
        <row r="997">
          <cell r="A997" t="str">
            <v>US1156372096</v>
          </cell>
          <cell r="E997">
            <v>29.519773958399998</v>
          </cell>
        </row>
        <row r="998">
          <cell r="A998" t="str">
            <v>US05589G1022</v>
          </cell>
          <cell r="E998">
            <v>38.003177897999997</v>
          </cell>
        </row>
        <row r="999">
          <cell r="A999" t="str">
            <v>CA05577W2004</v>
          </cell>
          <cell r="E999">
            <v>30.2887973608</v>
          </cell>
        </row>
        <row r="1000">
          <cell r="A1000" t="str">
            <v>US1167941087</v>
          </cell>
          <cell r="E1000">
            <v>33.924788074799999</v>
          </cell>
        </row>
        <row r="1001">
          <cell r="A1001" t="str">
            <v>NL0010776944</v>
          </cell>
          <cell r="E1001">
            <v>8.99</v>
          </cell>
        </row>
        <row r="1002">
          <cell r="A1002" t="str">
            <v>IT0004764699</v>
          </cell>
          <cell r="E1002">
            <v>95.88</v>
          </cell>
        </row>
        <row r="1003">
          <cell r="A1003" t="str">
            <v>US1170431092</v>
          </cell>
          <cell r="E1003">
            <v>38.365112925600002</v>
          </cell>
        </row>
        <row r="1004">
          <cell r="A1004" t="str">
            <v>NO0013036814</v>
          </cell>
          <cell r="E1004">
            <v>3.3347228000000002</v>
          </cell>
        </row>
        <row r="1005">
          <cell r="A1005" t="str">
            <v>GB0030913577</v>
          </cell>
          <cell r="E1005">
            <v>1.9485534584999999</v>
          </cell>
        </row>
        <row r="1006">
          <cell r="A1006" t="str">
            <v>SE0000805426</v>
          </cell>
          <cell r="E1006">
            <v>20.917678575</v>
          </cell>
        </row>
        <row r="1007">
          <cell r="A1007" t="str">
            <v>CH0002432174</v>
          </cell>
          <cell r="E1007">
            <v>369.29057399999999</v>
          </cell>
        </row>
        <row r="1008">
          <cell r="A1008" t="str">
            <v>US1184401065</v>
          </cell>
          <cell r="E1008">
            <v>30.225988646400001</v>
          </cell>
        </row>
        <row r="1009">
          <cell r="A1009" t="str">
            <v>KYG1674K1013</v>
          </cell>
          <cell r="E1009">
            <v>0.97992355859999991</v>
          </cell>
        </row>
        <row r="1010">
          <cell r="A1010" t="str">
            <v>SE0005677135</v>
          </cell>
          <cell r="E1010">
            <v>33.558254230000003</v>
          </cell>
        </row>
        <row r="1011">
          <cell r="A1011" t="str">
            <v>US12008R1077</v>
          </cell>
          <cell r="E1011">
            <v>104.36087551919999</v>
          </cell>
        </row>
        <row r="1012">
          <cell r="A1012" t="str">
            <v>JP3831200005</v>
          </cell>
          <cell r="E1012">
            <v>10.514296</v>
          </cell>
        </row>
        <row r="1013">
          <cell r="A1013" t="str">
            <v>US12047B1052</v>
          </cell>
          <cell r="E1013">
            <v>3.5310734400000001</v>
          </cell>
        </row>
        <row r="1014">
          <cell r="A1014" t="str">
            <v>CH1300646267</v>
          </cell>
          <cell r="E1014">
            <v>67.266949031999999</v>
          </cell>
        </row>
        <row r="1015">
          <cell r="A1015" t="str">
            <v>JP3831600006</v>
          </cell>
          <cell r="E1015">
            <v>12.0295916</v>
          </cell>
        </row>
        <row r="1016">
          <cell r="A1016" t="str">
            <v>GB00B0744B38</v>
          </cell>
          <cell r="E1016">
            <v>35.989484220000001</v>
          </cell>
        </row>
        <row r="1017">
          <cell r="A1017" t="str">
            <v>GB0031743007</v>
          </cell>
          <cell r="E1017">
            <v>7.6609194479999996</v>
          </cell>
        </row>
        <row r="1018">
          <cell r="A1018" t="str">
            <v>CH0025536027</v>
          </cell>
          <cell r="E1018">
            <v>590.64895899999999</v>
          </cell>
        </row>
        <row r="1019">
          <cell r="A1019" t="str">
            <v>SE0000195810</v>
          </cell>
          <cell r="E1019">
            <v>27.656319973999999</v>
          </cell>
        </row>
        <row r="1020">
          <cell r="A1020" t="str">
            <v>FR0006174348</v>
          </cell>
          <cell r="E1020">
            <v>26.78</v>
          </cell>
        </row>
        <row r="1021">
          <cell r="A1021" t="str">
            <v>FR0000061137</v>
          </cell>
          <cell r="E1021">
            <v>312</v>
          </cell>
        </row>
        <row r="1022">
          <cell r="A1022" t="str">
            <v>GG00BMGYLN96</v>
          </cell>
          <cell r="E1022">
            <v>12.12511213</v>
          </cell>
        </row>
        <row r="1023">
          <cell r="A1023" t="str">
            <v>CH0212255803</v>
          </cell>
          <cell r="E1023">
            <v>121.58514220000001</v>
          </cell>
        </row>
        <row r="1024">
          <cell r="A1024" t="str">
            <v>US1220171060</v>
          </cell>
          <cell r="E1024">
            <v>208.35098832720001</v>
          </cell>
        </row>
        <row r="1025">
          <cell r="A1025" t="str">
            <v>JP3800300000</v>
          </cell>
          <cell r="E1025">
            <v>15.64156152</v>
          </cell>
        </row>
        <row r="1026">
          <cell r="A1026" t="str">
            <v>IT0001347308</v>
          </cell>
          <cell r="E1026">
            <v>46.28</v>
          </cell>
        </row>
        <row r="1027">
          <cell r="A1027" t="str">
            <v>BMG0702P1086</v>
          </cell>
          <cell r="E1027">
            <v>2.2592746969999999</v>
          </cell>
        </row>
        <row r="1028">
          <cell r="A1028" t="str">
            <v>SGXZ69436764</v>
          </cell>
          <cell r="E1028">
            <v>8.2159232984999999</v>
          </cell>
        </row>
        <row r="1029">
          <cell r="A1029" t="str">
            <v>BMG1738J1247</v>
          </cell>
          <cell r="E1029">
            <v>2.2551062934999999</v>
          </cell>
        </row>
        <row r="1030">
          <cell r="A1030" t="str">
            <v>AU000000BWP3</v>
          </cell>
          <cell r="E1030">
            <v>1.9579711224</v>
          </cell>
        </row>
        <row r="1031">
          <cell r="A1031" t="str">
            <v>US05605H1005</v>
          </cell>
          <cell r="E1031">
            <v>91.878530908800002</v>
          </cell>
        </row>
        <row r="1032">
          <cell r="A1032" t="str">
            <v>US1011211018</v>
          </cell>
          <cell r="E1032">
            <v>56.135240012399997</v>
          </cell>
        </row>
        <row r="1033">
          <cell r="A1033" t="str">
            <v>HK0285041858</v>
          </cell>
          <cell r="E1033">
            <v>3.7785670320000002</v>
          </cell>
        </row>
        <row r="1034">
          <cell r="A1034" t="str">
            <v>NO0003087603</v>
          </cell>
          <cell r="E1034">
            <v>1.3839099619999999</v>
          </cell>
        </row>
        <row r="1035">
          <cell r="A1035" t="str">
            <v>SE0003303627</v>
          </cell>
          <cell r="E1035">
            <v>4.5164192020000007</v>
          </cell>
        </row>
        <row r="1036">
          <cell r="A1036" t="str">
            <v>CH0244017502</v>
          </cell>
          <cell r="E1036">
            <v>264.55026500000002</v>
          </cell>
        </row>
        <row r="1037">
          <cell r="A1037" t="str">
            <v>GB00BMH18Q19</v>
          </cell>
          <cell r="E1037">
            <v>5.7994750399999999</v>
          </cell>
        </row>
        <row r="1038">
          <cell r="A1038" t="str">
            <v>KYG3165D1097</v>
          </cell>
          <cell r="E1038">
            <v>1.9074934776000001</v>
          </cell>
        </row>
        <row r="1039">
          <cell r="A1039" t="str">
            <v>JP3155350006</v>
          </cell>
          <cell r="E1039">
            <v>56.962744800000003</v>
          </cell>
        </row>
        <row r="1040">
          <cell r="A1040" t="str">
            <v>IE00B010DT83</v>
          </cell>
          <cell r="E1040">
            <v>1.463899748</v>
          </cell>
        </row>
        <row r="1041">
          <cell r="A1041" t="str">
            <v>IL0003380123</v>
          </cell>
          <cell r="E1041">
            <v>8.7967696499999999</v>
          </cell>
        </row>
        <row r="1042">
          <cell r="A1042" t="str">
            <v>US12541W2098</v>
          </cell>
          <cell r="E1042">
            <v>80.826271041600009</v>
          </cell>
        </row>
        <row r="1043">
          <cell r="A1043" t="str">
            <v>US12468P1049</v>
          </cell>
          <cell r="E1043">
            <v>17.628884149200001</v>
          </cell>
        </row>
        <row r="1044">
          <cell r="A1044" t="str">
            <v>AT0000641352</v>
          </cell>
          <cell r="E1044">
            <v>23.96</v>
          </cell>
        </row>
        <row r="1045">
          <cell r="A1045" t="str">
            <v>NL0011821269</v>
          </cell>
          <cell r="E1045">
            <v>1</v>
          </cell>
        </row>
        <row r="1046">
          <cell r="A1046" t="str">
            <v>FR0000045544</v>
          </cell>
          <cell r="E1046">
            <v>78</v>
          </cell>
        </row>
        <row r="1047">
          <cell r="A1047" t="str">
            <v>US12674W1099</v>
          </cell>
          <cell r="E1047">
            <v>0.9887005632000001</v>
          </cell>
        </row>
        <row r="1048">
          <cell r="A1048" t="str">
            <v>FR001400DIY6</v>
          </cell>
          <cell r="E1048">
            <v>0.435</v>
          </cell>
        </row>
        <row r="1049">
          <cell r="A1049" t="str">
            <v>NL00150000S7</v>
          </cell>
          <cell r="E1049">
            <v>2</v>
          </cell>
        </row>
        <row r="1050">
          <cell r="A1050" t="str">
            <v>US12685J1051</v>
          </cell>
          <cell r="E1050">
            <v>228.5399007204</v>
          </cell>
        </row>
        <row r="1051">
          <cell r="A1051" t="str">
            <v>US1270551013</v>
          </cell>
          <cell r="E1051">
            <v>69.2178671076</v>
          </cell>
        </row>
        <row r="1052">
          <cell r="A1052" t="str">
            <v>FR0013252392</v>
          </cell>
          <cell r="E1052">
            <v>1466.81583</v>
          </cell>
        </row>
        <row r="1053">
          <cell r="A1053" t="str">
            <v>QS0011131826</v>
          </cell>
          <cell r="E1053">
            <v>17083.36</v>
          </cell>
        </row>
        <row r="1054">
          <cell r="A1054" t="str">
            <v>JP3346300001</v>
          </cell>
          <cell r="E1054">
            <v>12.314096080000001</v>
          </cell>
        </row>
        <row r="1055">
          <cell r="A1055" t="str">
            <v>FR0003500008</v>
          </cell>
          <cell r="E1055">
            <v>7335.4</v>
          </cell>
        </row>
        <row r="1056">
          <cell r="A1056" t="str">
            <v>US1271903049</v>
          </cell>
          <cell r="E1056">
            <v>368.30861515919997</v>
          </cell>
        </row>
        <row r="1057">
          <cell r="A1057" t="str">
            <v>US1272031071</v>
          </cell>
          <cell r="E1057">
            <v>32.194562089199998</v>
          </cell>
        </row>
        <row r="1058">
          <cell r="A1058" t="str">
            <v>DK0061412772</v>
          </cell>
          <cell r="E1058">
            <v>4.4518549380000003</v>
          </cell>
        </row>
        <row r="1059">
          <cell r="A1059" t="str">
            <v>US12740C1036</v>
          </cell>
          <cell r="E1059">
            <v>24.7439971308</v>
          </cell>
        </row>
        <row r="1060">
          <cell r="A1060" t="str">
            <v>US1273871087</v>
          </cell>
          <cell r="E1060">
            <v>233.3245052316</v>
          </cell>
        </row>
        <row r="1061">
          <cell r="A1061" t="str">
            <v>US12763L1052</v>
          </cell>
          <cell r="E1061">
            <v>27.383474527200001</v>
          </cell>
        </row>
        <row r="1062">
          <cell r="A1062" t="str">
            <v>CA1247651088</v>
          </cell>
          <cell r="E1062">
            <v>20.7807046436</v>
          </cell>
        </row>
        <row r="1063">
          <cell r="A1063" t="str">
            <v>US12769G1004</v>
          </cell>
          <cell r="E1063">
            <v>22.1310027852</v>
          </cell>
        </row>
        <row r="1064">
          <cell r="A1064" t="str">
            <v>ES0121975009</v>
          </cell>
          <cell r="E1064">
            <v>39.25</v>
          </cell>
        </row>
        <row r="1065">
          <cell r="A1065" t="str">
            <v>BMG1744V1037</v>
          </cell>
          <cell r="E1065">
            <v>0.81034329120000004</v>
          </cell>
        </row>
        <row r="1066">
          <cell r="A1066" t="str">
            <v>FR0010151589</v>
          </cell>
          <cell r="E1066">
            <v>7.66</v>
          </cell>
        </row>
        <row r="1067">
          <cell r="A1067" t="str">
            <v>IE00BWY4ZF18</v>
          </cell>
          <cell r="E1067">
            <v>1.9239999999999999</v>
          </cell>
        </row>
        <row r="1068">
          <cell r="A1068" t="str">
            <v>ES0140609019</v>
          </cell>
          <cell r="E1068">
            <v>6.8540000000000001</v>
          </cell>
        </row>
        <row r="1069">
          <cell r="A1069" t="str">
            <v>JP3220580009</v>
          </cell>
          <cell r="E1069">
            <v>17.32384888</v>
          </cell>
        </row>
        <row r="1070">
          <cell r="A1070" t="str">
            <v>US1295001044</v>
          </cell>
          <cell r="E1070">
            <v>13.303319185199999</v>
          </cell>
        </row>
        <row r="1071">
          <cell r="A1071" t="str">
            <v>CA13000C2058</v>
          </cell>
          <cell r="E1071">
            <v>2.0120596738000001</v>
          </cell>
        </row>
        <row r="1072">
          <cell r="A1072" t="str">
            <v>US13057Q3056</v>
          </cell>
          <cell r="E1072">
            <v>30.384886951199999</v>
          </cell>
        </row>
        <row r="1073">
          <cell r="A1073" t="str">
            <v>US1307881029</v>
          </cell>
          <cell r="E1073">
            <v>44.800494270000002</v>
          </cell>
        </row>
        <row r="1074">
          <cell r="A1074" t="str">
            <v>US13100M5094</v>
          </cell>
          <cell r="E1074">
            <v>30.402542318399998</v>
          </cell>
        </row>
        <row r="1075">
          <cell r="A1075" t="str">
            <v>AU0000017840</v>
          </cell>
          <cell r="E1075">
            <v>0.1912960292</v>
          </cell>
        </row>
        <row r="1076">
          <cell r="A1076" t="str">
            <v>US1280302027</v>
          </cell>
          <cell r="E1076">
            <v>85.231285158000006</v>
          </cell>
        </row>
        <row r="1077">
          <cell r="A1077" t="str">
            <v>US1314281049</v>
          </cell>
          <cell r="E1077">
            <v>8.3421610019999992</v>
          </cell>
        </row>
        <row r="1078">
          <cell r="A1078" t="str">
            <v>NO0010078850</v>
          </cell>
          <cell r="E1078">
            <v>1.4172571899999999</v>
          </cell>
        </row>
        <row r="1079">
          <cell r="A1079" t="str">
            <v>FR001400SUB7</v>
          </cell>
          <cell r="E1079">
            <v>112</v>
          </cell>
        </row>
        <row r="1080">
          <cell r="A1080" t="str">
            <v>US1331311027</v>
          </cell>
          <cell r="E1080">
            <v>98.287429202400006</v>
          </cell>
        </row>
        <row r="1081">
          <cell r="A1081" t="str">
            <v>CA13321L1085</v>
          </cell>
          <cell r="E1081">
            <v>36.185338171399998</v>
          </cell>
        </row>
        <row r="1082">
          <cell r="A1082" t="str">
            <v>NL0015435975</v>
          </cell>
          <cell r="E1082">
            <v>5.55</v>
          </cell>
        </row>
        <row r="1083">
          <cell r="A1083" t="str">
            <v>BE0003825420</v>
          </cell>
          <cell r="E1083">
            <v>160</v>
          </cell>
        </row>
        <row r="1084">
          <cell r="A1084" t="str">
            <v>US13462K1097</v>
          </cell>
          <cell r="E1084">
            <v>10.6020480036</v>
          </cell>
        </row>
        <row r="1085">
          <cell r="A1085" t="str">
            <v>IL0010952641</v>
          </cell>
          <cell r="E1085">
            <v>53.764703999999988</v>
          </cell>
        </row>
        <row r="1086">
          <cell r="A1086" t="str">
            <v>SE0007692850</v>
          </cell>
          <cell r="E1086">
            <v>51.282050699999999</v>
          </cell>
        </row>
        <row r="1087">
          <cell r="A1087" t="str">
            <v>CA1349211054</v>
          </cell>
          <cell r="E1087">
            <v>25.103141987000001</v>
          </cell>
        </row>
        <row r="1088">
          <cell r="A1088" t="str">
            <v>JP3244550004</v>
          </cell>
          <cell r="E1088">
            <v>21.430609199999999</v>
          </cell>
        </row>
        <row r="1089">
          <cell r="A1089" t="str">
            <v>CA1348011091</v>
          </cell>
          <cell r="E1089">
            <v>5.2300857135999994</v>
          </cell>
        </row>
        <row r="1090">
          <cell r="A1090" t="str">
            <v>CA1363751027</v>
          </cell>
          <cell r="E1090">
            <v>87.286576132800008</v>
          </cell>
        </row>
        <row r="1091">
          <cell r="A1091" t="str">
            <v>CA1363851017</v>
          </cell>
          <cell r="E1091">
            <v>24.252618339400001</v>
          </cell>
        </row>
        <row r="1092">
          <cell r="A1092" t="str">
            <v>CA13646K1084</v>
          </cell>
          <cell r="E1092">
            <v>65.331641080200001</v>
          </cell>
        </row>
        <row r="1093">
          <cell r="A1093" t="str">
            <v>CA1366351098</v>
          </cell>
          <cell r="E1093">
            <v>6.3117937740000007</v>
          </cell>
        </row>
        <row r="1094">
          <cell r="A1094" t="str">
            <v>JP3048590008</v>
          </cell>
          <cell r="E1094">
            <v>451.49624</v>
          </cell>
        </row>
        <row r="1095">
          <cell r="A1095" t="str">
            <v>CA1366812024</v>
          </cell>
          <cell r="E1095">
            <v>93.652809106999996</v>
          </cell>
        </row>
        <row r="1096">
          <cell r="A1096" t="str">
            <v>CA1367178326</v>
          </cell>
          <cell r="E1096">
            <v>23.5353857112</v>
          </cell>
        </row>
        <row r="1097">
          <cell r="A1097" t="str">
            <v>FR001400T0D6</v>
          </cell>
          <cell r="E1097">
            <v>1.8947680044999999</v>
          </cell>
        </row>
        <row r="1098">
          <cell r="A1098" t="str">
            <v>FI4000512496</v>
          </cell>
          <cell r="E1098">
            <v>10.45</v>
          </cell>
        </row>
        <row r="1099">
          <cell r="A1099" t="str">
            <v>DE0005419105</v>
          </cell>
          <cell r="E1099">
            <v>25.55</v>
          </cell>
        </row>
        <row r="1100">
          <cell r="A1100" t="str">
            <v>BE0974298300</v>
          </cell>
          <cell r="E1100">
            <v>1.68</v>
          </cell>
        </row>
        <row r="1101">
          <cell r="A1101" t="str">
            <v>CA1375761048</v>
          </cell>
          <cell r="E1101">
            <v>8.3402094996000002</v>
          </cell>
        </row>
        <row r="1102">
          <cell r="A1102" t="str">
            <v>US13765N1072</v>
          </cell>
          <cell r="E1102">
            <v>15.298375678799999</v>
          </cell>
        </row>
        <row r="1103">
          <cell r="A1103" t="str">
            <v>JP3243200007</v>
          </cell>
          <cell r="E1103">
            <v>13.532517439999999</v>
          </cell>
        </row>
        <row r="1104">
          <cell r="A1104" t="str">
            <v>JP3242800005</v>
          </cell>
          <cell r="E1104">
            <v>26.619723520000001</v>
          </cell>
        </row>
        <row r="1105">
          <cell r="A1105" t="str">
            <v>JP3243600008</v>
          </cell>
          <cell r="E1105">
            <v>29.526617120000001</v>
          </cell>
        </row>
        <row r="1106">
          <cell r="A1106" t="str">
            <v>JP3218900003</v>
          </cell>
          <cell r="E1106">
            <v>23.762308959999999</v>
          </cell>
        </row>
        <row r="1107">
          <cell r="A1107" t="str">
            <v>FR0012969095</v>
          </cell>
          <cell r="E1107">
            <v>3.08</v>
          </cell>
        </row>
        <row r="1108">
          <cell r="A1108" t="str">
            <v>FR0000125338</v>
          </cell>
          <cell r="E1108">
            <v>130.30000000000001</v>
          </cell>
        </row>
        <row r="1109">
          <cell r="A1109" t="str">
            <v>GB00B23K0M20</v>
          </cell>
          <cell r="E1109">
            <v>0.15247006960000001</v>
          </cell>
        </row>
        <row r="1110">
          <cell r="A1110" t="str">
            <v>US14040H1059</v>
          </cell>
          <cell r="E1110">
            <v>144.36793759439999</v>
          </cell>
        </row>
        <row r="1111">
          <cell r="A1111" t="str">
            <v>CA14042M1023</v>
          </cell>
          <cell r="E1111">
            <v>29.647731029399999</v>
          </cell>
        </row>
        <row r="1112">
          <cell r="A1112" t="str">
            <v>SG1M77906915</v>
          </cell>
          <cell r="E1112">
            <v>1.7173716224</v>
          </cell>
        </row>
        <row r="1113">
          <cell r="A1113" t="str">
            <v>SGXC16332337</v>
          </cell>
          <cell r="E1113">
            <v>0.56351256360000002</v>
          </cell>
        </row>
        <row r="1114">
          <cell r="A1114" t="str">
            <v>SG1U25933169</v>
          </cell>
          <cell r="E1114">
            <v>0.41928018124999999</v>
          </cell>
        </row>
        <row r="1115">
          <cell r="A1115" t="str">
            <v>SG1V35936920</v>
          </cell>
          <cell r="E1115">
            <v>0.61718042680000007</v>
          </cell>
        </row>
        <row r="1116">
          <cell r="A1116" t="str">
            <v>SG1M51904654</v>
          </cell>
          <cell r="E1116">
            <v>1.3886559602999999</v>
          </cell>
        </row>
        <row r="1117">
          <cell r="A1117" t="str">
            <v>SGXE62145532</v>
          </cell>
          <cell r="E1117">
            <v>1.6704122421000001</v>
          </cell>
        </row>
        <row r="1118">
          <cell r="A1118" t="str">
            <v>FI0009009377</v>
          </cell>
          <cell r="E1118">
            <v>1.788</v>
          </cell>
        </row>
        <row r="1119">
          <cell r="A1119" t="str">
            <v>VGG1890L1076</v>
          </cell>
          <cell r="E1119">
            <v>11.91737286</v>
          </cell>
        </row>
        <row r="1120">
          <cell r="A1120" t="str">
            <v>GB00BRJ7R218</v>
          </cell>
          <cell r="E1120">
            <v>2.2706815580000002</v>
          </cell>
        </row>
        <row r="1121">
          <cell r="A1121" t="str">
            <v>AU000000CMM9</v>
          </cell>
          <cell r="E1121">
            <v>5.4125523555999999</v>
          </cell>
        </row>
        <row r="1122">
          <cell r="A1122" t="str">
            <v>NO0010923121</v>
          </cell>
          <cell r="E1122">
            <v>0.75031263000000004</v>
          </cell>
        </row>
        <row r="1123">
          <cell r="A1123" t="str">
            <v>CA14071L1085</v>
          </cell>
          <cell r="E1123">
            <v>3.8337036055999998</v>
          </cell>
        </row>
        <row r="1124">
          <cell r="A1124" t="str">
            <v>AU000000CAR3</v>
          </cell>
          <cell r="E1124">
            <v>18.111232882199999</v>
          </cell>
        </row>
        <row r="1125">
          <cell r="A1125" t="str">
            <v>IL0011238503</v>
          </cell>
          <cell r="E1125">
            <v>6.8958033299999997</v>
          </cell>
        </row>
        <row r="1126">
          <cell r="A1126" t="str">
            <v>IL0011879629</v>
          </cell>
          <cell r="E1126">
            <v>7.9758978299999992</v>
          </cell>
        </row>
        <row r="1127">
          <cell r="A1127" t="str">
            <v>FR0011648716</v>
          </cell>
          <cell r="E1127">
            <v>5.85</v>
          </cell>
        </row>
        <row r="1128">
          <cell r="A1128" t="str">
            <v>GB00BLY2F708</v>
          </cell>
          <cell r="E1128">
            <v>1.054662598</v>
          </cell>
        </row>
        <row r="1129">
          <cell r="A1129" t="str">
            <v>CA14150G4007</v>
          </cell>
          <cell r="E1129">
            <v>3.4147889731999999</v>
          </cell>
        </row>
        <row r="1130">
          <cell r="A1130" t="str">
            <v>US14149Y1082</v>
          </cell>
          <cell r="E1130">
            <v>118.51165233</v>
          </cell>
        </row>
        <row r="1131">
          <cell r="A1131" t="str">
            <v>BE0974273055</v>
          </cell>
          <cell r="E1131">
            <v>11.92</v>
          </cell>
        </row>
        <row r="1132">
          <cell r="A1132" t="str">
            <v>GB00BYXVMJ03</v>
          </cell>
          <cell r="E1132">
            <v>1.258111924</v>
          </cell>
        </row>
        <row r="1133">
          <cell r="A1133" t="str">
            <v>US14167L1035</v>
          </cell>
          <cell r="E1133">
            <v>16.913841777599998</v>
          </cell>
        </row>
        <row r="1134">
          <cell r="A1134" t="str">
            <v>IT0005331019</v>
          </cell>
          <cell r="E1134">
            <v>16.86</v>
          </cell>
        </row>
        <row r="1135">
          <cell r="A1135" t="str">
            <v>US14174T1079</v>
          </cell>
          <cell r="E1135">
            <v>25.079449107599999</v>
          </cell>
        </row>
        <row r="1136">
          <cell r="A1136" t="str">
            <v>CA14179V5036</v>
          </cell>
          <cell r="E1136">
            <v>49.565217642599997</v>
          </cell>
        </row>
        <row r="1137">
          <cell r="A1137" t="str">
            <v>US1417881091</v>
          </cell>
          <cell r="E1137">
            <v>23.9053671888</v>
          </cell>
        </row>
        <row r="1138">
          <cell r="A1138" t="str">
            <v>DE0005313704</v>
          </cell>
          <cell r="E1138">
            <v>57.6</v>
          </cell>
        </row>
        <row r="1139">
          <cell r="A1139" t="str">
            <v>US1423391002</v>
          </cell>
          <cell r="E1139">
            <v>310.84922260680003</v>
          </cell>
        </row>
        <row r="1140">
          <cell r="A1140" t="str">
            <v>DK0010181759</v>
          </cell>
          <cell r="E1140">
            <v>115.8717497</v>
          </cell>
        </row>
        <row r="1141">
          <cell r="A1141" t="str">
            <v>US14316J1088</v>
          </cell>
          <cell r="E1141">
            <v>32.635946269199998</v>
          </cell>
        </row>
        <row r="1142">
          <cell r="A1142" t="str">
            <v>FR0010907956</v>
          </cell>
          <cell r="E1142">
            <v>0.88900000000000001</v>
          </cell>
        </row>
        <row r="1143">
          <cell r="A1143" t="str">
            <v>US1431301027</v>
          </cell>
          <cell r="E1143">
            <v>59.789901022800002</v>
          </cell>
        </row>
        <row r="1144">
          <cell r="A1144" t="str">
            <v>IL0011476855</v>
          </cell>
          <cell r="E1144">
            <v>4.5988023599999996</v>
          </cell>
        </row>
        <row r="1145">
          <cell r="A1145" t="str">
            <v>FR0010828137</v>
          </cell>
          <cell r="E1145">
            <v>17.667999999999999</v>
          </cell>
        </row>
        <row r="1146">
          <cell r="A1146" t="str">
            <v>AU000000CVN8</v>
          </cell>
          <cell r="E1146">
            <v>6.1889891799999999E-2</v>
          </cell>
        </row>
        <row r="1147">
          <cell r="A1147" t="str">
            <v>PA1436583006</v>
          </cell>
          <cell r="E1147">
            <v>15.889830480000001</v>
          </cell>
        </row>
        <row r="1148">
          <cell r="A1148" t="str">
            <v>GB0031215220</v>
          </cell>
          <cell r="E1148">
            <v>14.334992740000001</v>
          </cell>
        </row>
        <row r="1149">
          <cell r="A1149" t="str">
            <v>US1442851036</v>
          </cell>
          <cell r="E1149">
            <v>154.35204774600001</v>
          </cell>
        </row>
        <row r="1150">
          <cell r="A1150" t="str">
            <v>FR0000064156</v>
          </cell>
          <cell r="E1150">
            <v>6.3</v>
          </cell>
        </row>
        <row r="1151">
          <cell r="A1151" t="str">
            <v>FR0000120172</v>
          </cell>
          <cell r="E1151">
            <v>13.25</v>
          </cell>
        </row>
        <row r="1152">
          <cell r="A1152" t="str">
            <v>US14448C1045</v>
          </cell>
          <cell r="E1152">
            <v>53.381002729199999</v>
          </cell>
        </row>
        <row r="1153">
          <cell r="A1153" t="str">
            <v>US14575E1055</v>
          </cell>
          <cell r="E1153">
            <v>9.9311440500000003</v>
          </cell>
        </row>
        <row r="1154">
          <cell r="A1154" t="str">
            <v>KYG1996C1006</v>
          </cell>
          <cell r="E1154">
            <v>1.445415702</v>
          </cell>
        </row>
        <row r="1155">
          <cell r="A1155" t="str">
            <v>US1462291097</v>
          </cell>
          <cell r="E1155">
            <v>31.700211807599999</v>
          </cell>
        </row>
        <row r="1156">
          <cell r="A1156" t="str">
            <v>US1468691027</v>
          </cell>
          <cell r="E1156">
            <v>188.7447030516</v>
          </cell>
        </row>
        <row r="1157">
          <cell r="A1157" t="str">
            <v>CA1469001053</v>
          </cell>
          <cell r="E1157">
            <v>5.8330688965999986</v>
          </cell>
        </row>
        <row r="1158">
          <cell r="A1158" t="str">
            <v>US1474481041</v>
          </cell>
          <cell r="E1158">
            <v>104.2019772144</v>
          </cell>
        </row>
        <row r="1159">
          <cell r="A1159" t="str">
            <v>US1475281036</v>
          </cell>
          <cell r="E1159">
            <v>409.96645406760001</v>
          </cell>
        </row>
        <row r="1160">
          <cell r="A1160" t="str">
            <v>FR001400OKR3</v>
          </cell>
          <cell r="E1160">
            <v>0.55889999999999995</v>
          </cell>
        </row>
        <row r="1161">
          <cell r="A1161" t="str">
            <v>JP3209000003</v>
          </cell>
          <cell r="E1161">
            <v>6.8157377600000002</v>
          </cell>
        </row>
        <row r="1162">
          <cell r="A1162" t="str">
            <v>IT0005003782</v>
          </cell>
          <cell r="E1162">
            <v>1.1399999999999999</v>
          </cell>
        </row>
        <row r="1163">
          <cell r="A1163" t="str">
            <v>SE0000379190</v>
          </cell>
          <cell r="E1163">
            <v>10.0719746945</v>
          </cell>
        </row>
        <row r="1164">
          <cell r="A1164" t="str">
            <v>IL0002800162</v>
          </cell>
          <cell r="E1164">
            <v>38.643380999999998</v>
          </cell>
        </row>
        <row r="1165">
          <cell r="A1165" t="str">
            <v>AU000000CYL6</v>
          </cell>
          <cell r="E1165">
            <v>3.6233718472000001</v>
          </cell>
        </row>
        <row r="1166">
          <cell r="A1166" t="str">
            <v>US14888U1016</v>
          </cell>
          <cell r="E1166">
            <v>20.506709002800001</v>
          </cell>
        </row>
        <row r="1167">
          <cell r="A1167" t="str">
            <v>FR0010193052</v>
          </cell>
          <cell r="E1167">
            <v>4.0449999999999999</v>
          </cell>
        </row>
        <row r="1168">
          <cell r="A1168" t="str">
            <v>AU000000CAT9</v>
          </cell>
          <cell r="E1168">
            <v>1.9748501838000001</v>
          </cell>
        </row>
        <row r="1169">
          <cell r="A1169" t="str">
            <v>SE0001664707</v>
          </cell>
          <cell r="E1169">
            <v>39.028339637999999</v>
          </cell>
        </row>
        <row r="1170">
          <cell r="A1170" t="str">
            <v>FR0000064446</v>
          </cell>
          <cell r="E1170">
            <v>8.7200000000000006</v>
          </cell>
        </row>
        <row r="1171">
          <cell r="A1171" t="str">
            <v>US1491231015</v>
          </cell>
          <cell r="E1171">
            <v>259.03071987480001</v>
          </cell>
        </row>
        <row r="1172">
          <cell r="A1172" t="str">
            <v>US1491501045</v>
          </cell>
          <cell r="E1172">
            <v>33.827683555199997</v>
          </cell>
        </row>
        <row r="1173">
          <cell r="A1173" t="str">
            <v>HK0293001514</v>
          </cell>
          <cell r="E1173">
            <v>1.0004097653999999</v>
          </cell>
        </row>
        <row r="1174">
          <cell r="A1174" t="str">
            <v>US1489291021</v>
          </cell>
          <cell r="E1174">
            <v>77.974929238800001</v>
          </cell>
        </row>
        <row r="1175">
          <cell r="A1175" t="str">
            <v>US1495681074</v>
          </cell>
          <cell r="E1175">
            <v>419.800493598</v>
          </cell>
        </row>
        <row r="1176">
          <cell r="A1176" t="str">
            <v>NO0013219535</v>
          </cell>
          <cell r="E1176">
            <v>0.44768653590000002</v>
          </cell>
        </row>
        <row r="1177">
          <cell r="A1177" t="str">
            <v>JP3226450009</v>
          </cell>
          <cell r="E1177">
            <v>18.004185679999999</v>
          </cell>
        </row>
        <row r="1178">
          <cell r="A1178" t="str">
            <v>FR0014007LW0</v>
          </cell>
          <cell r="E1178">
            <v>9.9400000000000002E-2</v>
          </cell>
        </row>
        <row r="1179">
          <cell r="A1179" t="str">
            <v>US1248051021</v>
          </cell>
          <cell r="E1179">
            <v>70.180084620000002</v>
          </cell>
        </row>
        <row r="1180">
          <cell r="A1180" t="str">
            <v>FR0010193979</v>
          </cell>
          <cell r="E1180">
            <v>3.62</v>
          </cell>
        </row>
        <row r="1181">
          <cell r="A1181" t="str">
            <v>SRVYSHTFEED</v>
          </cell>
          <cell r="E1181">
            <v>44.138418000000001</v>
          </cell>
        </row>
        <row r="1182">
          <cell r="A1182" t="str">
            <v>US12503M1080</v>
          </cell>
          <cell r="E1182">
            <v>192.39936406199999</v>
          </cell>
        </row>
        <row r="1183">
          <cell r="A1183" t="str">
            <v>US12504L1098</v>
          </cell>
          <cell r="E1183">
            <v>104.76694896479999</v>
          </cell>
        </row>
        <row r="1184">
          <cell r="A1184" t="str">
            <v>US12510Q1004</v>
          </cell>
          <cell r="E1184">
            <v>7.8036723023999999</v>
          </cell>
        </row>
        <row r="1185">
          <cell r="A1185" t="str">
            <v>CA1249003098</v>
          </cell>
          <cell r="E1185">
            <v>43.3068869222</v>
          </cell>
        </row>
        <row r="1186">
          <cell r="A1186" t="str">
            <v>SG1T66931158</v>
          </cell>
          <cell r="E1186">
            <v>0.50649045895</v>
          </cell>
        </row>
        <row r="1187">
          <cell r="A1187" t="str">
            <v>US12514G1085</v>
          </cell>
          <cell r="E1187">
            <v>133.1479517388</v>
          </cell>
        </row>
        <row r="1188">
          <cell r="A1188" t="str">
            <v>DE0007257503</v>
          </cell>
          <cell r="E1188">
            <v>3.42</v>
          </cell>
        </row>
        <row r="1189">
          <cell r="A1189" t="str">
            <v>AU000000CWP1</v>
          </cell>
          <cell r="E1189">
            <v>2.8694404379999998</v>
          </cell>
        </row>
        <row r="1190">
          <cell r="A1190" t="str">
            <v>FR0000053506</v>
          </cell>
          <cell r="E1190">
            <v>11.65</v>
          </cell>
        </row>
        <row r="1191">
          <cell r="A1191" t="str">
            <v>US1508701034</v>
          </cell>
          <cell r="E1191">
            <v>33.483403894799999</v>
          </cell>
        </row>
        <row r="1192">
          <cell r="A1192" t="str">
            <v>CA15101Q2071</v>
          </cell>
          <cell r="E1192">
            <v>73.246588755999994</v>
          </cell>
        </row>
        <row r="1193">
          <cell r="A1193" t="str">
            <v>SE0000683484</v>
          </cell>
          <cell r="E1193">
            <v>13.76518203</v>
          </cell>
        </row>
        <row r="1194">
          <cell r="A1194" t="str">
            <v>IL0011015349</v>
          </cell>
          <cell r="E1194">
            <v>5.6500943399999999</v>
          </cell>
        </row>
        <row r="1195">
          <cell r="A1195" t="str">
            <v>US15117B2025</v>
          </cell>
          <cell r="E1195">
            <v>16.216454773199999</v>
          </cell>
        </row>
        <row r="1196">
          <cell r="A1196" t="str">
            <v>IL0011794802</v>
          </cell>
          <cell r="E1196">
            <v>17.072740082399999</v>
          </cell>
        </row>
        <row r="1197">
          <cell r="A1197" t="str">
            <v>FR0010425595</v>
          </cell>
          <cell r="E1197">
            <v>1.4139999999999999</v>
          </cell>
        </row>
        <row r="1198">
          <cell r="A1198" t="str">
            <v>ES0105066007</v>
          </cell>
          <cell r="E1198">
            <v>33.67</v>
          </cell>
        </row>
        <row r="1199">
          <cell r="A1199" t="str">
            <v>JP3423530009</v>
          </cell>
          <cell r="E1199">
            <v>3.3089108</v>
          </cell>
        </row>
        <row r="1200">
          <cell r="A1200" t="str">
            <v>US15118V2079</v>
          </cell>
          <cell r="E1200">
            <v>32.7330507888</v>
          </cell>
        </row>
        <row r="1201">
          <cell r="A1201" t="str">
            <v>JP3100260003</v>
          </cell>
          <cell r="E1201">
            <v>8.0279742400000007</v>
          </cell>
        </row>
        <row r="1202">
          <cell r="A1202" t="str">
            <v>BE0974260896</v>
          </cell>
          <cell r="E1202">
            <v>0.47599999999999998</v>
          </cell>
        </row>
        <row r="1203">
          <cell r="A1203" t="str">
            <v>CH0225173167</v>
          </cell>
          <cell r="E1203">
            <v>107.76374060000001</v>
          </cell>
        </row>
        <row r="1204">
          <cell r="A1204" t="str">
            <v>IT0001128047</v>
          </cell>
          <cell r="E1204">
            <v>46.7</v>
          </cell>
        </row>
        <row r="1205">
          <cell r="A1205" t="str">
            <v>NL0013995087</v>
          </cell>
          <cell r="E1205">
            <v>13.74</v>
          </cell>
        </row>
        <row r="1206">
          <cell r="A1206" t="str">
            <v>US03073E1055</v>
          </cell>
          <cell r="E1206">
            <v>251.18290915439999</v>
          </cell>
        </row>
        <row r="1207">
          <cell r="A1207" t="str">
            <v>BE0974303357</v>
          </cell>
          <cell r="E1207">
            <v>8.5</v>
          </cell>
        </row>
        <row r="1208">
          <cell r="A1208" t="str">
            <v>CA15135U1093</v>
          </cell>
          <cell r="E1208">
            <v>10.034909603399999</v>
          </cell>
        </row>
        <row r="1209">
          <cell r="A1209" t="str">
            <v>US1535272058</v>
          </cell>
          <cell r="E1209">
            <v>28.478107293600001</v>
          </cell>
        </row>
        <row r="1210">
          <cell r="A1210" t="str">
            <v>US15135B1017</v>
          </cell>
          <cell r="E1210">
            <v>54.978813460799998</v>
          </cell>
        </row>
        <row r="1211">
          <cell r="A1211" t="str">
            <v>US15189T1079</v>
          </cell>
          <cell r="E1211">
            <v>32.803672257599999</v>
          </cell>
        </row>
        <row r="1212">
          <cell r="A1212" t="str">
            <v>CA1520061021</v>
          </cell>
          <cell r="E1212">
            <v>6.0552205955999989</v>
          </cell>
        </row>
        <row r="1213">
          <cell r="A1213" t="str">
            <v>US15202L1070</v>
          </cell>
          <cell r="E1213">
            <v>50.556143977200001</v>
          </cell>
        </row>
        <row r="1214">
          <cell r="A1214" t="str">
            <v>GB00B67KBV28</v>
          </cell>
          <cell r="E1214">
            <v>1.856767412</v>
          </cell>
        </row>
        <row r="1215">
          <cell r="A1215" t="str">
            <v>JP3515400004</v>
          </cell>
          <cell r="E1215">
            <v>10.02569048</v>
          </cell>
        </row>
        <row r="1216">
          <cell r="A1216" t="str">
            <v>JP3425000001</v>
          </cell>
          <cell r="E1216">
            <v>17.855748559999999</v>
          </cell>
        </row>
        <row r="1217">
          <cell r="A1217" t="str">
            <v>JP3566800003</v>
          </cell>
          <cell r="E1217">
            <v>17.759882919999999</v>
          </cell>
        </row>
        <row r="1218">
          <cell r="A1218" t="str">
            <v>JP3425400003</v>
          </cell>
          <cell r="E1218">
            <v>15.969360160000001</v>
          </cell>
        </row>
        <row r="1219">
          <cell r="A1219" t="str">
            <v>GB00B033F229</v>
          </cell>
          <cell r="E1219">
            <v>1.7275653975</v>
          </cell>
        </row>
        <row r="1220">
          <cell r="A1220" t="str">
            <v>US15643U1043</v>
          </cell>
          <cell r="E1220">
            <v>55.932203289599997</v>
          </cell>
        </row>
        <row r="1221">
          <cell r="A1221" t="str">
            <v>AU000000CIP0</v>
          </cell>
          <cell r="E1221">
            <v>1.6147635406</v>
          </cell>
        </row>
        <row r="1222">
          <cell r="A1222" t="str">
            <v>AU000000CNI5</v>
          </cell>
          <cell r="E1222">
            <v>0.84957942380000007</v>
          </cell>
        </row>
        <row r="1223">
          <cell r="A1223" t="str">
            <v>AU0000077893</v>
          </cell>
          <cell r="E1223">
            <v>0.64984386390000004</v>
          </cell>
        </row>
        <row r="1224">
          <cell r="A1224" t="str">
            <v>SG2D51973063</v>
          </cell>
          <cell r="E1224">
            <v>0.78489249929999994</v>
          </cell>
        </row>
        <row r="1225">
          <cell r="A1225" t="str">
            <v>US1565043007</v>
          </cell>
          <cell r="E1225">
            <v>52.056850189199999</v>
          </cell>
        </row>
        <row r="1226">
          <cell r="A1226" t="str">
            <v>JP3423570005</v>
          </cell>
          <cell r="E1226">
            <v>13.3593408</v>
          </cell>
        </row>
        <row r="1227">
          <cell r="A1227" t="str">
            <v>GB00BYYX6C66</v>
          </cell>
          <cell r="E1227">
            <v>15.49254925</v>
          </cell>
        </row>
        <row r="1228">
          <cell r="A1228" t="str">
            <v>FR0013178712</v>
          </cell>
          <cell r="E1228">
            <v>0.44009999999999999</v>
          </cell>
        </row>
        <row r="1229">
          <cell r="A1229" t="str">
            <v>US15687V1098</v>
          </cell>
          <cell r="E1229">
            <v>12.2528248368</v>
          </cell>
        </row>
        <row r="1230">
          <cell r="A1230" t="str">
            <v>CA15713J1049</v>
          </cell>
          <cell r="E1230">
            <v>3.80831484</v>
          </cell>
        </row>
        <row r="1231">
          <cell r="A1231" t="str">
            <v>AU0000122210</v>
          </cell>
          <cell r="E1231">
            <v>0.38540523529999998</v>
          </cell>
        </row>
        <row r="1232">
          <cell r="A1232" t="str">
            <v>DE0005403901</v>
          </cell>
          <cell r="E1232">
            <v>99</v>
          </cell>
        </row>
        <row r="1233">
          <cell r="A1233" t="str">
            <v>US1252691001</v>
          </cell>
          <cell r="E1233">
            <v>64.5480224832</v>
          </cell>
        </row>
        <row r="1234">
          <cell r="A1234" t="str">
            <v>BE0003883031</v>
          </cell>
          <cell r="E1234">
            <v>7.46</v>
          </cell>
        </row>
        <row r="1235">
          <cell r="A1235" t="str">
            <v>FR0000037475</v>
          </cell>
          <cell r="E1235">
            <v>1.65</v>
          </cell>
        </row>
        <row r="1236">
          <cell r="A1236" t="str">
            <v>US1569441009</v>
          </cell>
          <cell r="E1236">
            <v>17.752471719599999</v>
          </cell>
        </row>
        <row r="1237">
          <cell r="A1237" t="str">
            <v>CA12532H1047</v>
          </cell>
          <cell r="E1237">
            <v>91.551888753599997</v>
          </cell>
        </row>
        <row r="1238">
          <cell r="A1238" t="str">
            <v>AU000000CHN7</v>
          </cell>
          <cell r="E1238">
            <v>0.59076714900000005</v>
          </cell>
        </row>
        <row r="1239">
          <cell r="A1239" t="str">
            <v>AU000000CGF5</v>
          </cell>
          <cell r="E1239">
            <v>3.4433285256000001</v>
          </cell>
        </row>
        <row r="1240">
          <cell r="A1240" t="str">
            <v>US8308301055</v>
          </cell>
          <cell r="E1240">
            <v>72.069208910400008</v>
          </cell>
        </row>
        <row r="1241">
          <cell r="A1241" t="str">
            <v>AU000000CIA2</v>
          </cell>
          <cell r="E1241">
            <v>2.4024530726000002</v>
          </cell>
        </row>
        <row r="1242">
          <cell r="A1242" t="str">
            <v>HK2778034606</v>
          </cell>
          <cell r="E1242">
            <v>0.2185195392</v>
          </cell>
        </row>
        <row r="1243">
          <cell r="A1243" t="str">
            <v>US15872M1045</v>
          </cell>
          <cell r="E1243">
            <v>21.539547983999999</v>
          </cell>
        </row>
        <row r="1244">
          <cell r="A1244" t="str">
            <v>JP3507750002</v>
          </cell>
          <cell r="E1244">
            <v>7.61358728</v>
          </cell>
        </row>
        <row r="1245">
          <cell r="A1245" t="str">
            <v>NZNZRE0001S9</v>
          </cell>
          <cell r="E1245">
            <v>0.98421590799999992</v>
          </cell>
        </row>
        <row r="1246">
          <cell r="A1246" t="str">
            <v>DE0006618309</v>
          </cell>
          <cell r="E1246">
            <v>32.799999999999997</v>
          </cell>
        </row>
        <row r="1247">
          <cell r="A1247" t="str">
            <v>US15961R1059</v>
          </cell>
          <cell r="E1247">
            <v>0.52780720244400003</v>
          </cell>
        </row>
        <row r="1248">
          <cell r="A1248" t="str">
            <v>US1598641074</v>
          </cell>
          <cell r="E1248">
            <v>93.502824691200004</v>
          </cell>
        </row>
        <row r="1249">
          <cell r="A1249" t="str">
            <v>US8085131055</v>
          </cell>
          <cell r="E1249">
            <v>68.140889708399996</v>
          </cell>
        </row>
        <row r="1250">
          <cell r="A1250" t="str">
            <v>US16115Q3083</v>
          </cell>
          <cell r="E1250">
            <v>110.90218906680001</v>
          </cell>
        </row>
        <row r="1251">
          <cell r="A1251" t="str">
            <v>US16119P1084</v>
          </cell>
          <cell r="E1251">
            <v>302.94844578480001</v>
          </cell>
        </row>
        <row r="1252">
          <cell r="A1252" t="str">
            <v>AU000000CHC0</v>
          </cell>
          <cell r="E1252">
            <v>9.0190451414000012</v>
          </cell>
        </row>
        <row r="1253">
          <cell r="A1253" t="str">
            <v>AU000000CLW0</v>
          </cell>
          <cell r="E1253">
            <v>2.0873772598000002</v>
          </cell>
        </row>
        <row r="1254">
          <cell r="A1254" t="str">
            <v>AU000000CQR9</v>
          </cell>
          <cell r="E1254">
            <v>2.0367400756</v>
          </cell>
        </row>
        <row r="1255">
          <cell r="A1255" t="str">
            <v>AU0000030645</v>
          </cell>
          <cell r="E1255">
            <v>1.5978844792</v>
          </cell>
        </row>
        <row r="1256">
          <cell r="A1256" t="str">
            <v>CA16141A1030</v>
          </cell>
          <cell r="E1256">
            <v>10.5236433412</v>
          </cell>
        </row>
        <row r="1257">
          <cell r="A1257" t="str">
            <v>FR001400AJ60</v>
          </cell>
          <cell r="E1257">
            <v>2.98</v>
          </cell>
        </row>
        <row r="1258">
          <cell r="A1258" t="str">
            <v>FR0000060907</v>
          </cell>
          <cell r="E1258">
            <v>7</v>
          </cell>
        </row>
        <row r="1259">
          <cell r="A1259" t="str">
            <v>IL0010824113</v>
          </cell>
          <cell r="E1259">
            <v>198.1550137692</v>
          </cell>
        </row>
        <row r="1260">
          <cell r="A1260" t="str">
            <v>US1630721017</v>
          </cell>
          <cell r="E1260">
            <v>41.507768287200001</v>
          </cell>
        </row>
        <row r="1261">
          <cell r="A1261" t="str">
            <v>US1630861011</v>
          </cell>
          <cell r="E1261">
            <v>47.272245677999997</v>
          </cell>
        </row>
        <row r="1262">
          <cell r="A1262" t="str">
            <v>US1630921096</v>
          </cell>
          <cell r="E1262">
            <v>0.42955508397600001</v>
          </cell>
        </row>
        <row r="1263">
          <cell r="A1263" t="str">
            <v>US16359R1032</v>
          </cell>
          <cell r="E1263">
            <v>519.67690584840011</v>
          </cell>
        </row>
        <row r="1264">
          <cell r="A1264" t="str">
            <v>DK0060055861</v>
          </cell>
          <cell r="E1264">
            <v>65.745496824</v>
          </cell>
        </row>
        <row r="1265">
          <cell r="A1265" t="str">
            <v>US1638511089</v>
          </cell>
          <cell r="E1265">
            <v>9.8075564796000005</v>
          </cell>
        </row>
        <row r="1266">
          <cell r="A1266" t="str">
            <v>GB00B45C9X44</v>
          </cell>
          <cell r="E1266">
            <v>4.6126873049999997</v>
          </cell>
        </row>
        <row r="1267">
          <cell r="A1267" t="str">
            <v>US16411R2085</v>
          </cell>
          <cell r="E1267">
            <v>200.34427930199999</v>
          </cell>
        </row>
        <row r="1268">
          <cell r="A1268" t="str">
            <v>US1653031088</v>
          </cell>
          <cell r="E1268">
            <v>119.2708331196</v>
          </cell>
        </row>
        <row r="1269">
          <cell r="A1269" t="str">
            <v>GB00B00FPT80</v>
          </cell>
          <cell r="E1269">
            <v>2.99327744</v>
          </cell>
        </row>
        <row r="1270">
          <cell r="A1270" t="str">
            <v>US1667641005</v>
          </cell>
          <cell r="E1270">
            <v>118.7676551544</v>
          </cell>
        </row>
        <row r="1271">
          <cell r="A1271" t="str">
            <v>US16679L1098</v>
          </cell>
          <cell r="E1271">
            <v>30.905720283600001</v>
          </cell>
        </row>
        <row r="1272">
          <cell r="A1272" t="str">
            <v>JP3511800009</v>
          </cell>
          <cell r="E1272">
            <v>7.26104912</v>
          </cell>
        </row>
        <row r="1273">
          <cell r="A1273" t="str">
            <v>JP3512200001</v>
          </cell>
          <cell r="E1273">
            <v>6.87140168</v>
          </cell>
        </row>
        <row r="1274">
          <cell r="A1274" t="str">
            <v>US16934Q8024</v>
          </cell>
          <cell r="E1274">
            <v>9.842867214</v>
          </cell>
        </row>
        <row r="1275">
          <cell r="A1275" t="str">
            <v>SG1T06929205</v>
          </cell>
          <cell r="E1275">
            <v>0.55680408069999998</v>
          </cell>
        </row>
        <row r="1276">
          <cell r="A1276" t="str">
            <v>CA16890P1036</v>
          </cell>
          <cell r="E1276">
            <v>6.1800057179999994</v>
          </cell>
        </row>
        <row r="1277">
          <cell r="A1277" t="str">
            <v>HK0817039453</v>
          </cell>
          <cell r="E1277">
            <v>0.13429846679999999</v>
          </cell>
        </row>
        <row r="1278">
          <cell r="A1278" t="str">
            <v>HK0688002218</v>
          </cell>
          <cell r="E1278">
            <v>1.5615042072</v>
          </cell>
        </row>
        <row r="1279">
          <cell r="A1279" t="str">
            <v>KYG2108Y1052</v>
          </cell>
          <cell r="E1279">
            <v>2.9932624379999999</v>
          </cell>
        </row>
        <row r="1280">
          <cell r="A1280" t="str">
            <v>US1696561059</v>
          </cell>
          <cell r="E1280">
            <v>43.079095967999997</v>
          </cell>
        </row>
        <row r="1281">
          <cell r="A1281" t="str">
            <v>JP3528400009</v>
          </cell>
          <cell r="E1281">
            <v>6.7662587200000006</v>
          </cell>
        </row>
        <row r="1282">
          <cell r="A1282" t="str">
            <v>JP3528600004</v>
          </cell>
          <cell r="E1282">
            <v>2.0039011200000001</v>
          </cell>
        </row>
        <row r="1283">
          <cell r="A1283" t="str">
            <v>JP3528450004</v>
          </cell>
          <cell r="E1283">
            <v>15.709595200000001</v>
          </cell>
        </row>
        <row r="1284">
          <cell r="A1284" t="str">
            <v>JP3527800001</v>
          </cell>
          <cell r="E1284">
            <v>10.885388799999999</v>
          </cell>
        </row>
        <row r="1285">
          <cell r="A1285" t="str">
            <v>US1699051066</v>
          </cell>
          <cell r="E1285">
            <v>111.00812127</v>
          </cell>
        </row>
        <row r="1286">
          <cell r="A1286" t="str">
            <v>CA17039A1066</v>
          </cell>
          <cell r="E1286">
            <v>9.2351634869999994</v>
          </cell>
        </row>
        <row r="1287">
          <cell r="A1287" t="str">
            <v>US6742152076</v>
          </cell>
          <cell r="E1287">
            <v>78.036723024000011</v>
          </cell>
        </row>
        <row r="1288">
          <cell r="A1288" t="str">
            <v>JP3528200003</v>
          </cell>
          <cell r="E1288">
            <v>18.406202879999999</v>
          </cell>
        </row>
        <row r="1289">
          <cell r="A1289" t="str">
            <v>NZCNUE0001S2</v>
          </cell>
          <cell r="E1289">
            <v>4.1881528000000001</v>
          </cell>
        </row>
        <row r="1290">
          <cell r="A1290" t="str">
            <v>FR0000130403</v>
          </cell>
          <cell r="E1290">
            <v>449.2</v>
          </cell>
        </row>
        <row r="1291">
          <cell r="A1291" t="str">
            <v>AU0000218190</v>
          </cell>
          <cell r="E1291">
            <v>2.1323880902000001</v>
          </cell>
        </row>
        <row r="1292">
          <cell r="A1292" t="str">
            <v>CH0044328745</v>
          </cell>
          <cell r="E1292">
            <v>251.412428928</v>
          </cell>
        </row>
        <row r="1293">
          <cell r="A1293" t="str">
            <v>JP3526600006</v>
          </cell>
          <cell r="E1293">
            <v>10.059707319999999</v>
          </cell>
        </row>
        <row r="1294">
          <cell r="A1294" t="str">
            <v>JP3525400002</v>
          </cell>
          <cell r="E1294">
            <v>8.58461344</v>
          </cell>
        </row>
        <row r="1295">
          <cell r="A1295" t="str">
            <v>JP3524600008</v>
          </cell>
          <cell r="E1295">
            <v>12.586230799999999</v>
          </cell>
        </row>
        <row r="1296">
          <cell r="A1296" t="str">
            <v>JP3524000001</v>
          </cell>
          <cell r="E1296">
            <v>20.286406400000001</v>
          </cell>
        </row>
        <row r="1297">
          <cell r="A1297" t="str">
            <v>JP3519400000</v>
          </cell>
          <cell r="E1297">
            <v>41.055233440000002</v>
          </cell>
        </row>
        <row r="1298">
          <cell r="A1298" t="str">
            <v>JP3519800001</v>
          </cell>
          <cell r="E1298">
            <v>20.039011200000001</v>
          </cell>
        </row>
        <row r="1299">
          <cell r="A1299" t="str">
            <v>JP3520700000</v>
          </cell>
          <cell r="E1299">
            <v>8.9990003999999999</v>
          </cell>
        </row>
        <row r="1300">
          <cell r="A1300" t="str">
            <v>JP3522200009</v>
          </cell>
          <cell r="E1300">
            <v>4.9918166480000004</v>
          </cell>
        </row>
        <row r="1301">
          <cell r="A1301" t="str">
            <v>JP3522600000</v>
          </cell>
          <cell r="E1301">
            <v>12.04196136</v>
          </cell>
        </row>
        <row r="1302">
          <cell r="A1302" t="str">
            <v>JP3517800003</v>
          </cell>
          <cell r="E1302">
            <v>9.3700932000000012</v>
          </cell>
        </row>
        <row r="1303">
          <cell r="A1303" t="str">
            <v>JP3516600008</v>
          </cell>
          <cell r="E1303">
            <v>8.5351344000000005</v>
          </cell>
        </row>
        <row r="1304">
          <cell r="A1304" t="str">
            <v>US1713401024</v>
          </cell>
          <cell r="E1304">
            <v>92.752471585199999</v>
          </cell>
        </row>
        <row r="1305">
          <cell r="A1305" t="str">
            <v>US1714841087</v>
          </cell>
          <cell r="E1305">
            <v>90.598516786800005</v>
          </cell>
        </row>
        <row r="1306">
          <cell r="A1306" t="str">
            <v>CA1254911003</v>
          </cell>
          <cell r="E1306">
            <v>19.803237167999999</v>
          </cell>
        </row>
        <row r="1307">
          <cell r="A1307" t="str">
            <v>CA1360691010</v>
          </cell>
          <cell r="E1307">
            <v>51.729609909999994</v>
          </cell>
        </row>
        <row r="1308">
          <cell r="A1308" t="str">
            <v>FR0000054322</v>
          </cell>
          <cell r="E1308">
            <v>2.3099999999999999E-2</v>
          </cell>
        </row>
        <row r="1309">
          <cell r="A1309" t="str">
            <v>SE0010832204</v>
          </cell>
          <cell r="E1309">
            <v>14.3454789195</v>
          </cell>
        </row>
        <row r="1310">
          <cell r="A1310" t="str">
            <v>BE0003592038</v>
          </cell>
          <cell r="E1310">
            <v>226</v>
          </cell>
        </row>
        <row r="1311">
          <cell r="A1311" t="str">
            <v>CH0210483332</v>
          </cell>
          <cell r="E1311">
            <v>146.63643260000001</v>
          </cell>
        </row>
        <row r="1312">
          <cell r="A1312" t="str">
            <v>FR0000130692</v>
          </cell>
          <cell r="E1312">
            <v>10.76</v>
          </cell>
        </row>
        <row r="1313">
          <cell r="A1313" t="str">
            <v>IL0011025322</v>
          </cell>
          <cell r="E1313">
            <v>1.115857629</v>
          </cell>
        </row>
        <row r="1314">
          <cell r="A1314" t="str">
            <v>US1717793095</v>
          </cell>
          <cell r="E1314">
            <v>52.418785216800003</v>
          </cell>
        </row>
        <row r="1315">
          <cell r="A1315" t="str">
            <v>US1255231003</v>
          </cell>
          <cell r="E1315">
            <v>290.10416614680003</v>
          </cell>
        </row>
        <row r="1316">
          <cell r="A1316" t="str">
            <v>IE00BKYC3F77</v>
          </cell>
          <cell r="E1316">
            <v>37.888418011200002</v>
          </cell>
        </row>
        <row r="1317">
          <cell r="A1317" t="str">
            <v>US1720621010</v>
          </cell>
          <cell r="E1317">
            <v>117.6995054388</v>
          </cell>
        </row>
        <row r="1318">
          <cell r="A1318" t="str">
            <v>US17243V1026</v>
          </cell>
          <cell r="E1318">
            <v>24.885240068400002</v>
          </cell>
        </row>
        <row r="1319">
          <cell r="A1319" t="str">
            <v>SE0015483276</v>
          </cell>
          <cell r="E1319">
            <v>0.59199279579999997</v>
          </cell>
        </row>
        <row r="1320">
          <cell r="A1320" t="str">
            <v>US1729081059</v>
          </cell>
          <cell r="E1320">
            <v>183.79237255199999</v>
          </cell>
        </row>
        <row r="1321">
          <cell r="A1321" t="str">
            <v>US17253J1060</v>
          </cell>
          <cell r="E1321">
            <v>2.0480225952</v>
          </cell>
        </row>
        <row r="1322">
          <cell r="A1322" t="str">
            <v>IT0000070786</v>
          </cell>
          <cell r="E1322">
            <v>0.54400000000000004</v>
          </cell>
        </row>
        <row r="1323">
          <cell r="A1323" t="str">
            <v>NO0013033795</v>
          </cell>
          <cell r="E1323">
            <v>5.3355564799999998E-2</v>
          </cell>
        </row>
        <row r="1324">
          <cell r="A1324" t="str">
            <v>IT0005344996</v>
          </cell>
          <cell r="E1324">
            <v>6.56</v>
          </cell>
        </row>
        <row r="1325">
          <cell r="A1325" t="str">
            <v>US1727551004</v>
          </cell>
          <cell r="E1325">
            <v>76.756708902</v>
          </cell>
        </row>
        <row r="1326">
          <cell r="A1326" t="str">
            <v>US17275R1023</v>
          </cell>
          <cell r="E1326">
            <v>50.494350192000013</v>
          </cell>
        </row>
        <row r="1327">
          <cell r="A1327" t="str">
            <v>US1729674242</v>
          </cell>
          <cell r="E1327">
            <v>56.788488598800001</v>
          </cell>
        </row>
        <row r="1328">
          <cell r="A1328" t="str">
            <v>JP3352400000</v>
          </cell>
          <cell r="E1328">
            <v>4.9850132800000004</v>
          </cell>
        </row>
        <row r="1329">
          <cell r="A1329" t="str">
            <v>US1746101054</v>
          </cell>
          <cell r="E1329">
            <v>31.867937796</v>
          </cell>
        </row>
        <row r="1330">
          <cell r="A1330" t="str">
            <v>SG1R89002252</v>
          </cell>
          <cell r="E1330">
            <v>3.0724851682000001</v>
          </cell>
        </row>
        <row r="1331">
          <cell r="A1331" t="str">
            <v>US1778351056</v>
          </cell>
          <cell r="E1331">
            <v>99.205508296800005</v>
          </cell>
        </row>
        <row r="1332">
          <cell r="A1332" t="str">
            <v>FI4000369947</v>
          </cell>
          <cell r="E1332">
            <v>3.242</v>
          </cell>
        </row>
        <row r="1333">
          <cell r="A1333" t="str">
            <v>US17888H1032</v>
          </cell>
          <cell r="E1333">
            <v>23.172669450000001</v>
          </cell>
        </row>
        <row r="1334">
          <cell r="A1334" t="str">
            <v>KYG2177B1014</v>
          </cell>
          <cell r="E1334">
            <v>3.4428208649999998</v>
          </cell>
        </row>
        <row r="1335">
          <cell r="A1335" t="str">
            <v>JP3325100000</v>
          </cell>
          <cell r="E1335">
            <v>21.832626399999999</v>
          </cell>
        </row>
        <row r="1336">
          <cell r="A1336" t="str">
            <v>JP3346800000</v>
          </cell>
          <cell r="E1336">
            <v>11.9986672</v>
          </cell>
        </row>
        <row r="1337">
          <cell r="A1337" t="str">
            <v>KYG217651051</v>
          </cell>
          <cell r="E1337">
            <v>4.7630430810000002</v>
          </cell>
        </row>
        <row r="1338">
          <cell r="A1338" t="str">
            <v>BMG2178K1009</v>
          </cell>
          <cell r="E1338">
            <v>5.4516072539999998</v>
          </cell>
        </row>
        <row r="1339">
          <cell r="A1339" t="str">
            <v>FR00126633XX</v>
          </cell>
          <cell r="E1339">
            <v>3803.58</v>
          </cell>
        </row>
        <row r="1340">
          <cell r="A1340" t="str">
            <v>IT0005091324</v>
          </cell>
          <cell r="E1340">
            <v>0.94</v>
          </cell>
        </row>
        <row r="1341">
          <cell r="A1341" t="str">
            <v>IL0002240146</v>
          </cell>
          <cell r="E1341">
            <v>23.234032800000001</v>
          </cell>
        </row>
        <row r="1342">
          <cell r="A1342" t="str">
            <v>FR0013426004</v>
          </cell>
          <cell r="E1342">
            <v>2.31</v>
          </cell>
        </row>
        <row r="1343">
          <cell r="A1343" t="str">
            <v>FR0010386334</v>
          </cell>
          <cell r="E1343">
            <v>3.972</v>
          </cell>
        </row>
        <row r="1344">
          <cell r="A1344" t="str">
            <v>CH0012142631</v>
          </cell>
          <cell r="E1344">
            <v>9.1674765300000001</v>
          </cell>
        </row>
        <row r="1345">
          <cell r="A1345" t="str">
            <v>AU0000165375</v>
          </cell>
          <cell r="E1345">
            <v>1.0296227454</v>
          </cell>
        </row>
        <row r="1346">
          <cell r="A1346" t="str">
            <v>JE00BJJN4441</v>
          </cell>
          <cell r="E1346">
            <v>3.0367231584000001</v>
          </cell>
        </row>
        <row r="1347">
          <cell r="A1347" t="str">
            <v>GB0002018363</v>
          </cell>
          <cell r="E1347">
            <v>38.760604350000001</v>
          </cell>
        </row>
        <row r="1348">
          <cell r="A1348" t="str">
            <v>US18270D1063</v>
          </cell>
          <cell r="E1348">
            <v>2.1098163803999999</v>
          </cell>
        </row>
        <row r="1349">
          <cell r="A1349" t="str">
            <v>SE0000584948</v>
          </cell>
          <cell r="E1349">
            <v>23.805667746000001</v>
          </cell>
        </row>
        <row r="1350">
          <cell r="A1350" t="str">
            <v>US1844991018</v>
          </cell>
          <cell r="E1350">
            <v>1.1652542351999999</v>
          </cell>
        </row>
        <row r="1351">
          <cell r="A1351" t="str">
            <v>US1844961078</v>
          </cell>
          <cell r="E1351">
            <v>181.8326267928</v>
          </cell>
        </row>
        <row r="1352">
          <cell r="A1352" t="str">
            <v>AU000000CSS3</v>
          </cell>
          <cell r="E1352">
            <v>9.1704877000000004E-2</v>
          </cell>
        </row>
        <row r="1353">
          <cell r="A1353" t="str">
            <v>AU000000CWY3</v>
          </cell>
          <cell r="E1353">
            <v>1.4684783418</v>
          </cell>
        </row>
        <row r="1354">
          <cell r="A1354" t="str">
            <v>IT0005377277</v>
          </cell>
          <cell r="E1354">
            <v>1.155</v>
          </cell>
        </row>
        <row r="1355">
          <cell r="A1355" t="str">
            <v>US18452B2097</v>
          </cell>
          <cell r="E1355">
            <v>6.4265536608000007</v>
          </cell>
        </row>
        <row r="1356">
          <cell r="A1356" t="str">
            <v>US18467V1098</v>
          </cell>
          <cell r="E1356">
            <v>24.002471708400002</v>
          </cell>
        </row>
        <row r="1357">
          <cell r="A1357" t="str">
            <v>US1851231068</v>
          </cell>
          <cell r="E1357">
            <v>20.630296573199999</v>
          </cell>
        </row>
        <row r="1358">
          <cell r="A1358" t="str">
            <v>US18539C1053</v>
          </cell>
          <cell r="E1358">
            <v>23.958333290399999</v>
          </cell>
        </row>
        <row r="1359">
          <cell r="A1359" t="str">
            <v>US18539C2044</v>
          </cell>
          <cell r="E1359">
            <v>25.6620762252</v>
          </cell>
        </row>
        <row r="1360">
          <cell r="A1360" t="str">
            <v>US1858991011</v>
          </cell>
          <cell r="E1360">
            <v>6.3206214576000006</v>
          </cell>
        </row>
        <row r="1361">
          <cell r="A1361" t="str">
            <v>FR0013134HDG</v>
          </cell>
          <cell r="E1361">
            <v>5.9659479270040014E-3</v>
          </cell>
        </row>
        <row r="1362">
          <cell r="A1362" t="str">
            <v>AU000000CUV3</v>
          </cell>
          <cell r="E1362">
            <v>6.0539566887999996</v>
          </cell>
        </row>
        <row r="1363">
          <cell r="A1363" t="str">
            <v>SE0002626861</v>
          </cell>
          <cell r="E1363">
            <v>2.4633378038</v>
          </cell>
        </row>
        <row r="1364">
          <cell r="A1364" t="str">
            <v>US1890541097</v>
          </cell>
          <cell r="E1364">
            <v>123.1108754856</v>
          </cell>
        </row>
        <row r="1365">
          <cell r="A1365" t="str">
            <v>GB0007668071</v>
          </cell>
          <cell r="E1365">
            <v>3.4867005180000001</v>
          </cell>
        </row>
        <row r="1366">
          <cell r="A1366" t="str">
            <v>NO0010876642</v>
          </cell>
          <cell r="E1366">
            <v>1.00041684</v>
          </cell>
        </row>
        <row r="1367">
          <cell r="A1367" t="str">
            <v>US18915M1071</v>
          </cell>
          <cell r="E1367">
            <v>96.345338810400008</v>
          </cell>
        </row>
        <row r="1368">
          <cell r="A1368" t="str">
            <v>IT0005577090</v>
          </cell>
          <cell r="E1368">
            <v>1.29</v>
          </cell>
        </row>
        <row r="1369">
          <cell r="A1369" t="str">
            <v>US18914F1030</v>
          </cell>
          <cell r="E1369">
            <v>3.2838982992000001</v>
          </cell>
        </row>
        <row r="1370">
          <cell r="A1370" t="str">
            <v>HK0002007356</v>
          </cell>
          <cell r="E1370">
            <v>7.2213878969999996</v>
          </cell>
        </row>
        <row r="1371">
          <cell r="A1371" t="str">
            <v>GB00BF044593</v>
          </cell>
          <cell r="E1371">
            <v>0.69570315500000002</v>
          </cell>
        </row>
        <row r="1372">
          <cell r="A1372" t="str">
            <v>NL0012747059</v>
          </cell>
          <cell r="E1372">
            <v>6.63</v>
          </cell>
        </row>
        <row r="1373">
          <cell r="A1373" t="str">
            <v>BE0003816338</v>
          </cell>
          <cell r="E1373">
            <v>7.96</v>
          </cell>
        </row>
        <row r="1374">
          <cell r="A1374" t="str">
            <v>GB00B14SKR37</v>
          </cell>
          <cell r="E1374">
            <v>2.7418889050000002</v>
          </cell>
        </row>
        <row r="1375">
          <cell r="A1375" t="str">
            <v>US12572Q1058</v>
          </cell>
          <cell r="E1375">
            <v>232.05331879319999</v>
          </cell>
        </row>
        <row r="1376">
          <cell r="A1376" t="str">
            <v>JP3712000003</v>
          </cell>
          <cell r="E1376">
            <v>2.2574812</v>
          </cell>
        </row>
        <row r="1377">
          <cell r="A1377" t="str">
            <v>US1258961002</v>
          </cell>
          <cell r="E1377">
            <v>64.186087455600003</v>
          </cell>
        </row>
        <row r="1378">
          <cell r="A1378" t="str">
            <v>US1261171003</v>
          </cell>
          <cell r="E1378">
            <v>42.646539471600001</v>
          </cell>
        </row>
        <row r="1379">
          <cell r="A1379" t="str">
            <v>NL0010545661</v>
          </cell>
          <cell r="E1379">
            <v>10.204802241599999</v>
          </cell>
        </row>
        <row r="1380">
          <cell r="A1380" t="str">
            <v>US12621E1038</v>
          </cell>
          <cell r="E1380">
            <v>33.686440617599999</v>
          </cell>
        </row>
        <row r="1381">
          <cell r="A1381" t="str">
            <v>NL0010949392</v>
          </cell>
          <cell r="E1381">
            <v>9.3200000000000005E-2</v>
          </cell>
        </row>
        <row r="1382">
          <cell r="A1382" t="str">
            <v>US12653C1080</v>
          </cell>
          <cell r="E1382">
            <v>27.2245762224</v>
          </cell>
        </row>
        <row r="1383">
          <cell r="A1383" t="str">
            <v>BE0003519270</v>
          </cell>
          <cell r="E1383">
            <v>1380</v>
          </cell>
        </row>
        <row r="1384">
          <cell r="A1384" t="str">
            <v>US19046P2092</v>
          </cell>
          <cell r="E1384">
            <v>70.992231511200004</v>
          </cell>
        </row>
        <row r="1385">
          <cell r="A1385" t="str">
            <v>GB00B4YZN328</v>
          </cell>
          <cell r="E1385">
            <v>0.86641350899999992</v>
          </cell>
        </row>
        <row r="1386">
          <cell r="A1386" t="str">
            <v>AU0000167066</v>
          </cell>
          <cell r="E1386">
            <v>1.0296227454</v>
          </cell>
        </row>
        <row r="1387">
          <cell r="A1387" t="str">
            <v>JP3293200006</v>
          </cell>
          <cell r="E1387">
            <v>15.251914080000001</v>
          </cell>
        </row>
        <row r="1388">
          <cell r="A1388" t="str">
            <v>US1912161007</v>
          </cell>
          <cell r="E1388">
            <v>63.435734349599997</v>
          </cell>
        </row>
        <row r="1389">
          <cell r="A1389" t="str">
            <v>US1910981026</v>
          </cell>
          <cell r="E1389">
            <v>1237.9766926968</v>
          </cell>
        </row>
        <row r="1390">
          <cell r="A1390" t="str">
            <v>GB00BDCPN049</v>
          </cell>
          <cell r="E1390">
            <v>77.966101555199998</v>
          </cell>
        </row>
        <row r="1391">
          <cell r="A1391" t="str">
            <v>CH0198251305</v>
          </cell>
          <cell r="E1391">
            <v>42.9114383</v>
          </cell>
        </row>
        <row r="1392">
          <cell r="A1392" t="str">
            <v>AU000000COH5</v>
          </cell>
          <cell r="E1392">
            <v>147.69178725</v>
          </cell>
        </row>
        <row r="1393">
          <cell r="A1393" t="str">
            <v>AU000000CDA3</v>
          </cell>
          <cell r="E1393">
            <v>8.3607617467999997</v>
          </cell>
        </row>
        <row r="1394">
          <cell r="A1394" t="str">
            <v>NO0013483503</v>
          </cell>
          <cell r="E1394">
            <v>0.24176740299999999</v>
          </cell>
        </row>
        <row r="1395">
          <cell r="A1395" t="str">
            <v>US1921085049</v>
          </cell>
          <cell r="E1395">
            <v>5.3848869959999996</v>
          </cell>
        </row>
        <row r="1396">
          <cell r="A1396" t="str">
            <v>FR0010667147</v>
          </cell>
          <cell r="E1396">
            <v>16.88</v>
          </cell>
        </row>
        <row r="1397">
          <cell r="A1397" t="str">
            <v>FR0013257409</v>
          </cell>
          <cell r="E1397">
            <v>300</v>
          </cell>
        </row>
        <row r="1398">
          <cell r="A1398" t="str">
            <v>BE0003593044</v>
          </cell>
          <cell r="E1398">
            <v>61.2</v>
          </cell>
        </row>
        <row r="1399">
          <cell r="A1399" t="str">
            <v>IT0005465619</v>
          </cell>
          <cell r="E1399">
            <v>2.48</v>
          </cell>
        </row>
        <row r="1400">
          <cell r="A1400" t="str">
            <v>IT0005618043</v>
          </cell>
          <cell r="E1400">
            <v>0.7</v>
          </cell>
        </row>
        <row r="1401">
          <cell r="A1401" t="str">
            <v>FR0013335742</v>
          </cell>
          <cell r="E1401">
            <v>20.6</v>
          </cell>
        </row>
        <row r="1402">
          <cell r="A1402" t="str">
            <v>US19240Q2012</v>
          </cell>
          <cell r="E1402">
            <v>4.2990819132000002</v>
          </cell>
        </row>
        <row r="1403">
          <cell r="A1403" t="str">
            <v>US19239V3024</v>
          </cell>
          <cell r="E1403">
            <v>47.175141158400002</v>
          </cell>
        </row>
        <row r="1404">
          <cell r="A1404" t="str">
            <v>US1924221039</v>
          </cell>
          <cell r="E1404">
            <v>21.186440640000001</v>
          </cell>
        </row>
        <row r="1405">
          <cell r="A1405" t="str">
            <v>US1924461023</v>
          </cell>
          <cell r="E1405">
            <v>62.906073333600013</v>
          </cell>
        </row>
        <row r="1406">
          <cell r="A1406" t="str">
            <v>FR0011071570</v>
          </cell>
          <cell r="E1406">
            <v>5.33</v>
          </cell>
        </row>
        <row r="1407">
          <cell r="A1407" t="str">
            <v>US19247A1007</v>
          </cell>
          <cell r="E1407">
            <v>65.942796491999999</v>
          </cell>
        </row>
        <row r="1408">
          <cell r="A1408" t="str">
            <v>US19247G1076</v>
          </cell>
          <cell r="E1408">
            <v>49.911723074400001</v>
          </cell>
        </row>
        <row r="1409">
          <cell r="A1409" t="str">
            <v>FR0004031763</v>
          </cell>
          <cell r="E1409">
            <v>7.9</v>
          </cell>
        </row>
        <row r="1410">
          <cell r="A1410" t="str">
            <v>GB00B0YD2B94</v>
          </cell>
          <cell r="E1410">
            <v>14.171297879999999</v>
          </cell>
        </row>
        <row r="1411">
          <cell r="A1411" t="str">
            <v>US1925761066</v>
          </cell>
          <cell r="E1411">
            <v>12.7030367004</v>
          </cell>
        </row>
        <row r="1412">
          <cell r="A1412" t="str">
            <v>BE0160342011</v>
          </cell>
          <cell r="E1412">
            <v>3.1894999999999998</v>
          </cell>
        </row>
        <row r="1413">
          <cell r="A1413" t="str">
            <v>US19260Q1076</v>
          </cell>
          <cell r="E1413">
            <v>154.9876409652</v>
          </cell>
        </row>
        <row r="1414">
          <cell r="A1414" t="str">
            <v>AU0000030678</v>
          </cell>
          <cell r="E1414">
            <v>11.753453088200001</v>
          </cell>
        </row>
        <row r="1415">
          <cell r="A1415" t="str">
            <v>US1941621039</v>
          </cell>
          <cell r="E1415">
            <v>83.209745613600006</v>
          </cell>
        </row>
        <row r="1416">
          <cell r="A1416" t="str">
            <v>US19459J1043</v>
          </cell>
          <cell r="E1416">
            <v>23.940677923199999</v>
          </cell>
        </row>
        <row r="1417">
          <cell r="A1417" t="str">
            <v>CA1946931070</v>
          </cell>
          <cell r="E1417">
            <v>100.8505241546</v>
          </cell>
        </row>
        <row r="1418">
          <cell r="A1418" t="str">
            <v>AU000000CKF7</v>
          </cell>
          <cell r="E1418">
            <v>4.5010830400000001</v>
          </cell>
        </row>
        <row r="1419">
          <cell r="A1419" t="str">
            <v>JP3305960001</v>
          </cell>
          <cell r="E1419">
            <v>2.7831959999999998</v>
          </cell>
        </row>
        <row r="1420">
          <cell r="A1420" t="str">
            <v>DK0060448595</v>
          </cell>
          <cell r="E1420">
            <v>94.063748716000006</v>
          </cell>
        </row>
        <row r="1421">
          <cell r="A1421" t="str">
            <v>JP3305970000</v>
          </cell>
          <cell r="E1421">
            <v>11.30905308</v>
          </cell>
        </row>
        <row r="1422">
          <cell r="A1422" t="str">
            <v>BE0974256852</v>
          </cell>
          <cell r="E1422">
            <v>41.48</v>
          </cell>
        </row>
        <row r="1423">
          <cell r="A1423" t="str">
            <v>US1972361026</v>
          </cell>
          <cell r="E1423">
            <v>19.350282451199998</v>
          </cell>
        </row>
        <row r="1424">
          <cell r="A1424" t="str">
            <v>US1985161066</v>
          </cell>
          <cell r="E1424">
            <v>58.236228709199999</v>
          </cell>
        </row>
        <row r="1425">
          <cell r="A1425" t="str">
            <v>US1993331057</v>
          </cell>
          <cell r="E1425">
            <v>11.9703389616</v>
          </cell>
        </row>
        <row r="1426">
          <cell r="A1426" t="str">
            <v>IT0005632945</v>
          </cell>
          <cell r="E1426">
            <v>1.95</v>
          </cell>
        </row>
        <row r="1427">
          <cell r="A1427" t="str">
            <v>US20030N1019</v>
          </cell>
          <cell r="E1427">
            <v>30.367231583999999</v>
          </cell>
        </row>
        <row r="1428">
          <cell r="A1428" t="str">
            <v>US2003401070</v>
          </cell>
          <cell r="E1428">
            <v>46.777895396400012</v>
          </cell>
        </row>
        <row r="1429">
          <cell r="A1429" t="str">
            <v>CH0360826991</v>
          </cell>
          <cell r="E1429">
            <v>231.50847680000001</v>
          </cell>
        </row>
        <row r="1430">
          <cell r="A1430" t="str">
            <v>JP3047540004</v>
          </cell>
          <cell r="E1430">
            <v>1708.8823440000001</v>
          </cell>
        </row>
        <row r="1431">
          <cell r="A1431" t="str">
            <v>US1999081045</v>
          </cell>
          <cell r="E1431">
            <v>314.4509175156</v>
          </cell>
        </row>
        <row r="1432">
          <cell r="A1432" t="str">
            <v>SG1N31909426</v>
          </cell>
          <cell r="E1432">
            <v>0.97273002050000001</v>
          </cell>
        </row>
        <row r="1433">
          <cell r="A1433" t="str">
            <v>US2005251036</v>
          </cell>
          <cell r="E1433">
            <v>51.862641150000002</v>
          </cell>
        </row>
        <row r="1434">
          <cell r="A1434" t="str">
            <v>US2017231034</v>
          </cell>
          <cell r="E1434">
            <v>36.802612928400002</v>
          </cell>
        </row>
        <row r="1435">
          <cell r="A1435" t="str">
            <v>DE000CBK1001</v>
          </cell>
          <cell r="E1435">
            <v>22.69</v>
          </cell>
        </row>
        <row r="1436">
          <cell r="A1436" t="str">
            <v>AU000000CBA7</v>
          </cell>
          <cell r="E1436">
            <v>88.918895455200001</v>
          </cell>
        </row>
        <row r="1437">
          <cell r="A1437" t="str">
            <v>US20337X1090</v>
          </cell>
          <cell r="E1437">
            <v>3.2132768303999999</v>
          </cell>
        </row>
        <row r="1438">
          <cell r="A1438" t="str">
            <v>US2036071064</v>
          </cell>
          <cell r="E1438">
            <v>46.8573445488</v>
          </cell>
        </row>
        <row r="1439">
          <cell r="A1439" t="str">
            <v>US2041661024</v>
          </cell>
          <cell r="E1439">
            <v>136.39653930360001</v>
          </cell>
        </row>
        <row r="1440">
          <cell r="A1440" t="str">
            <v>IT0005453235</v>
          </cell>
          <cell r="E1440">
            <v>0.27900000000000003</v>
          </cell>
        </row>
        <row r="1441">
          <cell r="A1441" t="str">
            <v>FR0000062234</v>
          </cell>
          <cell r="E1441">
            <v>1356</v>
          </cell>
        </row>
        <row r="1442">
          <cell r="A1442" t="str">
            <v>US20451Q1040</v>
          </cell>
          <cell r="E1442">
            <v>14.9452683348</v>
          </cell>
        </row>
        <row r="1443">
          <cell r="A1443" t="str">
            <v>GB00BD6K4575</v>
          </cell>
          <cell r="E1443">
            <v>29.897696929999999</v>
          </cell>
        </row>
        <row r="1444">
          <cell r="A1444" t="str">
            <v>US20464U1007</v>
          </cell>
          <cell r="E1444">
            <v>6.9385593095999996</v>
          </cell>
        </row>
        <row r="1445">
          <cell r="A1445" t="str">
            <v>DE000A40UTN2</v>
          </cell>
          <cell r="E1445">
            <v>22.4</v>
          </cell>
        </row>
        <row r="1446">
          <cell r="A1446" t="str">
            <v>DE000A288904</v>
          </cell>
          <cell r="E1446">
            <v>22.14</v>
          </cell>
        </row>
        <row r="1447">
          <cell r="A1447" t="str">
            <v>GB00BV9FP302</v>
          </cell>
          <cell r="E1447">
            <v>26.91611198</v>
          </cell>
        </row>
        <row r="1448">
          <cell r="A1448" t="str">
            <v>JP3346200003</v>
          </cell>
          <cell r="E1448">
            <v>12.740852800000001</v>
          </cell>
        </row>
        <row r="1449">
          <cell r="A1449" t="str">
            <v>CA2052491057</v>
          </cell>
          <cell r="E1449">
            <v>4.7096160187999994</v>
          </cell>
        </row>
        <row r="1450">
          <cell r="A1450" t="str">
            <v>AU000000CPU5</v>
          </cell>
          <cell r="E1450">
            <v>21.0819476886</v>
          </cell>
        </row>
        <row r="1451">
          <cell r="A1451" t="str">
            <v>US2057683029</v>
          </cell>
          <cell r="E1451">
            <v>17.037429348</v>
          </cell>
        </row>
        <row r="1452">
          <cell r="A1452" t="str">
            <v>JP3305530002</v>
          </cell>
          <cell r="E1452">
            <v>18.82677472</v>
          </cell>
        </row>
        <row r="1453">
          <cell r="A1453" t="str">
            <v>JP3305560009</v>
          </cell>
          <cell r="E1453">
            <v>9.524715200000001</v>
          </cell>
        </row>
        <row r="1454">
          <cell r="A1454" t="str">
            <v>US2058871029</v>
          </cell>
          <cell r="E1454">
            <v>22.554731598</v>
          </cell>
        </row>
        <row r="1455">
          <cell r="A1455" t="str">
            <v>US20603L1026</v>
          </cell>
          <cell r="E1455">
            <v>18.405720305999999</v>
          </cell>
        </row>
        <row r="1456">
          <cell r="A1456" t="str">
            <v>US20602D1019</v>
          </cell>
          <cell r="E1456">
            <v>42.328742862000013</v>
          </cell>
        </row>
        <row r="1457">
          <cell r="A1457" t="str">
            <v>JP3305990008</v>
          </cell>
          <cell r="E1457">
            <v>5.0796419439999996</v>
          </cell>
        </row>
        <row r="1458">
          <cell r="A1458" t="str">
            <v>BMG243851091</v>
          </cell>
          <cell r="E1458">
            <v>4.2209888900000001</v>
          </cell>
        </row>
        <row r="1459">
          <cell r="A1459" t="str">
            <v>IT0005379604</v>
          </cell>
          <cell r="E1459">
            <v>1.575</v>
          </cell>
        </row>
        <row r="1460">
          <cell r="A1460" t="str">
            <v>US20717M1036</v>
          </cell>
          <cell r="E1460">
            <v>19.111934993999999</v>
          </cell>
        </row>
        <row r="1461">
          <cell r="A1461" t="str">
            <v>US2074101013</v>
          </cell>
          <cell r="E1461">
            <v>42.805437776400012</v>
          </cell>
        </row>
        <row r="1462">
          <cell r="A1462" t="str">
            <v>US20786W1071</v>
          </cell>
          <cell r="E1462">
            <v>19.0324858416</v>
          </cell>
        </row>
        <row r="1463">
          <cell r="A1463" t="str">
            <v>US20825C1045</v>
          </cell>
          <cell r="E1463">
            <v>75.670903819200007</v>
          </cell>
        </row>
        <row r="1464">
          <cell r="A1464" t="str">
            <v>US2091151041</v>
          </cell>
          <cell r="E1464">
            <v>98.70233033160001</v>
          </cell>
        </row>
        <row r="1465">
          <cell r="A1465" t="str">
            <v>US21036P1084</v>
          </cell>
          <cell r="E1465">
            <v>162.30579066959999</v>
          </cell>
        </row>
        <row r="1466">
          <cell r="A1466" t="str">
            <v>US21037T1097</v>
          </cell>
          <cell r="E1466">
            <v>183.98658159120001</v>
          </cell>
        </row>
        <row r="1467">
          <cell r="A1467" t="str">
            <v>NO0013460071</v>
          </cell>
          <cell r="E1467">
            <v>0.39599833249999999</v>
          </cell>
        </row>
        <row r="1468">
          <cell r="A1468" t="str">
            <v>CA21037X1006</v>
          </cell>
          <cell r="E1468">
            <v>2960.4887487450001</v>
          </cell>
        </row>
        <row r="1469">
          <cell r="A1469" t="str">
            <v>FR0013467479</v>
          </cell>
          <cell r="E1469">
            <v>7.4064265404000009</v>
          </cell>
        </row>
        <row r="1470">
          <cell r="A1470" t="str">
            <v>US21044C1071</v>
          </cell>
          <cell r="E1470">
            <v>70.586158065600003</v>
          </cell>
        </row>
        <row r="1471">
          <cell r="A1471" t="str">
            <v>NZCENE0001S6</v>
          </cell>
          <cell r="E1471">
            <v>4.6697903719999996</v>
          </cell>
        </row>
        <row r="1472">
          <cell r="A1472" t="str">
            <v>SE0014731154</v>
          </cell>
          <cell r="E1472">
            <v>0.46177573973000002</v>
          </cell>
        </row>
        <row r="1473">
          <cell r="A1473" t="str">
            <v>DE0005439004</v>
          </cell>
          <cell r="E1473">
            <v>64.459999999999994</v>
          </cell>
        </row>
        <row r="1474">
          <cell r="A1474" t="str">
            <v>GB00BD3VFW73</v>
          </cell>
          <cell r="E1474">
            <v>3.02835491</v>
          </cell>
        </row>
        <row r="1475">
          <cell r="A1475" t="str">
            <v>CA21250C1068</v>
          </cell>
          <cell r="E1475">
            <v>3.8019676485999998</v>
          </cell>
        </row>
        <row r="1476">
          <cell r="A1476" t="str">
            <v>IT0005426215</v>
          </cell>
          <cell r="E1476">
            <v>1.62</v>
          </cell>
        </row>
        <row r="1477">
          <cell r="A1477" t="str">
            <v>BMG2415A1137</v>
          </cell>
          <cell r="E1477">
            <v>4.7853272179999999</v>
          </cell>
        </row>
        <row r="1478">
          <cell r="A1478" t="str">
            <v>US2166485019</v>
          </cell>
          <cell r="E1478">
            <v>68.679378408000005</v>
          </cell>
        </row>
        <row r="1479">
          <cell r="A1479" t="str">
            <v>SE0007158829</v>
          </cell>
          <cell r="E1479">
            <v>3.1003148546000001</v>
          </cell>
        </row>
        <row r="1480">
          <cell r="A1480" t="str">
            <v>PAP310761054</v>
          </cell>
          <cell r="E1480">
            <v>78.954802118399996</v>
          </cell>
        </row>
        <row r="1481">
          <cell r="A1481" t="str">
            <v>US2172041061</v>
          </cell>
          <cell r="E1481">
            <v>53.363347362000013</v>
          </cell>
        </row>
        <row r="1482">
          <cell r="A1482" t="str">
            <v>IT0005379406</v>
          </cell>
          <cell r="E1482">
            <v>6.45</v>
          </cell>
        </row>
        <row r="1483">
          <cell r="A1483" t="str">
            <v>US22002T1088</v>
          </cell>
          <cell r="E1483">
            <v>23.1903248172</v>
          </cell>
        </row>
        <row r="1484">
          <cell r="A1484" t="str">
            <v>NL0010583399</v>
          </cell>
          <cell r="E1484">
            <v>17.5</v>
          </cell>
        </row>
        <row r="1485">
          <cell r="A1485" t="str">
            <v>US2183521028</v>
          </cell>
          <cell r="E1485">
            <v>61.431850172399997</v>
          </cell>
        </row>
        <row r="1486">
          <cell r="A1486" t="str">
            <v>US21874C1027</v>
          </cell>
          <cell r="E1486">
            <v>43.688206136400012</v>
          </cell>
        </row>
        <row r="1487">
          <cell r="A1487" t="str">
            <v>JP3284100009</v>
          </cell>
          <cell r="E1487">
            <v>5.8632662400000006</v>
          </cell>
        </row>
        <row r="1488">
          <cell r="A1488" t="str">
            <v>AU000000CXO2</v>
          </cell>
          <cell r="E1488">
            <v>3.8259205839999998E-2</v>
          </cell>
        </row>
        <row r="1489">
          <cell r="A1489" t="str">
            <v>US2189371006</v>
          </cell>
          <cell r="E1489">
            <v>65.263064854800007</v>
          </cell>
        </row>
        <row r="1490">
          <cell r="A1490" t="str">
            <v>US21874A1060</v>
          </cell>
          <cell r="E1490">
            <v>6.0469632659999997</v>
          </cell>
        </row>
        <row r="1491">
          <cell r="A1491" t="str">
            <v>US21871X1090</v>
          </cell>
          <cell r="E1491">
            <v>24.5497880916</v>
          </cell>
        </row>
        <row r="1492">
          <cell r="A1492" t="str">
            <v>US21871N1019</v>
          </cell>
          <cell r="E1492">
            <v>19.509180755999999</v>
          </cell>
        </row>
        <row r="1493">
          <cell r="A1493" t="str">
            <v>SE0010714287</v>
          </cell>
          <cell r="E1493">
            <v>0.41133602772</v>
          </cell>
        </row>
        <row r="1494">
          <cell r="A1494" t="str">
            <v>SE0010714311</v>
          </cell>
          <cell r="E1494">
            <v>19.793072200000001</v>
          </cell>
        </row>
        <row r="1495">
          <cell r="A1495" t="str">
            <v>US2193501051</v>
          </cell>
          <cell r="E1495">
            <v>36.882062080799997</v>
          </cell>
        </row>
        <row r="1496">
          <cell r="A1496" t="str">
            <v>AU0000026122</v>
          </cell>
          <cell r="E1496">
            <v>0.1322193143</v>
          </cell>
        </row>
        <row r="1497">
          <cell r="A1497" t="str">
            <v>ES0105563003</v>
          </cell>
          <cell r="E1497">
            <v>16.059999999999999</v>
          </cell>
        </row>
        <row r="1498">
          <cell r="A1498" t="str">
            <v>ES0117160111</v>
          </cell>
          <cell r="E1498">
            <v>83.71</v>
          </cell>
        </row>
        <row r="1499">
          <cell r="A1499" t="str">
            <v>US2199481068</v>
          </cell>
          <cell r="E1499">
            <v>276.16525374240001</v>
          </cell>
        </row>
        <row r="1500">
          <cell r="A1500" t="str">
            <v>ES0124244E34</v>
          </cell>
          <cell r="E1500">
            <v>2.85</v>
          </cell>
        </row>
        <row r="1501">
          <cell r="A1501" t="str">
            <v>AU000000CTD3</v>
          </cell>
          <cell r="E1501">
            <v>7.0723267266000001</v>
          </cell>
        </row>
        <row r="1502">
          <cell r="A1502" t="str">
            <v>US22052L1044</v>
          </cell>
          <cell r="E1502">
            <v>52.701271092000013</v>
          </cell>
        </row>
        <row r="1503">
          <cell r="A1503" t="str">
            <v>PTCOR0AE0006</v>
          </cell>
          <cell r="E1503">
            <v>7.41</v>
          </cell>
        </row>
        <row r="1504">
          <cell r="A1504" t="str">
            <v>US2210061097</v>
          </cell>
          <cell r="E1504">
            <v>104.7492935976</v>
          </cell>
        </row>
        <row r="1505">
          <cell r="A1505" t="str">
            <v>JP3283700007</v>
          </cell>
          <cell r="E1505">
            <v>6.4260903200000001</v>
          </cell>
        </row>
        <row r="1506">
          <cell r="A1506" t="str">
            <v>JP3298000005</v>
          </cell>
          <cell r="E1506">
            <v>34.363193279999997</v>
          </cell>
        </row>
        <row r="1507">
          <cell r="A1507" t="str">
            <v>NL0011832936</v>
          </cell>
          <cell r="E1507">
            <v>52.154195099999988</v>
          </cell>
        </row>
        <row r="1508">
          <cell r="A1508" t="str">
            <v>JP3298400007</v>
          </cell>
          <cell r="E1508">
            <v>52.286975519999999</v>
          </cell>
        </row>
        <row r="1509">
          <cell r="A1509" t="str">
            <v>US22160N1090</v>
          </cell>
          <cell r="E1509">
            <v>71.071680663600006</v>
          </cell>
        </row>
        <row r="1510">
          <cell r="A1510" t="str">
            <v>US22160K1051</v>
          </cell>
          <cell r="E1510">
            <v>862.3940662512</v>
          </cell>
        </row>
        <row r="1511">
          <cell r="A1511" t="str">
            <v>JP3298900006</v>
          </cell>
          <cell r="E1511">
            <v>8.5413192799999997</v>
          </cell>
        </row>
        <row r="1512">
          <cell r="A1512" t="str">
            <v>US1270971039</v>
          </cell>
          <cell r="E1512">
            <v>22.3516948752</v>
          </cell>
        </row>
        <row r="1513">
          <cell r="A1513" t="str">
            <v>US2220702037</v>
          </cell>
          <cell r="E1513">
            <v>4.1931497100000001</v>
          </cell>
        </row>
        <row r="1514">
          <cell r="A1514" t="str">
            <v>US22207T1016</v>
          </cell>
          <cell r="E1514">
            <v>13.303319185199999</v>
          </cell>
        </row>
        <row r="1515">
          <cell r="A1515" t="str">
            <v>US22266T1097</v>
          </cell>
          <cell r="E1515">
            <v>18.961864372800001</v>
          </cell>
        </row>
        <row r="1516">
          <cell r="A1516" t="str">
            <v>US22266M1045</v>
          </cell>
          <cell r="E1516">
            <v>6.1528954691999997</v>
          </cell>
        </row>
        <row r="1517">
          <cell r="A1517" t="str">
            <v>FR0000065393</v>
          </cell>
          <cell r="E1517">
            <v>121</v>
          </cell>
        </row>
        <row r="1518">
          <cell r="A1518" t="str">
            <v>US2227955026</v>
          </cell>
          <cell r="E1518">
            <v>23.728813516799999</v>
          </cell>
        </row>
        <row r="1519">
          <cell r="A1519" t="str">
            <v>JP3218500001</v>
          </cell>
          <cell r="E1519">
            <v>14.63342608</v>
          </cell>
        </row>
        <row r="1520">
          <cell r="A1520" t="str">
            <v>DE000A40KY26</v>
          </cell>
          <cell r="E1520">
            <v>59.3</v>
          </cell>
        </row>
        <row r="1521">
          <cell r="A1521" t="str">
            <v>FR0000064578</v>
          </cell>
          <cell r="E1521">
            <v>49.9</v>
          </cell>
        </row>
        <row r="1522">
          <cell r="A1522" t="str">
            <v>FR0000060303</v>
          </cell>
          <cell r="E1522">
            <v>22.5</v>
          </cell>
        </row>
        <row r="1523">
          <cell r="A1523" t="str">
            <v>AT0000A21KS2</v>
          </cell>
          <cell r="E1523">
            <v>17.39</v>
          </cell>
        </row>
        <row r="1524">
          <cell r="A1524" t="str">
            <v>US12618T1051</v>
          </cell>
          <cell r="E1524">
            <v>147.2722454988</v>
          </cell>
        </row>
        <row r="1525">
          <cell r="A1525" t="str">
            <v>US22410J1060</v>
          </cell>
          <cell r="E1525">
            <v>38.2326976716</v>
          </cell>
        </row>
        <row r="1526">
          <cell r="A1526" t="str">
            <v>US2244081046</v>
          </cell>
          <cell r="E1526">
            <v>125.29131333479999</v>
          </cell>
        </row>
        <row r="1527">
          <cell r="A1527" t="str">
            <v>US2244411052</v>
          </cell>
          <cell r="E1527">
            <v>39.450918008400002</v>
          </cell>
        </row>
        <row r="1528">
          <cell r="A1528" t="str">
            <v>GB00B2425G68</v>
          </cell>
          <cell r="E1528">
            <v>18.123359499999999</v>
          </cell>
        </row>
        <row r="1529">
          <cell r="A1529" t="str">
            <v>GB0002318888</v>
          </cell>
          <cell r="E1529">
            <v>58.9301496</v>
          </cell>
        </row>
        <row r="1530">
          <cell r="A1530" t="str">
            <v>NO0010808892</v>
          </cell>
          <cell r="E1530">
            <v>9.6040016640000001</v>
          </cell>
        </row>
        <row r="1531">
          <cell r="A1531" t="str">
            <v>FR0000044323</v>
          </cell>
          <cell r="E1531">
            <v>86.53</v>
          </cell>
        </row>
        <row r="1532">
          <cell r="A1532" t="str">
            <v>FR0000185506</v>
          </cell>
          <cell r="E1532">
            <v>95.6</v>
          </cell>
        </row>
        <row r="1533">
          <cell r="A1533" t="str">
            <v>FR0010483768</v>
          </cell>
          <cell r="E1533">
            <v>20.7</v>
          </cell>
        </row>
        <row r="1534">
          <cell r="A1534" t="str">
            <v>FR0000045213</v>
          </cell>
          <cell r="E1534">
            <v>72.5</v>
          </cell>
        </row>
        <row r="1535">
          <cell r="A1535" t="str">
            <v>FR0010461053</v>
          </cell>
          <cell r="E1535">
            <v>55.01</v>
          </cell>
        </row>
        <row r="1536">
          <cell r="A1536" t="str">
            <v>FR0000045239</v>
          </cell>
          <cell r="E1536">
            <v>65.010000000000005</v>
          </cell>
        </row>
        <row r="1537">
          <cell r="A1537" t="str">
            <v>FR0000045551</v>
          </cell>
          <cell r="E1537">
            <v>70.53</v>
          </cell>
        </row>
        <row r="1538">
          <cell r="A1538" t="str">
            <v>FR0000185514</v>
          </cell>
          <cell r="E1538">
            <v>16.475999999999999</v>
          </cell>
        </row>
        <row r="1539">
          <cell r="A1539" t="str">
            <v>FR0000044364</v>
          </cell>
          <cell r="E1539">
            <v>91.25</v>
          </cell>
        </row>
        <row r="1540">
          <cell r="A1540" t="str">
            <v>FR0000045528</v>
          </cell>
          <cell r="E1540">
            <v>63.6</v>
          </cell>
        </row>
        <row r="1541">
          <cell r="A1541" t="str">
            <v>FR0000045346</v>
          </cell>
          <cell r="E1541">
            <v>133.02000000000001</v>
          </cell>
        </row>
        <row r="1542">
          <cell r="A1542" t="str">
            <v>FR0000045304</v>
          </cell>
          <cell r="E1542">
            <v>79.25</v>
          </cell>
        </row>
        <row r="1543">
          <cell r="A1543" t="str">
            <v>JP3048680007</v>
          </cell>
          <cell r="E1543">
            <v>879.48993600000006</v>
          </cell>
        </row>
        <row r="1544">
          <cell r="A1544" t="str">
            <v>IT0005408593</v>
          </cell>
          <cell r="E1544">
            <v>2.7</v>
          </cell>
        </row>
        <row r="1545">
          <cell r="A1545" t="str">
            <v>JP3269930008</v>
          </cell>
          <cell r="E1545">
            <v>8.3990670400000003</v>
          </cell>
        </row>
        <row r="1546">
          <cell r="A1546" t="str">
            <v>JP3269940007</v>
          </cell>
          <cell r="E1546">
            <v>18.678337599999999</v>
          </cell>
        </row>
        <row r="1547">
          <cell r="A1547" t="str">
            <v>IT0003121677</v>
          </cell>
          <cell r="E1547">
            <v>11.4</v>
          </cell>
        </row>
        <row r="1548">
          <cell r="A1548" t="str">
            <v>BMG2519Y1084</v>
          </cell>
          <cell r="E1548">
            <v>163.3827680688</v>
          </cell>
        </row>
        <row r="1549">
          <cell r="A1549" t="str">
            <v>US2253101016</v>
          </cell>
          <cell r="E1549">
            <v>431.38241448119999</v>
          </cell>
        </row>
        <row r="1550">
          <cell r="A1550" t="str">
            <v>FR0000045072</v>
          </cell>
          <cell r="E1550">
            <v>16.100000000000001</v>
          </cell>
        </row>
        <row r="1551">
          <cell r="A1551" t="str">
            <v>AU000000CCP3</v>
          </cell>
          <cell r="E1551">
            <v>7.010436834800001</v>
          </cell>
        </row>
        <row r="1552">
          <cell r="A1552" t="str">
            <v>JP3271400008</v>
          </cell>
          <cell r="E1552">
            <v>19.142203599999998</v>
          </cell>
        </row>
        <row r="1553">
          <cell r="A1553" t="str">
            <v>KYG254571055</v>
          </cell>
          <cell r="E1553">
            <v>34.586864344799999</v>
          </cell>
        </row>
        <row r="1554">
          <cell r="A1554" t="str">
            <v>BE0003836534</v>
          </cell>
          <cell r="E1554">
            <v>6.4000000000000003E-3</v>
          </cell>
        </row>
        <row r="1555">
          <cell r="A1555" t="str">
            <v>US44952J1043</v>
          </cell>
          <cell r="E1555">
            <v>6.8502824736000001</v>
          </cell>
        </row>
        <row r="1556">
          <cell r="A1556" t="str">
            <v>JP3271100004</v>
          </cell>
          <cell r="E1556">
            <v>7.1126120000000004</v>
          </cell>
        </row>
        <row r="1557">
          <cell r="A1557" t="str">
            <v>GB00B8VZXT93</v>
          </cell>
          <cell r="E1557">
            <v>1.9152298619999999</v>
          </cell>
        </row>
        <row r="1558">
          <cell r="A1558" t="str">
            <v>IE0001827041</v>
          </cell>
          <cell r="E1558">
            <v>76.468884599999996</v>
          </cell>
        </row>
        <row r="1559">
          <cell r="A1559" t="str">
            <v>IE0001827041</v>
          </cell>
          <cell r="E1559">
            <v>75.873940542</v>
          </cell>
        </row>
        <row r="1560">
          <cell r="A1560" t="str">
            <v>IE0001827264</v>
          </cell>
          <cell r="E1560">
            <v>0.91</v>
          </cell>
        </row>
        <row r="1561">
          <cell r="A1561" t="str">
            <v>US22663K1079</v>
          </cell>
          <cell r="E1561">
            <v>26.182909557599999</v>
          </cell>
        </row>
        <row r="1562">
          <cell r="A1562" t="str">
            <v>CH0334081137</v>
          </cell>
          <cell r="E1562">
            <v>34.383827622000013</v>
          </cell>
        </row>
        <row r="1563">
          <cell r="A1563" t="str">
            <v>US2270461096</v>
          </cell>
          <cell r="E1563">
            <v>79.387358614800007</v>
          </cell>
        </row>
        <row r="1564">
          <cell r="A1564" t="str">
            <v>GB00BJFFLV09</v>
          </cell>
          <cell r="E1564">
            <v>31.148793359999999</v>
          </cell>
        </row>
        <row r="1565">
          <cell r="A1565" t="str">
            <v>CA2271071094</v>
          </cell>
          <cell r="E1565">
            <v>9.1082196589999995</v>
          </cell>
        </row>
        <row r="1566">
          <cell r="A1566" t="str">
            <v>AU000000CMW8</v>
          </cell>
          <cell r="E1566">
            <v>0.21098826749999999</v>
          </cell>
        </row>
        <row r="1567">
          <cell r="A1567" t="str">
            <v>FR0011716265</v>
          </cell>
          <cell r="E1567">
            <v>0.81100000000000005</v>
          </cell>
        </row>
        <row r="1568">
          <cell r="A1568" t="str">
            <v>FR0000050395</v>
          </cell>
          <cell r="E1568">
            <v>11</v>
          </cell>
        </row>
        <row r="1569">
          <cell r="A1569" t="str">
            <v>IT0005353575</v>
          </cell>
          <cell r="E1569">
            <v>1.21</v>
          </cell>
        </row>
        <row r="1570">
          <cell r="A1570" t="str">
            <v>US22788C1053</v>
          </cell>
          <cell r="E1570">
            <v>346.751411808</v>
          </cell>
        </row>
        <row r="1571">
          <cell r="A1571" t="str">
            <v>US22822V1017</v>
          </cell>
          <cell r="E1571">
            <v>88.727047863600006</v>
          </cell>
        </row>
        <row r="1572">
          <cell r="A1572" t="str">
            <v>US2283681060</v>
          </cell>
          <cell r="E1572">
            <v>74.849929244400002</v>
          </cell>
        </row>
        <row r="1573">
          <cell r="A1573" t="str">
            <v>KYG2701R1011</v>
          </cell>
          <cell r="E1573">
            <v>0.50760267959999994</v>
          </cell>
        </row>
        <row r="1574">
          <cell r="A1574" t="str">
            <v>SG1G47869290</v>
          </cell>
          <cell r="E1574">
            <v>0.27169355745000001</v>
          </cell>
        </row>
        <row r="1575">
          <cell r="A1575" t="str">
            <v>US1263491094</v>
          </cell>
          <cell r="E1575">
            <v>52.718926459199999</v>
          </cell>
        </row>
        <row r="1576">
          <cell r="A1576" t="str">
            <v>AU000000CSL8</v>
          </cell>
          <cell r="E1576">
            <v>137.33929625799999</v>
          </cell>
        </row>
        <row r="1577">
          <cell r="A1577" t="str">
            <v>US1264021064</v>
          </cell>
          <cell r="E1577">
            <v>262.78248540480001</v>
          </cell>
        </row>
        <row r="1578">
          <cell r="A1578" t="str">
            <v>US1264081035</v>
          </cell>
          <cell r="E1578">
            <v>24.629237243999999</v>
          </cell>
        </row>
        <row r="1579">
          <cell r="A1579" t="str">
            <v>CA1264621006</v>
          </cell>
          <cell r="E1579">
            <v>9.1970803385999993</v>
          </cell>
        </row>
        <row r="1580">
          <cell r="A1580" t="str">
            <v>NL0000345577</v>
          </cell>
          <cell r="E1580">
            <v>3.47</v>
          </cell>
        </row>
        <row r="1581">
          <cell r="A1581" t="str">
            <v>JP3281900005</v>
          </cell>
          <cell r="E1581">
            <v>14.534468</v>
          </cell>
        </row>
        <row r="1582">
          <cell r="A1582" t="str">
            <v>NL00150006R6</v>
          </cell>
          <cell r="E1582">
            <v>15.98</v>
          </cell>
        </row>
        <row r="1583">
          <cell r="A1583" t="str">
            <v>US1265011056</v>
          </cell>
          <cell r="E1583">
            <v>32.962570562400003</v>
          </cell>
        </row>
        <row r="1584">
          <cell r="A1584" t="str">
            <v>DE0005470306</v>
          </cell>
          <cell r="E1584">
            <v>97.4</v>
          </cell>
        </row>
        <row r="1585">
          <cell r="A1585" t="str">
            <v>PTCTT0AM0001</v>
          </cell>
          <cell r="E1585">
            <v>7.12</v>
          </cell>
        </row>
        <row r="1586">
          <cell r="A1586" t="str">
            <v>SE0000418923</v>
          </cell>
          <cell r="E1586">
            <v>17.6410254408</v>
          </cell>
        </row>
        <row r="1587">
          <cell r="A1587" t="str">
            <v>IT0005532483</v>
          </cell>
          <cell r="E1587">
            <v>2.2400000000000002</v>
          </cell>
        </row>
        <row r="1588">
          <cell r="A1588" t="str">
            <v>US2296631094</v>
          </cell>
          <cell r="E1588">
            <v>34.013064910799997</v>
          </cell>
        </row>
        <row r="1589">
          <cell r="A1589" t="str">
            <v>JP3347080008</v>
          </cell>
          <cell r="E1589">
            <v>8.0588986400000007</v>
          </cell>
        </row>
        <row r="1590">
          <cell r="A1590" t="str">
            <v>US2298991090</v>
          </cell>
          <cell r="E1590">
            <v>98.684674964400003</v>
          </cell>
        </row>
        <row r="1591">
          <cell r="A1591" t="str">
            <v>IT0005257347</v>
          </cell>
          <cell r="E1591">
            <v>11.8</v>
          </cell>
        </row>
        <row r="1592">
          <cell r="A1592" t="str">
            <v>US2310211063</v>
          </cell>
          <cell r="E1592">
            <v>253.67231592959999</v>
          </cell>
        </row>
        <row r="1593">
          <cell r="A1593" t="str">
            <v>BE0003463685</v>
          </cell>
          <cell r="E1593">
            <v>0.94</v>
          </cell>
        </row>
        <row r="1594">
          <cell r="A1594" t="str">
            <v>JP3266030000</v>
          </cell>
          <cell r="E1594">
            <v>47.4998784</v>
          </cell>
        </row>
        <row r="1595">
          <cell r="A1595" t="str">
            <v>US23128Q1013</v>
          </cell>
          <cell r="E1595">
            <v>20.1182909244</v>
          </cell>
        </row>
        <row r="1596">
          <cell r="A1596" t="str">
            <v>GB00B4Y7R145</v>
          </cell>
          <cell r="E1596">
            <v>1.15755651</v>
          </cell>
        </row>
        <row r="1597">
          <cell r="A1597" t="str">
            <v>US2315611010</v>
          </cell>
          <cell r="E1597">
            <v>283.22740062240001</v>
          </cell>
        </row>
        <row r="1598">
          <cell r="A1598" t="str">
            <v>JP3205100005</v>
          </cell>
          <cell r="E1598">
            <v>3.9830627199999999</v>
          </cell>
        </row>
        <row r="1599">
          <cell r="A1599" t="str">
            <v>AU0000362105</v>
          </cell>
          <cell r="E1599">
            <v>1.4178411576000001</v>
          </cell>
        </row>
        <row r="1600">
          <cell r="A1600" t="str">
            <v>GB00BFZ4N465</v>
          </cell>
          <cell r="E1600">
            <v>7.2740112864000004</v>
          </cell>
        </row>
        <row r="1601">
          <cell r="A1601" t="str">
            <v>GB00BJFLFT45</v>
          </cell>
          <cell r="E1601">
            <v>0.88161374600000009</v>
          </cell>
        </row>
        <row r="1602">
          <cell r="A1602" t="str">
            <v>US23204G1004</v>
          </cell>
          <cell r="E1602">
            <v>39.901129872000013</v>
          </cell>
        </row>
        <row r="1603">
          <cell r="A1603" t="str">
            <v>US1266001056</v>
          </cell>
          <cell r="E1603">
            <v>15.2365818936</v>
          </cell>
        </row>
        <row r="1604">
          <cell r="A1604" t="str">
            <v>JE00BRX98089</v>
          </cell>
          <cell r="E1604">
            <v>15.52</v>
          </cell>
        </row>
        <row r="1605">
          <cell r="A1605" t="str">
            <v>US12662P1084</v>
          </cell>
          <cell r="E1605">
            <v>15.651483022800001</v>
          </cell>
        </row>
        <row r="1606">
          <cell r="A1606" t="str">
            <v>GB00B2863827</v>
          </cell>
          <cell r="E1606">
            <v>11.94972478</v>
          </cell>
        </row>
        <row r="1607">
          <cell r="A1607" t="str">
            <v>US1266501006</v>
          </cell>
          <cell r="E1607">
            <v>60.840395371200003</v>
          </cell>
        </row>
        <row r="1608">
          <cell r="A1608" t="str">
            <v>JP3311400000</v>
          </cell>
          <cell r="E1608">
            <v>6.7229645600000003</v>
          </cell>
        </row>
        <row r="1609">
          <cell r="A1609" t="str">
            <v>IL0011334468</v>
          </cell>
          <cell r="E1609">
            <v>295.13594579879998</v>
          </cell>
        </row>
        <row r="1610">
          <cell r="A1610" t="str">
            <v>FR0014004QR6</v>
          </cell>
          <cell r="E1610">
            <v>2.0000000000000001E-4</v>
          </cell>
        </row>
        <row r="1611">
          <cell r="A1611" t="str">
            <v>IT0005546103</v>
          </cell>
          <cell r="E1611">
            <v>1.4950000000000001</v>
          </cell>
        </row>
        <row r="1612">
          <cell r="A1612" t="str">
            <v>JP3312100005</v>
          </cell>
          <cell r="E1612">
            <v>17.960891520000001</v>
          </cell>
        </row>
        <row r="1613">
          <cell r="A1613" t="str">
            <v>US23285D1090</v>
          </cell>
          <cell r="E1613">
            <v>3.2838982992000001</v>
          </cell>
        </row>
        <row r="1614">
          <cell r="A1614" t="str">
            <v>US23282W6057</v>
          </cell>
          <cell r="E1614">
            <v>34.0395479616</v>
          </cell>
        </row>
        <row r="1615">
          <cell r="A1615" t="str">
            <v>NO0010015175</v>
          </cell>
          <cell r="E1615">
            <v>2.5010420999999998</v>
          </cell>
        </row>
        <row r="1616">
          <cell r="A1616" t="str">
            <v>FR0010404368</v>
          </cell>
          <cell r="E1616">
            <v>11.4</v>
          </cell>
        </row>
        <row r="1617">
          <cell r="A1617" t="str">
            <v>US23331A1097</v>
          </cell>
          <cell r="E1617">
            <v>105.7644772116</v>
          </cell>
        </row>
        <row r="1618">
          <cell r="A1618" t="str">
            <v>CH0030486770</v>
          </cell>
          <cell r="E1618">
            <v>126.9841272</v>
          </cell>
        </row>
        <row r="1619">
          <cell r="A1619" t="str">
            <v>HK2356013600</v>
          </cell>
          <cell r="E1619">
            <v>0.8922881184</v>
          </cell>
        </row>
        <row r="1620">
          <cell r="A1620" t="str">
            <v>HK0440001847</v>
          </cell>
          <cell r="E1620">
            <v>2.998953051</v>
          </cell>
        </row>
        <row r="1621">
          <cell r="A1621" t="str">
            <v>JP3493800001</v>
          </cell>
          <cell r="E1621">
            <v>12.215138</v>
          </cell>
        </row>
        <row r="1622">
          <cell r="A1622" t="str">
            <v>JP3495400008</v>
          </cell>
          <cell r="E1622">
            <v>7.0940573599999999</v>
          </cell>
        </row>
        <row r="1623">
          <cell r="A1623" t="str">
            <v>JP3485800001</v>
          </cell>
          <cell r="E1623">
            <v>7.2548642399999999</v>
          </cell>
        </row>
        <row r="1624">
          <cell r="A1624" t="str">
            <v>JP3486000007</v>
          </cell>
          <cell r="E1624">
            <v>22.358341200000002</v>
          </cell>
        </row>
        <row r="1625">
          <cell r="A1625" t="str">
            <v>JP3491800003</v>
          </cell>
          <cell r="E1625">
            <v>2.8203052799999999</v>
          </cell>
        </row>
        <row r="1626">
          <cell r="A1626" t="str">
            <v>JP3491000000</v>
          </cell>
          <cell r="E1626">
            <v>6.2034346400000002</v>
          </cell>
        </row>
        <row r="1627">
          <cell r="A1627" t="str">
            <v>JP3488600002</v>
          </cell>
          <cell r="E1627">
            <v>4.8613156800000006</v>
          </cell>
        </row>
        <row r="1628">
          <cell r="A1628" t="str">
            <v>JP3480470008</v>
          </cell>
          <cell r="E1628">
            <v>18.220656479999999</v>
          </cell>
        </row>
        <row r="1629">
          <cell r="A1629" t="str">
            <v>JP3497400006</v>
          </cell>
          <cell r="E1629">
            <v>21.616155599999999</v>
          </cell>
        </row>
        <row r="1630">
          <cell r="A1630" t="str">
            <v>JP3497800007</v>
          </cell>
          <cell r="E1630">
            <v>35.6249088</v>
          </cell>
        </row>
        <row r="1631">
          <cell r="A1631" t="str">
            <v>JP3475800003</v>
          </cell>
          <cell r="E1631">
            <v>13.396450079999999</v>
          </cell>
        </row>
        <row r="1632">
          <cell r="A1632" t="str">
            <v>JP3474610007</v>
          </cell>
          <cell r="E1632">
            <v>15.04162816</v>
          </cell>
        </row>
        <row r="1633">
          <cell r="A1633" t="str">
            <v>JP3476480003</v>
          </cell>
          <cell r="E1633">
            <v>5.6480324160000004</v>
          </cell>
        </row>
        <row r="1634">
          <cell r="A1634" t="str">
            <v>JP3475350009</v>
          </cell>
          <cell r="E1634">
            <v>19.89057408</v>
          </cell>
        </row>
        <row r="1635">
          <cell r="A1635" t="str">
            <v>JP3475200006</v>
          </cell>
          <cell r="E1635">
            <v>10.551405280000001</v>
          </cell>
        </row>
        <row r="1636">
          <cell r="A1636" t="str">
            <v>JP3480600000</v>
          </cell>
          <cell r="E1636">
            <v>5.5725768800000006</v>
          </cell>
        </row>
        <row r="1637">
          <cell r="A1637" t="str">
            <v>JP3481800005</v>
          </cell>
          <cell r="E1637">
            <v>97.844801599999997</v>
          </cell>
        </row>
        <row r="1638">
          <cell r="A1638" t="str">
            <v>JP3483050005</v>
          </cell>
          <cell r="E1638">
            <v>46.015507200000002</v>
          </cell>
        </row>
        <row r="1639">
          <cell r="A1639" t="str">
            <v>JP3481300006</v>
          </cell>
          <cell r="E1639">
            <v>3.3954991200000002</v>
          </cell>
        </row>
        <row r="1640">
          <cell r="A1640" t="str">
            <v>DE000DTR0CK8</v>
          </cell>
          <cell r="E1640">
            <v>34.130000000000003</v>
          </cell>
        </row>
        <row r="1641">
          <cell r="A1641" t="str">
            <v>JP3492200005</v>
          </cell>
          <cell r="E1641">
            <v>17.132117600000001</v>
          </cell>
        </row>
        <row r="1642">
          <cell r="A1642" t="str">
            <v>JP3440400004</v>
          </cell>
          <cell r="E1642">
            <v>5.0159376800000004</v>
          </cell>
        </row>
        <row r="1643">
          <cell r="A1643" t="str">
            <v>JP3485600005</v>
          </cell>
          <cell r="E1643">
            <v>22.296492400000002</v>
          </cell>
        </row>
        <row r="1644">
          <cell r="A1644" t="str">
            <v>JP3483850008</v>
          </cell>
          <cell r="E1644">
            <v>17.064083920000002</v>
          </cell>
        </row>
        <row r="1645">
          <cell r="A1645" t="str">
            <v>JP3484400001</v>
          </cell>
          <cell r="E1645">
            <v>3.0677004800000001</v>
          </cell>
        </row>
        <row r="1646">
          <cell r="A1646" t="str">
            <v>JP3486150000</v>
          </cell>
          <cell r="E1646">
            <v>12.85836552</v>
          </cell>
        </row>
        <row r="1647">
          <cell r="A1647" t="str">
            <v>JP3486800000</v>
          </cell>
          <cell r="E1647">
            <v>95.46362280000001</v>
          </cell>
        </row>
        <row r="1648">
          <cell r="A1648" t="str">
            <v>JP3487600003</v>
          </cell>
          <cell r="E1648">
            <v>18.802035199999999</v>
          </cell>
        </row>
        <row r="1649">
          <cell r="A1649" t="str">
            <v>JP3505000004</v>
          </cell>
          <cell r="E1649">
            <v>31.054282480000001</v>
          </cell>
        </row>
        <row r="1650">
          <cell r="A1650" t="str">
            <v>SGXC62140063</v>
          </cell>
          <cell r="E1650">
            <v>0.37232080094999997</v>
          </cell>
        </row>
        <row r="1651">
          <cell r="A1651" t="str">
            <v>JP3046390005</v>
          </cell>
          <cell r="E1651">
            <v>1465.1980719999999</v>
          </cell>
        </row>
        <row r="1652">
          <cell r="A1652" t="str">
            <v>JP3505800007</v>
          </cell>
          <cell r="E1652">
            <v>9.3824629599999998</v>
          </cell>
        </row>
        <row r="1653">
          <cell r="A1653" t="str">
            <v>JP3046310003</v>
          </cell>
          <cell r="E1653">
            <v>1840.0018</v>
          </cell>
        </row>
        <row r="1654">
          <cell r="A1654" t="str">
            <v>JP3502200003</v>
          </cell>
          <cell r="E1654">
            <v>5.4927919279999999</v>
          </cell>
        </row>
        <row r="1655">
          <cell r="A1655" t="str">
            <v>JP3046410001</v>
          </cell>
          <cell r="E1655">
            <v>560.35012800000004</v>
          </cell>
        </row>
        <row r="1656">
          <cell r="A1656" t="str">
            <v>JP3505400006</v>
          </cell>
          <cell r="E1656">
            <v>14.29635012</v>
          </cell>
        </row>
        <row r="1657">
          <cell r="A1657" t="str">
            <v>SE0000201253</v>
          </cell>
          <cell r="E1657">
            <v>9.6716148250000007</v>
          </cell>
        </row>
        <row r="1658">
          <cell r="A1658" t="str">
            <v>IE00BJMZDW83</v>
          </cell>
          <cell r="E1658">
            <v>5.2</v>
          </cell>
        </row>
        <row r="1659">
          <cell r="A1659" t="str">
            <v>AU0000120628</v>
          </cell>
          <cell r="E1659">
            <v>2.1773989206</v>
          </cell>
        </row>
        <row r="1660">
          <cell r="A1660" t="str">
            <v>FR0000185423</v>
          </cell>
          <cell r="E1660">
            <v>4.2</v>
          </cell>
        </row>
        <row r="1661">
          <cell r="A1661" t="str">
            <v>LU2592315662</v>
          </cell>
          <cell r="E1661">
            <v>3.0739999999999998</v>
          </cell>
        </row>
        <row r="1662">
          <cell r="A1662" t="str">
            <v>US2358252052</v>
          </cell>
          <cell r="E1662">
            <v>9.781073428800001</v>
          </cell>
        </row>
        <row r="1663">
          <cell r="A1663" t="str">
            <v>US2358511028</v>
          </cell>
          <cell r="E1663">
            <v>167.65536693120001</v>
          </cell>
        </row>
        <row r="1664">
          <cell r="A1664" t="str">
            <v>IL0003140139</v>
          </cell>
          <cell r="E1664">
            <v>94.760290799999993</v>
          </cell>
        </row>
        <row r="1665">
          <cell r="A1665" t="str">
            <v>IT0000076502</v>
          </cell>
          <cell r="E1665">
            <v>28.05</v>
          </cell>
        </row>
        <row r="1666">
          <cell r="A1666" t="str">
            <v>IT0000076486</v>
          </cell>
          <cell r="E1666">
            <v>21.84</v>
          </cell>
        </row>
        <row r="1667">
          <cell r="A1667" t="str">
            <v>DK0061140407</v>
          </cell>
          <cell r="E1667">
            <v>1.07164624</v>
          </cell>
        </row>
        <row r="1668">
          <cell r="A1668" t="str">
            <v>FR0000120644</v>
          </cell>
          <cell r="E1668">
            <v>72.959999999999994</v>
          </cell>
        </row>
        <row r="1669">
          <cell r="A1669" t="str">
            <v>DK0010274414</v>
          </cell>
          <cell r="E1669">
            <v>28.8004927</v>
          </cell>
        </row>
        <row r="1670">
          <cell r="A1670" t="str">
            <v>IL0011731374</v>
          </cell>
          <cell r="E1670">
            <v>25.994274300000001</v>
          </cell>
        </row>
        <row r="1671">
          <cell r="A1671" t="str">
            <v>US2371941053</v>
          </cell>
          <cell r="E1671">
            <v>176.1652539216</v>
          </cell>
        </row>
        <row r="1672">
          <cell r="A1672" t="str">
            <v>US2372661015</v>
          </cell>
          <cell r="E1672">
            <v>26.050494303600001</v>
          </cell>
        </row>
        <row r="1673">
          <cell r="A1673" t="str">
            <v>FR0014004L86</v>
          </cell>
          <cell r="E1673">
            <v>309.8</v>
          </cell>
        </row>
        <row r="1674">
          <cell r="A1674" t="str">
            <v>FR0014003TT8</v>
          </cell>
          <cell r="E1674">
            <v>33.54</v>
          </cell>
        </row>
        <row r="1675">
          <cell r="A1675" t="str">
            <v>AU000000DTL4</v>
          </cell>
          <cell r="E1675">
            <v>4.1297436891999997</v>
          </cell>
        </row>
        <row r="1676">
          <cell r="A1676" t="str">
            <v>US23804L1035</v>
          </cell>
          <cell r="E1676">
            <v>81.700211718000006</v>
          </cell>
        </row>
        <row r="1677">
          <cell r="A1677" t="str">
            <v>IE0000527006</v>
          </cell>
          <cell r="E1677">
            <v>0.35</v>
          </cell>
        </row>
        <row r="1678">
          <cell r="A1678" t="str">
            <v>IT0004053440</v>
          </cell>
          <cell r="E1678">
            <v>3.9350000000000001</v>
          </cell>
        </row>
        <row r="1679">
          <cell r="A1679" t="str">
            <v>IT0005468357</v>
          </cell>
          <cell r="E1679">
            <v>1.2949999999999999</v>
          </cell>
        </row>
        <row r="1680">
          <cell r="A1680" t="str">
            <v>US23918K1088</v>
          </cell>
          <cell r="E1680">
            <v>129.13135570079999</v>
          </cell>
        </row>
        <row r="1681">
          <cell r="A1681" t="str">
            <v>US15677J1088</v>
          </cell>
          <cell r="E1681">
            <v>49.267302171600001</v>
          </cell>
        </row>
        <row r="1682">
          <cell r="A1682" t="str">
            <v>IT0005285942</v>
          </cell>
          <cell r="E1682">
            <v>3.96</v>
          </cell>
        </row>
        <row r="1683">
          <cell r="A1683" t="str">
            <v>SG1L01001701</v>
          </cell>
          <cell r="E1683">
            <v>26.807097668400001</v>
          </cell>
        </row>
        <row r="1684">
          <cell r="A1684" t="str">
            <v>FR001400LO86</v>
          </cell>
          <cell r="E1684">
            <v>0.51</v>
          </cell>
        </row>
        <row r="1685">
          <cell r="A1685" t="str">
            <v>FR0010417345</v>
          </cell>
          <cell r="E1685">
            <v>1.3140000000000001</v>
          </cell>
        </row>
        <row r="1686">
          <cell r="A1686" t="str">
            <v>IE0002424939</v>
          </cell>
          <cell r="E1686">
            <v>57.971365419999998</v>
          </cell>
        </row>
        <row r="1687">
          <cell r="A1687" t="str">
            <v>JP3548660004</v>
          </cell>
          <cell r="E1687">
            <v>7.9228312799999996</v>
          </cell>
        </row>
        <row r="1688">
          <cell r="A1688" t="str">
            <v>AU000000DEG6</v>
          </cell>
          <cell r="E1688">
            <v>1.4515992804</v>
          </cell>
        </row>
        <row r="1689">
          <cell r="A1689" t="str">
            <v>JP3548720006</v>
          </cell>
          <cell r="E1689">
            <v>6.5126786399999999</v>
          </cell>
        </row>
        <row r="1690">
          <cell r="A1690" t="str">
            <v>BE0003789063</v>
          </cell>
          <cell r="E1690">
            <v>2.14</v>
          </cell>
        </row>
        <row r="1691">
          <cell r="A1691" t="str">
            <v>US2435371073</v>
          </cell>
          <cell r="E1691">
            <v>91.966807744800008</v>
          </cell>
        </row>
        <row r="1692">
          <cell r="A1692" t="str">
            <v>NO0010955917</v>
          </cell>
          <cell r="E1692">
            <v>1.2288453518</v>
          </cell>
        </row>
        <row r="1693">
          <cell r="A1693" t="str">
            <v>AU000000DYL4</v>
          </cell>
          <cell r="E1693">
            <v>0.53169043409999994</v>
          </cell>
        </row>
        <row r="1694">
          <cell r="A1694" t="str">
            <v>US2441991054</v>
          </cell>
          <cell r="E1694">
            <v>407.18573373359999</v>
          </cell>
        </row>
        <row r="1695">
          <cell r="A1695" t="str">
            <v>FR001400AYG6</v>
          </cell>
          <cell r="E1695">
            <v>1.41</v>
          </cell>
        </row>
        <row r="1696">
          <cell r="A1696" t="str">
            <v>CA24477T1003</v>
          </cell>
          <cell r="E1696">
            <v>40.126944030799997</v>
          </cell>
        </row>
        <row r="1697">
          <cell r="A1697" t="str">
            <v>FR0000062978</v>
          </cell>
          <cell r="E1697">
            <v>28.9</v>
          </cell>
        </row>
        <row r="1698">
          <cell r="A1698" t="str">
            <v>IL0008290103</v>
          </cell>
          <cell r="E1698">
            <v>6.1349367600000004</v>
          </cell>
        </row>
        <row r="1699">
          <cell r="A1699" t="str">
            <v>IL0010841281</v>
          </cell>
          <cell r="E1699">
            <v>137.24400779999999</v>
          </cell>
        </row>
        <row r="1700">
          <cell r="A1700" t="str">
            <v>US24665A1034</v>
          </cell>
          <cell r="E1700">
            <v>10.7168078904</v>
          </cell>
        </row>
        <row r="1701">
          <cell r="A1701" t="str">
            <v>SG1Q25921608</v>
          </cell>
          <cell r="E1701">
            <v>0.46623956155000001</v>
          </cell>
        </row>
        <row r="1702">
          <cell r="A1702" t="str">
            <v>FR0000054132</v>
          </cell>
          <cell r="E1702">
            <v>14.62</v>
          </cell>
        </row>
        <row r="1703">
          <cell r="A1703" t="str">
            <v>GB00BNC5T391</v>
          </cell>
          <cell r="E1703">
            <v>1.4978079689999999</v>
          </cell>
        </row>
        <row r="1704">
          <cell r="A1704" t="str">
            <v>DE000A2E4K43</v>
          </cell>
          <cell r="E1704">
            <v>23.44</v>
          </cell>
        </row>
        <row r="1705">
          <cell r="A1705" t="str">
            <v>US24703L2025</v>
          </cell>
          <cell r="E1705">
            <v>75.467867096399999</v>
          </cell>
        </row>
        <row r="1706">
          <cell r="A1706" t="str">
            <v>IT0003115950</v>
          </cell>
          <cell r="E1706">
            <v>26.7</v>
          </cell>
        </row>
        <row r="1707">
          <cell r="A1707" t="str">
            <v>US2473617023</v>
          </cell>
          <cell r="E1707">
            <v>36.0434321388</v>
          </cell>
        </row>
        <row r="1708">
          <cell r="A1708" t="str">
            <v>IL0006270347</v>
          </cell>
          <cell r="E1708">
            <v>43.155775800000001</v>
          </cell>
        </row>
        <row r="1709">
          <cell r="A1709" t="str">
            <v>IL0011736993</v>
          </cell>
          <cell r="E1709">
            <v>19.837735649999999</v>
          </cell>
        </row>
        <row r="1710">
          <cell r="A1710" t="str">
            <v>FR0013283108</v>
          </cell>
          <cell r="E1710">
            <v>44.12</v>
          </cell>
        </row>
        <row r="1711">
          <cell r="A1711" t="str">
            <v>US2480191012</v>
          </cell>
          <cell r="E1711">
            <v>12.9149011068</v>
          </cell>
        </row>
        <row r="1712">
          <cell r="A1712" t="str">
            <v>DK0060738599</v>
          </cell>
          <cell r="E1712">
            <v>30.461544371999999</v>
          </cell>
        </row>
        <row r="1713">
          <cell r="A1713" t="str">
            <v>BE0974413453</v>
          </cell>
          <cell r="E1713">
            <v>140</v>
          </cell>
        </row>
        <row r="1714">
          <cell r="A1714" t="str">
            <v>JP3548610009</v>
          </cell>
          <cell r="E1714">
            <v>21.412054560000001</v>
          </cell>
        </row>
        <row r="1715">
          <cell r="A1715" t="str">
            <v>US24823R1059</v>
          </cell>
          <cell r="E1715">
            <v>11.6260593012</v>
          </cell>
        </row>
        <row r="1716">
          <cell r="A1716" t="str">
            <v>CA2483561072</v>
          </cell>
          <cell r="E1716">
            <v>1.1298000692000001</v>
          </cell>
        </row>
        <row r="1717">
          <cell r="A1717" t="str">
            <v>JP3549600009</v>
          </cell>
          <cell r="E1717">
            <v>11.8440452</v>
          </cell>
        </row>
        <row r="1718">
          <cell r="A1718" t="str">
            <v>JP3551500006</v>
          </cell>
          <cell r="E1718">
            <v>10.89157368</v>
          </cell>
        </row>
        <row r="1719">
          <cell r="A1719" t="str">
            <v>CA24874B1085</v>
          </cell>
          <cell r="E1719">
            <v>5.0079340145999991</v>
          </cell>
        </row>
        <row r="1720">
          <cell r="A1720" t="str">
            <v>US24906P1093</v>
          </cell>
          <cell r="E1720">
            <v>11.078742918</v>
          </cell>
        </row>
        <row r="1721">
          <cell r="A1721" t="str">
            <v>JP3551520004</v>
          </cell>
          <cell r="E1721">
            <v>17.617630680000001</v>
          </cell>
        </row>
        <row r="1722">
          <cell r="A1722" t="str">
            <v>JP3551530003</v>
          </cell>
          <cell r="E1722">
            <v>37.047431199999998</v>
          </cell>
        </row>
        <row r="1723">
          <cell r="A1723" t="str">
            <v>JP3551600004</v>
          </cell>
          <cell r="E1723">
            <v>14.27470304</v>
          </cell>
        </row>
        <row r="1724">
          <cell r="A1724" t="str">
            <v>IT0005528937</v>
          </cell>
          <cell r="E1724">
            <v>0.27800000000000002</v>
          </cell>
        </row>
        <row r="1725">
          <cell r="A1725" t="str">
            <v>FR0000053381</v>
          </cell>
          <cell r="E1725">
            <v>5.49</v>
          </cell>
        </row>
        <row r="1726">
          <cell r="A1726" t="str">
            <v>DE000A2GS5D8</v>
          </cell>
          <cell r="E1726">
            <v>37.65</v>
          </cell>
        </row>
        <row r="1727">
          <cell r="A1727" t="str">
            <v>GB0002652740</v>
          </cell>
          <cell r="E1727">
            <v>22.06372863</v>
          </cell>
        </row>
        <row r="1728">
          <cell r="A1728" t="str">
            <v>CA2499061083</v>
          </cell>
          <cell r="E1728">
            <v>91.767693261200009</v>
          </cell>
        </row>
        <row r="1729">
          <cell r="A1729" t="str">
            <v>NO0010963275</v>
          </cell>
          <cell r="E1729">
            <v>0.55856606900000005</v>
          </cell>
        </row>
        <row r="1730">
          <cell r="A1730" t="str">
            <v>VGG273581030</v>
          </cell>
          <cell r="E1730">
            <v>16.843220308799999</v>
          </cell>
        </row>
        <row r="1731">
          <cell r="A1731" t="str">
            <v>IT0005454027</v>
          </cell>
          <cell r="E1731">
            <v>0.5</v>
          </cell>
        </row>
        <row r="1732">
          <cell r="A1732" t="str">
            <v>AU0000107484</v>
          </cell>
          <cell r="E1732">
            <v>1.9523447685999999</v>
          </cell>
        </row>
        <row r="1733">
          <cell r="A1733" t="str">
            <v>DE0005140008</v>
          </cell>
          <cell r="E1733">
            <v>20.84</v>
          </cell>
        </row>
        <row r="1734">
          <cell r="A1734" t="str">
            <v>DE0005810055</v>
          </cell>
          <cell r="E1734">
            <v>271.10000000000002</v>
          </cell>
        </row>
        <row r="1735">
          <cell r="A1735" t="str">
            <v>DE0007480204</v>
          </cell>
          <cell r="E1735">
            <v>17.88</v>
          </cell>
        </row>
        <row r="1736">
          <cell r="A1736" t="str">
            <v>DE0008019001</v>
          </cell>
          <cell r="E1736">
            <v>5.3849999999999998</v>
          </cell>
        </row>
        <row r="1737">
          <cell r="A1737" t="str">
            <v>DE0005552004</v>
          </cell>
          <cell r="E1737">
            <v>36.25</v>
          </cell>
        </row>
        <row r="1738">
          <cell r="A1738" t="str">
            <v>DE0005557508</v>
          </cell>
          <cell r="E1738">
            <v>31.65</v>
          </cell>
        </row>
        <row r="1739">
          <cell r="A1739" t="str">
            <v>DE000A0HN5C6</v>
          </cell>
          <cell r="E1739">
            <v>22.05</v>
          </cell>
        </row>
        <row r="1740">
          <cell r="A1740" t="str">
            <v>DE0006305006</v>
          </cell>
          <cell r="E1740">
            <v>6.625</v>
          </cell>
        </row>
        <row r="1741">
          <cell r="A1741" t="str">
            <v>AU0000179707</v>
          </cell>
          <cell r="E1741">
            <v>1.4684783418</v>
          </cell>
        </row>
        <row r="1742">
          <cell r="A1742" t="str">
            <v>FR0000060840</v>
          </cell>
          <cell r="E1742">
            <v>11.7</v>
          </cell>
        </row>
        <row r="1743">
          <cell r="A1743" t="str">
            <v>US25179M1036</v>
          </cell>
          <cell r="E1743">
            <v>25.1853813108</v>
          </cell>
        </row>
        <row r="1744">
          <cell r="A1744" t="str">
            <v>US2521311074</v>
          </cell>
          <cell r="E1744">
            <v>61.114053562800002</v>
          </cell>
        </row>
        <row r="1745">
          <cell r="A1745" t="str">
            <v>JP3548770001</v>
          </cell>
          <cell r="E1745">
            <v>9.5772866800000003</v>
          </cell>
        </row>
        <row r="1746">
          <cell r="A1746" t="str">
            <v>AU0000179061</v>
          </cell>
          <cell r="E1746">
            <v>1.6879061399999999</v>
          </cell>
        </row>
        <row r="1747">
          <cell r="A1747" t="str">
            <v>AU0000192833</v>
          </cell>
          <cell r="E1747">
            <v>1.4347202189999999</v>
          </cell>
        </row>
        <row r="1748">
          <cell r="A1748" t="str">
            <v>AU000000DXS1</v>
          </cell>
          <cell r="E1748">
            <v>4.0059639055999998</v>
          </cell>
        </row>
        <row r="1749">
          <cell r="A1749" t="str">
            <v>DK0060655629</v>
          </cell>
          <cell r="E1749">
            <v>11.707735172</v>
          </cell>
        </row>
        <row r="1750">
          <cell r="A1750" t="str">
            <v>BMG2624N1535</v>
          </cell>
          <cell r="E1750">
            <v>1.8979519739999999</v>
          </cell>
        </row>
        <row r="1751">
          <cell r="A1751" t="str">
            <v>NL0009169515</v>
          </cell>
          <cell r="E1751">
            <v>0.42</v>
          </cell>
        </row>
        <row r="1752">
          <cell r="A1752" t="str">
            <v>IT0005203622</v>
          </cell>
          <cell r="E1752">
            <v>20.399999999999999</v>
          </cell>
        </row>
        <row r="1753">
          <cell r="A1753" t="str">
            <v>MHY2065G1219</v>
          </cell>
          <cell r="E1753">
            <v>8.7217513968000002</v>
          </cell>
        </row>
        <row r="1754">
          <cell r="A1754" t="str">
            <v>ES0126775008</v>
          </cell>
          <cell r="E1754">
            <v>21.4</v>
          </cell>
        </row>
        <row r="1755">
          <cell r="A1755" t="str">
            <v>GB0002374006</v>
          </cell>
          <cell r="E1755">
            <v>23.805909639999999</v>
          </cell>
        </row>
        <row r="1756">
          <cell r="A1756" t="str">
            <v>FR0012202497</v>
          </cell>
          <cell r="E1756">
            <v>1.0798000000000001</v>
          </cell>
        </row>
        <row r="1757">
          <cell r="A1757" t="str">
            <v>US25278X1090</v>
          </cell>
          <cell r="E1757">
            <v>112.23516929039999</v>
          </cell>
        </row>
        <row r="1758">
          <cell r="A1758" t="str">
            <v>US2527843013</v>
          </cell>
          <cell r="E1758">
            <v>6.0999293676000006</v>
          </cell>
        </row>
        <row r="1759">
          <cell r="A1759" t="str">
            <v>IT0003492391</v>
          </cell>
          <cell r="E1759">
            <v>97.16</v>
          </cell>
        </row>
        <row r="1760">
          <cell r="A1760" t="str">
            <v>JP3493400000</v>
          </cell>
          <cell r="E1760">
            <v>16.09924264</v>
          </cell>
        </row>
        <row r="1761">
          <cell r="A1761" t="str">
            <v>AU000000DDR5</v>
          </cell>
          <cell r="E1761">
            <v>4.6642473001999996</v>
          </cell>
        </row>
        <row r="1762">
          <cell r="A1762" t="str">
            <v>US2533931026</v>
          </cell>
          <cell r="E1762">
            <v>162.68538106439999</v>
          </cell>
        </row>
        <row r="1763">
          <cell r="A1763" t="str">
            <v>US2536512021</v>
          </cell>
          <cell r="E1763">
            <v>37.879590327599999</v>
          </cell>
        </row>
        <row r="1764">
          <cell r="A1764" t="str">
            <v>BE0974259880</v>
          </cell>
          <cell r="E1764">
            <v>167.2</v>
          </cell>
        </row>
        <row r="1765">
          <cell r="A1765" t="str">
            <v>US2537981027</v>
          </cell>
          <cell r="E1765">
            <v>23.4551553252</v>
          </cell>
        </row>
        <row r="1766">
          <cell r="A1766" t="str">
            <v>AU0000367088</v>
          </cell>
          <cell r="E1766">
            <v>1.4290938652</v>
          </cell>
        </row>
        <row r="1767">
          <cell r="A1767" t="str">
            <v>JP3549020000</v>
          </cell>
          <cell r="E1767">
            <v>42.304579199999999</v>
          </cell>
        </row>
        <row r="1768">
          <cell r="A1768" t="str">
            <v>IT0001469995</v>
          </cell>
          <cell r="E1768">
            <v>9.51</v>
          </cell>
        </row>
        <row r="1769">
          <cell r="A1769" t="str">
            <v>SGXC50067435</v>
          </cell>
          <cell r="E1769">
            <v>0.41931497099999998</v>
          </cell>
        </row>
        <row r="1770">
          <cell r="A1770" t="str">
            <v>BMG2870G2095</v>
          </cell>
          <cell r="E1770">
            <v>4.6663026599999997E-2</v>
          </cell>
        </row>
        <row r="1771">
          <cell r="A1771" t="str">
            <v>JP3549070005</v>
          </cell>
          <cell r="E1771">
            <v>26.6877572</v>
          </cell>
        </row>
        <row r="1772">
          <cell r="A1772" t="str">
            <v>US2538681030</v>
          </cell>
          <cell r="E1772">
            <v>129.0872172828</v>
          </cell>
        </row>
        <row r="1773">
          <cell r="A1773" t="str">
            <v>IT0005347429</v>
          </cell>
          <cell r="E1773">
            <v>16.7</v>
          </cell>
        </row>
        <row r="1774">
          <cell r="A1774" t="str">
            <v>US25401T6038</v>
          </cell>
          <cell r="E1774">
            <v>6.8326271064000004</v>
          </cell>
        </row>
        <row r="1775">
          <cell r="A1775" t="str">
            <v>US25402D1028</v>
          </cell>
          <cell r="E1775">
            <v>24.7969632324</v>
          </cell>
        </row>
        <row r="1776">
          <cell r="A1776" t="str">
            <v>IT0005089476</v>
          </cell>
          <cell r="E1776">
            <v>1.7</v>
          </cell>
        </row>
        <row r="1777">
          <cell r="A1777" t="str">
            <v>US2540671011</v>
          </cell>
          <cell r="E1777">
            <v>279.0783893304</v>
          </cell>
        </row>
        <row r="1778">
          <cell r="A1778" t="str">
            <v>US25432X1028</v>
          </cell>
          <cell r="E1778">
            <v>22.228107304800002</v>
          </cell>
        </row>
        <row r="1779">
          <cell r="A1779" t="str">
            <v>US2545431015</v>
          </cell>
          <cell r="E1779">
            <v>31.444208983199999</v>
          </cell>
        </row>
        <row r="1780">
          <cell r="A1780" t="str">
            <v>SE0001634262</v>
          </cell>
          <cell r="E1780">
            <v>5.8164641715000007</v>
          </cell>
        </row>
        <row r="1781">
          <cell r="A1781" t="str">
            <v>JP3548640006</v>
          </cell>
          <cell r="E1781">
            <v>12.679004000000001</v>
          </cell>
        </row>
        <row r="1782">
          <cell r="A1782" t="str">
            <v>GB0001826634</v>
          </cell>
          <cell r="E1782">
            <v>46.302260400000002</v>
          </cell>
        </row>
        <row r="1783">
          <cell r="A1783" t="str">
            <v>IL0011734915</v>
          </cell>
          <cell r="E1783">
            <v>10.126485990000001</v>
          </cell>
        </row>
        <row r="1784">
          <cell r="A1784" t="str">
            <v>IL0011681868</v>
          </cell>
          <cell r="E1784">
            <v>127.8111825</v>
          </cell>
        </row>
        <row r="1785">
          <cell r="A1785" t="str">
            <v>GB00BY9D0Y18</v>
          </cell>
          <cell r="E1785">
            <v>3.2060807580000001</v>
          </cell>
        </row>
        <row r="1786">
          <cell r="A1786" t="str">
            <v>IT0001463063</v>
          </cell>
          <cell r="E1786">
            <v>5</v>
          </cell>
        </row>
        <row r="1787">
          <cell r="A1787" t="str">
            <v>IT0005600249</v>
          </cell>
          <cell r="E1787">
            <v>7.15</v>
          </cell>
        </row>
        <row r="1788">
          <cell r="A1788" t="str">
            <v>US2546041011</v>
          </cell>
          <cell r="E1788">
            <v>36.4671609516</v>
          </cell>
        </row>
        <row r="1789">
          <cell r="A1789" t="str">
            <v>JP3548600000</v>
          </cell>
          <cell r="E1789">
            <v>174.63008679999999</v>
          </cell>
        </row>
        <row r="1790">
          <cell r="A1790" t="str">
            <v>US2547091080</v>
          </cell>
          <cell r="E1790">
            <v>141.3665251704</v>
          </cell>
        </row>
        <row r="1791">
          <cell r="A1791" t="str">
            <v>GB0000055888</v>
          </cell>
          <cell r="E1791">
            <v>6.3256370899999999</v>
          </cell>
        </row>
        <row r="1792">
          <cell r="A1792" t="str">
            <v>GB00BQHP5P93</v>
          </cell>
          <cell r="E1792">
            <v>10.137388830000001</v>
          </cell>
        </row>
        <row r="1793">
          <cell r="A1793" t="str">
            <v>CH0126673539</v>
          </cell>
          <cell r="E1793">
            <v>62.736205699999992</v>
          </cell>
        </row>
        <row r="1794">
          <cell r="A1794" t="str">
            <v>KYG3166D1088</v>
          </cell>
          <cell r="E1794">
            <v>0.39720478739999998</v>
          </cell>
        </row>
        <row r="1795">
          <cell r="A1795" t="str">
            <v>KYG290181018</v>
          </cell>
          <cell r="E1795">
            <v>7.6800847319999992</v>
          </cell>
        </row>
        <row r="1796">
          <cell r="A1796" t="str">
            <v>JP3924800000</v>
          </cell>
          <cell r="E1796">
            <v>14.639610960000001</v>
          </cell>
        </row>
        <row r="1797">
          <cell r="A1797" t="str">
            <v>NO0010161896</v>
          </cell>
          <cell r="E1797">
            <v>21.675698199999999</v>
          </cell>
        </row>
        <row r="1798">
          <cell r="A1798" t="str">
            <v>NO0003921009</v>
          </cell>
          <cell r="E1798">
            <v>0.97240516848000003</v>
          </cell>
        </row>
        <row r="1799">
          <cell r="A1799" t="str">
            <v>US67011P1003</v>
          </cell>
          <cell r="E1799">
            <v>13.559322009600001</v>
          </cell>
        </row>
        <row r="1800">
          <cell r="A1800" t="str">
            <v>FR0010436584</v>
          </cell>
          <cell r="E1800">
            <v>18.100000000000001</v>
          </cell>
        </row>
        <row r="1801">
          <cell r="A1801" t="str">
            <v>AT0000818802</v>
          </cell>
          <cell r="E1801">
            <v>132.80000000000001</v>
          </cell>
        </row>
        <row r="1802">
          <cell r="A1802" t="str">
            <v>CA25609L1058</v>
          </cell>
          <cell r="E1802">
            <v>26.061567888399999</v>
          </cell>
        </row>
        <row r="1803">
          <cell r="A1803" t="str">
            <v>FR0000065260</v>
          </cell>
          <cell r="E1803">
            <v>670</v>
          </cell>
        </row>
        <row r="1804">
          <cell r="A1804" t="str">
            <v>CH0042615283</v>
          </cell>
          <cell r="E1804">
            <v>22.438181660000001</v>
          </cell>
        </row>
        <row r="1805">
          <cell r="A1805" t="str">
            <v>US2561631068</v>
          </cell>
          <cell r="E1805">
            <v>68.405720216399999</v>
          </cell>
        </row>
        <row r="1806">
          <cell r="A1806" t="str">
            <v>NO0012851874</v>
          </cell>
          <cell r="E1806">
            <v>6.6027511440000008</v>
          </cell>
        </row>
        <row r="1807">
          <cell r="A1807" t="str">
            <v>US25659T1079</v>
          </cell>
          <cell r="E1807">
            <v>65.271892538399996</v>
          </cell>
        </row>
        <row r="1808">
          <cell r="A1808" t="str">
            <v>IE0003LFZ4U7</v>
          </cell>
          <cell r="E1808">
            <v>12.129237266400001</v>
          </cell>
        </row>
        <row r="1809">
          <cell r="A1809" t="str">
            <v>FR001400SP13</v>
          </cell>
          <cell r="E1809">
            <v>2.93</v>
          </cell>
        </row>
        <row r="1810">
          <cell r="A1810" t="str">
            <v>US2566771059</v>
          </cell>
          <cell r="E1810">
            <v>78.063206074800007</v>
          </cell>
        </row>
        <row r="1811">
          <cell r="A1811" t="str">
            <v>US2567461080</v>
          </cell>
          <cell r="E1811">
            <v>63.382768247999998</v>
          </cell>
        </row>
        <row r="1812">
          <cell r="A1812" t="str">
            <v>CA25675T1075</v>
          </cell>
          <cell r="E1812">
            <v>106.86766160179999</v>
          </cell>
        </row>
        <row r="1813">
          <cell r="A1813" t="str">
            <v>NO0012595950</v>
          </cell>
          <cell r="E1813">
            <v>0.2150896206</v>
          </cell>
        </row>
        <row r="1814">
          <cell r="A1814" t="str">
            <v>AU000000DHG9</v>
          </cell>
          <cell r="E1814">
            <v>2.2842996428000002</v>
          </cell>
        </row>
        <row r="1815">
          <cell r="A1815" t="str">
            <v>SE0007691613</v>
          </cell>
          <cell r="E1815">
            <v>3.0949167439999998</v>
          </cell>
        </row>
        <row r="1816">
          <cell r="A1816" t="str">
            <v>US25746U1097</v>
          </cell>
          <cell r="E1816">
            <v>47.378177881200003</v>
          </cell>
        </row>
        <row r="1817">
          <cell r="A1817" t="str">
            <v>AU000000DMP0</v>
          </cell>
          <cell r="E1817">
            <v>14.982980169399999</v>
          </cell>
        </row>
        <row r="1818">
          <cell r="A1818" t="str">
            <v>GB00BYN59130</v>
          </cell>
          <cell r="E1818">
            <v>3.2505122200000001</v>
          </cell>
        </row>
        <row r="1819">
          <cell r="A1819" t="str">
            <v>US25754A2015</v>
          </cell>
          <cell r="E1819">
            <v>413.62994276159998</v>
          </cell>
        </row>
        <row r="1820">
          <cell r="A1820" t="str">
            <v>US2576511099</v>
          </cell>
          <cell r="E1820">
            <v>55.817443402800002</v>
          </cell>
        </row>
        <row r="1821">
          <cell r="A1821" t="str">
            <v>IE000Y2HN3O9</v>
          </cell>
          <cell r="E1821">
            <v>16.5</v>
          </cell>
        </row>
        <row r="1822">
          <cell r="A1822" t="str">
            <v>US25787G1004</v>
          </cell>
          <cell r="E1822">
            <v>35.566737224400001</v>
          </cell>
        </row>
        <row r="1823">
          <cell r="A1823" t="str">
            <v>FR0013331212</v>
          </cell>
          <cell r="E1823">
            <v>0.75</v>
          </cell>
        </row>
        <row r="1824">
          <cell r="A1824" t="str">
            <v>US25809K1051</v>
          </cell>
          <cell r="E1824">
            <v>160.26659575799999</v>
          </cell>
        </row>
        <row r="1825">
          <cell r="A1825" t="str">
            <v>IL0011667685</v>
          </cell>
          <cell r="E1825">
            <v>2.8610503199999999</v>
          </cell>
        </row>
        <row r="1826">
          <cell r="A1826" t="str">
            <v>MHY2106R1100</v>
          </cell>
          <cell r="E1826">
            <v>17.364053641200002</v>
          </cell>
        </row>
        <row r="1827">
          <cell r="A1827" t="str">
            <v>CH0011795959</v>
          </cell>
          <cell r="E1827">
            <v>718.06500499999993</v>
          </cell>
        </row>
        <row r="1828">
          <cell r="A1828" t="str">
            <v>US2582781009</v>
          </cell>
          <cell r="E1828">
            <v>98.349222987600001</v>
          </cell>
        </row>
        <row r="1829">
          <cell r="A1829" t="str">
            <v>JP3638000004</v>
          </cell>
          <cell r="E1829">
            <v>13.229458320000001</v>
          </cell>
        </row>
        <row r="1830">
          <cell r="A1830" t="str">
            <v>IT0005523839</v>
          </cell>
          <cell r="E1830">
            <v>1.8</v>
          </cell>
        </row>
        <row r="1831">
          <cell r="A1831" t="str">
            <v>US25862V1052</v>
          </cell>
          <cell r="E1831">
            <v>10.778601675599999</v>
          </cell>
        </row>
        <row r="1832">
          <cell r="A1832" t="str">
            <v>DE000BEAU7Y1</v>
          </cell>
          <cell r="E1832">
            <v>9.73</v>
          </cell>
        </row>
        <row r="1833">
          <cell r="A1833" t="str">
            <v>US25960P1093</v>
          </cell>
          <cell r="E1833">
            <v>12.2793078876</v>
          </cell>
        </row>
        <row r="1834">
          <cell r="A1834" t="str">
            <v>JP3639100001</v>
          </cell>
          <cell r="E1834">
            <v>16.965125839999999</v>
          </cell>
        </row>
        <row r="1835">
          <cell r="A1835" t="str">
            <v>US2600031080</v>
          </cell>
          <cell r="E1835">
            <v>144.13841782079999</v>
          </cell>
        </row>
        <row r="1836">
          <cell r="A1836" t="str">
            <v>US2605571031</v>
          </cell>
          <cell r="E1836">
            <v>24.452683572000002</v>
          </cell>
        </row>
        <row r="1837">
          <cell r="A1837" t="str">
            <v>JP3638600001</v>
          </cell>
          <cell r="E1837">
            <v>27.287690560000001</v>
          </cell>
        </row>
        <row r="1838">
          <cell r="A1838" t="str">
            <v>GB00BMWRZ071</v>
          </cell>
          <cell r="E1838">
            <v>0.63548683149999996</v>
          </cell>
        </row>
        <row r="1839">
          <cell r="A1839" t="str">
            <v>AU000000DOW2</v>
          </cell>
          <cell r="E1839">
            <v>3.0607364671999999</v>
          </cell>
        </row>
        <row r="1840">
          <cell r="A1840" t="str">
            <v>IT0005394413</v>
          </cell>
          <cell r="E1840">
            <v>1.345</v>
          </cell>
        </row>
        <row r="1841">
          <cell r="A1841" t="str">
            <v>US26622P1075</v>
          </cell>
          <cell r="E1841">
            <v>46.989759802800002</v>
          </cell>
        </row>
        <row r="1842">
          <cell r="A1842" t="str">
            <v>GB00BL6NGV24</v>
          </cell>
          <cell r="E1842">
            <v>0.60216323500000002</v>
          </cell>
        </row>
        <row r="1843">
          <cell r="A1843" t="str">
            <v>US26142V1052</v>
          </cell>
          <cell r="E1843">
            <v>29.6080507944</v>
          </cell>
        </row>
        <row r="1844">
          <cell r="A1844" t="str">
            <v>GB00B1VNSX38</v>
          </cell>
          <cell r="E1844">
            <v>6.5945643599999997</v>
          </cell>
        </row>
        <row r="1845">
          <cell r="A1845" t="str">
            <v>CA26153W1095</v>
          </cell>
          <cell r="E1845">
            <v>6.5693430989999992</v>
          </cell>
        </row>
        <row r="1846">
          <cell r="A1846" t="str">
            <v>CA26153P2035</v>
          </cell>
          <cell r="E1846">
            <v>10.161853431400001</v>
          </cell>
        </row>
        <row r="1847">
          <cell r="A1847" t="str">
            <v>CA23344H1091</v>
          </cell>
          <cell r="E1847">
            <v>7.0453824539999994</v>
          </cell>
        </row>
        <row r="1848">
          <cell r="A1848" t="str">
            <v>US26210V1026</v>
          </cell>
          <cell r="E1848">
            <v>14.5833333072</v>
          </cell>
        </row>
        <row r="1849">
          <cell r="A1849" t="str">
            <v>FR001400SVN0</v>
          </cell>
          <cell r="E1849">
            <v>0.48</v>
          </cell>
        </row>
        <row r="1850">
          <cell r="A1850" t="str">
            <v>AU000000DRO2</v>
          </cell>
          <cell r="E1850">
            <v>0.63859115630000007</v>
          </cell>
        </row>
        <row r="1851">
          <cell r="A1851" t="str">
            <v>US26210C1045</v>
          </cell>
          <cell r="E1851">
            <v>23.772951934799998</v>
          </cell>
        </row>
        <row r="1852">
          <cell r="A1852" t="str">
            <v>DK0060083210</v>
          </cell>
          <cell r="E1852">
            <v>22.584944508</v>
          </cell>
        </row>
        <row r="1853">
          <cell r="A1853" t="str">
            <v>CH1216478797</v>
          </cell>
          <cell r="E1853">
            <v>89.5</v>
          </cell>
        </row>
        <row r="1854">
          <cell r="A1854" t="str">
            <v>DK0060079531</v>
          </cell>
          <cell r="E1854">
            <v>168.44939335000001</v>
          </cell>
        </row>
        <row r="1855">
          <cell r="A1855" t="str">
            <v>US23345M1071</v>
          </cell>
          <cell r="E1855">
            <v>84.374999848800002</v>
          </cell>
        </row>
        <row r="1856">
          <cell r="A1856" t="str">
            <v>US2333311072</v>
          </cell>
          <cell r="E1856">
            <v>117.33757041120001</v>
          </cell>
        </row>
        <row r="1857">
          <cell r="A1857" t="str">
            <v>JP3548500002</v>
          </cell>
          <cell r="E1857">
            <v>23.7808636</v>
          </cell>
        </row>
        <row r="1858">
          <cell r="A1858" t="str">
            <v>AU0000095721</v>
          </cell>
          <cell r="E1858">
            <v>0.51762454960000004</v>
          </cell>
        </row>
        <row r="1859">
          <cell r="A1859" t="str">
            <v>US26441C2044</v>
          </cell>
          <cell r="E1859">
            <v>106.3647596964</v>
          </cell>
        </row>
        <row r="1860">
          <cell r="A1860" t="str">
            <v>US26484T1060</v>
          </cell>
          <cell r="E1860">
            <v>7.7418785172</v>
          </cell>
        </row>
        <row r="1861">
          <cell r="A1861" t="str">
            <v>CA2652692096</v>
          </cell>
          <cell r="E1861">
            <v>12.2627737848</v>
          </cell>
        </row>
        <row r="1862">
          <cell r="A1862" t="str">
            <v>GB00B1CKQ739</v>
          </cell>
          <cell r="E1862">
            <v>11.037710560000001</v>
          </cell>
        </row>
        <row r="1863">
          <cell r="A1863" t="str">
            <v>SE0000616716</v>
          </cell>
          <cell r="E1863">
            <v>8.7179486190000013</v>
          </cell>
        </row>
        <row r="1864">
          <cell r="A1864" t="str">
            <v>IL0004000100</v>
          </cell>
          <cell r="E1864">
            <v>52.828622099999997</v>
          </cell>
        </row>
        <row r="1865">
          <cell r="A1865" t="str">
            <v>US26603R1068</v>
          </cell>
          <cell r="E1865">
            <v>287.04978762119998</v>
          </cell>
        </row>
        <row r="1866">
          <cell r="A1866" t="str">
            <v>US26614N1028</v>
          </cell>
          <cell r="E1866">
            <v>53.372175045600002</v>
          </cell>
        </row>
        <row r="1867">
          <cell r="A1867" t="str">
            <v>DE0005565204</v>
          </cell>
          <cell r="E1867">
            <v>19.82</v>
          </cell>
        </row>
        <row r="1868">
          <cell r="A1868" t="str">
            <v>JP3505900005</v>
          </cell>
          <cell r="E1868">
            <v>22.816022319999998</v>
          </cell>
        </row>
        <row r="1869">
          <cell r="A1869" t="str">
            <v>SE0006625471</v>
          </cell>
          <cell r="E1869">
            <v>0.30013494936000001</v>
          </cell>
        </row>
        <row r="1870">
          <cell r="A1870" t="str">
            <v>US26701L1008</v>
          </cell>
          <cell r="E1870">
            <v>51.1034603604</v>
          </cell>
        </row>
        <row r="1871">
          <cell r="A1871" t="str">
            <v>US26740W1099</v>
          </cell>
          <cell r="E1871">
            <v>6.1087570511999996</v>
          </cell>
        </row>
        <row r="1872">
          <cell r="A1872" t="str">
            <v>DE000DWS1007</v>
          </cell>
          <cell r="E1872">
            <v>43.8</v>
          </cell>
        </row>
        <row r="1873">
          <cell r="A1873" t="str">
            <v>US23355L1061</v>
          </cell>
          <cell r="E1873">
            <v>13.082627095199999</v>
          </cell>
        </row>
        <row r="1874">
          <cell r="A1874" t="str">
            <v>US2333774071</v>
          </cell>
          <cell r="E1874">
            <v>70.903954675199998</v>
          </cell>
        </row>
        <row r="1875">
          <cell r="A1875" t="str">
            <v>US2674751019</v>
          </cell>
          <cell r="E1875">
            <v>134.2514121888</v>
          </cell>
        </row>
        <row r="1876">
          <cell r="A1876" t="str">
            <v>JP3488400007</v>
          </cell>
          <cell r="E1876">
            <v>17.979446159999998</v>
          </cell>
        </row>
        <row r="1877">
          <cell r="A1877" t="str">
            <v>US2681501092</v>
          </cell>
          <cell r="E1877">
            <v>38.373940609199998</v>
          </cell>
        </row>
        <row r="1878">
          <cell r="A1878" t="str">
            <v>US2681582019</v>
          </cell>
          <cell r="E1878">
            <v>10.0723869876</v>
          </cell>
        </row>
        <row r="1879">
          <cell r="A1879" t="str">
            <v>SE0017105620</v>
          </cell>
          <cell r="E1879">
            <v>5.2046783035000006</v>
          </cell>
        </row>
        <row r="1880">
          <cell r="A1880" t="str">
            <v>US26818M1080</v>
          </cell>
          <cell r="E1880">
            <v>6.9297316259999997</v>
          </cell>
        </row>
        <row r="1881">
          <cell r="A1881" t="str">
            <v>US26817Q8868</v>
          </cell>
          <cell r="E1881">
            <v>10.3813559136</v>
          </cell>
        </row>
        <row r="1882">
          <cell r="A1882" t="str">
            <v>AU0000390544</v>
          </cell>
          <cell r="E1882">
            <v>1.2771823125999999</v>
          </cell>
        </row>
        <row r="1883">
          <cell r="A1883" t="str">
            <v>FR0014004339</v>
          </cell>
          <cell r="E1883">
            <v>0.2225</v>
          </cell>
        </row>
        <row r="1884">
          <cell r="A1884" t="str">
            <v>DE000ENAG999</v>
          </cell>
          <cell r="E1884">
            <v>14.885</v>
          </cell>
        </row>
        <row r="1885">
          <cell r="A1885" t="str">
            <v>AU000000APE3</v>
          </cell>
          <cell r="E1885">
            <v>9.9755252874</v>
          </cell>
        </row>
        <row r="1886">
          <cell r="A1886" t="str">
            <v>JP3130400009</v>
          </cell>
          <cell r="E1886">
            <v>10.873019040000001</v>
          </cell>
        </row>
        <row r="1887">
          <cell r="A1887" t="str">
            <v>US26969P1084</v>
          </cell>
          <cell r="E1887">
            <v>197.53707591720001</v>
          </cell>
        </row>
        <row r="1888">
          <cell r="A1888" t="str">
            <v>FR0010428771</v>
          </cell>
          <cell r="E1888">
            <v>1.83</v>
          </cell>
        </row>
        <row r="1889">
          <cell r="A1889" t="str">
            <v>NO0010607781</v>
          </cell>
          <cell r="E1889">
            <v>5.2105043750000003E-2</v>
          </cell>
        </row>
        <row r="1890">
          <cell r="A1890" t="str">
            <v>JP3100190002</v>
          </cell>
          <cell r="E1890">
            <v>32.161375999999997</v>
          </cell>
        </row>
        <row r="1891">
          <cell r="A1891" t="str">
            <v>NL0000345627</v>
          </cell>
          <cell r="E1891">
            <v>0.38</v>
          </cell>
        </row>
        <row r="1892">
          <cell r="A1892" t="str">
            <v>JP3783600004</v>
          </cell>
          <cell r="E1892">
            <v>18.969026960000001</v>
          </cell>
        </row>
        <row r="1893">
          <cell r="A1893" t="str">
            <v>US27579R1041</v>
          </cell>
          <cell r="E1893">
            <v>66.922669371600009</v>
          </cell>
        </row>
        <row r="1894">
          <cell r="A1894" t="str">
            <v>US27616P1030</v>
          </cell>
          <cell r="E1894">
            <v>7.3269773880000013</v>
          </cell>
        </row>
        <row r="1895">
          <cell r="A1895" t="str">
            <v>US27627N1054</v>
          </cell>
          <cell r="E1895">
            <v>12.985522575599999</v>
          </cell>
        </row>
        <row r="1896">
          <cell r="A1896" t="str">
            <v>US2772761019</v>
          </cell>
          <cell r="E1896">
            <v>138.3651127464</v>
          </cell>
        </row>
        <row r="1897">
          <cell r="A1897" t="str">
            <v>US2774321002</v>
          </cell>
          <cell r="E1897">
            <v>68.573446204800007</v>
          </cell>
        </row>
        <row r="1898">
          <cell r="A1898" t="str">
            <v>SE0022050183</v>
          </cell>
          <cell r="E1898">
            <v>3.8191632494999999</v>
          </cell>
        </row>
        <row r="1899">
          <cell r="A1899" t="str">
            <v>GB00B7KR2P84</v>
          </cell>
          <cell r="E1899">
            <v>5.5352247659999998</v>
          </cell>
        </row>
        <row r="1900">
          <cell r="A1900" t="str">
            <v>IE00B8KQN827</v>
          </cell>
          <cell r="E1900">
            <v>244.63276792319999</v>
          </cell>
        </row>
        <row r="1901">
          <cell r="A1901" t="str">
            <v>JP3166000004</v>
          </cell>
          <cell r="E1901">
            <v>12.431608799999999</v>
          </cell>
        </row>
        <row r="1902">
          <cell r="A1902" t="str">
            <v>JP3165950001</v>
          </cell>
          <cell r="E1902">
            <v>20.9667432</v>
          </cell>
        </row>
        <row r="1903">
          <cell r="A1903" t="str">
            <v>US2786421030</v>
          </cell>
          <cell r="E1903">
            <v>57.821327580000002</v>
          </cell>
        </row>
        <row r="1904">
          <cell r="A1904" t="str">
            <v>NZEBOE0001S6</v>
          </cell>
          <cell r="E1904">
            <v>19.448734564999999</v>
          </cell>
        </row>
        <row r="1905">
          <cell r="A1905" t="str">
            <v>AU0000182552</v>
          </cell>
          <cell r="E1905">
            <v>0.79331588580000001</v>
          </cell>
        </row>
        <row r="1906">
          <cell r="A1906" t="str">
            <v>ES0112501012</v>
          </cell>
          <cell r="E1906">
            <v>16.82</v>
          </cell>
        </row>
        <row r="1907">
          <cell r="A1907" t="str">
            <v>NL0015002AG2</v>
          </cell>
          <cell r="E1907">
            <v>0.3574</v>
          </cell>
        </row>
        <row r="1908">
          <cell r="A1908" t="str">
            <v>US2787681061</v>
          </cell>
          <cell r="E1908">
            <v>20.286016912800001</v>
          </cell>
        </row>
        <row r="1909">
          <cell r="A1909" t="str">
            <v>DE0005659700</v>
          </cell>
          <cell r="E1909">
            <v>53.15</v>
          </cell>
        </row>
        <row r="1910">
          <cell r="A1910" t="str">
            <v>US2788651006</v>
          </cell>
          <cell r="E1910">
            <v>210.25776798480001</v>
          </cell>
        </row>
        <row r="1911">
          <cell r="A1911" t="str">
            <v>IT0005543332</v>
          </cell>
          <cell r="E1911">
            <v>3.9</v>
          </cell>
        </row>
        <row r="1912">
          <cell r="A1912" t="str">
            <v>FR0013534617</v>
          </cell>
          <cell r="E1912">
            <v>2.84</v>
          </cell>
        </row>
        <row r="1913">
          <cell r="A1913" t="str">
            <v>BE0974313455</v>
          </cell>
          <cell r="E1913">
            <v>1.764</v>
          </cell>
        </row>
        <row r="1914">
          <cell r="A1914" t="str">
            <v>FR0011490648</v>
          </cell>
          <cell r="E1914">
            <v>0.48</v>
          </cell>
        </row>
        <row r="1915">
          <cell r="A1915" t="str">
            <v>IT0005001943</v>
          </cell>
          <cell r="E1915">
            <v>16.5</v>
          </cell>
        </row>
        <row r="1916">
          <cell r="A1916" t="str">
            <v>US27923Q1094</v>
          </cell>
          <cell r="E1916">
            <v>5.2083333240000007</v>
          </cell>
        </row>
        <row r="1917">
          <cell r="A1917" t="str">
            <v>NO0010998529</v>
          </cell>
          <cell r="E1917">
            <v>1.3297207165</v>
          </cell>
        </row>
        <row r="1918">
          <cell r="A1918" t="str">
            <v>FR0010908533</v>
          </cell>
          <cell r="E1918">
            <v>31.22</v>
          </cell>
        </row>
        <row r="1919">
          <cell r="A1919" t="str">
            <v>IT0005627762</v>
          </cell>
          <cell r="E1919">
            <v>5.04</v>
          </cell>
        </row>
        <row r="1920">
          <cell r="A1920" t="str">
            <v>US28035Q1022</v>
          </cell>
          <cell r="E1920">
            <v>26.032838936400001</v>
          </cell>
        </row>
        <row r="1921">
          <cell r="A1921" t="str">
            <v>US28036F1057</v>
          </cell>
          <cell r="E1921">
            <v>11.4936440472</v>
          </cell>
        </row>
        <row r="1922">
          <cell r="A1922" t="str">
            <v>IT0005561441</v>
          </cell>
          <cell r="E1922">
            <v>4.4000000000000004</v>
          </cell>
        </row>
        <row r="1923">
          <cell r="A1923" t="str">
            <v>IT0005351504</v>
          </cell>
          <cell r="E1923">
            <v>6</v>
          </cell>
        </row>
        <row r="1924">
          <cell r="A1924" t="str">
            <v>JP3164470001</v>
          </cell>
          <cell r="E1924">
            <v>11.34306992</v>
          </cell>
        </row>
        <row r="1925">
          <cell r="A1925" t="str">
            <v>US2810201077</v>
          </cell>
          <cell r="E1925">
            <v>50.229519684000003</v>
          </cell>
        </row>
        <row r="1926">
          <cell r="A1926" t="str">
            <v>PTEDP0AM0009</v>
          </cell>
          <cell r="E1926">
            <v>3.1760000000000002</v>
          </cell>
        </row>
        <row r="1927">
          <cell r="A1927" t="str">
            <v>ES0127797019</v>
          </cell>
          <cell r="E1927">
            <v>7.5549999999999997</v>
          </cell>
        </row>
        <row r="1928">
          <cell r="A1928" t="str">
            <v>LU1048328220</v>
          </cell>
          <cell r="E1928">
            <v>7.26</v>
          </cell>
        </row>
        <row r="1929">
          <cell r="A1929" t="str">
            <v>US28176E1082</v>
          </cell>
          <cell r="E1929">
            <v>62.464689153600013</v>
          </cell>
        </row>
        <row r="1930">
          <cell r="A1930" t="str">
            <v>CH0022268228</v>
          </cell>
          <cell r="E1930">
            <v>12.633624899999999</v>
          </cell>
        </row>
        <row r="1931">
          <cell r="A1931" t="str">
            <v>FR0000072373</v>
          </cell>
          <cell r="E1931">
            <v>0.53</v>
          </cell>
        </row>
        <row r="1932">
          <cell r="A1932" t="str">
            <v>IT0005557514</v>
          </cell>
          <cell r="E1932">
            <v>0.67</v>
          </cell>
        </row>
        <row r="1933">
          <cell r="A1933" t="str">
            <v>IT0005586497</v>
          </cell>
          <cell r="E1933">
            <v>0.5</v>
          </cell>
        </row>
        <row r="1934">
          <cell r="A1934" t="str">
            <v>JP3130300001</v>
          </cell>
          <cell r="E1934">
            <v>10.780245839999999</v>
          </cell>
        </row>
        <row r="1935">
          <cell r="A1935" t="str">
            <v>JP3166400006</v>
          </cell>
          <cell r="E1935">
            <v>6.09829168</v>
          </cell>
        </row>
        <row r="1936">
          <cell r="A1936" t="str">
            <v>NO0010263023</v>
          </cell>
          <cell r="E1936">
            <v>0.93789078749999999</v>
          </cell>
        </row>
        <row r="1937">
          <cell r="A1937" t="str">
            <v>FR0000130452</v>
          </cell>
          <cell r="E1937">
            <v>112.15</v>
          </cell>
        </row>
        <row r="1938">
          <cell r="A1938" t="str">
            <v>JP3160700005</v>
          </cell>
          <cell r="E1938">
            <v>13.452114</v>
          </cell>
        </row>
        <row r="1939">
          <cell r="A1939" t="str">
            <v>DE000A40ESU3</v>
          </cell>
          <cell r="E1939">
            <v>62.4</v>
          </cell>
        </row>
        <row r="1940">
          <cell r="A1940" t="str">
            <v>JP3160400002</v>
          </cell>
          <cell r="E1940">
            <v>23.051047759999999</v>
          </cell>
        </row>
        <row r="1941">
          <cell r="A1941" t="str">
            <v>JP3651080008</v>
          </cell>
          <cell r="E1941">
            <v>11.8749696</v>
          </cell>
        </row>
        <row r="1942">
          <cell r="A1942" t="str">
            <v>FR0011466069</v>
          </cell>
          <cell r="E1942">
            <v>3.13</v>
          </cell>
        </row>
        <row r="1943">
          <cell r="A1943" t="str">
            <v>BE0974380124</v>
          </cell>
          <cell r="E1943">
            <v>4.8</v>
          </cell>
        </row>
        <row r="1944">
          <cell r="A1944" t="str">
            <v>IL0010878242</v>
          </cell>
          <cell r="E1944">
            <v>2.5730251200000001</v>
          </cell>
        </row>
        <row r="1945">
          <cell r="A1945" t="str">
            <v>IT0005453250</v>
          </cell>
          <cell r="E1945">
            <v>7.9450000000000003</v>
          </cell>
        </row>
        <row r="1946">
          <cell r="A1946" t="str">
            <v>US28414H1032</v>
          </cell>
          <cell r="E1946">
            <v>7.2740112864000004</v>
          </cell>
        </row>
        <row r="1947">
          <cell r="A1947" t="str">
            <v>NL0013056914</v>
          </cell>
          <cell r="E1947">
            <v>70.577330382</v>
          </cell>
        </row>
        <row r="1948">
          <cell r="A1948" t="str">
            <v>IL0010811243</v>
          </cell>
          <cell r="E1948">
            <v>360.03149999999999</v>
          </cell>
        </row>
        <row r="1949">
          <cell r="A1949" t="str">
            <v>IL0006940345</v>
          </cell>
          <cell r="E1949">
            <v>38.019326399999997</v>
          </cell>
        </row>
        <row r="1950">
          <cell r="A1950" t="str">
            <v>AU000000ELD6</v>
          </cell>
          <cell r="E1950">
            <v>3.3420541572000002</v>
          </cell>
        </row>
        <row r="1951">
          <cell r="A1951" t="str">
            <v>CA2849025093</v>
          </cell>
          <cell r="E1951">
            <v>17.162805545600001</v>
          </cell>
        </row>
        <row r="1952">
          <cell r="A1952" t="str">
            <v>FR0000031023</v>
          </cell>
          <cell r="E1952">
            <v>134.5</v>
          </cell>
        </row>
        <row r="1953">
          <cell r="A1953" t="str">
            <v>ES0129743318</v>
          </cell>
          <cell r="E1953">
            <v>17.16</v>
          </cell>
        </row>
        <row r="1954">
          <cell r="A1954" t="str">
            <v>JP3168200008</v>
          </cell>
          <cell r="E1954">
            <v>9.8030348000000007</v>
          </cell>
        </row>
        <row r="1955">
          <cell r="A1955" t="str">
            <v>FR0000035719</v>
          </cell>
          <cell r="E1955">
            <v>3.5</v>
          </cell>
        </row>
        <row r="1956">
          <cell r="A1956" t="str">
            <v>IL0050101299</v>
          </cell>
          <cell r="E1956">
            <v>25.274211300000001</v>
          </cell>
        </row>
        <row r="1957">
          <cell r="A1957" t="str">
            <v>IL0007390375</v>
          </cell>
          <cell r="E1957">
            <v>463.00050900000002</v>
          </cell>
        </row>
        <row r="1958">
          <cell r="A1958" t="str">
            <v>IL0010940448</v>
          </cell>
          <cell r="E1958">
            <v>10.440913500000001</v>
          </cell>
        </row>
        <row r="1959">
          <cell r="A1959" t="str">
            <v>IL0003680191</v>
          </cell>
          <cell r="E1959">
            <v>19.211280840000001</v>
          </cell>
        </row>
        <row r="1960">
          <cell r="A1960" t="str">
            <v>JP3551200003</v>
          </cell>
          <cell r="E1960">
            <v>15.1838804</v>
          </cell>
        </row>
        <row r="1961">
          <cell r="A1961" t="str">
            <v>AU000000EOS8</v>
          </cell>
          <cell r="E1961">
            <v>0.67516245600000002</v>
          </cell>
        </row>
        <row r="1962">
          <cell r="A1962" t="str">
            <v>SE0016589188</v>
          </cell>
          <cell r="E1962">
            <v>6.3031938106000007</v>
          </cell>
        </row>
        <row r="1963">
          <cell r="A1963" t="str">
            <v>SE0013747870</v>
          </cell>
          <cell r="E1963">
            <v>5.0472334110000006</v>
          </cell>
        </row>
        <row r="1964">
          <cell r="A1964" t="str">
            <v>NO0010358484</v>
          </cell>
          <cell r="E1964">
            <v>0.16340141720000001</v>
          </cell>
        </row>
        <row r="1965">
          <cell r="A1965" t="str">
            <v>US2855121099</v>
          </cell>
          <cell r="E1965">
            <v>128.53990089960001</v>
          </cell>
        </row>
        <row r="1966">
          <cell r="A1966" t="str">
            <v>SE0000163628</v>
          </cell>
          <cell r="E1966">
            <v>4.3904632879999994</v>
          </cell>
        </row>
        <row r="1967">
          <cell r="A1967" t="str">
            <v>NO0010911902</v>
          </cell>
          <cell r="E1967">
            <v>0.97957482250000005</v>
          </cell>
        </row>
        <row r="1968">
          <cell r="A1968" t="str">
            <v>CA2861812014</v>
          </cell>
          <cell r="E1968">
            <v>19.054268582799999</v>
          </cell>
        </row>
        <row r="1969">
          <cell r="A1969" t="str">
            <v>US28618M1062</v>
          </cell>
          <cell r="E1969">
            <v>16.551906750000001</v>
          </cell>
        </row>
        <row r="1970">
          <cell r="A1970" t="str">
            <v>GB0002418548</v>
          </cell>
          <cell r="E1970">
            <v>1.4475302619999999</v>
          </cell>
        </row>
        <row r="1971">
          <cell r="A1971" t="str">
            <v>IT0005373417</v>
          </cell>
          <cell r="E1971">
            <v>1.56</v>
          </cell>
        </row>
        <row r="1972">
          <cell r="A1972" t="str">
            <v>US0367521038</v>
          </cell>
          <cell r="E1972">
            <v>386.44950495720002</v>
          </cell>
        </row>
        <row r="1973">
          <cell r="A1973" t="str">
            <v>US26856L1035</v>
          </cell>
          <cell r="E1973">
            <v>46.054025341200003</v>
          </cell>
        </row>
        <row r="1974">
          <cell r="A1974" t="str">
            <v>US5324571083</v>
          </cell>
          <cell r="E1974">
            <v>668.41454682480003</v>
          </cell>
        </row>
        <row r="1975">
          <cell r="A1975" t="str">
            <v>BE0003822393</v>
          </cell>
          <cell r="E1975">
            <v>88.75</v>
          </cell>
        </row>
        <row r="1976">
          <cell r="A1976" t="str">
            <v>IT0005524423</v>
          </cell>
          <cell r="E1976">
            <v>1.81</v>
          </cell>
        </row>
        <row r="1977">
          <cell r="A1977" t="str">
            <v>FR0011950732</v>
          </cell>
          <cell r="E1977">
            <v>2.524</v>
          </cell>
        </row>
        <row r="1978">
          <cell r="A1978" t="str">
            <v>FR0012435121</v>
          </cell>
          <cell r="E1978">
            <v>21.4</v>
          </cell>
        </row>
        <row r="1979">
          <cell r="A1979" t="str">
            <v>FI0009007884</v>
          </cell>
          <cell r="E1979">
            <v>45.3</v>
          </cell>
        </row>
        <row r="1980">
          <cell r="A1980" t="str">
            <v>NO0010816093</v>
          </cell>
          <cell r="E1980">
            <v>1.58399333</v>
          </cell>
        </row>
        <row r="1981">
          <cell r="A1981" t="str">
            <v>NO0010722283</v>
          </cell>
          <cell r="E1981">
            <v>0.78365985800000004</v>
          </cell>
        </row>
        <row r="1982">
          <cell r="A1982" t="str">
            <v>IL0010826357</v>
          </cell>
          <cell r="E1982">
            <v>12.83632308</v>
          </cell>
        </row>
        <row r="1983">
          <cell r="A1983" t="str">
            <v>US9396531017</v>
          </cell>
          <cell r="E1983">
            <v>13.46221749</v>
          </cell>
        </row>
        <row r="1984">
          <cell r="A1984" t="str">
            <v>NO0010815673</v>
          </cell>
          <cell r="E1984">
            <v>2.9137140465</v>
          </cell>
        </row>
        <row r="1985">
          <cell r="A1985" t="str">
            <v>NO0011002586</v>
          </cell>
          <cell r="E1985">
            <v>3.2471863265000001</v>
          </cell>
        </row>
        <row r="1986">
          <cell r="A1986" t="str">
            <v>IT0005561466</v>
          </cell>
          <cell r="E1986">
            <v>1.75</v>
          </cell>
        </row>
        <row r="1987">
          <cell r="A1987" t="str">
            <v>US29082K1051</v>
          </cell>
          <cell r="E1987">
            <v>10.5137711676</v>
          </cell>
        </row>
        <row r="1988">
          <cell r="A1988" t="str">
            <v>SE0023615885</v>
          </cell>
          <cell r="E1988">
            <v>10.164642259800001</v>
          </cell>
        </row>
        <row r="1989">
          <cell r="A1989" t="str">
            <v>US29084Q1004</v>
          </cell>
          <cell r="E1989">
            <v>344.36793723599999</v>
          </cell>
        </row>
        <row r="1990">
          <cell r="A1990" t="str">
            <v>FR001400NLM4</v>
          </cell>
          <cell r="E1990">
            <v>11.254</v>
          </cell>
        </row>
        <row r="1991">
          <cell r="A1991" t="str">
            <v>CA2908761018</v>
          </cell>
          <cell r="E1991">
            <v>37.835607935399999</v>
          </cell>
        </row>
        <row r="1992">
          <cell r="A1992" t="str">
            <v>AU000000EMR4</v>
          </cell>
          <cell r="E1992">
            <v>2.3574422421999999</v>
          </cell>
        </row>
        <row r="1993">
          <cell r="A1993" t="str">
            <v>US2910111044</v>
          </cell>
          <cell r="E1993">
            <v>88.665254078399997</v>
          </cell>
        </row>
        <row r="1994">
          <cell r="A1994" t="str">
            <v>AU000000EML7</v>
          </cell>
          <cell r="E1994">
            <v>0.50918501890000001</v>
          </cell>
        </row>
        <row r="1995">
          <cell r="A1995" t="str">
            <v>IT0005562183</v>
          </cell>
          <cell r="E1995">
            <v>1.36</v>
          </cell>
        </row>
        <row r="1996">
          <cell r="A1996" t="str">
            <v>CH0012829898</v>
          </cell>
          <cell r="E1996">
            <v>841.16186299999993</v>
          </cell>
        </row>
        <row r="1997">
          <cell r="A1997" t="str">
            <v>FR0013356755</v>
          </cell>
          <cell r="E1997">
            <v>0.68</v>
          </cell>
        </row>
        <row r="1998">
          <cell r="A1998" t="str">
            <v>CA2918434077</v>
          </cell>
          <cell r="E1998">
            <v>30.4728659114</v>
          </cell>
        </row>
        <row r="1999">
          <cell r="A1999" t="str">
            <v>US2921041065</v>
          </cell>
          <cell r="E1999">
            <v>6.1882062036000001</v>
          </cell>
        </row>
        <row r="2000">
          <cell r="A2000" t="str">
            <v>GB00BLWDVR75</v>
          </cell>
          <cell r="E2000">
            <v>1.0160773809999999</v>
          </cell>
        </row>
        <row r="2001">
          <cell r="A2001" t="str">
            <v>US2922181043</v>
          </cell>
          <cell r="E2001">
            <v>42.646539471600001</v>
          </cell>
        </row>
        <row r="2002">
          <cell r="A2002" t="str">
            <v>CH0016440353</v>
          </cell>
          <cell r="E2002">
            <v>621.42317349999996</v>
          </cell>
        </row>
        <row r="2003">
          <cell r="A2003" t="str">
            <v>FR0014005IL3</v>
          </cell>
          <cell r="E2003">
            <v>3448.26</v>
          </cell>
        </row>
        <row r="2004">
          <cell r="A2004" t="str">
            <v>JP3168700007</v>
          </cell>
          <cell r="E2004">
            <v>10.075169519999999</v>
          </cell>
        </row>
        <row r="2005">
          <cell r="A2005" t="str">
            <v>FRESG0000223</v>
          </cell>
          <cell r="E2005">
            <v>4107.2299999999996</v>
          </cell>
        </row>
        <row r="2006">
          <cell r="A2006" t="str">
            <v>FR0014005II9</v>
          </cell>
          <cell r="E2006">
            <v>7439.42</v>
          </cell>
        </row>
        <row r="2007">
          <cell r="A2007" t="str">
            <v>FRESG0000280</v>
          </cell>
          <cell r="E2007">
            <v>7743.08</v>
          </cell>
        </row>
        <row r="2008">
          <cell r="A2008" t="str">
            <v>IT0005468290</v>
          </cell>
          <cell r="E2008">
            <v>0.93</v>
          </cell>
        </row>
        <row r="2009">
          <cell r="A2009" t="str">
            <v>US29249E1091</v>
          </cell>
          <cell r="E2009">
            <v>31.126412373600001</v>
          </cell>
        </row>
        <row r="2010">
          <cell r="A2010" t="str">
            <v>ES0130960018</v>
          </cell>
          <cell r="E2010">
            <v>13.11</v>
          </cell>
        </row>
        <row r="2011">
          <cell r="A2011" t="str">
            <v>IT0005176406</v>
          </cell>
          <cell r="E2011">
            <v>3.6920000000000002</v>
          </cell>
        </row>
        <row r="2012">
          <cell r="A2012" t="str">
            <v>CA29250N1050</v>
          </cell>
          <cell r="E2012">
            <v>39.212948469200001</v>
          </cell>
        </row>
        <row r="2013">
          <cell r="A2013" t="str">
            <v>ES0130625512</v>
          </cell>
          <cell r="E2013">
            <v>2.948</v>
          </cell>
        </row>
        <row r="2014">
          <cell r="A2014" t="str">
            <v>US29261A1007</v>
          </cell>
          <cell r="E2014">
            <v>90.307203228000006</v>
          </cell>
        </row>
        <row r="2015">
          <cell r="A2015" t="str">
            <v>US2925541029</v>
          </cell>
          <cell r="E2015">
            <v>26.412429331199998</v>
          </cell>
        </row>
        <row r="2016">
          <cell r="A2016" t="str">
            <v>FR0004030708</v>
          </cell>
          <cell r="E2016">
            <v>2.78</v>
          </cell>
        </row>
        <row r="2017">
          <cell r="A2017" t="str">
            <v>AU0000154833</v>
          </cell>
          <cell r="E2017">
            <v>2.2449151662000002</v>
          </cell>
        </row>
        <row r="2018">
          <cell r="A2018" t="str">
            <v>GB00BL6K5J42</v>
          </cell>
          <cell r="E2018">
            <v>23.992989479999999</v>
          </cell>
        </row>
        <row r="2019">
          <cell r="A2019" t="str">
            <v>ES0130670112</v>
          </cell>
          <cell r="E2019">
            <v>25.04</v>
          </cell>
        </row>
        <row r="2020">
          <cell r="A2020" t="str">
            <v>NO0012555459</v>
          </cell>
          <cell r="E2020">
            <v>6.1442267590000004</v>
          </cell>
        </row>
        <row r="2021">
          <cell r="A2021" t="str">
            <v>JP3165870001</v>
          </cell>
          <cell r="E2021">
            <v>1.7688756800000001</v>
          </cell>
        </row>
        <row r="2022">
          <cell r="A2022" t="str">
            <v>IT0003128367</v>
          </cell>
          <cell r="E2022">
            <v>7.2140000000000004</v>
          </cell>
        </row>
        <row r="2023">
          <cell r="A2023" t="str">
            <v>FR0013330792</v>
          </cell>
          <cell r="E2023">
            <v>1.1040000000000001</v>
          </cell>
        </row>
        <row r="2024">
          <cell r="A2024" t="str">
            <v>FI4000123195</v>
          </cell>
          <cell r="E2024">
            <v>15.4</v>
          </cell>
        </row>
        <row r="2025">
          <cell r="A2025" t="str">
            <v>JP3386450005</v>
          </cell>
          <cell r="E2025">
            <v>4.1042863680000004</v>
          </cell>
        </row>
        <row r="2026">
          <cell r="A2026" t="str">
            <v>CA29269R1055</v>
          </cell>
          <cell r="E2026">
            <v>5.9980958729999996</v>
          </cell>
        </row>
        <row r="2027">
          <cell r="A2027" t="str">
            <v>GB00BG12Y042</v>
          </cell>
          <cell r="E2027">
            <v>9.5703030649999992</v>
          </cell>
        </row>
        <row r="2028">
          <cell r="A2028" t="str">
            <v>NO0012697715</v>
          </cell>
          <cell r="E2028">
            <v>4.1684034999999999E-3</v>
          </cell>
        </row>
        <row r="2029">
          <cell r="A2029" t="str">
            <v>FR0013399359</v>
          </cell>
          <cell r="E2029">
            <v>5.5999999999999999E-3</v>
          </cell>
        </row>
        <row r="2030">
          <cell r="A2030" t="str">
            <v>IL0011233553</v>
          </cell>
          <cell r="E2030">
            <v>2.4578150399999998</v>
          </cell>
        </row>
        <row r="2031">
          <cell r="A2031" t="str">
            <v>US29272W1099</v>
          </cell>
          <cell r="E2031">
            <v>23.561087528400002</v>
          </cell>
        </row>
        <row r="2032">
          <cell r="A2032" t="str">
            <v>IT0005500712</v>
          </cell>
          <cell r="E2032">
            <v>0.754</v>
          </cell>
        </row>
        <row r="2033">
          <cell r="A2033" t="str">
            <v>CA2926717083</v>
          </cell>
          <cell r="E2033">
            <v>3.6496350550000001</v>
          </cell>
        </row>
        <row r="2034">
          <cell r="A2034" t="str">
            <v>US29270J1007</v>
          </cell>
          <cell r="E2034">
            <v>13.312146868799999</v>
          </cell>
        </row>
        <row r="2035">
          <cell r="A2035" t="str">
            <v>US29273V1008</v>
          </cell>
          <cell r="E2035">
            <v>15.104166639600001</v>
          </cell>
        </row>
        <row r="2036">
          <cell r="A2036" t="str">
            <v>US2927651040</v>
          </cell>
          <cell r="E2036">
            <v>35.028248524799999</v>
          </cell>
        </row>
        <row r="2037">
          <cell r="A2037" t="str">
            <v>US29275Y1029</v>
          </cell>
          <cell r="E2037">
            <v>73.772951845199998</v>
          </cell>
        </row>
        <row r="2038">
          <cell r="A2038" t="str">
            <v>IT0004887409</v>
          </cell>
          <cell r="E2038">
            <v>0.83799999999999997</v>
          </cell>
        </row>
        <row r="2039">
          <cell r="A2039" t="str">
            <v>SE0017769847</v>
          </cell>
          <cell r="E2039">
            <v>8.9608635959999994</v>
          </cell>
        </row>
        <row r="2040">
          <cell r="A2040" t="str">
            <v>CA2929491041</v>
          </cell>
          <cell r="E2040">
            <v>15.5633133128</v>
          </cell>
        </row>
        <row r="2041">
          <cell r="A2041" t="str">
            <v>FR0010208488</v>
          </cell>
          <cell r="E2041">
            <v>18.41</v>
          </cell>
        </row>
        <row r="2042">
          <cell r="A2042" t="str">
            <v>IT0003132476</v>
          </cell>
          <cell r="E2042">
            <v>11.96</v>
          </cell>
        </row>
        <row r="2043">
          <cell r="A2043" t="str">
            <v>IL0007200111</v>
          </cell>
          <cell r="E2043">
            <v>13.61879154</v>
          </cell>
        </row>
        <row r="2044">
          <cell r="A2044" t="str">
            <v>FR0014004974</v>
          </cell>
          <cell r="E2044">
            <v>2.46</v>
          </cell>
        </row>
        <row r="2045">
          <cell r="A2045" t="str">
            <v>US29357K1034</v>
          </cell>
          <cell r="E2045">
            <v>81.347104374000011</v>
          </cell>
        </row>
        <row r="2046">
          <cell r="A2046" t="str">
            <v>IT0005391229</v>
          </cell>
          <cell r="E2046">
            <v>2.1800000000000002</v>
          </cell>
        </row>
        <row r="2047">
          <cell r="A2047" t="str">
            <v>US1940145022</v>
          </cell>
          <cell r="E2047">
            <v>27.789547972800001</v>
          </cell>
        </row>
        <row r="2048">
          <cell r="A2048" t="str">
            <v>US2935941078</v>
          </cell>
          <cell r="E2048">
            <v>5.3054378436</v>
          </cell>
        </row>
        <row r="2049">
          <cell r="A2049" t="str">
            <v>US29355A1079</v>
          </cell>
          <cell r="E2049">
            <v>46.848516865199997</v>
          </cell>
        </row>
        <row r="2050">
          <cell r="A2050" t="str">
            <v>JP3169800004</v>
          </cell>
          <cell r="E2050">
            <v>24.1828808</v>
          </cell>
        </row>
        <row r="2051">
          <cell r="A2051" t="str">
            <v>US29355X1072</v>
          </cell>
          <cell r="E2051">
            <v>129.96115795919999</v>
          </cell>
        </row>
        <row r="2052">
          <cell r="A2052" t="str">
            <v>US29358P1012</v>
          </cell>
          <cell r="E2052">
            <v>113.95656759240001</v>
          </cell>
        </row>
        <row r="2053">
          <cell r="A2053" t="str">
            <v>BMG3075P1014</v>
          </cell>
          <cell r="E2053">
            <v>294.50918026319999</v>
          </cell>
        </row>
        <row r="2054">
          <cell r="A2054" t="str">
            <v>NO0013186460</v>
          </cell>
          <cell r="E2054">
            <v>0.1058774489</v>
          </cell>
        </row>
        <row r="2055">
          <cell r="A2055" t="str">
            <v>IM00B5VQMV65</v>
          </cell>
          <cell r="E2055">
            <v>6.5173939259999996</v>
          </cell>
        </row>
        <row r="2056">
          <cell r="A2056" t="str">
            <v>FR0014004362</v>
          </cell>
          <cell r="E2056">
            <v>7.5</v>
          </cell>
        </row>
        <row r="2057">
          <cell r="A2057" t="str">
            <v>US29362U1043</v>
          </cell>
          <cell r="E2057">
            <v>63.647598755999987</v>
          </cell>
        </row>
        <row r="2058">
          <cell r="A2058" t="str">
            <v>US29364G1031</v>
          </cell>
          <cell r="E2058">
            <v>73.675847325600003</v>
          </cell>
        </row>
        <row r="2059">
          <cell r="A2059" t="str">
            <v>US2937121059</v>
          </cell>
          <cell r="E2059">
            <v>42.134533822800002</v>
          </cell>
        </row>
        <row r="2060">
          <cell r="A2060" t="str">
            <v>US2937921078</v>
          </cell>
          <cell r="E2060">
            <v>27.304025374799998</v>
          </cell>
        </row>
        <row r="2061">
          <cell r="A2061" t="str">
            <v>NO0010716418</v>
          </cell>
          <cell r="E2061">
            <v>9.8207586459999998</v>
          </cell>
        </row>
        <row r="2062">
          <cell r="A2062" t="str">
            <v>FR0010424697</v>
          </cell>
          <cell r="E2062">
            <v>0.69</v>
          </cell>
        </row>
        <row r="2063">
          <cell r="A2063" t="str">
            <v>FR0000045122</v>
          </cell>
          <cell r="E2063">
            <v>8.1</v>
          </cell>
        </row>
        <row r="2064">
          <cell r="A2064" t="str">
            <v>NL0015000GX8</v>
          </cell>
          <cell r="E2064">
            <v>4.8</v>
          </cell>
        </row>
        <row r="2065">
          <cell r="A2065" t="str">
            <v>NL0015000GX8</v>
          </cell>
          <cell r="E2065">
            <v>4.9020425159999998</v>
          </cell>
        </row>
        <row r="2066">
          <cell r="A2066" t="str">
            <v>KYG3962W1024</v>
          </cell>
          <cell r="E2066">
            <v>0.84790133700000003</v>
          </cell>
        </row>
        <row r="2067">
          <cell r="A2067" t="str">
            <v>US29415F1049</v>
          </cell>
          <cell r="E2067">
            <v>13.3651129704</v>
          </cell>
        </row>
        <row r="2068">
          <cell r="A2068" t="str">
            <v>FR0010465534</v>
          </cell>
          <cell r="E2068">
            <v>3.14</v>
          </cell>
        </row>
        <row r="2069">
          <cell r="A2069" t="str">
            <v>US26875P1012</v>
          </cell>
          <cell r="E2069">
            <v>94.879943332800011</v>
          </cell>
        </row>
        <row r="2070">
          <cell r="A2070" t="str">
            <v>US29414B1044</v>
          </cell>
          <cell r="E2070">
            <v>133.78354495799999</v>
          </cell>
        </row>
        <row r="2071">
          <cell r="A2071" t="str">
            <v>SE0000671711</v>
          </cell>
          <cell r="E2071">
            <v>11.695906300000001</v>
          </cell>
        </row>
        <row r="2072">
          <cell r="A2072" t="str">
            <v>SE0015658109</v>
          </cell>
          <cell r="E2072">
            <v>17.156994857000001</v>
          </cell>
        </row>
        <row r="2073">
          <cell r="A2073" t="str">
            <v>SE0015658117</v>
          </cell>
          <cell r="E2073">
            <v>15.357624657000001</v>
          </cell>
        </row>
        <row r="2074">
          <cell r="A2074" t="str">
            <v>US2942681071</v>
          </cell>
          <cell r="E2074">
            <v>51.659604427200001</v>
          </cell>
        </row>
        <row r="2075">
          <cell r="A2075" t="str">
            <v>US26884U1097</v>
          </cell>
          <cell r="E2075">
            <v>43.034957550000001</v>
          </cell>
        </row>
        <row r="2076">
          <cell r="A2076" t="str">
            <v>IT0005519837</v>
          </cell>
          <cell r="E2076">
            <v>1.17</v>
          </cell>
        </row>
        <row r="2077">
          <cell r="A2077" t="str">
            <v>CA26886R1047</v>
          </cell>
          <cell r="E2077">
            <v>58.851158660800003</v>
          </cell>
        </row>
        <row r="2078">
          <cell r="A2078" t="str">
            <v>SE0012853455</v>
          </cell>
          <cell r="E2078">
            <v>24.165541785999999</v>
          </cell>
        </row>
        <row r="2079">
          <cell r="A2079" t="str">
            <v>US26884L1098</v>
          </cell>
          <cell r="E2079">
            <v>44.791666586400012</v>
          </cell>
        </row>
        <row r="2080">
          <cell r="A2080" t="str">
            <v>AU000000EQT1</v>
          </cell>
          <cell r="E2080">
            <v>17.272906165999999</v>
          </cell>
        </row>
        <row r="2081">
          <cell r="A2081" t="str">
            <v>FR0012882389</v>
          </cell>
          <cell r="E2081">
            <v>37.15</v>
          </cell>
        </row>
        <row r="2082">
          <cell r="A2082" t="str">
            <v>US2944291051</v>
          </cell>
          <cell r="E2082">
            <v>199.108403598</v>
          </cell>
        </row>
        <row r="2083">
          <cell r="A2083" t="str">
            <v>US29444U7000</v>
          </cell>
          <cell r="E2083">
            <v>695.17125581640005</v>
          </cell>
        </row>
        <row r="2084">
          <cell r="A2084" t="str">
            <v>NO0010096985</v>
          </cell>
          <cell r="E2084">
            <v>20.633597325</v>
          </cell>
        </row>
        <row r="2085">
          <cell r="A2085" t="str">
            <v>CA29446Y5020</v>
          </cell>
          <cell r="E2085">
            <v>6.1504284665999993</v>
          </cell>
        </row>
        <row r="2086">
          <cell r="A2086" t="str">
            <v>US29452E1010</v>
          </cell>
          <cell r="E2086">
            <v>41.7814264788</v>
          </cell>
        </row>
        <row r="2087">
          <cell r="A2087" t="str">
            <v>IL0007550176</v>
          </cell>
          <cell r="E2087">
            <v>34.250996699999988</v>
          </cell>
        </row>
        <row r="2088">
          <cell r="A2088" t="str">
            <v>US2946281027</v>
          </cell>
          <cell r="E2088">
            <v>1.4036016924000001</v>
          </cell>
        </row>
        <row r="2089">
          <cell r="A2089" t="str">
            <v>US29472R1086</v>
          </cell>
          <cell r="E2089">
            <v>57.812499896399999</v>
          </cell>
        </row>
        <row r="2090">
          <cell r="A2090" t="str">
            <v>US29476L1070</v>
          </cell>
          <cell r="E2090">
            <v>59.163135487200002</v>
          </cell>
        </row>
        <row r="2091">
          <cell r="A2091" t="str">
            <v>NO0010708605</v>
          </cell>
          <cell r="E2091">
            <v>0.40850354300000002</v>
          </cell>
        </row>
        <row r="2092">
          <cell r="A2092" t="str">
            <v>FR0000131757</v>
          </cell>
          <cell r="E2092">
            <v>47.7</v>
          </cell>
        </row>
        <row r="2093">
          <cell r="A2093" t="str">
            <v>JP3130830007</v>
          </cell>
          <cell r="E2093">
            <v>4.93553424</v>
          </cell>
        </row>
        <row r="2094">
          <cell r="A2094" t="str">
            <v>IT0001157020</v>
          </cell>
          <cell r="E2094">
            <v>17.5</v>
          </cell>
        </row>
        <row r="2095">
          <cell r="A2095" t="str">
            <v>SE0000108656</v>
          </cell>
          <cell r="E2095">
            <v>7.1434996940000008</v>
          </cell>
        </row>
        <row r="2096">
          <cell r="A2096" t="str">
            <v>US29530P1021</v>
          </cell>
          <cell r="E2096">
            <v>370.51553605919997</v>
          </cell>
        </row>
        <row r="2097">
          <cell r="A2097" t="str">
            <v>CA2960061091</v>
          </cell>
          <cell r="E2097">
            <v>9.2986354010000003</v>
          </cell>
        </row>
        <row r="2098">
          <cell r="A2098" t="str">
            <v>IT0005521247</v>
          </cell>
          <cell r="E2098">
            <v>7.6</v>
          </cell>
        </row>
        <row r="2099">
          <cell r="A2099" t="str">
            <v>AT0000652011</v>
          </cell>
          <cell r="E2099">
            <v>62.65</v>
          </cell>
        </row>
        <row r="2100">
          <cell r="A2100" t="str">
            <v>US29605J1060</v>
          </cell>
          <cell r="E2100">
            <v>102.00388399800001</v>
          </cell>
        </row>
        <row r="2101">
          <cell r="A2101" t="str">
            <v>IT0005337107</v>
          </cell>
          <cell r="E2101">
            <v>2.82</v>
          </cell>
        </row>
        <row r="2102">
          <cell r="A2102" t="str">
            <v>US2963151046</v>
          </cell>
          <cell r="E2102">
            <v>134.88700540799999</v>
          </cell>
        </row>
        <row r="2103">
          <cell r="A2103" t="str">
            <v>JP3688330004</v>
          </cell>
          <cell r="E2103">
            <v>6.35805664</v>
          </cell>
        </row>
        <row r="2104">
          <cell r="A2104" t="str">
            <v>JP3048810000</v>
          </cell>
          <cell r="E2104">
            <v>688.995632</v>
          </cell>
        </row>
        <row r="2105">
          <cell r="A2105" t="str">
            <v>IT0005421885</v>
          </cell>
          <cell r="E2105">
            <v>1.4950000000000001</v>
          </cell>
        </row>
        <row r="2106">
          <cell r="A2106" t="str">
            <v>JP3688350002</v>
          </cell>
          <cell r="E2106">
            <v>24.894141999999999</v>
          </cell>
        </row>
        <row r="2107">
          <cell r="A2107" t="str">
            <v>IT0005573818</v>
          </cell>
          <cell r="E2107">
            <v>2.7</v>
          </cell>
        </row>
        <row r="2108">
          <cell r="A2108" t="str">
            <v>JP3469800001</v>
          </cell>
          <cell r="E2108">
            <v>13.17997928</v>
          </cell>
        </row>
        <row r="2109">
          <cell r="A2109" t="str">
            <v>KYG319891092</v>
          </cell>
          <cell r="E2109">
            <v>1.388509572</v>
          </cell>
        </row>
        <row r="2110">
          <cell r="A2110" t="str">
            <v>SG1T70931228</v>
          </cell>
          <cell r="E2110">
            <v>0.13752389944999999</v>
          </cell>
        </row>
        <row r="2111">
          <cell r="A2111" t="str">
            <v>BMG3198U1027</v>
          </cell>
          <cell r="E2111">
            <v>49.196680702800002</v>
          </cell>
        </row>
        <row r="2112">
          <cell r="A2112" t="str">
            <v>US29670E1073</v>
          </cell>
          <cell r="E2112">
            <v>27.789547972800001</v>
          </cell>
        </row>
        <row r="2113">
          <cell r="A2113" t="str">
            <v>US29670G1022</v>
          </cell>
          <cell r="E2113">
            <v>35.231285247599999</v>
          </cell>
        </row>
        <row r="2114">
          <cell r="A2114" t="str">
            <v>GB00B0744359</v>
          </cell>
          <cell r="E2114">
            <v>1.089740068</v>
          </cell>
        </row>
        <row r="2115">
          <cell r="A2115" t="str">
            <v>US2971781057</v>
          </cell>
          <cell r="E2115">
            <v>241.3400419404</v>
          </cell>
        </row>
        <row r="2116">
          <cell r="A2116" t="str">
            <v>FR0000121667</v>
          </cell>
          <cell r="E2116">
            <v>251.2</v>
          </cell>
        </row>
        <row r="2117">
          <cell r="A2117" t="str">
            <v>SE0009922164</v>
          </cell>
          <cell r="E2117">
            <v>25.847952923000001</v>
          </cell>
        </row>
        <row r="2118">
          <cell r="A2118" t="str">
            <v>FR0000120669</v>
          </cell>
          <cell r="E2118">
            <v>133.19999999999999</v>
          </cell>
        </row>
        <row r="2119">
          <cell r="A2119" t="str">
            <v>VGG312491084</v>
          </cell>
          <cell r="E2119">
            <v>27.7763064474</v>
          </cell>
        </row>
        <row r="2120">
          <cell r="A2120" t="str">
            <v>US5184391044</v>
          </cell>
          <cell r="E2120">
            <v>48.031426467599999</v>
          </cell>
        </row>
        <row r="2121">
          <cell r="A2121" t="str">
            <v>PTESO0AM0000</v>
          </cell>
          <cell r="E2121">
            <v>4.5999999999999996</v>
          </cell>
        </row>
        <row r="2122">
          <cell r="A2122" t="str">
            <v>IT0005468191</v>
          </cell>
          <cell r="E2122">
            <v>0.47199999999999998</v>
          </cell>
        </row>
        <row r="2123">
          <cell r="A2123" t="str">
            <v>US29786A1060</v>
          </cell>
          <cell r="E2123">
            <v>38.400423660000001</v>
          </cell>
        </row>
        <row r="2124">
          <cell r="A2124" t="str">
            <v>JP3944370000</v>
          </cell>
          <cell r="E2124">
            <v>2.78938088</v>
          </cell>
        </row>
        <row r="2125">
          <cell r="A2125" t="str">
            <v>FR0000061475</v>
          </cell>
          <cell r="E2125">
            <v>0.2</v>
          </cell>
        </row>
        <row r="2126">
          <cell r="A2126" t="str">
            <v>FR0010844001</v>
          </cell>
          <cell r="E2126">
            <v>1.22</v>
          </cell>
        </row>
        <row r="2127">
          <cell r="A2127" t="str">
            <v>FR0000121121</v>
          </cell>
          <cell r="E2127">
            <v>58.95</v>
          </cell>
        </row>
        <row r="2128">
          <cell r="A2128" t="str">
            <v>FR0014008VX5</v>
          </cell>
          <cell r="E2128">
            <v>2.5</v>
          </cell>
        </row>
        <row r="2129">
          <cell r="A2129" t="str">
            <v>FR0013240934</v>
          </cell>
          <cell r="E2129">
            <v>24.254999999999999</v>
          </cell>
        </row>
        <row r="2130">
          <cell r="A2130" t="str">
            <v>GB00B94QM994</v>
          </cell>
          <cell r="E2130">
            <v>8.1999999999999993</v>
          </cell>
        </row>
        <row r="2131">
          <cell r="A2131" t="str">
            <v>NL0015000K93</v>
          </cell>
          <cell r="E2131">
            <v>24</v>
          </cell>
        </row>
        <row r="2132">
          <cell r="A2132" t="str">
            <v>FR0013256518</v>
          </cell>
          <cell r="E2132">
            <v>20600</v>
          </cell>
        </row>
        <row r="2133">
          <cell r="A2133" t="str">
            <v>FR0014000MR3</v>
          </cell>
          <cell r="E2133">
            <v>50.72</v>
          </cell>
        </row>
        <row r="2134">
          <cell r="A2134" t="str">
            <v>IT0005527616</v>
          </cell>
          <cell r="E2134">
            <v>2.5659999999999998</v>
          </cell>
        </row>
        <row r="2135">
          <cell r="A2135" t="str">
            <v>US2987361092</v>
          </cell>
          <cell r="E2135">
            <v>84.683968774800007</v>
          </cell>
        </row>
        <row r="2136">
          <cell r="A2136" t="str">
            <v>NL0006294274</v>
          </cell>
          <cell r="E2136">
            <v>138</v>
          </cell>
        </row>
        <row r="2137">
          <cell r="A2137" t="str">
            <v>FR0010490920</v>
          </cell>
          <cell r="E2137">
            <v>0.39500000000000002</v>
          </cell>
        </row>
        <row r="2138">
          <cell r="A2138" t="str">
            <v>BE0974497290</v>
          </cell>
          <cell r="E2138">
            <v>5.399</v>
          </cell>
        </row>
        <row r="2139">
          <cell r="A2139" t="str">
            <v>FR001400PDG8</v>
          </cell>
          <cell r="E2139">
            <v>1.4200000000000001E-2</v>
          </cell>
        </row>
        <row r="2140">
          <cell r="A2140" t="str">
            <v>NO0010735343</v>
          </cell>
          <cell r="E2140">
            <v>6.2942892850000014</v>
          </cell>
        </row>
        <row r="2141">
          <cell r="A2141" t="str">
            <v>FR0010221234</v>
          </cell>
          <cell r="E2141">
            <v>4.13</v>
          </cell>
        </row>
        <row r="2142">
          <cell r="A2142" t="str">
            <v>US29977A1051</v>
          </cell>
          <cell r="E2142">
            <v>161.1581918016</v>
          </cell>
        </row>
        <row r="2143">
          <cell r="A2143" t="str">
            <v>BMG3223R1088</v>
          </cell>
          <cell r="E2143">
            <v>308.83651074599999</v>
          </cell>
        </row>
        <row r="2144">
          <cell r="A2144" t="str">
            <v>FR0000035784</v>
          </cell>
          <cell r="E2144">
            <v>0.33</v>
          </cell>
        </row>
        <row r="2145">
          <cell r="A2145" t="str">
            <v>US30034W1062</v>
          </cell>
          <cell r="E2145">
            <v>59.913488593200007</v>
          </cell>
        </row>
        <row r="2146">
          <cell r="A2146" t="str">
            <v>US30034T1034</v>
          </cell>
          <cell r="E2146">
            <v>12.182203368</v>
          </cell>
        </row>
        <row r="2147">
          <cell r="A2147" t="str">
            <v>GB00BYVX2X20</v>
          </cell>
          <cell r="E2147">
            <v>3.0049699300000001</v>
          </cell>
        </row>
        <row r="2148">
          <cell r="A2148" t="str">
            <v>US30040W1080</v>
          </cell>
          <cell r="E2148">
            <v>51.182909512800002</v>
          </cell>
        </row>
        <row r="2149">
          <cell r="A2149" t="str">
            <v>PR30040P1032</v>
          </cell>
          <cell r="E2149">
            <v>29.696327630399999</v>
          </cell>
        </row>
        <row r="2150">
          <cell r="A2150" t="str">
            <v>US3004261034</v>
          </cell>
          <cell r="E2150">
            <v>34.021892594400001</v>
          </cell>
        </row>
        <row r="2151">
          <cell r="A2151" t="str">
            <v>IT0005430936</v>
          </cell>
          <cell r="E2151">
            <v>9.66</v>
          </cell>
        </row>
        <row r="2152">
          <cell r="A2152" t="str">
            <v>AT0000741053</v>
          </cell>
          <cell r="E2152">
            <v>21.4</v>
          </cell>
        </row>
        <row r="2153">
          <cell r="A2153" t="str">
            <v>US30050B1017</v>
          </cell>
          <cell r="E2153">
            <v>8.2009180643999997</v>
          </cell>
        </row>
        <row r="2154">
          <cell r="A2154" t="str">
            <v>SE0012673267</v>
          </cell>
          <cell r="E2154">
            <v>72.100763913999998</v>
          </cell>
        </row>
        <row r="2155">
          <cell r="A2155" t="str">
            <v>AU000000EVN4</v>
          </cell>
          <cell r="E2155">
            <v>4.6192364698000006</v>
          </cell>
        </row>
        <row r="2156">
          <cell r="A2156" t="str">
            <v>DE000EVNK013</v>
          </cell>
          <cell r="E2156">
            <v>18.82</v>
          </cell>
        </row>
        <row r="2157">
          <cell r="A2157" t="str">
            <v>DE0005664809</v>
          </cell>
          <cell r="E2157">
            <v>5.944</v>
          </cell>
        </row>
        <row r="2158">
          <cell r="A2158" t="str">
            <v>GB00B71N6K86</v>
          </cell>
          <cell r="E2158">
            <v>0.94580551609999997</v>
          </cell>
        </row>
        <row r="2159">
          <cell r="A2159" t="str">
            <v>BE0003820371</v>
          </cell>
          <cell r="E2159">
            <v>35.1</v>
          </cell>
        </row>
        <row r="2160">
          <cell r="A2160" t="str">
            <v>AU000000EVT1</v>
          </cell>
          <cell r="E2160">
            <v>7.3817761855999997</v>
          </cell>
        </row>
        <row r="2161">
          <cell r="A2161" t="str">
            <v>FR0000064164</v>
          </cell>
          <cell r="E2161">
            <v>154</v>
          </cell>
        </row>
        <row r="2162">
          <cell r="A2162" t="str">
            <v>US30063P1057</v>
          </cell>
          <cell r="E2162">
            <v>38.550494281200002</v>
          </cell>
        </row>
        <row r="2163">
          <cell r="A2163" t="str">
            <v>NO0010852213</v>
          </cell>
          <cell r="E2163">
            <v>0.25510629419999997</v>
          </cell>
        </row>
        <row r="2164">
          <cell r="A2164" t="str">
            <v>FR0000062671</v>
          </cell>
          <cell r="E2164">
            <v>45.5</v>
          </cell>
        </row>
        <row r="2165">
          <cell r="A2165" t="str">
            <v>JP3161330000</v>
          </cell>
          <cell r="E2165">
            <v>1.7936152000000001</v>
          </cell>
        </row>
        <row r="2166">
          <cell r="A2166" t="str">
            <v>CA3012831077</v>
          </cell>
          <cell r="E2166">
            <v>31.405903047199999</v>
          </cell>
        </row>
        <row r="2167">
          <cell r="A2167" t="str">
            <v>IT0005557530</v>
          </cell>
          <cell r="E2167">
            <v>1.24</v>
          </cell>
        </row>
        <row r="2168">
          <cell r="A2168" t="str">
            <v>JP3161160001</v>
          </cell>
          <cell r="E2168">
            <v>25.141537199999998</v>
          </cell>
        </row>
        <row r="2169">
          <cell r="A2169" t="str">
            <v>FR0004527638</v>
          </cell>
          <cell r="E2169">
            <v>36.1</v>
          </cell>
        </row>
        <row r="2170">
          <cell r="A2170" t="str">
            <v>US30161Q1040</v>
          </cell>
          <cell r="E2170">
            <v>32.256355874400001</v>
          </cell>
        </row>
        <row r="2171">
          <cell r="A2171" t="str">
            <v>US30161N1019</v>
          </cell>
          <cell r="E2171">
            <v>41.260593146400012</v>
          </cell>
        </row>
        <row r="2172">
          <cell r="A2172" t="str">
            <v>JP3254200003</v>
          </cell>
          <cell r="E2172">
            <v>9.9514719200000012</v>
          </cell>
        </row>
        <row r="2173">
          <cell r="A2173" t="str">
            <v>US3020811044</v>
          </cell>
          <cell r="E2173">
            <v>40.510240040399999</v>
          </cell>
        </row>
        <row r="2174">
          <cell r="A2174" t="str">
            <v>BE0003808251</v>
          </cell>
          <cell r="E2174">
            <v>11.5</v>
          </cell>
        </row>
        <row r="2175">
          <cell r="A2175" t="str">
            <v>NL0012059018</v>
          </cell>
          <cell r="E2175">
            <v>78.650000000000006</v>
          </cell>
        </row>
        <row r="2176">
          <cell r="A2176" t="str">
            <v>FR001400Q9V2</v>
          </cell>
          <cell r="E2176">
            <v>33.549999999999997</v>
          </cell>
        </row>
        <row r="2177">
          <cell r="A2177" t="str">
            <v>US30212W1009</v>
          </cell>
          <cell r="E2177">
            <v>8.1876765389999999</v>
          </cell>
        </row>
        <row r="2178">
          <cell r="A2178" t="str">
            <v>US1651677353</v>
          </cell>
          <cell r="E2178">
            <v>92.01094616280001</v>
          </cell>
        </row>
        <row r="2179">
          <cell r="A2179" t="str">
            <v>US30212P3038</v>
          </cell>
          <cell r="E2179">
            <v>133.81885569240001</v>
          </cell>
        </row>
        <row r="2180">
          <cell r="A2180" t="str">
            <v>US3021301094</v>
          </cell>
          <cell r="E2180">
            <v>97.131002650799999</v>
          </cell>
        </row>
        <row r="2181">
          <cell r="A2181" t="str">
            <v>GB00B19NLV48</v>
          </cell>
          <cell r="E2181">
            <v>40.760020140000002</v>
          </cell>
        </row>
        <row r="2182">
          <cell r="A2182" t="str">
            <v>IT0004496029</v>
          </cell>
          <cell r="E2182">
            <v>1.304</v>
          </cell>
        </row>
        <row r="2183">
          <cell r="A2183" t="str">
            <v>FR0014003AQ4</v>
          </cell>
          <cell r="E2183">
            <v>204</v>
          </cell>
        </row>
        <row r="2184">
          <cell r="A2184" t="str">
            <v>US30214U1025</v>
          </cell>
          <cell r="E2184">
            <v>70.533191964000011</v>
          </cell>
        </row>
        <row r="2185">
          <cell r="A2185" t="str">
            <v>NL0010556684</v>
          </cell>
          <cell r="E2185">
            <v>7.1239406652000001</v>
          </cell>
        </row>
        <row r="2186">
          <cell r="A2186" t="str">
            <v>US30225T1025</v>
          </cell>
          <cell r="E2186">
            <v>122.0338980864</v>
          </cell>
        </row>
        <row r="2187">
          <cell r="A2187" t="str">
            <v>US30226D1063</v>
          </cell>
          <cell r="E2187">
            <v>10.37252823</v>
          </cell>
        </row>
        <row r="2188">
          <cell r="A2188" t="str">
            <v>US30231G1022</v>
          </cell>
          <cell r="E2188">
            <v>91.013417915999995</v>
          </cell>
        </row>
        <row r="2189">
          <cell r="A2189" t="str">
            <v>US30233G2093</v>
          </cell>
          <cell r="E2189">
            <v>5.0052966012000004</v>
          </cell>
        </row>
        <row r="2190">
          <cell r="A2190" t="str">
            <v>JP3161200005</v>
          </cell>
          <cell r="E2190">
            <v>29.248297520000001</v>
          </cell>
        </row>
        <row r="2191">
          <cell r="A2191" t="str">
            <v>US30190A1043</v>
          </cell>
          <cell r="E2191">
            <v>30.376059267599999</v>
          </cell>
        </row>
        <row r="2192">
          <cell r="A2192" t="str">
            <v>US3025201019</v>
          </cell>
          <cell r="E2192">
            <v>10.8668785116</v>
          </cell>
        </row>
        <row r="2193">
          <cell r="A2193" t="str">
            <v>US3156161024</v>
          </cell>
          <cell r="E2193">
            <v>232.63594591079999</v>
          </cell>
        </row>
        <row r="2194">
          <cell r="A2194" t="str">
            <v>SE0011166974</v>
          </cell>
          <cell r="E2194">
            <v>7.3279351395000001</v>
          </cell>
        </row>
        <row r="2195">
          <cell r="A2195" t="str">
            <v>KYG3323L1005</v>
          </cell>
          <cell r="E2195">
            <v>166.41066354360001</v>
          </cell>
        </row>
        <row r="2196">
          <cell r="A2196" t="str">
            <v>AT00000FACC2</v>
          </cell>
          <cell r="E2196">
            <v>6.95</v>
          </cell>
        </row>
        <row r="2197">
          <cell r="A2197" t="str">
            <v>ES0105029005</v>
          </cell>
          <cell r="E2197">
            <v>2.2999999999999998</v>
          </cell>
        </row>
        <row r="2198">
          <cell r="A2198" t="str">
            <v>US3030751057</v>
          </cell>
          <cell r="E2198">
            <v>385.09004168280001</v>
          </cell>
        </row>
        <row r="2199">
          <cell r="A2199" t="str">
            <v>IT0005500688</v>
          </cell>
          <cell r="E2199">
            <v>2.34</v>
          </cell>
        </row>
        <row r="2200">
          <cell r="A2200" t="str">
            <v>ES0134950F36</v>
          </cell>
          <cell r="E2200">
            <v>3.8050000000000002</v>
          </cell>
        </row>
        <row r="2201">
          <cell r="A2201" t="str">
            <v>SE0010048884</v>
          </cell>
          <cell r="E2201">
            <v>3.6977057609999999</v>
          </cell>
        </row>
        <row r="2202">
          <cell r="A2202" t="str">
            <v>BE0003874915</v>
          </cell>
          <cell r="E2202">
            <v>19.399999999999999</v>
          </cell>
        </row>
        <row r="2203">
          <cell r="A2203" t="str">
            <v>US3032501047</v>
          </cell>
          <cell r="E2203">
            <v>1698.3845308548</v>
          </cell>
        </row>
        <row r="2204">
          <cell r="A2204" t="str">
            <v>CA3039011026</v>
          </cell>
          <cell r="E2204">
            <v>1298.4576390807999</v>
          </cell>
        </row>
        <row r="2205">
          <cell r="A2205" t="str">
            <v>JP3802400006</v>
          </cell>
          <cell r="E2205">
            <v>21.294541840000001</v>
          </cell>
        </row>
        <row r="2206">
          <cell r="A2206" t="str">
            <v>SG2F08984575</v>
          </cell>
          <cell r="E2206">
            <v>0.35219535224999998</v>
          </cell>
        </row>
        <row r="2207">
          <cell r="A2207" t="str">
            <v>IT0005487670</v>
          </cell>
          <cell r="E2207">
            <v>0.69599999999999995</v>
          </cell>
        </row>
        <row r="2208">
          <cell r="A2208" t="str">
            <v>SE0015195771</v>
          </cell>
          <cell r="E2208">
            <v>1.70940169</v>
          </cell>
        </row>
        <row r="2209">
          <cell r="A2209" t="str">
            <v>FR0004034593</v>
          </cell>
          <cell r="E2209">
            <v>2.8500000000000001E-2</v>
          </cell>
        </row>
        <row r="2210">
          <cell r="A2210" t="str">
            <v>JP3802300008</v>
          </cell>
          <cell r="E2210">
            <v>286.978432</v>
          </cell>
        </row>
        <row r="2211">
          <cell r="A2211" t="str">
            <v>US3119001044</v>
          </cell>
          <cell r="E2211">
            <v>72.078036594000011</v>
          </cell>
        </row>
        <row r="2212">
          <cell r="A2212" t="str">
            <v>SE0017832488</v>
          </cell>
          <cell r="E2212">
            <v>6.0152945785999998</v>
          </cell>
        </row>
        <row r="2213">
          <cell r="A2213" t="str">
            <v>SE0016785786</v>
          </cell>
          <cell r="E2213">
            <v>4.1070624814999999</v>
          </cell>
        </row>
        <row r="2214">
          <cell r="A2214" t="str">
            <v>US31188V1008</v>
          </cell>
          <cell r="E2214">
            <v>4.7404660932000002</v>
          </cell>
        </row>
        <row r="2215">
          <cell r="A2215" t="str">
            <v>NL0013654809</v>
          </cell>
          <cell r="E2215">
            <v>19.059999999999999</v>
          </cell>
        </row>
        <row r="2216">
          <cell r="A2216" t="str">
            <v>SE0013512506</v>
          </cell>
          <cell r="E2216">
            <v>4.5533062911000002</v>
          </cell>
        </row>
        <row r="2217">
          <cell r="A2217" t="str">
            <v>IL0011434292</v>
          </cell>
          <cell r="E2217">
            <v>116.0981577</v>
          </cell>
        </row>
        <row r="2218">
          <cell r="A2218" t="str">
            <v>FR0000031973</v>
          </cell>
          <cell r="E2218">
            <v>14.2</v>
          </cell>
        </row>
        <row r="2219">
          <cell r="A2219" t="str">
            <v>US30257X1046</v>
          </cell>
          <cell r="E2219">
            <v>35.610875642400003</v>
          </cell>
        </row>
        <row r="2220">
          <cell r="A2220" t="str">
            <v>IE0003290289</v>
          </cell>
          <cell r="E2220">
            <v>12.7</v>
          </cell>
        </row>
        <row r="2221">
          <cell r="A2221" t="str">
            <v>JP3166900005</v>
          </cell>
          <cell r="E2221">
            <v>16.946571200000001</v>
          </cell>
        </row>
        <row r="2222">
          <cell r="A2222" t="str">
            <v>GB0031477770</v>
          </cell>
          <cell r="E2222">
            <v>21.4</v>
          </cell>
        </row>
        <row r="2223">
          <cell r="A2223" t="str">
            <v>GB0031477770</v>
          </cell>
          <cell r="E2223">
            <v>20.578782400000001</v>
          </cell>
        </row>
        <row r="2224">
          <cell r="A2224" t="str">
            <v>FR0013451333</v>
          </cell>
          <cell r="E2224">
            <v>30.5</v>
          </cell>
        </row>
        <row r="2225">
          <cell r="A2225" t="str">
            <v>GB00BLWDVP51</v>
          </cell>
          <cell r="E2225">
            <v>2.6834264550000002</v>
          </cell>
        </row>
        <row r="2226">
          <cell r="A2226" t="str">
            <v>US3131483063</v>
          </cell>
          <cell r="E2226">
            <v>150.52083306360001</v>
          </cell>
        </row>
        <row r="2227">
          <cell r="A2227" t="str">
            <v>US3137451015</v>
          </cell>
          <cell r="E2227">
            <v>81.479519628000006</v>
          </cell>
        </row>
        <row r="2228">
          <cell r="A2228" t="str">
            <v>US3138551086</v>
          </cell>
          <cell r="E2228">
            <v>66.684321914400002</v>
          </cell>
        </row>
        <row r="2229">
          <cell r="A2229" t="str">
            <v>US3142111034</v>
          </cell>
          <cell r="E2229">
            <v>33.810028187999997</v>
          </cell>
        </row>
        <row r="2230">
          <cell r="A2230" t="str">
            <v>US31428X1063</v>
          </cell>
          <cell r="E2230">
            <v>183.04201944600001</v>
          </cell>
        </row>
        <row r="2231">
          <cell r="A2231" t="str">
            <v>JP3802960009</v>
          </cell>
          <cell r="E2231">
            <v>5.3189967999999999</v>
          </cell>
        </row>
        <row r="2232">
          <cell r="A2232" t="str">
            <v>US31488V1070</v>
          </cell>
          <cell r="E2232">
            <v>145.80535029999999</v>
          </cell>
        </row>
        <row r="2233">
          <cell r="A2233" t="str">
            <v>US31488V1070</v>
          </cell>
          <cell r="E2233">
            <v>146.33651103720001</v>
          </cell>
        </row>
        <row r="2234">
          <cell r="A2234" t="str">
            <v>FR0000062101</v>
          </cell>
          <cell r="E2234">
            <v>1400</v>
          </cell>
        </row>
        <row r="2235">
          <cell r="A2235" t="str">
            <v>FR0011271600</v>
          </cell>
          <cell r="E2235">
            <v>0.33400000000000002</v>
          </cell>
        </row>
        <row r="2236">
          <cell r="A2236" t="str">
            <v>NL0011585146</v>
          </cell>
          <cell r="E2236">
            <v>385.2</v>
          </cell>
        </row>
        <row r="2237">
          <cell r="A2237" t="str">
            <v>GB00BN0VZ646</v>
          </cell>
          <cell r="E2237">
            <v>7</v>
          </cell>
        </row>
        <row r="2238">
          <cell r="A2238" t="str">
            <v>IT0005383291</v>
          </cell>
          <cell r="E2238">
            <v>2.5</v>
          </cell>
        </row>
        <row r="2239">
          <cell r="A2239" t="str">
            <v>JP3802720007</v>
          </cell>
          <cell r="E2239">
            <v>14.18811472</v>
          </cell>
        </row>
        <row r="2240">
          <cell r="A2240" t="str">
            <v>NL0015001FS8</v>
          </cell>
          <cell r="E2240">
            <v>40.14</v>
          </cell>
        </row>
        <row r="2241">
          <cell r="A2241" t="str">
            <v>NL0015001FS8</v>
          </cell>
          <cell r="E2241">
            <v>39.700000000000003</v>
          </cell>
        </row>
        <row r="2242">
          <cell r="A2242" t="str">
            <v>IT0005325912</v>
          </cell>
          <cell r="E2242">
            <v>15</v>
          </cell>
        </row>
        <row r="2243">
          <cell r="A2243" t="str">
            <v>GB00BRJ9BJ26</v>
          </cell>
          <cell r="E2243">
            <v>9.2019896299999999</v>
          </cell>
        </row>
        <row r="2244">
          <cell r="A2244" t="str">
            <v>IL0007630119</v>
          </cell>
          <cell r="E2244">
            <v>48.652256700000002</v>
          </cell>
        </row>
        <row r="2245">
          <cell r="A2245" t="str">
            <v>JP3802940001</v>
          </cell>
          <cell r="E2245">
            <v>8.683571520000001</v>
          </cell>
        </row>
        <row r="2246">
          <cell r="A2246" t="str">
            <v>US31620R3030</v>
          </cell>
          <cell r="E2246">
            <v>55.120056398400003</v>
          </cell>
        </row>
        <row r="2247">
          <cell r="A2247" t="str">
            <v>US31620M1062</v>
          </cell>
          <cell r="E2247">
            <v>61.864406668800001</v>
          </cell>
        </row>
        <row r="2248">
          <cell r="A2248" t="str">
            <v>FR0000061418</v>
          </cell>
          <cell r="E2248">
            <v>27.4</v>
          </cell>
        </row>
        <row r="2249">
          <cell r="A2249" t="str">
            <v>FR0000060535</v>
          </cell>
          <cell r="E2249">
            <v>175</v>
          </cell>
        </row>
        <row r="2250">
          <cell r="A2250" t="str">
            <v>DE0005772206</v>
          </cell>
          <cell r="E2250">
            <v>43.45</v>
          </cell>
        </row>
        <row r="2251">
          <cell r="A2251" t="str">
            <v>IT0003365613</v>
          </cell>
          <cell r="E2251">
            <v>4.915</v>
          </cell>
        </row>
        <row r="2252">
          <cell r="A2252" t="str">
            <v>US3167731005</v>
          </cell>
          <cell r="E2252">
            <v>30.9586863852</v>
          </cell>
        </row>
        <row r="2253">
          <cell r="A2253" t="str">
            <v>FR0011665280</v>
          </cell>
          <cell r="E2253">
            <v>7.7</v>
          </cell>
        </row>
        <row r="2254">
          <cell r="A2254" t="str">
            <v>US30260D1037</v>
          </cell>
          <cell r="E2254">
            <v>3.7694208971999998</v>
          </cell>
        </row>
        <row r="2255">
          <cell r="A2255" t="str">
            <v>KYG3472Y1017</v>
          </cell>
          <cell r="E2255">
            <v>8.30829498E-2</v>
          </cell>
        </row>
        <row r="2256">
          <cell r="A2256" t="str">
            <v>IT0004967292</v>
          </cell>
          <cell r="E2256">
            <v>10.52</v>
          </cell>
        </row>
        <row r="2257">
          <cell r="A2257" t="str">
            <v>FR001400AEM6</v>
          </cell>
          <cell r="E2257">
            <v>5.9</v>
          </cell>
        </row>
        <row r="2258">
          <cell r="A2258" t="str">
            <v>SN0000033192</v>
          </cell>
          <cell r="E2258">
            <v>23.4</v>
          </cell>
        </row>
        <row r="2259">
          <cell r="A2259" t="str">
            <v>IT0005605636</v>
          </cell>
          <cell r="E2259">
            <v>1.67</v>
          </cell>
        </row>
        <row r="2260">
          <cell r="A2260" t="str">
            <v>JP3166990006</v>
          </cell>
          <cell r="E2260">
            <v>13.2047188</v>
          </cell>
        </row>
        <row r="2261">
          <cell r="A2261" t="str">
            <v>FR0000060824</v>
          </cell>
          <cell r="E2261">
            <v>9.8000000000000004E-2</v>
          </cell>
        </row>
        <row r="2262">
          <cell r="A2262" t="str">
            <v>IT0005475162</v>
          </cell>
          <cell r="E2262">
            <v>0.36399999999999999</v>
          </cell>
        </row>
        <row r="2263">
          <cell r="A2263" t="str">
            <v>FR0000035123</v>
          </cell>
          <cell r="E2263">
            <v>1.37</v>
          </cell>
        </row>
        <row r="2264">
          <cell r="A2264" t="str">
            <v>IT0005599938</v>
          </cell>
          <cell r="E2264">
            <v>10.49</v>
          </cell>
        </row>
        <row r="2265">
          <cell r="A2265" t="str">
            <v>IT0000072170</v>
          </cell>
          <cell r="E2265">
            <v>17.315000000000001</v>
          </cell>
        </row>
        <row r="2266">
          <cell r="A2266" t="str">
            <v>AU0000054322</v>
          </cell>
          <cell r="E2266">
            <v>1.0127436839999999</v>
          </cell>
        </row>
        <row r="2267">
          <cell r="A2267" t="str">
            <v>SE0008374250</v>
          </cell>
          <cell r="E2267">
            <v>1.0436347160000001E-3</v>
          </cell>
        </row>
        <row r="2268">
          <cell r="A2268" t="str">
            <v>FI4000567029</v>
          </cell>
          <cell r="E2268">
            <v>2.8860000000000001</v>
          </cell>
        </row>
        <row r="2269">
          <cell r="A2269" t="str">
            <v>CA3180714048</v>
          </cell>
          <cell r="E2269">
            <v>24.690574546000001</v>
          </cell>
        </row>
        <row r="2270">
          <cell r="A2270" t="str">
            <v>FR0000038184</v>
          </cell>
          <cell r="E2270">
            <v>0.1229</v>
          </cell>
        </row>
        <row r="2271">
          <cell r="A2271" t="str">
            <v>AU0000313769</v>
          </cell>
          <cell r="E2271">
            <v>0.46136101159999998</v>
          </cell>
        </row>
        <row r="2272">
          <cell r="A2272" t="str">
            <v>US31846B1089</v>
          </cell>
          <cell r="E2272">
            <v>12.332273989200001</v>
          </cell>
        </row>
        <row r="2273">
          <cell r="A2273" t="str">
            <v>US31847R1023</v>
          </cell>
          <cell r="E2273">
            <v>53.637005553599998</v>
          </cell>
        </row>
        <row r="2274">
          <cell r="A2274" t="str">
            <v>PR3186727065</v>
          </cell>
          <cell r="E2274">
            <v>15.8986581636</v>
          </cell>
        </row>
        <row r="2275">
          <cell r="A2275" t="str">
            <v>US3189101062</v>
          </cell>
          <cell r="E2275">
            <v>32.459392597200001</v>
          </cell>
        </row>
        <row r="2276">
          <cell r="A2276" t="str">
            <v>JP3632150003</v>
          </cell>
          <cell r="E2276">
            <v>6.3827961599999998</v>
          </cell>
        </row>
        <row r="2277">
          <cell r="A2277" t="str">
            <v>US3193832041</v>
          </cell>
          <cell r="E2277">
            <v>17.584745731200002</v>
          </cell>
        </row>
        <row r="2278">
          <cell r="A2278" t="str">
            <v>IT0005252736</v>
          </cell>
          <cell r="E2278">
            <v>17</v>
          </cell>
        </row>
        <row r="2279">
          <cell r="A2279" t="str">
            <v>CA31890B1031</v>
          </cell>
          <cell r="E2279">
            <v>10.250714111000001</v>
          </cell>
        </row>
        <row r="2280">
          <cell r="A2280" t="str">
            <v>US31946M1036</v>
          </cell>
          <cell r="E2280">
            <v>1498.8700538112</v>
          </cell>
        </row>
        <row r="2281">
          <cell r="A2281" t="str">
            <v>US3198291078</v>
          </cell>
          <cell r="E2281">
            <v>12.650070598799999</v>
          </cell>
        </row>
        <row r="2282">
          <cell r="A2282" t="str">
            <v>US3202091092</v>
          </cell>
          <cell r="E2282">
            <v>19.853460416400001</v>
          </cell>
        </row>
        <row r="2283">
          <cell r="A2283" t="str">
            <v>US32020R1095</v>
          </cell>
          <cell r="E2283">
            <v>28.698799383600001</v>
          </cell>
        </row>
        <row r="2284">
          <cell r="A2284" t="str">
            <v>US32051X1081</v>
          </cell>
          <cell r="E2284">
            <v>19.553319173999999</v>
          </cell>
        </row>
        <row r="2285">
          <cell r="A2285" t="str">
            <v>US3205171057</v>
          </cell>
          <cell r="E2285">
            <v>15.5014124016</v>
          </cell>
        </row>
        <row r="2286">
          <cell r="A2286" t="str">
            <v>US32054K1034</v>
          </cell>
          <cell r="E2286">
            <v>41.137005576</v>
          </cell>
        </row>
        <row r="2287">
          <cell r="A2287" t="str">
            <v>IL0005930388</v>
          </cell>
          <cell r="E2287">
            <v>46.804094999999997</v>
          </cell>
        </row>
        <row r="2288">
          <cell r="A2288" t="str">
            <v>US32055Y2019</v>
          </cell>
          <cell r="E2288">
            <v>22.7665960044</v>
          </cell>
        </row>
        <row r="2289">
          <cell r="A2289" t="str">
            <v>CA32076V1031</v>
          </cell>
          <cell r="E2289">
            <v>5.8457632793999998</v>
          </cell>
        </row>
        <row r="2290">
          <cell r="A2290" t="str">
            <v>CA32076V1031</v>
          </cell>
          <cell r="E2290">
            <v>5.8262711759999997</v>
          </cell>
        </row>
        <row r="2291">
          <cell r="A2291" t="str">
            <v>US3208171096</v>
          </cell>
          <cell r="E2291">
            <v>31.029307853999999</v>
          </cell>
        </row>
        <row r="2292">
          <cell r="A2292" t="str">
            <v>CA33564P1036</v>
          </cell>
          <cell r="E2292">
            <v>25.058711647199999</v>
          </cell>
        </row>
        <row r="2293">
          <cell r="A2293" t="str">
            <v>BMG348041077</v>
          </cell>
          <cell r="E2293">
            <v>0.5315032542</v>
          </cell>
        </row>
        <row r="2294">
          <cell r="A2294" t="str">
            <v>CA3359341052</v>
          </cell>
          <cell r="E2294">
            <v>10.5490321068</v>
          </cell>
        </row>
        <row r="2295">
          <cell r="A2295" t="str">
            <v>SG1U27933225</v>
          </cell>
          <cell r="E2295">
            <v>0.17106631394999999</v>
          </cell>
        </row>
        <row r="2296">
          <cell r="A2296" t="str">
            <v>SG1W35938974</v>
          </cell>
          <cell r="E2296">
            <v>1.0062724350000001</v>
          </cell>
        </row>
        <row r="2297">
          <cell r="A2297" t="str">
            <v>US3364331070</v>
          </cell>
          <cell r="E2297">
            <v>111.9526834152</v>
          </cell>
        </row>
        <row r="2298">
          <cell r="A2298" t="str">
            <v>US33768G1076</v>
          </cell>
          <cell r="E2298">
            <v>106.78848850919999</v>
          </cell>
        </row>
        <row r="2299">
          <cell r="A2299" t="str">
            <v>US3379321074</v>
          </cell>
          <cell r="E2299">
            <v>36.228813494400001</v>
          </cell>
        </row>
        <row r="2300">
          <cell r="A2300" t="str">
            <v>GB0003452173</v>
          </cell>
          <cell r="E2300">
            <v>1.91756836</v>
          </cell>
        </row>
        <row r="2301">
          <cell r="A2301" t="str">
            <v>CA33767E2024</v>
          </cell>
          <cell r="E2301">
            <v>151.40590365560001</v>
          </cell>
        </row>
        <row r="2302">
          <cell r="A2302" t="str">
            <v>US3377381088</v>
          </cell>
          <cell r="E2302">
            <v>187.87959005880001</v>
          </cell>
        </row>
        <row r="2303">
          <cell r="A2303" t="str">
            <v>NZFAPE0001S2</v>
          </cell>
          <cell r="E2303">
            <v>17.459361985000001</v>
          </cell>
        </row>
        <row r="2304">
          <cell r="A2304" t="str">
            <v>KYG3R83K1037</v>
          </cell>
          <cell r="E2304">
            <v>0.2185195392</v>
          </cell>
        </row>
        <row r="2305">
          <cell r="A2305" t="str">
            <v>US33829M1018</v>
          </cell>
          <cell r="E2305">
            <v>55.323093121200003</v>
          </cell>
        </row>
        <row r="2306">
          <cell r="A2306" t="str">
            <v>US3383071012</v>
          </cell>
          <cell r="E2306">
            <v>20.409604483199999</v>
          </cell>
        </row>
        <row r="2307">
          <cell r="A2307" t="str">
            <v>IL0011582033</v>
          </cell>
          <cell r="E2307">
            <v>22.289901090000001</v>
          </cell>
        </row>
        <row r="2308">
          <cell r="A2308" t="str">
            <v>JP3802950000</v>
          </cell>
          <cell r="E2308">
            <v>10.205052</v>
          </cell>
        </row>
        <row r="2309">
          <cell r="A2309" t="str">
            <v>US6494454001</v>
          </cell>
          <cell r="E2309">
            <v>9.1101694752000011</v>
          </cell>
        </row>
        <row r="2310">
          <cell r="A2310" t="str">
            <v>DE000FTG1111</v>
          </cell>
          <cell r="E2310">
            <v>20</v>
          </cell>
        </row>
        <row r="2311">
          <cell r="A2311" t="str">
            <v>AU0000272924</v>
          </cell>
          <cell r="E2311">
            <v>1.490983757</v>
          </cell>
        </row>
        <row r="2312">
          <cell r="A2312" t="str">
            <v>NO0013209858</v>
          </cell>
          <cell r="E2312">
            <v>9.8390996214000008</v>
          </cell>
        </row>
        <row r="2313">
          <cell r="A2313" t="str">
            <v>SE0022447348</v>
          </cell>
          <cell r="E2313">
            <v>3.6972559184499998</v>
          </cell>
        </row>
        <row r="2314">
          <cell r="A2314" t="str">
            <v>NZFBUE0001S0</v>
          </cell>
          <cell r="E2314">
            <v>1.6700259289999999</v>
          </cell>
        </row>
        <row r="2315">
          <cell r="A2315" t="str">
            <v>FR0000074759</v>
          </cell>
          <cell r="E2315">
            <v>22.574999999999999</v>
          </cell>
        </row>
        <row r="2316">
          <cell r="A2316" t="str">
            <v>BMG359472021</v>
          </cell>
          <cell r="E2316">
            <v>19.716548554999999</v>
          </cell>
        </row>
        <row r="2317">
          <cell r="A2317" t="str">
            <v>SG9999000020</v>
          </cell>
          <cell r="E2317">
            <v>27.692443453199999</v>
          </cell>
        </row>
        <row r="2318">
          <cell r="A2318" t="str">
            <v>PTFXD0AM0018</v>
          </cell>
          <cell r="E2318">
            <v>5</v>
          </cell>
        </row>
        <row r="2319">
          <cell r="A2319" t="str">
            <v>AU000000FLT9</v>
          </cell>
          <cell r="E2319">
            <v>6.9710523582000006</v>
          </cell>
        </row>
        <row r="2320">
          <cell r="A2320" t="str">
            <v>US3397501012</v>
          </cell>
          <cell r="E2320">
            <v>63.559321920000002</v>
          </cell>
        </row>
        <row r="2321">
          <cell r="A2321" t="str">
            <v>FR001400GO75</v>
          </cell>
          <cell r="E2321">
            <v>2.36</v>
          </cell>
        </row>
        <row r="2322">
          <cell r="A2322" t="str">
            <v>BE0003215143</v>
          </cell>
          <cell r="E2322">
            <v>600</v>
          </cell>
        </row>
        <row r="2323">
          <cell r="A2323" t="str">
            <v>BMG3602E1084</v>
          </cell>
          <cell r="E2323">
            <v>30.48</v>
          </cell>
        </row>
        <row r="2324">
          <cell r="A2324" t="str">
            <v>US3434981011</v>
          </cell>
          <cell r="E2324">
            <v>16.154660988</v>
          </cell>
        </row>
        <row r="2325">
          <cell r="A2325" t="str">
            <v>US34354P1057</v>
          </cell>
          <cell r="E2325">
            <v>37.7913134916</v>
          </cell>
        </row>
        <row r="2326">
          <cell r="A2326" t="str">
            <v>DK0010234467</v>
          </cell>
          <cell r="E2326">
            <v>38.686429263999997</v>
          </cell>
        </row>
        <row r="2327">
          <cell r="A2327" t="str">
            <v>US34379V1035</v>
          </cell>
          <cell r="E2327">
            <v>3.2441737229999998</v>
          </cell>
        </row>
        <row r="2328">
          <cell r="A2328" t="str">
            <v>CH0319416936</v>
          </cell>
          <cell r="E2328">
            <v>223.7339384</v>
          </cell>
        </row>
        <row r="2329">
          <cell r="A2329" t="str">
            <v>ES0137650018</v>
          </cell>
          <cell r="E2329">
            <v>19.8</v>
          </cell>
        </row>
        <row r="2330">
          <cell r="A2330" t="str">
            <v>US3434121022</v>
          </cell>
          <cell r="E2330">
            <v>30.005296556400001</v>
          </cell>
        </row>
        <row r="2331">
          <cell r="A2331" t="str">
            <v>IE00BWT6H894</v>
          </cell>
          <cell r="E2331">
            <v>202.948445964</v>
          </cell>
        </row>
        <row r="2332">
          <cell r="A2332" t="str">
            <v>IE00BWT6H894</v>
          </cell>
          <cell r="E2332">
            <v>204.2678003</v>
          </cell>
        </row>
        <row r="2333">
          <cell r="A2333" t="str">
            <v>BE0974265945</v>
          </cell>
          <cell r="E2333">
            <v>19.5</v>
          </cell>
        </row>
        <row r="2334">
          <cell r="A2334" t="str">
            <v>US3024921039</v>
          </cell>
          <cell r="E2334">
            <v>7.6006355795999996</v>
          </cell>
        </row>
        <row r="2335">
          <cell r="A2335" t="str">
            <v>US3024913036</v>
          </cell>
          <cell r="E2335">
            <v>33.024364347599999</v>
          </cell>
        </row>
        <row r="2336">
          <cell r="A2336" t="str">
            <v>FR0011476928</v>
          </cell>
          <cell r="E2336">
            <v>27.69</v>
          </cell>
        </row>
        <row r="2337">
          <cell r="A2337" t="str">
            <v>FR0000065930</v>
          </cell>
          <cell r="E2337">
            <v>0.4</v>
          </cell>
        </row>
        <row r="2338">
          <cell r="A2338" t="str">
            <v>FR0000038499</v>
          </cell>
          <cell r="E2338">
            <v>0.159</v>
          </cell>
        </row>
        <row r="2339">
          <cell r="A2339" t="str">
            <v>FR0010341032</v>
          </cell>
          <cell r="E2339">
            <v>34.299999999999997</v>
          </cell>
        </row>
        <row r="2340">
          <cell r="A2340" t="str">
            <v>FR0000033409</v>
          </cell>
          <cell r="E2340">
            <v>76.5</v>
          </cell>
        </row>
        <row r="2341">
          <cell r="A2341" t="str">
            <v>FR0000053944</v>
          </cell>
          <cell r="E2341">
            <v>9.9</v>
          </cell>
        </row>
        <row r="2342">
          <cell r="A2342" t="str">
            <v>NZFCGE0001S7</v>
          </cell>
          <cell r="E2342">
            <v>2.4029526689999998</v>
          </cell>
        </row>
        <row r="2343">
          <cell r="A2343" t="str">
            <v>SG1I44882534</v>
          </cell>
          <cell r="E2343">
            <v>0.89222822570000004</v>
          </cell>
        </row>
        <row r="2344">
          <cell r="A2344" t="str">
            <v>US3448491049</v>
          </cell>
          <cell r="E2344">
            <v>9.8958333156000009</v>
          </cell>
        </row>
        <row r="2345">
          <cell r="A2345" t="str">
            <v>IT0005203424</v>
          </cell>
          <cell r="E2345">
            <v>29</v>
          </cell>
        </row>
        <row r="2346">
          <cell r="A2346" t="str">
            <v>CA3449112018</v>
          </cell>
          <cell r="E2346">
            <v>2.1326563103999998</v>
          </cell>
        </row>
        <row r="2347">
          <cell r="A2347" t="str">
            <v>CH0003541510</v>
          </cell>
          <cell r="E2347">
            <v>806.60835899999995</v>
          </cell>
        </row>
        <row r="2348">
          <cell r="A2348" t="str">
            <v>US3453708600</v>
          </cell>
          <cell r="E2348">
            <v>8.3421610019999992</v>
          </cell>
        </row>
        <row r="2349">
          <cell r="A2349" t="str">
            <v>GG00BMD8MJ76</v>
          </cell>
          <cell r="E2349">
            <v>3.9871390899999999</v>
          </cell>
        </row>
        <row r="2350">
          <cell r="A2350" t="str">
            <v>CI0000053161</v>
          </cell>
          <cell r="E2350">
            <v>985</v>
          </cell>
        </row>
        <row r="2351">
          <cell r="A2351" t="str">
            <v>NL0011832811</v>
          </cell>
          <cell r="E2351">
            <v>4.085</v>
          </cell>
        </row>
        <row r="2352">
          <cell r="A2352" t="str">
            <v>US3463751087</v>
          </cell>
          <cell r="E2352">
            <v>23.931850239599999</v>
          </cell>
        </row>
        <row r="2353">
          <cell r="A2353" t="str">
            <v>IL0002560162</v>
          </cell>
          <cell r="E2353">
            <v>77.190753599999994</v>
          </cell>
        </row>
        <row r="2354">
          <cell r="A2354" t="str">
            <v>FR0014005SB3</v>
          </cell>
          <cell r="E2354">
            <v>0.66</v>
          </cell>
        </row>
        <row r="2355">
          <cell r="A2355" t="str">
            <v>GB00BYYW3C20</v>
          </cell>
          <cell r="E2355">
            <v>2.0461857499999998</v>
          </cell>
        </row>
        <row r="2356">
          <cell r="A2356" t="str">
            <v>AU000000FMG4</v>
          </cell>
          <cell r="E2356">
            <v>8.6195740216000001</v>
          </cell>
        </row>
        <row r="2357">
          <cell r="A2357" t="str">
            <v>US34959E1091</v>
          </cell>
          <cell r="E2357">
            <v>87.570621312</v>
          </cell>
        </row>
        <row r="2358">
          <cell r="A2358" t="str">
            <v>CA3495531079</v>
          </cell>
          <cell r="E2358">
            <v>41.980323919600004</v>
          </cell>
        </row>
        <row r="2359">
          <cell r="A2359" t="str">
            <v>US34959J1088</v>
          </cell>
          <cell r="E2359">
            <v>58.077330404400008</v>
          </cell>
        </row>
        <row r="2360">
          <cell r="A2360" t="str">
            <v>SE0017161243</v>
          </cell>
          <cell r="E2360">
            <v>7.7606836726000008</v>
          </cell>
        </row>
        <row r="2361">
          <cell r="A2361" t="str">
            <v>US34965K1079</v>
          </cell>
          <cell r="E2361">
            <v>4.2902542296000004</v>
          </cell>
        </row>
        <row r="2362">
          <cell r="A2362" t="str">
            <v>FI0009007132</v>
          </cell>
          <cell r="E2362">
            <v>13.33</v>
          </cell>
        </row>
        <row r="2363">
          <cell r="A2363" t="str">
            <v>CA3499421020</v>
          </cell>
          <cell r="E2363">
            <v>5.7378610255999991</v>
          </cell>
        </row>
        <row r="2364">
          <cell r="A2364" t="str">
            <v>CA3499421020</v>
          </cell>
          <cell r="E2364">
            <v>5.7026836055999999</v>
          </cell>
        </row>
        <row r="2365">
          <cell r="A2365" t="str">
            <v>US34964C1062</v>
          </cell>
          <cell r="E2365">
            <v>45.462570540000002</v>
          </cell>
        </row>
        <row r="2366">
          <cell r="A2366" t="str">
            <v>SG1O33912138</v>
          </cell>
          <cell r="E2366">
            <v>0.4506965496</v>
          </cell>
        </row>
        <row r="2367">
          <cell r="A2367" t="str">
            <v>JP3803060007</v>
          </cell>
          <cell r="E2367">
            <v>5.9560394400000014</v>
          </cell>
        </row>
        <row r="2368">
          <cell r="A2368" t="str">
            <v>FR0000121147</v>
          </cell>
          <cell r="E2368">
            <v>6.032</v>
          </cell>
        </row>
        <row r="2369">
          <cell r="A2369" t="str">
            <v>US3498531017</v>
          </cell>
          <cell r="E2369">
            <v>12.897245739600001</v>
          </cell>
        </row>
        <row r="2370">
          <cell r="A2370" t="str">
            <v>IT0005388217</v>
          </cell>
          <cell r="E2370">
            <v>3.44</v>
          </cell>
        </row>
        <row r="2371">
          <cell r="A2371" t="str">
            <v>JP3802800007</v>
          </cell>
          <cell r="E2371">
            <v>6.9518051200000004</v>
          </cell>
        </row>
        <row r="2372">
          <cell r="A2372" t="str">
            <v>HK0656038673</v>
          </cell>
          <cell r="E2372">
            <v>0.46093965299999989</v>
          </cell>
        </row>
        <row r="2373">
          <cell r="A2373" t="str">
            <v>BE0003752665</v>
          </cell>
          <cell r="E2373">
            <v>1.48</v>
          </cell>
        </row>
        <row r="2374">
          <cell r="A2374" t="str">
            <v>FR0010485268</v>
          </cell>
          <cell r="E2374">
            <v>86.6</v>
          </cell>
        </row>
        <row r="2375">
          <cell r="A2375" t="str">
            <v>US35086T1097</v>
          </cell>
          <cell r="E2375">
            <v>24.487994306400001</v>
          </cell>
        </row>
        <row r="2376">
          <cell r="A2376" t="str">
            <v>US35137L2043</v>
          </cell>
          <cell r="E2376">
            <v>40.907485802399997</v>
          </cell>
        </row>
        <row r="2377">
          <cell r="A2377" t="str">
            <v>US35137L1052</v>
          </cell>
          <cell r="E2377">
            <v>44.191384101600001</v>
          </cell>
        </row>
        <row r="2378">
          <cell r="A2378" t="str">
            <v>US35138V1026</v>
          </cell>
          <cell r="E2378">
            <v>17.2404660708</v>
          </cell>
        </row>
        <row r="2379">
          <cell r="A2379" t="str">
            <v>IL0010870223</v>
          </cell>
          <cell r="E2379">
            <v>74.646530999999996</v>
          </cell>
        </row>
        <row r="2380">
          <cell r="A2380" t="str">
            <v>JP3167000003</v>
          </cell>
          <cell r="E2380">
            <v>18.585564399999999</v>
          </cell>
        </row>
        <row r="2381">
          <cell r="A2381" t="str">
            <v>FR0013030152</v>
          </cell>
          <cell r="E2381">
            <v>25.95</v>
          </cell>
        </row>
        <row r="2382">
          <cell r="A2382" t="str">
            <v>JP3826500005</v>
          </cell>
          <cell r="E2382">
            <v>7.7249151200000004</v>
          </cell>
        </row>
        <row r="2383">
          <cell r="A2383" t="str">
            <v>IT0005508574</v>
          </cell>
          <cell r="E2383">
            <v>6.55</v>
          </cell>
        </row>
        <row r="2384">
          <cell r="A2384" t="str">
            <v>IT0005335754</v>
          </cell>
          <cell r="E2384">
            <v>4.03</v>
          </cell>
        </row>
        <row r="2385">
          <cell r="A2385" t="str">
            <v>CA3518581051</v>
          </cell>
          <cell r="E2385">
            <v>150.15550694980001</v>
          </cell>
        </row>
        <row r="2386">
          <cell r="A2386" t="str">
            <v>US35243J1016</v>
          </cell>
          <cell r="E2386">
            <v>9.842867214</v>
          </cell>
        </row>
        <row r="2387">
          <cell r="A2387" t="str">
            <v>US3535141028</v>
          </cell>
          <cell r="E2387">
            <v>78.4869348876</v>
          </cell>
        </row>
        <row r="2388">
          <cell r="A2388" t="str">
            <v>US3546131018</v>
          </cell>
          <cell r="E2388">
            <v>15.863347429199999</v>
          </cell>
        </row>
        <row r="2389">
          <cell r="A2389" t="str">
            <v>DE0005773303</v>
          </cell>
          <cell r="E2389">
            <v>59.15</v>
          </cell>
        </row>
        <row r="2390">
          <cell r="A2390" t="str">
            <v>SG1T60930966</v>
          </cell>
          <cell r="E2390">
            <v>1.4557407893000001</v>
          </cell>
        </row>
        <row r="2391">
          <cell r="A2391" t="str">
            <v>GB00B1QH8P22</v>
          </cell>
          <cell r="E2391">
            <v>7.3136524949999986</v>
          </cell>
        </row>
        <row r="2392">
          <cell r="A2392" t="str">
            <v>SG1AA5000001</v>
          </cell>
          <cell r="E2392">
            <v>0.38909200820000001</v>
          </cell>
        </row>
        <row r="2393">
          <cell r="A2393" t="str">
            <v>SG1CI9000006</v>
          </cell>
          <cell r="E2393">
            <v>0.58363801230000001</v>
          </cell>
        </row>
        <row r="2394">
          <cell r="A2394" t="str">
            <v>US3563901046</v>
          </cell>
          <cell r="E2394">
            <v>113.7976692876</v>
          </cell>
        </row>
        <row r="2395">
          <cell r="A2395" t="str">
            <v>JP3826520003</v>
          </cell>
          <cell r="E2395">
            <v>22.389265600000002</v>
          </cell>
        </row>
        <row r="2396">
          <cell r="A2396" t="str">
            <v>CA3565001086</v>
          </cell>
          <cell r="E2396">
            <v>7.2548397701999994</v>
          </cell>
        </row>
        <row r="2397">
          <cell r="A2397" t="str">
            <v>FR0004187367</v>
          </cell>
          <cell r="E2397">
            <v>2.2999999999999998</v>
          </cell>
        </row>
        <row r="2398">
          <cell r="A2398" t="str">
            <v>DE000A0Z2ZZ5</v>
          </cell>
          <cell r="E2398">
            <v>35.04</v>
          </cell>
        </row>
        <row r="2399">
          <cell r="A2399" t="str">
            <v>US35671D8570</v>
          </cell>
          <cell r="E2399">
            <v>29.457980173199999</v>
          </cell>
        </row>
        <row r="2400">
          <cell r="A2400" t="str">
            <v>NZFREE0001S0</v>
          </cell>
          <cell r="E2400">
            <v>5.4131874939999998</v>
          </cell>
        </row>
        <row r="2401">
          <cell r="A2401" t="str">
            <v>SG1R43925234</v>
          </cell>
          <cell r="E2401">
            <v>0.65743132420000006</v>
          </cell>
        </row>
        <row r="2402">
          <cell r="A2402" t="str">
            <v>IT0004819857</v>
          </cell>
          <cell r="E2402">
            <v>0.20599999999999999</v>
          </cell>
        </row>
        <row r="2403">
          <cell r="A2403" t="str">
            <v>DE0005785802</v>
          </cell>
          <cell r="E2403">
            <v>44.5</v>
          </cell>
        </row>
        <row r="2404">
          <cell r="A2404" t="str">
            <v>DE0005785604</v>
          </cell>
          <cell r="E2404">
            <v>39.119999999999997</v>
          </cell>
        </row>
        <row r="2405">
          <cell r="A2405" t="str">
            <v>KYG367381053</v>
          </cell>
          <cell r="E2405">
            <v>27.6571327188</v>
          </cell>
        </row>
        <row r="2406">
          <cell r="A2406" t="str">
            <v>US3580391056</v>
          </cell>
          <cell r="E2406">
            <v>69.968220213600006</v>
          </cell>
        </row>
        <row r="2407">
          <cell r="A2407" t="str">
            <v>US3580541049</v>
          </cell>
          <cell r="E2407">
            <v>11.325918058799999</v>
          </cell>
        </row>
        <row r="2408">
          <cell r="A2408" t="str">
            <v>GB00B2QPKJ12</v>
          </cell>
          <cell r="E2408">
            <v>12.370654419999999</v>
          </cell>
        </row>
        <row r="2409">
          <cell r="A2409" t="str">
            <v>FR0010588079</v>
          </cell>
          <cell r="E2409">
            <v>27.6</v>
          </cell>
        </row>
        <row r="2410">
          <cell r="A2410" t="str">
            <v>US35905A1097</v>
          </cell>
          <cell r="E2410">
            <v>35.354872817999997</v>
          </cell>
        </row>
        <row r="2411">
          <cell r="A2411" t="str">
            <v>US35909D1090</v>
          </cell>
          <cell r="E2411">
            <v>31.6295903388</v>
          </cell>
        </row>
        <row r="2412">
          <cell r="A2412" t="str">
            <v>JP3046200006</v>
          </cell>
          <cell r="E2412">
            <v>491.69796000000002</v>
          </cell>
        </row>
        <row r="2413">
          <cell r="A2413" t="str">
            <v>CY0200352116</v>
          </cell>
          <cell r="E2413">
            <v>12.8177965872</v>
          </cell>
        </row>
        <row r="2414">
          <cell r="A2414" t="str">
            <v>CY0200352116</v>
          </cell>
          <cell r="E2414">
            <v>13.022092534</v>
          </cell>
        </row>
        <row r="2415">
          <cell r="A2415" t="str">
            <v>GB00BL9BW044</v>
          </cell>
          <cell r="E2415">
            <v>1.5492549250000001</v>
          </cell>
        </row>
        <row r="2416">
          <cell r="A2416" t="str">
            <v>FI4000519236</v>
          </cell>
          <cell r="E2416">
            <v>1.772</v>
          </cell>
        </row>
        <row r="2417">
          <cell r="A2417" t="str">
            <v>KYG3730V1059</v>
          </cell>
          <cell r="E2417">
            <v>84.595691938800002</v>
          </cell>
        </row>
        <row r="2418">
          <cell r="A2418" t="str">
            <v>US3029411093</v>
          </cell>
          <cell r="E2418">
            <v>145.6567794</v>
          </cell>
        </row>
        <row r="2419">
          <cell r="A2419" t="str">
            <v>US35953D1046</v>
          </cell>
          <cell r="E2419">
            <v>2.6394773963999998</v>
          </cell>
        </row>
        <row r="2420">
          <cell r="A2420" t="str">
            <v>DE000A3E5D64</v>
          </cell>
          <cell r="E2420">
            <v>42.02</v>
          </cell>
        </row>
        <row r="2421">
          <cell r="A2421" t="str">
            <v>JP3825600004</v>
          </cell>
          <cell r="E2421">
            <v>13.501593039999999</v>
          </cell>
        </row>
        <row r="2422">
          <cell r="A2422" t="str">
            <v>US35952H7008</v>
          </cell>
          <cell r="E2422">
            <v>3.5310734400000001</v>
          </cell>
        </row>
        <row r="2423">
          <cell r="A2423" t="str">
            <v>NL00150003E1</v>
          </cell>
          <cell r="E2423">
            <v>11.03</v>
          </cell>
        </row>
        <row r="2424">
          <cell r="A2424" t="str">
            <v>JP3807400001</v>
          </cell>
          <cell r="E2424">
            <v>12.58004592</v>
          </cell>
        </row>
        <row r="2425">
          <cell r="A2425" t="str">
            <v>JP3809200003</v>
          </cell>
          <cell r="E2425">
            <v>12.066700880000001</v>
          </cell>
        </row>
        <row r="2426">
          <cell r="A2426" t="str">
            <v>JP3820000002</v>
          </cell>
          <cell r="E2426">
            <v>37.851465599999997</v>
          </cell>
        </row>
        <row r="2427">
          <cell r="A2427" t="str">
            <v>JP3810400006</v>
          </cell>
          <cell r="E2427">
            <v>13.25419784</v>
          </cell>
        </row>
        <row r="2428">
          <cell r="A2428" t="str">
            <v>JP3819400007</v>
          </cell>
          <cell r="E2428">
            <v>19.723582319999998</v>
          </cell>
        </row>
        <row r="2429">
          <cell r="A2429" t="str">
            <v>JP3816400000</v>
          </cell>
          <cell r="E2429">
            <v>18.85151424</v>
          </cell>
        </row>
        <row r="2430">
          <cell r="A2430" t="str">
            <v>JP3816200004</v>
          </cell>
          <cell r="E2430">
            <v>8.1454869599999995</v>
          </cell>
        </row>
        <row r="2431">
          <cell r="A2431" t="str">
            <v>JP3813800004</v>
          </cell>
          <cell r="E2431">
            <v>15.17769552</v>
          </cell>
        </row>
        <row r="2432">
          <cell r="A2432" t="str">
            <v>JP3820800005</v>
          </cell>
          <cell r="E2432">
            <v>27.831959999999999</v>
          </cell>
        </row>
        <row r="2433">
          <cell r="A2433" t="str">
            <v>JP3818700001</v>
          </cell>
          <cell r="E2433">
            <v>10.000950960000001</v>
          </cell>
        </row>
        <row r="2434">
          <cell r="A2434" t="str">
            <v>JP3814000000</v>
          </cell>
          <cell r="E2434">
            <v>16.634234759999998</v>
          </cell>
        </row>
        <row r="2435">
          <cell r="A2435" t="str">
            <v>JP3811600000</v>
          </cell>
          <cell r="E2435">
            <v>7.9290161600000006</v>
          </cell>
        </row>
        <row r="2436">
          <cell r="A2436" t="str">
            <v>JP3811000003</v>
          </cell>
          <cell r="E2436">
            <v>29.124599920000001</v>
          </cell>
        </row>
        <row r="2437">
          <cell r="A2437" t="str">
            <v>JP3820900003</v>
          </cell>
          <cell r="E2437">
            <v>11.05238056</v>
          </cell>
        </row>
        <row r="2438">
          <cell r="A2438" t="str">
            <v>JP3807770007</v>
          </cell>
          <cell r="E2438">
            <v>7.3352676800000003</v>
          </cell>
        </row>
        <row r="2439">
          <cell r="A2439" t="str">
            <v>JP3816800001</v>
          </cell>
          <cell r="E2439">
            <v>55.911315199999997</v>
          </cell>
        </row>
        <row r="2440">
          <cell r="A2440" t="str">
            <v>JP3818800009</v>
          </cell>
          <cell r="E2440">
            <v>34.375563040000003</v>
          </cell>
        </row>
        <row r="2441">
          <cell r="A2441" t="str">
            <v>JP3818000006</v>
          </cell>
          <cell r="E2441">
            <v>17.667109719999999</v>
          </cell>
        </row>
        <row r="2442">
          <cell r="A2442" t="str">
            <v>JP3818400008</v>
          </cell>
          <cell r="E2442">
            <v>17.132117600000001</v>
          </cell>
        </row>
        <row r="2443">
          <cell r="A2443" t="str">
            <v>JP3821200007</v>
          </cell>
          <cell r="E2443">
            <v>14.7818632</v>
          </cell>
        </row>
        <row r="2444">
          <cell r="A2444" t="str">
            <v>JP3805600008</v>
          </cell>
          <cell r="E2444">
            <v>31.419190400000002</v>
          </cell>
        </row>
        <row r="2445">
          <cell r="A2445" t="str">
            <v>JP3806000000</v>
          </cell>
          <cell r="E2445">
            <v>37.418523999999998</v>
          </cell>
        </row>
        <row r="2446">
          <cell r="A2446" t="str">
            <v>JP3803600000</v>
          </cell>
          <cell r="E2446">
            <v>9.9081777600000009</v>
          </cell>
        </row>
        <row r="2447">
          <cell r="A2447" t="str">
            <v>JP3803800006</v>
          </cell>
          <cell r="E2447">
            <v>20.379179600000001</v>
          </cell>
        </row>
        <row r="2448">
          <cell r="A2448" t="str">
            <v>JP3805010000</v>
          </cell>
          <cell r="E2448">
            <v>20.979112959999998</v>
          </cell>
        </row>
        <row r="2449">
          <cell r="A2449" t="str">
            <v>JP3046240002</v>
          </cell>
          <cell r="E2449">
            <v>906.08492000000001</v>
          </cell>
        </row>
        <row r="2450">
          <cell r="A2450" t="str">
            <v>JP3805150004</v>
          </cell>
          <cell r="E2450">
            <v>16.637327200000001</v>
          </cell>
        </row>
        <row r="2451">
          <cell r="A2451" t="str">
            <v>JP3806800003</v>
          </cell>
          <cell r="E2451">
            <v>21.616155599999999</v>
          </cell>
        </row>
        <row r="2452">
          <cell r="A2452" t="str">
            <v>US3602711000</v>
          </cell>
          <cell r="E2452">
            <v>14.1507768108</v>
          </cell>
        </row>
        <row r="2453">
          <cell r="A2453" t="str">
            <v>JP3825800000</v>
          </cell>
          <cell r="E2453">
            <v>13.996383440000001</v>
          </cell>
        </row>
        <row r="2454">
          <cell r="A2454" t="str">
            <v>JP3826800009</v>
          </cell>
          <cell r="E2454">
            <v>12.35120536</v>
          </cell>
        </row>
        <row r="2455">
          <cell r="A2455" t="str">
            <v>JP3827200001</v>
          </cell>
          <cell r="E2455">
            <v>26.663017679999999</v>
          </cell>
        </row>
        <row r="2456">
          <cell r="A2456" t="str">
            <v>JP3828400006</v>
          </cell>
          <cell r="E2456">
            <v>14.4416948</v>
          </cell>
        </row>
        <row r="2457">
          <cell r="A2457" t="str">
            <v>JP3828850002</v>
          </cell>
          <cell r="E2457">
            <v>15.01070376</v>
          </cell>
        </row>
        <row r="2458">
          <cell r="A2458" t="str">
            <v>JP3822600007</v>
          </cell>
          <cell r="E2458">
            <v>20.719348</v>
          </cell>
        </row>
        <row r="2459">
          <cell r="A2459" t="str">
            <v>PTFCP0AM0008</v>
          </cell>
          <cell r="E2459">
            <v>1.01</v>
          </cell>
        </row>
        <row r="2460">
          <cell r="A2460" t="str">
            <v>JP3824000008</v>
          </cell>
          <cell r="E2460">
            <v>4.5211472800000001</v>
          </cell>
        </row>
        <row r="2461">
          <cell r="A2461" t="str">
            <v>JP3826200002</v>
          </cell>
          <cell r="E2461">
            <v>10.63180872</v>
          </cell>
        </row>
        <row r="2462">
          <cell r="A2462" t="str">
            <v>GB00BYZN9041</v>
          </cell>
          <cell r="E2462">
            <v>8.5530564350000002</v>
          </cell>
        </row>
        <row r="2463">
          <cell r="A2463" t="str">
            <v>JP3826270005</v>
          </cell>
          <cell r="E2463">
            <v>23.255148800000001</v>
          </cell>
        </row>
        <row r="2464">
          <cell r="A2464" t="str">
            <v>IL0001260111</v>
          </cell>
          <cell r="E2464">
            <v>2.8778517899999998</v>
          </cell>
        </row>
        <row r="2465">
          <cell r="A2465" t="str">
            <v>CA36270K1021</v>
          </cell>
          <cell r="E2465">
            <v>13.417962619600001</v>
          </cell>
        </row>
        <row r="2466">
          <cell r="A2466" t="str">
            <v>IT0005498610</v>
          </cell>
          <cell r="E2466">
            <v>0.91500000000000004</v>
          </cell>
        </row>
        <row r="2467">
          <cell r="A2467" t="str">
            <v>JP3172450003</v>
          </cell>
          <cell r="E2467">
            <v>8.6897564000000003</v>
          </cell>
        </row>
        <row r="2468">
          <cell r="A2468" t="str">
            <v>AU000000GEM7</v>
          </cell>
          <cell r="E2468">
            <v>0.71454693260000002</v>
          </cell>
        </row>
        <row r="2469">
          <cell r="A2469" t="str">
            <v>JP3386670008</v>
          </cell>
          <cell r="E2469">
            <v>7.8053185599999999</v>
          </cell>
        </row>
        <row r="2470">
          <cell r="A2470" t="str">
            <v>JP3234200008</v>
          </cell>
          <cell r="E2470">
            <v>5.9436696800000002</v>
          </cell>
        </row>
        <row r="2471">
          <cell r="A2471" t="str">
            <v>BE0003818359</v>
          </cell>
          <cell r="E2471">
            <v>21.14</v>
          </cell>
        </row>
        <row r="2472">
          <cell r="A2472" t="str">
            <v>KYG370921069</v>
          </cell>
          <cell r="E2472">
            <v>9.8064107129999982</v>
          </cell>
        </row>
        <row r="2473">
          <cell r="A2473" t="str">
            <v>HK0027032686</v>
          </cell>
          <cell r="E2473">
            <v>3.07293102</v>
          </cell>
        </row>
        <row r="2474">
          <cell r="A2474" t="str">
            <v>CH1335392721</v>
          </cell>
          <cell r="E2474">
            <v>86.059820899999991</v>
          </cell>
        </row>
        <row r="2475">
          <cell r="A2475" t="str">
            <v>CH0360674466</v>
          </cell>
          <cell r="E2475">
            <v>89.191232199999988</v>
          </cell>
        </row>
        <row r="2476">
          <cell r="A2476" t="str">
            <v>GB00BKY40Q38</v>
          </cell>
          <cell r="E2476">
            <v>4.4080687300000001</v>
          </cell>
        </row>
        <row r="2477">
          <cell r="A2477" t="str">
            <v>PTGAL0AM0009</v>
          </cell>
          <cell r="E2477">
            <v>13.23</v>
          </cell>
        </row>
        <row r="2478">
          <cell r="A2478" t="str">
            <v>IT0005122392</v>
          </cell>
          <cell r="E2478">
            <v>0.21199999999999999</v>
          </cell>
        </row>
        <row r="2479">
          <cell r="A2479" t="str">
            <v>JP3282270002</v>
          </cell>
          <cell r="E2479">
            <v>13.6685848</v>
          </cell>
        </row>
        <row r="2480">
          <cell r="A2480" t="str">
            <v>GB0003718474</v>
          </cell>
          <cell r="E2480">
            <v>168.83955560000001</v>
          </cell>
        </row>
        <row r="2481">
          <cell r="A2481" t="str">
            <v>US36467W1099</v>
          </cell>
          <cell r="E2481">
            <v>23.569915212000002</v>
          </cell>
        </row>
        <row r="2482">
          <cell r="A2482" t="str">
            <v>US36467J1088</v>
          </cell>
          <cell r="E2482">
            <v>43.087923651600001</v>
          </cell>
        </row>
        <row r="2483">
          <cell r="A2483" t="str">
            <v>GB00BQS10J50</v>
          </cell>
          <cell r="E2483">
            <v>14.59222752</v>
          </cell>
        </row>
        <row r="2484">
          <cell r="A2484" t="str">
            <v>IL0005320101</v>
          </cell>
          <cell r="E2484">
            <v>6.7877938799999997</v>
          </cell>
        </row>
        <row r="2485">
          <cell r="A2485" t="str">
            <v>US3647601083</v>
          </cell>
          <cell r="E2485">
            <v>16.507768332000001</v>
          </cell>
        </row>
        <row r="2486">
          <cell r="A2486" t="str">
            <v>CH0114405324</v>
          </cell>
          <cell r="E2486">
            <v>169.7651833116</v>
          </cell>
        </row>
        <row r="2487">
          <cell r="A2487" t="str">
            <v>US3665051054</v>
          </cell>
          <cell r="E2487">
            <v>7.8919491384000002</v>
          </cell>
        </row>
        <row r="2488">
          <cell r="A2488" t="str">
            <v>US3666511072</v>
          </cell>
          <cell r="E2488">
            <v>356.29413777960002</v>
          </cell>
        </row>
        <row r="2489">
          <cell r="A2489" t="str">
            <v>FR0000124414</v>
          </cell>
          <cell r="E2489">
            <v>2.2000000000000002</v>
          </cell>
        </row>
        <row r="2490">
          <cell r="A2490" t="str">
            <v>GB00BD9G2S12</v>
          </cell>
          <cell r="E2490">
            <v>15.218926526400001</v>
          </cell>
        </row>
        <row r="2491">
          <cell r="A2491" t="str">
            <v>US3614481030</v>
          </cell>
          <cell r="E2491">
            <v>130.00529637720001</v>
          </cell>
        </row>
        <row r="2492">
          <cell r="A2492" t="str">
            <v>FR0000034894</v>
          </cell>
          <cell r="E2492">
            <v>81</v>
          </cell>
        </row>
        <row r="2493">
          <cell r="A2493" t="str">
            <v>GB0006870611</v>
          </cell>
          <cell r="E2493">
            <v>3.1628185449999999</v>
          </cell>
        </row>
        <row r="2494">
          <cell r="A2494" t="str">
            <v>BE0003797140</v>
          </cell>
          <cell r="E2494">
            <v>68.599999999999994</v>
          </cell>
        </row>
        <row r="2495">
          <cell r="A2495" t="str">
            <v>AU000000GDI7</v>
          </cell>
          <cell r="E2495">
            <v>0.35164711250000003</v>
          </cell>
        </row>
        <row r="2496">
          <cell r="A2496" t="str">
            <v>US3696043013</v>
          </cell>
          <cell r="E2496">
            <v>163.90360140120001</v>
          </cell>
        </row>
        <row r="2497">
          <cell r="A2497" t="str">
            <v>US36266G1076</v>
          </cell>
          <cell r="E2497">
            <v>55.702683516</v>
          </cell>
        </row>
        <row r="2498">
          <cell r="A2498" t="str">
            <v>US36828A1016</v>
          </cell>
          <cell r="E2498">
            <v>290.04237236159997</v>
          </cell>
        </row>
        <row r="2499">
          <cell r="A2499" t="str">
            <v>FR0000053035</v>
          </cell>
          <cell r="E2499">
            <v>92.29</v>
          </cell>
        </row>
        <row r="2500">
          <cell r="A2500" t="str">
            <v>DE0006602006</v>
          </cell>
          <cell r="E2500">
            <v>53.5</v>
          </cell>
        </row>
        <row r="2501">
          <cell r="A2501" t="str">
            <v>CH0030170408</v>
          </cell>
          <cell r="E2501">
            <v>604.25440119999996</v>
          </cell>
        </row>
        <row r="2502">
          <cell r="A2502" t="str">
            <v>FR001400M1R1</v>
          </cell>
          <cell r="E2502">
            <v>3.79</v>
          </cell>
        </row>
        <row r="2503">
          <cell r="A2503" t="str">
            <v>FR0010040865</v>
          </cell>
          <cell r="E2503">
            <v>88.4</v>
          </cell>
        </row>
        <row r="2504">
          <cell r="A2504" t="str">
            <v>IT0005312365</v>
          </cell>
          <cell r="E2504">
            <v>2.12</v>
          </cell>
        </row>
        <row r="2505">
          <cell r="A2505" t="str">
            <v>US6687711084</v>
          </cell>
          <cell r="E2505">
            <v>21.8749999608</v>
          </cell>
        </row>
        <row r="2506">
          <cell r="A2506" t="str">
            <v>JP3386890002</v>
          </cell>
          <cell r="E2506">
            <v>6.4941240000000002</v>
          </cell>
        </row>
        <row r="2507">
          <cell r="A2507" t="str">
            <v>US81663L2007</v>
          </cell>
          <cell r="E2507">
            <v>90.236581759200007</v>
          </cell>
        </row>
        <row r="2508">
          <cell r="A2508" t="str">
            <v>US3687361044</v>
          </cell>
          <cell r="E2508">
            <v>99.779307730799999</v>
          </cell>
        </row>
        <row r="2509">
          <cell r="A2509" t="str">
            <v>ES0105195004</v>
          </cell>
          <cell r="E2509">
            <v>142</v>
          </cell>
        </row>
        <row r="2510">
          <cell r="A2510" t="str">
            <v>US3695501086</v>
          </cell>
          <cell r="E2510">
            <v>244.6504232904</v>
          </cell>
        </row>
        <row r="2511">
          <cell r="A2511" t="str">
            <v>US3703341046</v>
          </cell>
          <cell r="E2511">
            <v>51.068149626</v>
          </cell>
        </row>
        <row r="2512">
          <cell r="A2512" t="str">
            <v>US37045V1008</v>
          </cell>
          <cell r="E2512">
            <v>39.318502754400001</v>
          </cell>
        </row>
        <row r="2513">
          <cell r="A2513" t="str">
            <v>IT0000062072</v>
          </cell>
          <cell r="E2513">
            <v>30.37</v>
          </cell>
        </row>
        <row r="2514">
          <cell r="A2514" t="str">
            <v>IL0011569261</v>
          </cell>
          <cell r="E2514">
            <v>0.19225682099999999</v>
          </cell>
        </row>
        <row r="2515">
          <cell r="A2515" t="str">
            <v>AU0000005126</v>
          </cell>
          <cell r="E2515">
            <v>2.7006498240000001</v>
          </cell>
        </row>
        <row r="2516">
          <cell r="A2516" t="str">
            <v>US37149D2045</v>
          </cell>
          <cell r="E2516">
            <v>1.2888418055999999</v>
          </cell>
        </row>
        <row r="2517">
          <cell r="A2517" t="str">
            <v>NZGNEE0001S7</v>
          </cell>
          <cell r="E2517">
            <v>1.1386540425</v>
          </cell>
        </row>
        <row r="2518">
          <cell r="A2518" t="str">
            <v>AU000000GMD9</v>
          </cell>
          <cell r="E2518">
            <v>2.2786732889999999</v>
          </cell>
        </row>
        <row r="2519">
          <cell r="A2519" t="str">
            <v>CH0308403085</v>
          </cell>
          <cell r="E2519">
            <v>7.4200000000000002E-2</v>
          </cell>
        </row>
        <row r="2520">
          <cell r="A2520" t="str">
            <v>FR0004163111</v>
          </cell>
          <cell r="E2520">
            <v>3.1779999999999999</v>
          </cell>
        </row>
        <row r="2521">
          <cell r="A2521" t="str">
            <v>GG00BMF1JR16</v>
          </cell>
          <cell r="E2521">
            <v>8.9689265375999998</v>
          </cell>
        </row>
        <row r="2522">
          <cell r="A2522" t="str">
            <v>JP3282800006</v>
          </cell>
          <cell r="E2522">
            <v>20.7502724</v>
          </cell>
        </row>
        <row r="2523">
          <cell r="A2523" t="str">
            <v>JP3282750003</v>
          </cell>
          <cell r="E2523">
            <v>18.035110079999999</v>
          </cell>
        </row>
        <row r="2524">
          <cell r="A2524" t="str">
            <v>DK0010272202</v>
          </cell>
          <cell r="E2524">
            <v>173.20482354000001</v>
          </cell>
        </row>
        <row r="2525">
          <cell r="A2525" t="str">
            <v>SE0002485979</v>
          </cell>
          <cell r="E2525">
            <v>1.7345928728</v>
          </cell>
        </row>
        <row r="2526">
          <cell r="A2526" t="str">
            <v>FR0004053510</v>
          </cell>
          <cell r="E2526">
            <v>2.81</v>
          </cell>
        </row>
        <row r="2527">
          <cell r="A2527" t="str">
            <v>BMG3922B1072</v>
          </cell>
          <cell r="E2527">
            <v>42.319915178400002</v>
          </cell>
        </row>
        <row r="2528">
          <cell r="A2528" t="str">
            <v>KYG3825B1059</v>
          </cell>
          <cell r="E2528">
            <v>1.1973049752</v>
          </cell>
        </row>
        <row r="2529">
          <cell r="A2529" t="str">
            <v>FR0013183985</v>
          </cell>
          <cell r="E2529">
            <v>0.24</v>
          </cell>
        </row>
        <row r="2530">
          <cell r="A2530" t="str">
            <v>US3719011096</v>
          </cell>
          <cell r="E2530">
            <v>18.688206181200002</v>
          </cell>
        </row>
        <row r="2531">
          <cell r="A2531" t="str">
            <v>US37253A1034</v>
          </cell>
          <cell r="E2531">
            <v>21.054025385999999</v>
          </cell>
        </row>
        <row r="2532">
          <cell r="A2532" t="str">
            <v>NO0010748866</v>
          </cell>
          <cell r="E2532">
            <v>3.75156315</v>
          </cell>
        </row>
        <row r="2533">
          <cell r="A2533" t="str">
            <v>IT0005531261</v>
          </cell>
          <cell r="E2533">
            <v>2.54</v>
          </cell>
        </row>
        <row r="2534">
          <cell r="A2534" t="str">
            <v>SGXE21576413</v>
          </cell>
          <cell r="E2534">
            <v>0.46959380299999998</v>
          </cell>
        </row>
        <row r="2535">
          <cell r="A2535" t="str">
            <v>US36467X2062</v>
          </cell>
          <cell r="E2535">
            <v>1.5439766563999999</v>
          </cell>
        </row>
        <row r="2536">
          <cell r="A2536" t="str">
            <v>NZGTKE0002S9</v>
          </cell>
          <cell r="E2536">
            <v>5.5493024599999998</v>
          </cell>
        </row>
        <row r="2537">
          <cell r="A2537" t="str">
            <v>US3724601055</v>
          </cell>
          <cell r="E2537">
            <v>100.9092512316</v>
          </cell>
        </row>
        <row r="2538">
          <cell r="A2538" t="str">
            <v>GB00BKRC5K31</v>
          </cell>
          <cell r="E2538">
            <v>4.2443738700000004</v>
          </cell>
        </row>
        <row r="2539">
          <cell r="A2539" t="str">
            <v>GB0002074580</v>
          </cell>
          <cell r="E2539">
            <v>20.087697819999999</v>
          </cell>
        </row>
        <row r="2540">
          <cell r="A2540" t="str">
            <v>US37247D1063</v>
          </cell>
          <cell r="E2540">
            <v>5.8527542268000001</v>
          </cell>
        </row>
        <row r="2541">
          <cell r="A2541" t="str">
            <v>SG2F24986083</v>
          </cell>
          <cell r="E2541">
            <v>0.20460872845</v>
          </cell>
        </row>
        <row r="2542">
          <cell r="A2542" t="str">
            <v>US36162J1060</v>
          </cell>
          <cell r="E2542">
            <v>26.624293737599999</v>
          </cell>
        </row>
        <row r="2543">
          <cell r="A2543" t="str">
            <v>JP3282400005</v>
          </cell>
          <cell r="E2543">
            <v>11.788381279999999</v>
          </cell>
        </row>
        <row r="2544">
          <cell r="A2544" t="str">
            <v>CH1169151003</v>
          </cell>
          <cell r="E2544">
            <v>64.409891049999999</v>
          </cell>
        </row>
        <row r="2545">
          <cell r="A2545" t="str">
            <v>CA9611485090</v>
          </cell>
          <cell r="E2545">
            <v>159.9238345144</v>
          </cell>
        </row>
        <row r="2546">
          <cell r="A2546" t="str">
            <v>GB00BF4HYV08</v>
          </cell>
          <cell r="E2546">
            <v>16.065481259999999</v>
          </cell>
        </row>
        <row r="2547">
          <cell r="A2547" t="str">
            <v>US3738651047</v>
          </cell>
          <cell r="E2547">
            <v>31.1528954244</v>
          </cell>
        </row>
        <row r="2548">
          <cell r="A2548" t="str">
            <v>US3741631036</v>
          </cell>
          <cell r="E2548">
            <v>1.10346045</v>
          </cell>
        </row>
        <row r="2549">
          <cell r="A2549" t="str">
            <v>DE000A0LD6E6</v>
          </cell>
          <cell r="E2549">
            <v>51.1</v>
          </cell>
        </row>
        <row r="2550">
          <cell r="A2550" t="str">
            <v>SE0000202624</v>
          </cell>
          <cell r="E2550">
            <v>17.7552854485</v>
          </cell>
        </row>
        <row r="2551">
          <cell r="A2551" t="str">
            <v>FR0010533075</v>
          </cell>
          <cell r="E2551">
            <v>16.07</v>
          </cell>
        </row>
        <row r="2552">
          <cell r="A2552" t="str">
            <v>US3742971092</v>
          </cell>
          <cell r="E2552">
            <v>25.300141197599999</v>
          </cell>
        </row>
        <row r="2553">
          <cell r="A2553" t="str">
            <v>FR0000033888</v>
          </cell>
          <cell r="E2553">
            <v>177</v>
          </cell>
        </row>
        <row r="2554">
          <cell r="A2554" t="str">
            <v>CA36168Q1046</v>
          </cell>
          <cell r="E2554">
            <v>43.427483558799999</v>
          </cell>
        </row>
        <row r="2555">
          <cell r="A2555" t="str">
            <v>DE0005800601</v>
          </cell>
          <cell r="E2555">
            <v>21.5</v>
          </cell>
        </row>
        <row r="2556">
          <cell r="A2556" t="str">
            <v>US3746891072</v>
          </cell>
          <cell r="E2556">
            <v>47.060381271600001</v>
          </cell>
        </row>
        <row r="2557">
          <cell r="A2557" t="str">
            <v>CA3748252069</v>
          </cell>
          <cell r="E2557">
            <v>13.5131704906</v>
          </cell>
        </row>
        <row r="2558">
          <cell r="A2558" t="str">
            <v>JP3264860002</v>
          </cell>
          <cell r="E2558">
            <v>19.791616000000001</v>
          </cell>
        </row>
        <row r="2559">
          <cell r="A2559" t="str">
            <v>JP3264870001</v>
          </cell>
          <cell r="E2559">
            <v>9.1536223999999997</v>
          </cell>
        </row>
        <row r="2560">
          <cell r="A2560" t="str">
            <v>GG00BMB5XZ39</v>
          </cell>
          <cell r="E2560">
            <v>4.7939199160000001</v>
          </cell>
        </row>
        <row r="2561">
          <cell r="A2561" t="str">
            <v>NO0011013765</v>
          </cell>
          <cell r="E2561">
            <v>0.62359316360000006</v>
          </cell>
        </row>
        <row r="2562">
          <cell r="A2562" t="str">
            <v>IT0005453003</v>
          </cell>
          <cell r="E2562">
            <v>0.94</v>
          </cell>
        </row>
        <row r="2563">
          <cell r="A2563" t="str">
            <v>US36237H1014</v>
          </cell>
          <cell r="E2563">
            <v>21.380649679200001</v>
          </cell>
        </row>
        <row r="2564">
          <cell r="A2564" t="str">
            <v>JP3264200001</v>
          </cell>
          <cell r="E2564">
            <v>9.0299247999999999</v>
          </cell>
        </row>
        <row r="2565">
          <cell r="A2565" t="str">
            <v>IL0010825102</v>
          </cell>
          <cell r="E2565">
            <v>5.4819915155999999</v>
          </cell>
        </row>
        <row r="2566">
          <cell r="A2566" t="str">
            <v>IL0010825102</v>
          </cell>
          <cell r="E2566">
            <v>5.6524945499999992</v>
          </cell>
        </row>
        <row r="2567">
          <cell r="A2567" t="str">
            <v>CA3759161035</v>
          </cell>
          <cell r="E2567">
            <v>36.559822464</v>
          </cell>
        </row>
        <row r="2568">
          <cell r="A2568" t="str">
            <v>US3755581036</v>
          </cell>
          <cell r="E2568">
            <v>93.290960284800008</v>
          </cell>
        </row>
        <row r="2569">
          <cell r="A2569" t="str">
            <v>BE0003699130</v>
          </cell>
          <cell r="E2569">
            <v>38.700000000000003</v>
          </cell>
        </row>
        <row r="2570">
          <cell r="A2570" t="str">
            <v>US37611X1000</v>
          </cell>
          <cell r="E2570">
            <v>7.2828389700000002</v>
          </cell>
        </row>
        <row r="2571">
          <cell r="A2571" t="str">
            <v>BMG6901M1010</v>
          </cell>
          <cell r="E2571">
            <v>0.15364655099999999</v>
          </cell>
        </row>
        <row r="2572">
          <cell r="A2572" t="str">
            <v>IT0005391138</v>
          </cell>
          <cell r="E2572">
            <v>2.0499999999999998</v>
          </cell>
        </row>
        <row r="2573">
          <cell r="A2573" t="str">
            <v>US37637K1088</v>
          </cell>
          <cell r="E2573">
            <v>38.532838914000003</v>
          </cell>
        </row>
        <row r="2574">
          <cell r="A2574" t="str">
            <v>CH0010645932</v>
          </cell>
          <cell r="E2574">
            <v>4072.994283999999</v>
          </cell>
        </row>
        <row r="2575">
          <cell r="A2575" t="str">
            <v>NO0010582521</v>
          </cell>
          <cell r="E2575">
            <v>20.358482693999999</v>
          </cell>
        </row>
        <row r="2576">
          <cell r="A2576" t="str">
            <v>FR0000066672</v>
          </cell>
          <cell r="E2576">
            <v>20.95</v>
          </cell>
        </row>
        <row r="2577">
          <cell r="A2577" t="str">
            <v>US37637Q1058</v>
          </cell>
          <cell r="E2577">
            <v>34.666313497200001</v>
          </cell>
        </row>
        <row r="2578">
          <cell r="A2578" t="str">
            <v>IE0000669501</v>
          </cell>
          <cell r="E2578">
            <v>9.9700000000000006</v>
          </cell>
        </row>
        <row r="2579">
          <cell r="A2579" t="str">
            <v>US3773221029</v>
          </cell>
          <cell r="E2579">
            <v>83.439265387199995</v>
          </cell>
        </row>
        <row r="2580">
          <cell r="A2580" t="str">
            <v>JE00B4T3BW64</v>
          </cell>
          <cell r="E2580">
            <v>2.9926928154999999</v>
          </cell>
        </row>
        <row r="2581">
          <cell r="A2581" t="str">
            <v>IE00BD6JX574</v>
          </cell>
          <cell r="E2581">
            <v>1.522</v>
          </cell>
        </row>
        <row r="2582">
          <cell r="A2582" t="str">
            <v>PTPAD0AM0007</v>
          </cell>
          <cell r="E2582">
            <v>0.54400000000000004</v>
          </cell>
        </row>
        <row r="2583">
          <cell r="A2583" t="str">
            <v>FR0011052257</v>
          </cell>
          <cell r="E2583">
            <v>1.0184</v>
          </cell>
        </row>
        <row r="2584">
          <cell r="A2584" t="str">
            <v>US37890B1008</v>
          </cell>
          <cell r="E2584">
            <v>5.8704095940000007</v>
          </cell>
        </row>
        <row r="2585">
          <cell r="A2585" t="str">
            <v>US3793782018</v>
          </cell>
          <cell r="E2585">
            <v>6.6031073328000014</v>
          </cell>
        </row>
        <row r="2586">
          <cell r="A2586" t="str">
            <v>JP3044520009</v>
          </cell>
          <cell r="E2586">
            <v>736.00072</v>
          </cell>
        </row>
        <row r="2587">
          <cell r="A2587" t="str">
            <v>US37940X1028</v>
          </cell>
          <cell r="E2587">
            <v>75.406073311200004</v>
          </cell>
        </row>
        <row r="2588">
          <cell r="A2588" t="str">
            <v>GB00BR3VDF43</v>
          </cell>
          <cell r="E2588">
            <v>1.6311023549999999</v>
          </cell>
        </row>
        <row r="2589">
          <cell r="A2589" t="str">
            <v>IL0011741688</v>
          </cell>
          <cell r="E2589">
            <v>28.663488649200001</v>
          </cell>
        </row>
        <row r="2590">
          <cell r="A2590" t="str">
            <v>KYG393871085</v>
          </cell>
          <cell r="E2590">
            <v>29.466807856799999</v>
          </cell>
        </row>
        <row r="2591">
          <cell r="A2591" t="str">
            <v>US3789734080</v>
          </cell>
          <cell r="E2591">
            <v>17.558262680399999</v>
          </cell>
        </row>
        <row r="2592">
          <cell r="A2592" t="str">
            <v>US3789735079</v>
          </cell>
          <cell r="E2592">
            <v>17.399364375600001</v>
          </cell>
        </row>
        <row r="2593">
          <cell r="A2593" t="str">
            <v>LU0974299876</v>
          </cell>
          <cell r="E2593">
            <v>95.621468755199999</v>
          </cell>
        </row>
        <row r="2594">
          <cell r="A2594" t="str">
            <v>US37959E1029</v>
          </cell>
          <cell r="E2594">
            <v>108.3951269244</v>
          </cell>
        </row>
        <row r="2595">
          <cell r="A2595" t="str">
            <v>JP3503800009</v>
          </cell>
          <cell r="E2595">
            <v>11.151338640000001</v>
          </cell>
        </row>
        <row r="2596">
          <cell r="A2596" t="str">
            <v>US3795772082</v>
          </cell>
          <cell r="E2596">
            <v>63.868290845999987</v>
          </cell>
        </row>
        <row r="2597">
          <cell r="A2597" t="str">
            <v>JP3274400005</v>
          </cell>
          <cell r="E2597">
            <v>14.788048079999999</v>
          </cell>
        </row>
        <row r="2598">
          <cell r="A2598" t="str">
            <v>JP3047510007</v>
          </cell>
          <cell r="E2598">
            <v>760.74024000000009</v>
          </cell>
        </row>
        <row r="2599">
          <cell r="A2599" t="str">
            <v>JP3386930006</v>
          </cell>
          <cell r="E2599">
            <v>17.156857120000002</v>
          </cell>
        </row>
        <row r="2600">
          <cell r="A2600" t="str">
            <v>JP3386550002</v>
          </cell>
          <cell r="E2600">
            <v>4.484038</v>
          </cell>
        </row>
        <row r="2601">
          <cell r="A2601" t="str">
            <v>JP3152750000</v>
          </cell>
          <cell r="E2601">
            <v>18.783480560000001</v>
          </cell>
        </row>
        <row r="2602">
          <cell r="A2602" t="str">
            <v>JP3385890003</v>
          </cell>
          <cell r="E2602">
            <v>52.880724000000001</v>
          </cell>
        </row>
        <row r="2603">
          <cell r="A2603" t="str">
            <v>US36251C1036</v>
          </cell>
          <cell r="E2603">
            <v>63.285663728400003</v>
          </cell>
        </row>
        <row r="2604">
          <cell r="A2604" t="str">
            <v>DK0010272632</v>
          </cell>
          <cell r="E2604">
            <v>12.798135221200001</v>
          </cell>
        </row>
        <row r="2605">
          <cell r="A2605" t="str">
            <v>JP3386370005</v>
          </cell>
          <cell r="E2605">
            <v>11.30596064</v>
          </cell>
        </row>
        <row r="2606">
          <cell r="A2606" t="str">
            <v>US3802371076</v>
          </cell>
          <cell r="E2606">
            <v>154.48446300000001</v>
          </cell>
        </row>
        <row r="2607">
          <cell r="A2607" t="str">
            <v>JP3307800007</v>
          </cell>
          <cell r="E2607">
            <v>22.543887600000001</v>
          </cell>
        </row>
        <row r="2608">
          <cell r="A2608" t="str">
            <v>CA3803551074</v>
          </cell>
          <cell r="E2608">
            <v>100.5839421158</v>
          </cell>
        </row>
        <row r="2609">
          <cell r="A2609" t="str">
            <v>KYG2118A1132</v>
          </cell>
          <cell r="E2609">
            <v>0.1445415702</v>
          </cell>
        </row>
        <row r="2610">
          <cell r="A2610" t="str">
            <v>FI4000283130</v>
          </cell>
          <cell r="E2610">
            <v>17.5</v>
          </cell>
        </row>
        <row r="2611">
          <cell r="A2611" t="str">
            <v>BMG9456A1009</v>
          </cell>
          <cell r="E2611">
            <v>32.697740054400001</v>
          </cell>
        </row>
        <row r="2612">
          <cell r="A2612" t="str">
            <v>FR0011208693</v>
          </cell>
          <cell r="E2612">
            <v>3.87</v>
          </cell>
        </row>
        <row r="2613">
          <cell r="A2613" t="str">
            <v>AU000000GOR5</v>
          </cell>
          <cell r="E2613">
            <v>1.7554223856</v>
          </cell>
        </row>
        <row r="2614">
          <cell r="A2614" t="str">
            <v>JP3306800008</v>
          </cell>
          <cell r="E2614">
            <v>20.4410284</v>
          </cell>
        </row>
        <row r="2615">
          <cell r="A2615" t="str">
            <v>MU0117U00026</v>
          </cell>
          <cell r="E2615">
            <v>0.16435783104999999</v>
          </cell>
        </row>
        <row r="2616">
          <cell r="A2616" t="str">
            <v>NO0013228585</v>
          </cell>
          <cell r="E2616">
            <v>1.3880783655</v>
          </cell>
        </row>
        <row r="2617">
          <cell r="A2617" t="str">
            <v>BMG396372051</v>
          </cell>
          <cell r="E2617">
            <v>6.2776156710000004</v>
          </cell>
        </row>
        <row r="2618">
          <cell r="A2618" t="str">
            <v>US38141G1040</v>
          </cell>
          <cell r="E2618">
            <v>448.34922236040001</v>
          </cell>
        </row>
        <row r="2619">
          <cell r="A2619" t="str">
            <v>JP3306600002</v>
          </cell>
          <cell r="E2619">
            <v>49.287308719999999</v>
          </cell>
        </row>
        <row r="2620">
          <cell r="A2620" t="str">
            <v>US38173M1027</v>
          </cell>
          <cell r="E2620">
            <v>12.341101672800001</v>
          </cell>
        </row>
        <row r="2621">
          <cell r="A2621" t="str">
            <v>SE0008348304</v>
          </cell>
          <cell r="E2621">
            <v>0.65677012300000004</v>
          </cell>
        </row>
        <row r="2622">
          <cell r="A2622" t="str">
            <v>AU000000GMG2</v>
          </cell>
          <cell r="E2622">
            <v>15.635637210200001</v>
          </cell>
        </row>
        <row r="2623">
          <cell r="A2623" t="str">
            <v>NZCPTE0001S9</v>
          </cell>
          <cell r="E2623">
            <v>0.97898071700000011</v>
          </cell>
        </row>
        <row r="2624">
          <cell r="A2624" t="str">
            <v>NO0004913609</v>
          </cell>
          <cell r="E2624">
            <v>0.70029178800000003</v>
          </cell>
        </row>
        <row r="2625">
          <cell r="A2625" t="str">
            <v>US3825501014</v>
          </cell>
          <cell r="E2625">
            <v>8.6069915100000003</v>
          </cell>
        </row>
        <row r="2626">
          <cell r="A2626" t="str">
            <v>US38267D1090</v>
          </cell>
          <cell r="E2626">
            <v>98.252118468000006</v>
          </cell>
        </row>
        <row r="2627">
          <cell r="A2627" t="str">
            <v>US3830821043</v>
          </cell>
          <cell r="E2627">
            <v>29.6080507944</v>
          </cell>
        </row>
        <row r="2628">
          <cell r="A2628" t="str">
            <v>FR0010214064</v>
          </cell>
          <cell r="E2628">
            <v>64</v>
          </cell>
        </row>
        <row r="2629">
          <cell r="A2629" t="str">
            <v>IT0005221517</v>
          </cell>
          <cell r="E2629">
            <v>8.7200000000000006</v>
          </cell>
        </row>
        <row r="2630">
          <cell r="A2630" t="str">
            <v>AU000000GPT8</v>
          </cell>
          <cell r="E2630">
            <v>2.4868483796</v>
          </cell>
        </row>
        <row r="2631">
          <cell r="A2631" t="str">
            <v>AU0000180499</v>
          </cell>
          <cell r="E2631">
            <v>1.1477761752</v>
          </cell>
        </row>
        <row r="2632">
          <cell r="A2632" t="str">
            <v>AU000000GNG0</v>
          </cell>
          <cell r="E2632">
            <v>1.6428953096000001</v>
          </cell>
        </row>
        <row r="2633">
          <cell r="A2633" t="str">
            <v>KYG4124C1096</v>
          </cell>
          <cell r="E2633">
            <v>3.5840395416000002</v>
          </cell>
        </row>
        <row r="2634">
          <cell r="A2634" t="str">
            <v>US3841091040</v>
          </cell>
          <cell r="E2634">
            <v>69.932909479200006</v>
          </cell>
        </row>
        <row r="2635">
          <cell r="A2635" t="str">
            <v>IE00B00MZ448</v>
          </cell>
          <cell r="E2635">
            <v>10.658873884</v>
          </cell>
        </row>
        <row r="2636">
          <cell r="A2636" t="str">
            <v>US3846371041</v>
          </cell>
          <cell r="E2636">
            <v>810.90218781240003</v>
          </cell>
        </row>
        <row r="2637">
          <cell r="A2637" t="str">
            <v>US3847471014</v>
          </cell>
          <cell r="E2637">
            <v>22.8945974166</v>
          </cell>
        </row>
        <row r="2638">
          <cell r="A2638" t="str">
            <v>AU000000GNC9</v>
          </cell>
          <cell r="E2638">
            <v>3.6740090313999998</v>
          </cell>
        </row>
        <row r="2639">
          <cell r="A2639" t="str">
            <v>FR0000065971</v>
          </cell>
          <cell r="E2639">
            <v>17.899999999999999</v>
          </cell>
        </row>
        <row r="2640">
          <cell r="A2640" t="str">
            <v>GB00B04V1276</v>
          </cell>
          <cell r="E2640">
            <v>2.46711539</v>
          </cell>
        </row>
        <row r="2641">
          <cell r="A2641" t="str">
            <v>US38526M1062</v>
          </cell>
          <cell r="E2641">
            <v>156.9032483064</v>
          </cell>
        </row>
        <row r="2642">
          <cell r="A2642" t="str">
            <v>LU0775917882</v>
          </cell>
          <cell r="E2642">
            <v>10.7</v>
          </cell>
        </row>
        <row r="2643">
          <cell r="A2643" t="str">
            <v>SE0006288015</v>
          </cell>
          <cell r="E2643">
            <v>10.238416438</v>
          </cell>
        </row>
        <row r="2644">
          <cell r="A2644" t="str">
            <v>US3873281071</v>
          </cell>
          <cell r="E2644">
            <v>68.564618521200003</v>
          </cell>
        </row>
        <row r="2645">
          <cell r="A2645" t="str">
            <v>US3886891015</v>
          </cell>
          <cell r="E2645">
            <v>21.927966062399999</v>
          </cell>
        </row>
        <row r="2646">
          <cell r="A2646" t="str">
            <v>GB00BF5H9P87</v>
          </cell>
          <cell r="E2646">
            <v>3.4609770399999999</v>
          </cell>
        </row>
        <row r="2647">
          <cell r="A2647" t="str">
            <v>IE000T78CHJ8</v>
          </cell>
          <cell r="E2647">
            <v>0.2</v>
          </cell>
        </row>
        <row r="2648">
          <cell r="A2648" t="str">
            <v>GB00B15XDH89</v>
          </cell>
          <cell r="E2648">
            <v>0.1562116664</v>
          </cell>
        </row>
        <row r="2649">
          <cell r="A2649" t="str">
            <v>CA39138C1068</v>
          </cell>
          <cell r="E2649">
            <v>33.081561576799999</v>
          </cell>
        </row>
        <row r="2650">
          <cell r="A2650" t="str">
            <v>JP3274070006</v>
          </cell>
          <cell r="E2650">
            <v>3.1975829600000001</v>
          </cell>
        </row>
        <row r="2651">
          <cell r="A2651" t="str">
            <v>US3927091013</v>
          </cell>
          <cell r="E2651">
            <v>50.017655277599999</v>
          </cell>
        </row>
        <row r="2652">
          <cell r="A2652" t="str">
            <v>SE0010985028</v>
          </cell>
          <cell r="E2652">
            <v>5.6140350239999997</v>
          </cell>
        </row>
        <row r="2653">
          <cell r="A2653" t="str">
            <v>NO0010907744</v>
          </cell>
          <cell r="E2653">
            <v>0.20842017500000001</v>
          </cell>
        </row>
        <row r="2654">
          <cell r="A2654" t="str">
            <v>IT0005549768</v>
          </cell>
          <cell r="E2654">
            <v>0.79</v>
          </cell>
        </row>
        <row r="2655">
          <cell r="A2655" t="str">
            <v>US3932221043</v>
          </cell>
          <cell r="E2655">
            <v>3.1956214632000002</v>
          </cell>
        </row>
        <row r="2656">
          <cell r="A2656" t="str">
            <v>US3936571013</v>
          </cell>
          <cell r="E2656">
            <v>36.167019709199998</v>
          </cell>
        </row>
        <row r="2657">
          <cell r="A2657" t="str">
            <v>IE00BF2NR112</v>
          </cell>
          <cell r="E2657">
            <v>0.73799999999999999</v>
          </cell>
        </row>
        <row r="2658">
          <cell r="A2658" t="str">
            <v>IE0003864109</v>
          </cell>
          <cell r="E2658">
            <v>2.09295571</v>
          </cell>
        </row>
        <row r="2659">
          <cell r="A2659" t="str">
            <v>BE0003765790</v>
          </cell>
          <cell r="E2659">
            <v>6.96</v>
          </cell>
        </row>
        <row r="2660">
          <cell r="A2660" t="str">
            <v>GB00B63QSB39</v>
          </cell>
          <cell r="E2660">
            <v>21.502489109999999</v>
          </cell>
        </row>
        <row r="2661">
          <cell r="A2661" t="str">
            <v>US3976241071</v>
          </cell>
          <cell r="E2661">
            <v>45.233050766400012</v>
          </cell>
        </row>
        <row r="2662">
          <cell r="A2662" t="str">
            <v>JP3952860009</v>
          </cell>
          <cell r="E2662">
            <v>13.71187896</v>
          </cell>
        </row>
        <row r="2663">
          <cell r="A2663" t="str">
            <v>ES0105079000</v>
          </cell>
          <cell r="E2663">
            <v>43.65</v>
          </cell>
        </row>
        <row r="2664">
          <cell r="A2664" t="str">
            <v>DE000A161N30</v>
          </cell>
          <cell r="E2664">
            <v>13.72</v>
          </cell>
        </row>
        <row r="2665">
          <cell r="A2665" t="str">
            <v>US39813G1094</v>
          </cell>
          <cell r="E2665">
            <v>12.13806495</v>
          </cell>
        </row>
        <row r="2666">
          <cell r="A2666" t="str">
            <v>NO0010365521</v>
          </cell>
          <cell r="E2666">
            <v>4.6352646920000007</v>
          </cell>
        </row>
        <row r="2667">
          <cell r="A2667" t="str">
            <v>IT0005332595</v>
          </cell>
          <cell r="E2667">
            <v>1.63</v>
          </cell>
        </row>
        <row r="2668">
          <cell r="A2668" t="str">
            <v>US3984331021</v>
          </cell>
          <cell r="E2668">
            <v>61.767302149199999</v>
          </cell>
        </row>
        <row r="2669">
          <cell r="A2669" t="str">
            <v>ES0171996095</v>
          </cell>
          <cell r="E2669">
            <v>6.26</v>
          </cell>
        </row>
        <row r="2670">
          <cell r="A2670" t="str">
            <v>ES0171996087</v>
          </cell>
          <cell r="E2670">
            <v>8.3160000000000007</v>
          </cell>
        </row>
        <row r="2671">
          <cell r="A2671" t="str">
            <v>US39874R1014</v>
          </cell>
          <cell r="E2671">
            <v>12.270480204</v>
          </cell>
        </row>
        <row r="2672">
          <cell r="A2672" t="str">
            <v>FR0014005ZM5</v>
          </cell>
          <cell r="E2672">
            <v>3.2</v>
          </cell>
        </row>
        <row r="2673">
          <cell r="A2673" t="str">
            <v>US3989051095</v>
          </cell>
          <cell r="E2673">
            <v>348.91419429000001</v>
          </cell>
        </row>
        <row r="2674">
          <cell r="A2674" t="str">
            <v>FR0000036675</v>
          </cell>
          <cell r="E2674">
            <v>60.4</v>
          </cell>
        </row>
        <row r="2675">
          <cell r="A2675" t="str">
            <v>FR0000066219</v>
          </cell>
          <cell r="E2675">
            <v>57</v>
          </cell>
        </row>
        <row r="2676">
          <cell r="A2676" t="str">
            <v>FR0012819381</v>
          </cell>
          <cell r="E2676">
            <v>26.05</v>
          </cell>
        </row>
        <row r="2677">
          <cell r="A2677" t="str">
            <v>FR0004010338</v>
          </cell>
          <cell r="E2677">
            <v>1.24</v>
          </cell>
        </row>
        <row r="2678">
          <cell r="A2678" t="str">
            <v>FR0000075442</v>
          </cell>
          <cell r="E2678">
            <v>6.6989999999999998</v>
          </cell>
        </row>
        <row r="2679">
          <cell r="A2679" t="str">
            <v>FR0013439627</v>
          </cell>
          <cell r="E2679">
            <v>2.0750000000000002</v>
          </cell>
        </row>
        <row r="2680">
          <cell r="A2680" t="str">
            <v>FR0012612646</v>
          </cell>
          <cell r="E2680">
            <v>17.8</v>
          </cell>
        </row>
        <row r="2681">
          <cell r="A2681" t="str">
            <v>FR0004155000</v>
          </cell>
          <cell r="E2681">
            <v>1.8420000000000001</v>
          </cell>
        </row>
        <row r="2682">
          <cell r="A2682" t="str">
            <v>FR0013429404</v>
          </cell>
          <cell r="E2682">
            <v>3.92</v>
          </cell>
        </row>
        <row r="2683">
          <cell r="A2683" t="str">
            <v>FR0014000RP6</v>
          </cell>
          <cell r="E2683">
            <v>0.2</v>
          </cell>
        </row>
        <row r="2684">
          <cell r="A2684" t="str">
            <v>IT0005040354</v>
          </cell>
          <cell r="E2684">
            <v>3.68</v>
          </cell>
        </row>
        <row r="2685">
          <cell r="A2685" t="str">
            <v>AU000000GOZ8</v>
          </cell>
          <cell r="E2685">
            <v>1.2715559588000001</v>
          </cell>
        </row>
        <row r="2686">
          <cell r="A2686" t="str">
            <v>ES0116920333</v>
          </cell>
          <cell r="E2686">
            <v>48.8</v>
          </cell>
        </row>
        <row r="2687">
          <cell r="A2687" t="str">
            <v>JP3385820000</v>
          </cell>
          <cell r="E2687">
            <v>13.90979512</v>
          </cell>
        </row>
        <row r="2688">
          <cell r="A2688" t="str">
            <v>JP3276000001</v>
          </cell>
          <cell r="E2688">
            <v>11.497691919999999</v>
          </cell>
        </row>
        <row r="2689">
          <cell r="A2689" t="str">
            <v>GB00BN7SWP63</v>
          </cell>
          <cell r="E2689">
            <v>15.738091539999999</v>
          </cell>
        </row>
        <row r="2690">
          <cell r="A2690" t="str">
            <v>IT0005607699</v>
          </cell>
          <cell r="E2690">
            <v>0.16500000000000001</v>
          </cell>
        </row>
        <row r="2691">
          <cell r="A2691" t="str">
            <v>JP3236750000</v>
          </cell>
          <cell r="E2691">
            <v>9.264950240000001</v>
          </cell>
        </row>
        <row r="2692">
          <cell r="A2692" t="str">
            <v>FR0011726835</v>
          </cell>
          <cell r="E2692">
            <v>137.5</v>
          </cell>
        </row>
        <row r="2693">
          <cell r="A2693" t="str">
            <v>US40131M1099</v>
          </cell>
          <cell r="E2693">
            <v>39.592160946</v>
          </cell>
        </row>
        <row r="2694">
          <cell r="A2694" t="str">
            <v>DK0062266474</v>
          </cell>
          <cell r="E2694">
            <v>49.831550159999999</v>
          </cell>
        </row>
        <row r="2695">
          <cell r="A2695" t="str">
            <v>FR0000032526</v>
          </cell>
          <cell r="E2695">
            <v>19.899999999999999</v>
          </cell>
        </row>
        <row r="2696">
          <cell r="A2696" t="str">
            <v>US40171V1008</v>
          </cell>
          <cell r="E2696">
            <v>170.93043754679999</v>
          </cell>
        </row>
        <row r="2697">
          <cell r="A2697" t="str">
            <v>FR0000066722</v>
          </cell>
          <cell r="E2697">
            <v>5.0999999999999996</v>
          </cell>
        </row>
        <row r="2698">
          <cell r="A2698" t="str">
            <v>US4026355028</v>
          </cell>
          <cell r="E2698">
            <v>146.8132059516</v>
          </cell>
        </row>
        <row r="2699">
          <cell r="A2699" t="str">
            <v>JP3235900002</v>
          </cell>
          <cell r="E2699">
            <v>17.493933080000001</v>
          </cell>
        </row>
        <row r="2700">
          <cell r="A2700" t="str">
            <v>JP3276400003</v>
          </cell>
          <cell r="E2700">
            <v>6.8126453200000006</v>
          </cell>
        </row>
        <row r="2701">
          <cell r="A2701" t="str">
            <v>JP3275200008</v>
          </cell>
          <cell r="E2701">
            <v>15.233359439999999</v>
          </cell>
        </row>
        <row r="2702">
          <cell r="A2702" t="str">
            <v>AU0000336679</v>
          </cell>
          <cell r="E2702">
            <v>18.792021691999999</v>
          </cell>
        </row>
        <row r="2703">
          <cell r="A2703" t="str">
            <v>IT0005411209</v>
          </cell>
          <cell r="E2703">
            <v>4.0549999999999997</v>
          </cell>
        </row>
        <row r="2704">
          <cell r="A2704" t="str">
            <v>AU000000GWA4</v>
          </cell>
          <cell r="E2704">
            <v>1.265929605</v>
          </cell>
        </row>
        <row r="2705">
          <cell r="A2705" t="str">
            <v>US36262G1013</v>
          </cell>
          <cell r="E2705">
            <v>29.899364353199999</v>
          </cell>
        </row>
        <row r="2706">
          <cell r="A2706" t="str">
            <v>NO0004288200</v>
          </cell>
          <cell r="E2706">
            <v>35.681533960000003</v>
          </cell>
        </row>
        <row r="2707">
          <cell r="A2707" t="str">
            <v>DK0061804770</v>
          </cell>
          <cell r="E2707">
            <v>3.8579264640000002</v>
          </cell>
        </row>
        <row r="2708">
          <cell r="A2708" t="str">
            <v>US4040301081</v>
          </cell>
          <cell r="E2708">
            <v>80.296610025600003</v>
          </cell>
        </row>
        <row r="2709">
          <cell r="A2709" t="str">
            <v>US0936711052</v>
          </cell>
          <cell r="E2709">
            <v>54.228460354799999</v>
          </cell>
        </row>
        <row r="2710">
          <cell r="A2710" t="str">
            <v>CA4039254079</v>
          </cell>
          <cell r="E2710">
            <v>6.0488734041999992</v>
          </cell>
        </row>
        <row r="2711">
          <cell r="A2711" t="str">
            <v>US3596941068</v>
          </cell>
          <cell r="E2711">
            <v>47.281073361600001</v>
          </cell>
        </row>
        <row r="2712">
          <cell r="A2712" t="str">
            <v>JP3774600005</v>
          </cell>
          <cell r="E2712">
            <v>12.19349092</v>
          </cell>
        </row>
        <row r="2713">
          <cell r="A2713" t="str">
            <v>JP3769000005</v>
          </cell>
          <cell r="E2713">
            <v>5.7649266480000003</v>
          </cell>
        </row>
        <row r="2714">
          <cell r="A2714" t="str">
            <v>US4050241003</v>
          </cell>
          <cell r="E2714">
            <v>51.465395387999997</v>
          </cell>
        </row>
        <row r="2715">
          <cell r="A2715" t="str">
            <v>FR0014007ND6</v>
          </cell>
          <cell r="E2715">
            <v>0.315</v>
          </cell>
        </row>
        <row r="2716">
          <cell r="A2716" t="str">
            <v>SGXZ53070850</v>
          </cell>
          <cell r="E2716">
            <v>3.6890370975</v>
          </cell>
        </row>
        <row r="2717">
          <cell r="A2717" t="str">
            <v>IL0008230133</v>
          </cell>
          <cell r="E2717">
            <v>4.3155775799999994</v>
          </cell>
        </row>
        <row r="2718">
          <cell r="A2718" t="str">
            <v>JP3765600006</v>
          </cell>
          <cell r="E2718">
            <v>17.899042720000001</v>
          </cell>
        </row>
        <row r="2719">
          <cell r="A2719" t="str">
            <v>IT0005628778</v>
          </cell>
          <cell r="E2719">
            <v>0.61499999999999999</v>
          </cell>
        </row>
        <row r="2720">
          <cell r="A2720" t="str">
            <v>US4052171000</v>
          </cell>
          <cell r="E2720">
            <v>2.5865112948000002</v>
          </cell>
        </row>
        <row r="2721">
          <cell r="A2721" t="str">
            <v>JP3766550002</v>
          </cell>
          <cell r="E2721">
            <v>6.4013508000000003</v>
          </cell>
        </row>
        <row r="2722">
          <cell r="A2722" t="str">
            <v>JP3766400000</v>
          </cell>
          <cell r="E2722">
            <v>24.368427199999999</v>
          </cell>
        </row>
        <row r="2723">
          <cell r="A2723" t="str">
            <v>BMG455841020</v>
          </cell>
          <cell r="E2723">
            <v>115</v>
          </cell>
        </row>
        <row r="2724">
          <cell r="A2724" t="str">
            <v>GB00BMX86B70</v>
          </cell>
          <cell r="E2724">
            <v>4.4256074649999997</v>
          </cell>
        </row>
        <row r="2725">
          <cell r="A2725" t="str">
            <v>GB00B012TP20</v>
          </cell>
          <cell r="E2725">
            <v>1.611225122</v>
          </cell>
        </row>
        <row r="2726">
          <cell r="A2726" t="str">
            <v>NZHLGE0001S4</v>
          </cell>
          <cell r="E2726">
            <v>3.8949821039999999</v>
          </cell>
        </row>
        <row r="2727">
          <cell r="A2727" t="str">
            <v>US4062161017</v>
          </cell>
          <cell r="E2727">
            <v>18.758827650000001</v>
          </cell>
        </row>
        <row r="2728">
          <cell r="A2728" t="str">
            <v>GB0004052071</v>
          </cell>
          <cell r="E2728">
            <v>31.26571826</v>
          </cell>
        </row>
        <row r="2729">
          <cell r="A2729" t="str">
            <v>JP3773750009</v>
          </cell>
          <cell r="E2729">
            <v>27.05885</v>
          </cell>
        </row>
        <row r="2730">
          <cell r="A2730" t="str">
            <v>US40637H1095</v>
          </cell>
          <cell r="E2730">
            <v>54.096045100799998</v>
          </cell>
        </row>
        <row r="2731">
          <cell r="A2731" t="str">
            <v>JP3771150004</v>
          </cell>
          <cell r="E2731">
            <v>7.90427664</v>
          </cell>
        </row>
        <row r="2732">
          <cell r="A2732" t="str">
            <v>JP3771800004</v>
          </cell>
          <cell r="E2732">
            <v>7.4806123600000003</v>
          </cell>
        </row>
        <row r="2733">
          <cell r="A2733" t="str">
            <v>DE000A3H2333</v>
          </cell>
          <cell r="E2733">
            <v>6.05</v>
          </cell>
        </row>
        <row r="2734">
          <cell r="A2734" t="str">
            <v>GB00BMDXQ672</v>
          </cell>
          <cell r="E2734">
            <v>42.8</v>
          </cell>
        </row>
        <row r="2735">
          <cell r="A2735" t="str">
            <v>BMG427061046</v>
          </cell>
          <cell r="E2735">
            <v>16.3576977108</v>
          </cell>
        </row>
        <row r="2736">
          <cell r="A2736" t="str">
            <v>US4074971064</v>
          </cell>
          <cell r="E2736">
            <v>124.779307686</v>
          </cell>
        </row>
        <row r="2737">
          <cell r="A2737" t="str">
            <v>GB00BRJQ8J25</v>
          </cell>
          <cell r="E2737">
            <v>2.9184455040000001</v>
          </cell>
        </row>
        <row r="2738">
          <cell r="A2738" t="str">
            <v>CA4085491039</v>
          </cell>
          <cell r="E2738">
            <v>50.872739070999998</v>
          </cell>
        </row>
        <row r="2739">
          <cell r="A2739" t="str">
            <v>US4101201097</v>
          </cell>
          <cell r="E2739">
            <v>42.981991448400002</v>
          </cell>
        </row>
        <row r="2740">
          <cell r="A2740" t="str">
            <v>US4103451021</v>
          </cell>
          <cell r="E2740">
            <v>3.919491518400001</v>
          </cell>
        </row>
        <row r="2741">
          <cell r="A2741" t="str">
            <v>HK0010000088</v>
          </cell>
          <cell r="E2741">
            <v>1.1836475040000001</v>
          </cell>
        </row>
        <row r="2742">
          <cell r="A2742" t="str">
            <v>HK0101000591</v>
          </cell>
          <cell r="E2742">
            <v>0.69880727639999995</v>
          </cell>
        </row>
        <row r="2743">
          <cell r="A2743" t="str">
            <v>HK0011000095</v>
          </cell>
          <cell r="E2743">
            <v>11.295866804999999</v>
          </cell>
        </row>
        <row r="2744">
          <cell r="A2744" t="str">
            <v>JP3774200004</v>
          </cell>
          <cell r="E2744">
            <v>25.34563824</v>
          </cell>
        </row>
        <row r="2745">
          <cell r="A2745" t="str">
            <v>JP3046320002</v>
          </cell>
          <cell r="E2745">
            <v>891.24120800000003</v>
          </cell>
        </row>
        <row r="2746">
          <cell r="A2746" t="str">
            <v>US41068X1000</v>
          </cell>
          <cell r="E2746">
            <v>20.948093182800001</v>
          </cell>
        </row>
        <row r="2747">
          <cell r="A2747" t="str">
            <v>DE0008402215</v>
          </cell>
          <cell r="E2747">
            <v>275.60000000000002</v>
          </cell>
        </row>
        <row r="2748">
          <cell r="A2748" t="str">
            <v>US4108671052</v>
          </cell>
          <cell r="E2748">
            <v>141.06638392799999</v>
          </cell>
        </row>
        <row r="2749">
          <cell r="A2749" t="str">
            <v>SE0002148817</v>
          </cell>
          <cell r="E2749">
            <v>1.9001349312</v>
          </cell>
        </row>
        <row r="2750">
          <cell r="A2750" t="str">
            <v>AU000000HSN3</v>
          </cell>
          <cell r="E2750">
            <v>2.9031985607999999</v>
          </cell>
        </row>
        <row r="2751">
          <cell r="A2751" t="str">
            <v>JP3777800008</v>
          </cell>
          <cell r="E2751">
            <v>27.708262399999999</v>
          </cell>
        </row>
        <row r="2752">
          <cell r="A2752" t="str">
            <v>SE0005878543</v>
          </cell>
          <cell r="E2752">
            <v>6.4057579120000003</v>
          </cell>
        </row>
        <row r="2753">
          <cell r="A2753" t="str">
            <v>KYG4289V1086</v>
          </cell>
          <cell r="E2753">
            <v>5.0646455700000002E-2</v>
          </cell>
        </row>
        <row r="2754">
          <cell r="A2754" t="str">
            <v>DE000HLAG475</v>
          </cell>
          <cell r="E2754">
            <v>135.6</v>
          </cell>
        </row>
        <row r="2755">
          <cell r="A2755" t="str">
            <v>JP3770300006</v>
          </cell>
          <cell r="E2755">
            <v>31.790283200000001</v>
          </cell>
        </row>
        <row r="2756">
          <cell r="A2756" t="str">
            <v>GB00BMBVGQ36</v>
          </cell>
          <cell r="E2756">
            <v>1.82402844</v>
          </cell>
        </row>
        <row r="2757">
          <cell r="A2757" t="str">
            <v>IL0005850180</v>
          </cell>
          <cell r="E2757">
            <v>14.4492642</v>
          </cell>
        </row>
        <row r="2758">
          <cell r="A2758" t="str">
            <v>US4128221086</v>
          </cell>
          <cell r="E2758">
            <v>19.076624259599999</v>
          </cell>
        </row>
        <row r="2759">
          <cell r="A2759" t="str">
            <v>US4131601027</v>
          </cell>
          <cell r="E2759">
            <v>7.9713982907999998</v>
          </cell>
        </row>
        <row r="2760">
          <cell r="A2760" t="str">
            <v>JP3765150002</v>
          </cell>
          <cell r="E2760">
            <v>16.717730639999999</v>
          </cell>
        </row>
        <row r="2761">
          <cell r="A2761" t="str">
            <v>US4131971040</v>
          </cell>
          <cell r="E2761">
            <v>25.379590350000001</v>
          </cell>
        </row>
        <row r="2762">
          <cell r="A2762" t="str">
            <v>US4158581094</v>
          </cell>
          <cell r="E2762">
            <v>21.0010592844</v>
          </cell>
        </row>
        <row r="2763">
          <cell r="A2763" t="str">
            <v>US4165151048</v>
          </cell>
          <cell r="E2763">
            <v>103.4251410576</v>
          </cell>
        </row>
        <row r="2764">
          <cell r="A2764" t="str">
            <v>AU000000HVN7</v>
          </cell>
          <cell r="E2764">
            <v>2.8019241924</v>
          </cell>
        </row>
        <row r="2765">
          <cell r="A2765" t="str">
            <v>FI4000306873</v>
          </cell>
          <cell r="E2765">
            <v>40.1</v>
          </cell>
        </row>
        <row r="2766">
          <cell r="A2766" t="str">
            <v>US4180561072</v>
          </cell>
          <cell r="E2766">
            <v>46.336511216400012</v>
          </cell>
        </row>
        <row r="2767">
          <cell r="A2767" t="str">
            <v>JP3768600003</v>
          </cell>
          <cell r="E2767">
            <v>12.140919439999999</v>
          </cell>
        </row>
        <row r="2768">
          <cell r="A2768" t="str">
            <v>NO0010764053</v>
          </cell>
          <cell r="E2768">
            <v>12.920383488600001</v>
          </cell>
        </row>
        <row r="2769">
          <cell r="A2769" t="str">
            <v>FR0000066755</v>
          </cell>
          <cell r="E2769">
            <v>2.62</v>
          </cell>
        </row>
        <row r="2770">
          <cell r="A2770" t="str">
            <v>NO0010931918</v>
          </cell>
          <cell r="E2770">
            <v>0.58524385140000001</v>
          </cell>
        </row>
        <row r="2771">
          <cell r="A2771" t="str">
            <v>NL0015002AH0</v>
          </cell>
          <cell r="E2771">
            <v>1.39</v>
          </cell>
        </row>
        <row r="2772">
          <cell r="A2772" t="str">
            <v>NO0011045429</v>
          </cell>
          <cell r="E2772">
            <v>7.9866611059999995E-2</v>
          </cell>
        </row>
        <row r="2773">
          <cell r="A2773" t="str">
            <v>NO0010257728</v>
          </cell>
          <cell r="E2773">
            <v>0.1067111296</v>
          </cell>
        </row>
        <row r="2774">
          <cell r="A2774" t="str">
            <v>SG1D25001158</v>
          </cell>
          <cell r="E2774">
            <v>8.3587696934000011</v>
          </cell>
        </row>
        <row r="2775">
          <cell r="A2775" t="str">
            <v>US4198701009</v>
          </cell>
          <cell r="E2775">
            <v>9.1631355768000002</v>
          </cell>
        </row>
        <row r="2776">
          <cell r="A2776" t="str">
            <v>NL0010556726</v>
          </cell>
          <cell r="E2776">
            <v>1.9</v>
          </cell>
        </row>
        <row r="2777">
          <cell r="A2777" t="str">
            <v>US4202611095</v>
          </cell>
          <cell r="E2777">
            <v>107.47704783</v>
          </cell>
        </row>
        <row r="2778">
          <cell r="A2778" t="str">
            <v>SE0016829469</v>
          </cell>
          <cell r="E2778">
            <v>9.0508321059999997</v>
          </cell>
        </row>
        <row r="2779">
          <cell r="A2779" t="str">
            <v>GB0004161021</v>
          </cell>
          <cell r="E2779">
            <v>0.81672042649999987</v>
          </cell>
        </row>
        <row r="2780">
          <cell r="A2780" t="str">
            <v>US4212981009</v>
          </cell>
          <cell r="E2780">
            <v>10.6991525232</v>
          </cell>
        </row>
        <row r="2781">
          <cell r="A2781" t="str">
            <v>JP3767810009</v>
          </cell>
          <cell r="E2781">
            <v>8.29392408</v>
          </cell>
        </row>
        <row r="2782">
          <cell r="A2782" t="str">
            <v>KYG4403H1002</v>
          </cell>
          <cell r="E2782">
            <v>0.87180191159999998</v>
          </cell>
        </row>
        <row r="2783">
          <cell r="A2783" t="str">
            <v>US40412C1018</v>
          </cell>
          <cell r="E2783">
            <v>296.212923198</v>
          </cell>
        </row>
        <row r="2784">
          <cell r="A2784" t="str">
            <v>US40416E1038</v>
          </cell>
          <cell r="E2784">
            <v>130.62323422919999</v>
          </cell>
        </row>
        <row r="2785">
          <cell r="A2785" t="str">
            <v>FR0014003VY4</v>
          </cell>
          <cell r="E2785">
            <v>5.28</v>
          </cell>
        </row>
        <row r="2786">
          <cell r="A2786" t="str">
            <v>CA4220961078</v>
          </cell>
          <cell r="E2786">
            <v>3.4719136958000001</v>
          </cell>
        </row>
        <row r="2787">
          <cell r="A2787" t="str">
            <v>AU0000033359</v>
          </cell>
          <cell r="E2787">
            <v>0.76518411680000009</v>
          </cell>
        </row>
        <row r="2788">
          <cell r="A2788" t="str">
            <v>IT0005585861</v>
          </cell>
          <cell r="E2788">
            <v>103.5</v>
          </cell>
        </row>
        <row r="2789">
          <cell r="A2789" t="str">
            <v>JP3047910009</v>
          </cell>
          <cell r="E2789">
            <v>692.08807200000001</v>
          </cell>
        </row>
        <row r="2790">
          <cell r="A2790" t="str">
            <v>US42226K1051</v>
          </cell>
          <cell r="E2790">
            <v>13.859463251999999</v>
          </cell>
        </row>
        <row r="2791">
          <cell r="A2791" t="str">
            <v>US4219061086</v>
          </cell>
          <cell r="E2791">
            <v>8.5187146739999999</v>
          </cell>
        </row>
        <row r="2792">
          <cell r="A2792" t="str">
            <v>AU0000169302</v>
          </cell>
          <cell r="E2792">
            <v>0.46980054230000001</v>
          </cell>
        </row>
        <row r="2793">
          <cell r="A2793" t="str">
            <v>US42226A1079</v>
          </cell>
          <cell r="E2793">
            <v>73.296256930799998</v>
          </cell>
        </row>
        <row r="2794">
          <cell r="A2794" t="str">
            <v>US42250P1030</v>
          </cell>
          <cell r="E2794">
            <v>16.5695621172</v>
          </cell>
        </row>
        <row r="2795">
          <cell r="A2795" t="str">
            <v>NZHGHE0007S9</v>
          </cell>
          <cell r="E2795">
            <v>0.36646337000000001</v>
          </cell>
        </row>
        <row r="2796">
          <cell r="A2796" t="str">
            <v>SE0017911480</v>
          </cell>
          <cell r="E2796">
            <v>2.5101214289999998</v>
          </cell>
        </row>
        <row r="2797">
          <cell r="A2797" t="str">
            <v>US4227041062</v>
          </cell>
          <cell r="E2797">
            <v>5.1995056404</v>
          </cell>
        </row>
        <row r="2798">
          <cell r="A2798" t="str">
            <v>NO0011082075</v>
          </cell>
          <cell r="E2798">
            <v>6.2884535201000009</v>
          </cell>
        </row>
        <row r="2799">
          <cell r="A2799" t="str">
            <v>US4228061093</v>
          </cell>
          <cell r="E2799">
            <v>221.52189225839999</v>
          </cell>
        </row>
        <row r="2800">
          <cell r="A2800" t="str">
            <v>US4228062083</v>
          </cell>
          <cell r="E2800">
            <v>177.29519742240001</v>
          </cell>
        </row>
        <row r="2801">
          <cell r="A2801" t="str">
            <v>DE0006047004</v>
          </cell>
          <cell r="E2801">
            <v>165.7</v>
          </cell>
        </row>
        <row r="2802">
          <cell r="A2802" t="str">
            <v>NL0009269109</v>
          </cell>
          <cell r="E2802">
            <v>40.659999999999997</v>
          </cell>
        </row>
        <row r="2803">
          <cell r="A2803" t="str">
            <v>NL0000009165</v>
          </cell>
          <cell r="E2803">
            <v>75.14</v>
          </cell>
        </row>
        <row r="2804">
          <cell r="A2804" t="str">
            <v>NL0000008977</v>
          </cell>
          <cell r="E2804">
            <v>65.400000000000006</v>
          </cell>
        </row>
        <row r="2805">
          <cell r="A2805" t="str">
            <v>JP3834200002</v>
          </cell>
          <cell r="E2805">
            <v>13.4830384</v>
          </cell>
        </row>
        <row r="2806">
          <cell r="A2806" t="str">
            <v>JP3834800009</v>
          </cell>
          <cell r="E2806">
            <v>28.883389600000001</v>
          </cell>
        </row>
        <row r="2807">
          <cell r="A2807" t="str">
            <v>JP3046220004</v>
          </cell>
          <cell r="E2807">
            <v>794.75708000000009</v>
          </cell>
        </row>
        <row r="2808">
          <cell r="A2808" t="str">
            <v>JP3834400008</v>
          </cell>
          <cell r="E2808">
            <v>16.699176000000001</v>
          </cell>
        </row>
        <row r="2809">
          <cell r="A2809" t="str">
            <v>BMG4388N1065</v>
          </cell>
          <cell r="E2809">
            <v>28.813559270399999</v>
          </cell>
        </row>
        <row r="2810">
          <cell r="A2810" t="str">
            <v>AU0000251498</v>
          </cell>
          <cell r="E2810">
            <v>2.5206065024000002</v>
          </cell>
        </row>
        <row r="2811">
          <cell r="A2811" t="str">
            <v>US42328H1095</v>
          </cell>
          <cell r="E2811">
            <v>23.561087528400002</v>
          </cell>
        </row>
        <row r="2812">
          <cell r="A2812" t="str">
            <v>GB00BJVQC708</v>
          </cell>
          <cell r="E2812">
            <v>1.258111924</v>
          </cell>
        </row>
        <row r="2813">
          <cell r="A2813" t="str">
            <v>US42330P1075</v>
          </cell>
          <cell r="E2813">
            <v>5.6408898204</v>
          </cell>
        </row>
        <row r="2814">
          <cell r="A2814" t="str">
            <v>DE000A161408</v>
          </cell>
          <cell r="E2814">
            <v>8.0079999999999991</v>
          </cell>
        </row>
        <row r="2815">
          <cell r="A2815" t="str">
            <v>US4234521015</v>
          </cell>
          <cell r="E2815">
            <v>17.390536692000001</v>
          </cell>
        </row>
        <row r="2816">
          <cell r="A2816" t="str">
            <v>CH0466642201</v>
          </cell>
          <cell r="E2816">
            <v>193.9315412</v>
          </cell>
        </row>
        <row r="2817">
          <cell r="A2817" t="str">
            <v>SE0015671995</v>
          </cell>
          <cell r="E2817">
            <v>33.918128269999997</v>
          </cell>
        </row>
        <row r="2818">
          <cell r="A2818" t="str">
            <v>HK0012000102</v>
          </cell>
          <cell r="E2818">
            <v>2.3616043950000001</v>
          </cell>
        </row>
        <row r="2819">
          <cell r="A2819" t="str">
            <v>DE0006048432</v>
          </cell>
          <cell r="E2819">
            <v>67.94</v>
          </cell>
        </row>
        <row r="2820">
          <cell r="A2820" t="str">
            <v>SE0000106270</v>
          </cell>
          <cell r="E2820">
            <v>12.343679571999999</v>
          </cell>
        </row>
        <row r="2821">
          <cell r="A2821" t="str">
            <v>JP3835150008</v>
          </cell>
          <cell r="E2821">
            <v>10.13083344</v>
          </cell>
        </row>
        <row r="2822">
          <cell r="A2822" t="str">
            <v>US8064071025</v>
          </cell>
          <cell r="E2822">
            <v>56.744350180800012</v>
          </cell>
        </row>
        <row r="2823">
          <cell r="A2823" t="str">
            <v>DE000HAG0005</v>
          </cell>
          <cell r="E2823">
            <v>68.599999999999994</v>
          </cell>
        </row>
        <row r="2824">
          <cell r="A2824" t="str">
            <v>IT0001250932</v>
          </cell>
          <cell r="E2824">
            <v>3.9380000000000002</v>
          </cell>
        </row>
        <row r="2825">
          <cell r="A2825" t="str">
            <v>US42704L1044</v>
          </cell>
          <cell r="E2825">
            <v>103.81355913599999</v>
          </cell>
        </row>
        <row r="2826">
          <cell r="A2826" t="str">
            <v>FR0000066540</v>
          </cell>
          <cell r="E2826">
            <v>22.9</v>
          </cell>
        </row>
        <row r="2827">
          <cell r="A2827" t="str">
            <v>NO0013401380</v>
          </cell>
          <cell r="E2827">
            <v>0.875364735</v>
          </cell>
        </row>
        <row r="2828">
          <cell r="A2828" t="str">
            <v>FR0000052292</v>
          </cell>
          <cell r="E2828">
            <v>2355</v>
          </cell>
        </row>
        <row r="2829">
          <cell r="A2829" t="str">
            <v>US4278661081</v>
          </cell>
          <cell r="E2829">
            <v>148.26094606199999</v>
          </cell>
        </row>
        <row r="2830">
          <cell r="A2830" t="str">
            <v>US42806J7000</v>
          </cell>
          <cell r="E2830">
            <v>3.2221045140000002</v>
          </cell>
        </row>
        <row r="2831">
          <cell r="A2831" t="str">
            <v>US42809H1077</v>
          </cell>
          <cell r="E2831">
            <v>112.2969630756</v>
          </cell>
        </row>
        <row r="2832">
          <cell r="A2832" t="str">
            <v>US42824C1099</v>
          </cell>
          <cell r="E2832">
            <v>13.2503530836</v>
          </cell>
        </row>
        <row r="2833">
          <cell r="A2833" t="str">
            <v>SE0015961909</v>
          </cell>
          <cell r="E2833">
            <v>8.1601438569999996</v>
          </cell>
        </row>
        <row r="2834">
          <cell r="A2834" t="str">
            <v>NO0003067902</v>
          </cell>
          <cell r="E2834">
            <v>1.6715298034999999</v>
          </cell>
        </row>
        <row r="2835">
          <cell r="A2835" t="str">
            <v>NO0010904923</v>
          </cell>
          <cell r="E2835">
            <v>0.15481450598999999</v>
          </cell>
        </row>
        <row r="2836">
          <cell r="A2836" t="str">
            <v>FR0004159473</v>
          </cell>
          <cell r="E2836">
            <v>24.09</v>
          </cell>
        </row>
        <row r="2837">
          <cell r="A2837" t="str">
            <v>SE0018040677</v>
          </cell>
          <cell r="E2837">
            <v>2.447143472</v>
          </cell>
        </row>
        <row r="2838">
          <cell r="A2838" t="str">
            <v>US4282911084</v>
          </cell>
          <cell r="E2838">
            <v>46.080508392000013</v>
          </cell>
        </row>
        <row r="2839">
          <cell r="A2839" t="str">
            <v>SE0007074281</v>
          </cell>
          <cell r="E2839">
            <v>7.6023390949999996</v>
          </cell>
        </row>
        <row r="2840">
          <cell r="A2840" t="str">
            <v>FR0000038531</v>
          </cell>
          <cell r="E2840">
            <v>4.9989999999999997</v>
          </cell>
        </row>
        <row r="2841">
          <cell r="A2841" t="str">
            <v>US4039491000</v>
          </cell>
          <cell r="E2841">
            <v>24.196680747599999</v>
          </cell>
        </row>
        <row r="2842">
          <cell r="A2842" t="str">
            <v>IT0004674666</v>
          </cell>
          <cell r="E2842">
            <v>0.14199999999999999</v>
          </cell>
        </row>
        <row r="2843">
          <cell r="A2843" t="str">
            <v>FI4000571013</v>
          </cell>
          <cell r="E2843">
            <v>38.54</v>
          </cell>
        </row>
        <row r="2844">
          <cell r="A2844" t="str">
            <v>JP3793400007</v>
          </cell>
          <cell r="E2844">
            <v>19.018505999999999</v>
          </cell>
        </row>
        <row r="2845">
          <cell r="A2845" t="str">
            <v>JP3765180009</v>
          </cell>
          <cell r="E2845">
            <v>18.771110799999999</v>
          </cell>
        </row>
        <row r="2846">
          <cell r="A2846" t="str">
            <v>FR0000054231</v>
          </cell>
          <cell r="E2846">
            <v>3.06</v>
          </cell>
        </row>
        <row r="2847">
          <cell r="A2847" t="str">
            <v>IT0005450694</v>
          </cell>
          <cell r="E2847">
            <v>0.53600000000000003</v>
          </cell>
        </row>
        <row r="2848">
          <cell r="A2848" t="str">
            <v>TW0002542008</v>
          </cell>
          <cell r="E2848">
            <v>1.11402289</v>
          </cell>
        </row>
        <row r="2849">
          <cell r="A2849" t="str">
            <v>US4312841087</v>
          </cell>
          <cell r="E2849">
            <v>24.258474532800001</v>
          </cell>
        </row>
        <row r="2850">
          <cell r="A2850" t="str">
            <v>JP3783420007</v>
          </cell>
          <cell r="E2850">
            <v>239.5404024</v>
          </cell>
        </row>
        <row r="2851">
          <cell r="A2851" t="str">
            <v>GB00B0LCW083</v>
          </cell>
          <cell r="E2851">
            <v>22.297578430000002</v>
          </cell>
        </row>
        <row r="2852">
          <cell r="A2852" t="str">
            <v>IL0010846983</v>
          </cell>
          <cell r="E2852">
            <v>56.860974900000002</v>
          </cell>
        </row>
        <row r="2853">
          <cell r="A2853" t="str">
            <v>JP3699600007</v>
          </cell>
          <cell r="E2853">
            <v>8.64646224</v>
          </cell>
        </row>
        <row r="2854">
          <cell r="A2854" t="str">
            <v>GB0004270301</v>
          </cell>
          <cell r="E2854">
            <v>19.970772920000002</v>
          </cell>
        </row>
        <row r="2855">
          <cell r="A2855" t="str">
            <v>US4315711089</v>
          </cell>
          <cell r="E2855">
            <v>18.467514091200002</v>
          </cell>
        </row>
        <row r="2856">
          <cell r="A2856" t="str">
            <v>US4316361090</v>
          </cell>
          <cell r="E2856">
            <v>6.9915254111999996</v>
          </cell>
        </row>
        <row r="2857">
          <cell r="A2857" t="str">
            <v>US4327481010</v>
          </cell>
          <cell r="E2857">
            <v>25.388418033600001</v>
          </cell>
        </row>
        <row r="2858">
          <cell r="A2858" t="str">
            <v>GB00B1V9NW54</v>
          </cell>
          <cell r="E2858">
            <v>10.429701079999999</v>
          </cell>
        </row>
        <row r="2859">
          <cell r="A2859" t="str">
            <v>US43283X1054</v>
          </cell>
          <cell r="E2859">
            <v>29.219632716</v>
          </cell>
        </row>
        <row r="2860">
          <cell r="A2860" t="str">
            <v>US43300A2033</v>
          </cell>
          <cell r="E2860">
            <v>186.5466098352</v>
          </cell>
        </row>
        <row r="2861">
          <cell r="A2861" t="str">
            <v>BMG4660A1036</v>
          </cell>
          <cell r="E2861">
            <v>4.1392246755000004</v>
          </cell>
        </row>
        <row r="2862">
          <cell r="A2862" t="str">
            <v>BMG4660A1036</v>
          </cell>
          <cell r="E2862">
            <v>4.1392246755000004</v>
          </cell>
        </row>
        <row r="2863">
          <cell r="A2863" t="str">
            <v>US4330001060</v>
          </cell>
          <cell r="E2863">
            <v>26.006355885600001</v>
          </cell>
        </row>
        <row r="2864">
          <cell r="A2864" t="str">
            <v>JP3792600003</v>
          </cell>
          <cell r="E2864">
            <v>2.56363276</v>
          </cell>
        </row>
        <row r="2865">
          <cell r="A2865" t="str">
            <v>JP3783200003</v>
          </cell>
          <cell r="E2865">
            <v>39.335836800000003</v>
          </cell>
        </row>
        <row r="2866">
          <cell r="A2866" t="str">
            <v>FR0012821916</v>
          </cell>
          <cell r="E2866">
            <v>8.6750000000000007</v>
          </cell>
        </row>
        <row r="2867">
          <cell r="A2867" t="str">
            <v>IL0011849853</v>
          </cell>
          <cell r="E2867">
            <v>3.6627204600000001</v>
          </cell>
        </row>
        <row r="2868">
          <cell r="A2868" t="str">
            <v>JP3795300007</v>
          </cell>
          <cell r="E2868">
            <v>8.2320752800000001</v>
          </cell>
        </row>
        <row r="2869">
          <cell r="A2869" t="str">
            <v>JP3796150005</v>
          </cell>
          <cell r="E2869">
            <v>6.6054518400000006</v>
          </cell>
        </row>
        <row r="2870">
          <cell r="A2870" t="str">
            <v>JP3799000009</v>
          </cell>
          <cell r="E2870">
            <v>94.164798000000005</v>
          </cell>
        </row>
        <row r="2871">
          <cell r="A2871" t="str">
            <v>JP3784200002</v>
          </cell>
          <cell r="E2871">
            <v>5.7210140000000003</v>
          </cell>
        </row>
        <row r="2872">
          <cell r="A2872" t="str">
            <v>JP3784600003</v>
          </cell>
          <cell r="E2872">
            <v>27.355724240000001</v>
          </cell>
        </row>
        <row r="2873">
          <cell r="A2873" t="str">
            <v>JP3160740001</v>
          </cell>
          <cell r="E2873">
            <v>10.02569048</v>
          </cell>
        </row>
        <row r="2874">
          <cell r="A2874" t="str">
            <v>BMG4593F1389</v>
          </cell>
          <cell r="E2874">
            <v>13.53990342</v>
          </cell>
        </row>
        <row r="2875">
          <cell r="A2875" t="str">
            <v>JP3788600009</v>
          </cell>
          <cell r="E2875">
            <v>20.38536448</v>
          </cell>
        </row>
        <row r="2876">
          <cell r="A2876" t="str">
            <v>JP3787000003</v>
          </cell>
          <cell r="E2876">
            <v>24.139586640000001</v>
          </cell>
        </row>
        <row r="2877">
          <cell r="A2877" t="str">
            <v>JP3789000001</v>
          </cell>
          <cell r="E2877">
            <v>5.2014840800000002</v>
          </cell>
        </row>
        <row r="2878">
          <cell r="A2878" t="str">
            <v>FR0010396309</v>
          </cell>
          <cell r="E2878">
            <v>15.6</v>
          </cell>
        </row>
        <row r="2879">
          <cell r="A2879" t="str">
            <v>HK0000179108</v>
          </cell>
          <cell r="E2879">
            <v>0.59068562940000002</v>
          </cell>
        </row>
        <row r="2880">
          <cell r="A2880" t="str">
            <v>KYG451581055</v>
          </cell>
          <cell r="E2880">
            <v>0.5804425259999999</v>
          </cell>
        </row>
        <row r="2881">
          <cell r="A2881" t="str">
            <v>HK0000093390</v>
          </cell>
          <cell r="E2881">
            <v>1.2064099559999999</v>
          </cell>
        </row>
        <row r="2882">
          <cell r="A2882" t="str">
            <v>AU0000058943</v>
          </cell>
          <cell r="E2882">
            <v>2.5993754556000002</v>
          </cell>
        </row>
        <row r="2883">
          <cell r="A2883" t="str">
            <v>SE0009997018</v>
          </cell>
          <cell r="E2883">
            <v>33.702203846000003</v>
          </cell>
        </row>
        <row r="2884">
          <cell r="A2884" t="str">
            <v>US4042511000</v>
          </cell>
          <cell r="E2884">
            <v>36.837923662800002</v>
          </cell>
        </row>
        <row r="2885">
          <cell r="A2885" t="str">
            <v>JP3837400005</v>
          </cell>
          <cell r="E2885">
            <v>14.256148400000001</v>
          </cell>
        </row>
        <row r="2886">
          <cell r="A2886" t="str">
            <v>GB00B1FW5029</v>
          </cell>
          <cell r="E2886">
            <v>3.5498399639999998</v>
          </cell>
        </row>
        <row r="2887">
          <cell r="A2887" t="str">
            <v>DE0006070006</v>
          </cell>
          <cell r="E2887">
            <v>159.4</v>
          </cell>
        </row>
        <row r="2888">
          <cell r="A2888" t="str">
            <v>NO0010012636</v>
          </cell>
          <cell r="E2888">
            <v>13.5873280486</v>
          </cell>
        </row>
        <row r="2889">
          <cell r="A2889" t="str">
            <v>FR0013451044</v>
          </cell>
          <cell r="E2889">
            <v>4.87</v>
          </cell>
        </row>
        <row r="2890">
          <cell r="A2890" t="str">
            <v>NO0010598683</v>
          </cell>
          <cell r="E2890">
            <v>0.17507294700000001</v>
          </cell>
        </row>
        <row r="2891">
          <cell r="A2891" t="str">
            <v>JP3840800001</v>
          </cell>
          <cell r="E2891">
            <v>25.141537199999998</v>
          </cell>
        </row>
        <row r="2892">
          <cell r="A2892" t="str">
            <v>SE0006887063</v>
          </cell>
          <cell r="E2892">
            <v>6.9230768445000006</v>
          </cell>
        </row>
        <row r="2893">
          <cell r="A2893" t="str">
            <v>JP3850200001</v>
          </cell>
          <cell r="E2893">
            <v>4.0789283599999999</v>
          </cell>
        </row>
        <row r="2894">
          <cell r="A2894" t="str">
            <v>JP3847000001</v>
          </cell>
          <cell r="E2894">
            <v>3.1481039200000001</v>
          </cell>
        </row>
        <row r="2895">
          <cell r="A2895" t="str">
            <v>JP3851000004</v>
          </cell>
          <cell r="E2895">
            <v>6.9641748799999998</v>
          </cell>
        </row>
        <row r="2896">
          <cell r="A2896" t="str">
            <v>JP3851600001</v>
          </cell>
          <cell r="E2896">
            <v>30.924399999999999</v>
          </cell>
        </row>
        <row r="2897">
          <cell r="A2897" t="str">
            <v>JP3841800000</v>
          </cell>
          <cell r="E2897">
            <v>6.8157377600000002</v>
          </cell>
        </row>
        <row r="2898">
          <cell r="A2898" t="str">
            <v>JP3841400009</v>
          </cell>
          <cell r="E2898">
            <v>11.35543968</v>
          </cell>
        </row>
        <row r="2899">
          <cell r="A2899" t="str">
            <v>JP3842400008</v>
          </cell>
          <cell r="E2899">
            <v>13.81702192</v>
          </cell>
        </row>
        <row r="2900">
          <cell r="A2900" t="str">
            <v>JP3845400005</v>
          </cell>
          <cell r="E2900">
            <v>4.6231977999999998</v>
          </cell>
        </row>
        <row r="2901">
          <cell r="A2901" t="str">
            <v>JP3843250006</v>
          </cell>
          <cell r="E2901">
            <v>11.33688504</v>
          </cell>
        </row>
        <row r="2902">
          <cell r="A2902" t="str">
            <v>CH0012214059</v>
          </cell>
          <cell r="E2902">
            <v>96.20991269999999</v>
          </cell>
        </row>
        <row r="2903">
          <cell r="A2903" t="str">
            <v>NL0000440311</v>
          </cell>
          <cell r="E2903">
            <v>88.5</v>
          </cell>
        </row>
        <row r="2904">
          <cell r="A2904" t="str">
            <v>GB00BD0NVK62</v>
          </cell>
          <cell r="E2904">
            <v>3.1102023399999998</v>
          </cell>
        </row>
        <row r="2905">
          <cell r="A2905" t="str">
            <v>SE0011090018</v>
          </cell>
          <cell r="E2905">
            <v>33.630229038000003</v>
          </cell>
        </row>
        <row r="2906">
          <cell r="A2906" t="str">
            <v>IL0011425878</v>
          </cell>
          <cell r="E2906">
            <v>1.5850986840000001</v>
          </cell>
        </row>
        <row r="2907">
          <cell r="A2907" t="str">
            <v>US4364401012</v>
          </cell>
          <cell r="E2907">
            <v>51.076977309599997</v>
          </cell>
        </row>
        <row r="2908">
          <cell r="A2908" t="str">
            <v>US4368932004</v>
          </cell>
          <cell r="E2908">
            <v>23.040254195999999</v>
          </cell>
        </row>
        <row r="2909">
          <cell r="A2909" t="str">
            <v>US4370761029</v>
          </cell>
          <cell r="E2909">
            <v>312.59710395960002</v>
          </cell>
        </row>
        <row r="2910">
          <cell r="A2910" t="str">
            <v>BE0974409410</v>
          </cell>
          <cell r="E2910">
            <v>19.2</v>
          </cell>
        </row>
        <row r="2911">
          <cell r="A2911" t="str">
            <v>GB00BJP5HK17</v>
          </cell>
          <cell r="E2911">
            <v>0.44489924450000001</v>
          </cell>
        </row>
        <row r="2912">
          <cell r="A2912" t="str">
            <v>AU0000113136</v>
          </cell>
          <cell r="E2912">
            <v>0.66390974839999994</v>
          </cell>
        </row>
        <row r="2913">
          <cell r="A2913" t="str">
            <v>IT0005468662</v>
          </cell>
          <cell r="E2913">
            <v>3.88</v>
          </cell>
        </row>
        <row r="2914">
          <cell r="A2914" t="str">
            <v>JP3854600008</v>
          </cell>
          <cell r="E2914">
            <v>8.4547309600000009</v>
          </cell>
        </row>
        <row r="2915">
          <cell r="A2915" t="str">
            <v>JP3770080004</v>
          </cell>
          <cell r="E2915">
            <v>9.8958080000000006</v>
          </cell>
        </row>
        <row r="2916">
          <cell r="A2916" t="str">
            <v>US4385161066</v>
          </cell>
          <cell r="E2916">
            <v>175.5031776516</v>
          </cell>
        </row>
        <row r="2917">
          <cell r="A2917" t="str">
            <v>SG1J14885763</v>
          </cell>
          <cell r="E2917">
            <v>0.4628853201</v>
          </cell>
        </row>
        <row r="2918">
          <cell r="A2918" t="str">
            <v>HK0388045442</v>
          </cell>
          <cell r="E2918">
            <v>37.375946184</v>
          </cell>
        </row>
        <row r="2919">
          <cell r="A2919" t="str">
            <v>BMG4587L1090</v>
          </cell>
          <cell r="E2919">
            <v>3.5928672252</v>
          </cell>
        </row>
        <row r="2920">
          <cell r="A2920" t="str">
            <v>JP3802060008</v>
          </cell>
          <cell r="E2920">
            <v>7.0322085599999999</v>
          </cell>
        </row>
        <row r="2921">
          <cell r="A2921" t="str">
            <v>US43940T1097</v>
          </cell>
          <cell r="E2921">
            <v>8.3333333183999994</v>
          </cell>
        </row>
        <row r="2922">
          <cell r="A2922" t="str">
            <v>FR0014000U63</v>
          </cell>
          <cell r="E2922">
            <v>1.1999999999999999E-3</v>
          </cell>
        </row>
        <row r="2923">
          <cell r="A2923" t="str">
            <v>FR0000065278</v>
          </cell>
          <cell r="E2923">
            <v>16.97</v>
          </cell>
        </row>
        <row r="2924">
          <cell r="A2924" t="str">
            <v>US4403271046</v>
          </cell>
          <cell r="E2924">
            <v>35.972810670000001</v>
          </cell>
        </row>
        <row r="2925">
          <cell r="A2925" t="str">
            <v>JP3853000002</v>
          </cell>
          <cell r="E2925">
            <v>57.315282959999998</v>
          </cell>
        </row>
        <row r="2926">
          <cell r="A2926" t="str">
            <v>NO0010917339</v>
          </cell>
          <cell r="E2926">
            <v>0.1050437682</v>
          </cell>
        </row>
        <row r="2927">
          <cell r="A2927" t="str">
            <v>US4404521001</v>
          </cell>
          <cell r="E2927">
            <v>26.818502776799999</v>
          </cell>
        </row>
        <row r="2928">
          <cell r="A2928" t="str">
            <v>DE0006083405</v>
          </cell>
          <cell r="E2928">
            <v>92.1</v>
          </cell>
        </row>
        <row r="2929">
          <cell r="A2929" t="str">
            <v>JP3047610005</v>
          </cell>
          <cell r="E2929">
            <v>1270.9928399999999</v>
          </cell>
        </row>
        <row r="2930">
          <cell r="A2930" t="str">
            <v>JP3845770001</v>
          </cell>
          <cell r="E2930">
            <v>37.486557679999997</v>
          </cell>
        </row>
        <row r="2931">
          <cell r="A2931" t="str">
            <v>JP3845800006</v>
          </cell>
          <cell r="E2931">
            <v>10.978161999999999</v>
          </cell>
        </row>
        <row r="2932">
          <cell r="A2932" t="str">
            <v>JP3846000002</v>
          </cell>
          <cell r="E2932">
            <v>22.914980400000001</v>
          </cell>
        </row>
        <row r="2933">
          <cell r="A2933" t="str">
            <v>US44107P1049</v>
          </cell>
          <cell r="E2933">
            <v>11.996822012399999</v>
          </cell>
        </row>
        <row r="2934">
          <cell r="A2934" t="str">
            <v>GB00BYYN4225</v>
          </cell>
          <cell r="E2934">
            <v>1.75</v>
          </cell>
        </row>
        <row r="2935">
          <cell r="A2935" t="str">
            <v>FR0004165801</v>
          </cell>
          <cell r="E2935">
            <v>1.58</v>
          </cell>
        </row>
        <row r="2936">
          <cell r="A2936" t="str">
            <v>JP3851950000</v>
          </cell>
          <cell r="E2936">
            <v>13.14287</v>
          </cell>
        </row>
        <row r="2937">
          <cell r="A2937" t="str">
            <v>US4415931009</v>
          </cell>
          <cell r="E2937">
            <v>135.96398280720001</v>
          </cell>
        </row>
        <row r="2938">
          <cell r="A2938" t="str">
            <v>JP3765400001</v>
          </cell>
          <cell r="E2938">
            <v>17.314571560000001</v>
          </cell>
        </row>
        <row r="2939">
          <cell r="A2939" t="str">
            <v>US4424874018</v>
          </cell>
          <cell r="E2939">
            <v>84.472104368399997</v>
          </cell>
        </row>
        <row r="2940">
          <cell r="A2940" t="str">
            <v>US44267T1025</v>
          </cell>
          <cell r="E2940">
            <v>58.1832626076</v>
          </cell>
        </row>
        <row r="2941">
          <cell r="A2941" t="str">
            <v>GB0005576813</v>
          </cell>
          <cell r="E2941">
            <v>8.5004402300000006</v>
          </cell>
        </row>
        <row r="2942">
          <cell r="A2942" t="str">
            <v>US4432011082</v>
          </cell>
          <cell r="E2942">
            <v>109.87817776919999</v>
          </cell>
        </row>
        <row r="2943">
          <cell r="A2943" t="str">
            <v>JP3837800006</v>
          </cell>
          <cell r="E2943">
            <v>96.978918399999998</v>
          </cell>
        </row>
        <row r="2944">
          <cell r="A2944" t="str">
            <v>US40434L1052</v>
          </cell>
          <cell r="E2944">
            <v>20.956920866400001</v>
          </cell>
        </row>
        <row r="2945">
          <cell r="A2945" t="str">
            <v>GB0005405286</v>
          </cell>
          <cell r="E2945">
            <v>9.161065915</v>
          </cell>
        </row>
        <row r="2946">
          <cell r="A2946" t="str">
            <v>US4433201062</v>
          </cell>
          <cell r="E2946">
            <v>28.866525372000009</v>
          </cell>
        </row>
        <row r="2947">
          <cell r="A2947" t="str">
            <v>AU000000HUB4</v>
          </cell>
          <cell r="E2947">
            <v>36.830111974799998</v>
          </cell>
        </row>
        <row r="2948">
          <cell r="A2948" t="str">
            <v>US4435106079</v>
          </cell>
          <cell r="E2948">
            <v>305.95868589240001</v>
          </cell>
        </row>
        <row r="2949">
          <cell r="A2949" t="str">
            <v>CH0030380734</v>
          </cell>
          <cell r="E2949">
            <v>72.886297499999998</v>
          </cell>
        </row>
        <row r="2950">
          <cell r="A2950" t="str">
            <v>US4435731009</v>
          </cell>
          <cell r="E2950">
            <v>483.03319122480002</v>
          </cell>
        </row>
        <row r="2951">
          <cell r="A2951" t="str">
            <v>CA4436281022</v>
          </cell>
          <cell r="E2951">
            <v>6.2392891462</v>
          </cell>
        </row>
        <row r="2952">
          <cell r="A2952" t="str">
            <v>NO0010859648</v>
          </cell>
          <cell r="E2952">
            <v>9.1704877000000004E-2</v>
          </cell>
        </row>
        <row r="2953">
          <cell r="A2953" t="str">
            <v>NO0013470534</v>
          </cell>
          <cell r="E2953">
            <v>1.2546894534999999</v>
          </cell>
        </row>
        <row r="2954">
          <cell r="A2954" t="str">
            <v>US4440971095</v>
          </cell>
          <cell r="E2954">
            <v>1.9862288100000001</v>
          </cell>
        </row>
        <row r="2955">
          <cell r="A2955" t="str">
            <v>SE0000170375</v>
          </cell>
          <cell r="E2955">
            <v>10.202429034</v>
          </cell>
        </row>
        <row r="2956">
          <cell r="A2956" t="str">
            <v>DE000A1PHFF7</v>
          </cell>
          <cell r="E2956">
            <v>33.75</v>
          </cell>
        </row>
        <row r="2957">
          <cell r="A2957" t="str">
            <v>JP3822000000</v>
          </cell>
          <cell r="E2957">
            <v>16.244587320000001</v>
          </cell>
        </row>
        <row r="2958">
          <cell r="A2958" t="str">
            <v>FI0009000459</v>
          </cell>
          <cell r="E2958">
            <v>32.68</v>
          </cell>
        </row>
        <row r="2959">
          <cell r="A2959" t="str">
            <v>JP3360800001</v>
          </cell>
          <cell r="E2959">
            <v>8.8753028</v>
          </cell>
        </row>
        <row r="2960">
          <cell r="A2960" t="str">
            <v>JP3047660000</v>
          </cell>
          <cell r="E2960">
            <v>901.75550400000009</v>
          </cell>
        </row>
        <row r="2961">
          <cell r="A2961" t="str">
            <v>US4448591028</v>
          </cell>
          <cell r="E2961">
            <v>253.16031028079999</v>
          </cell>
        </row>
        <row r="2962">
          <cell r="A2962" t="str">
            <v>SE0006261046</v>
          </cell>
          <cell r="E2962">
            <v>0.7746288711</v>
          </cell>
        </row>
        <row r="2963">
          <cell r="A2963" t="str">
            <v>NO0012953720</v>
          </cell>
          <cell r="E2963">
            <v>6.8361817399999997E-2</v>
          </cell>
        </row>
        <row r="2964">
          <cell r="A2964" t="str">
            <v>GB0004478896</v>
          </cell>
          <cell r="E2964">
            <v>3.045893645</v>
          </cell>
        </row>
        <row r="2965">
          <cell r="A2965" t="str">
            <v>US4461501045</v>
          </cell>
          <cell r="E2965">
            <v>11.829096024</v>
          </cell>
        </row>
        <row r="2966">
          <cell r="A2966" t="str">
            <v>US4464131063</v>
          </cell>
          <cell r="E2966">
            <v>192.4258471128</v>
          </cell>
        </row>
        <row r="2967">
          <cell r="A2967" t="str">
            <v>US4470111075</v>
          </cell>
          <cell r="E2967">
            <v>11.564265516000001</v>
          </cell>
        </row>
        <row r="2968">
          <cell r="A2968" t="str">
            <v>FR0014007LQ2</v>
          </cell>
          <cell r="E2968">
            <v>9.8000000000000007</v>
          </cell>
        </row>
        <row r="2969">
          <cell r="A2969" t="str">
            <v>US4474621020</v>
          </cell>
          <cell r="E2969">
            <v>125.684145255</v>
          </cell>
        </row>
        <row r="2970">
          <cell r="A2970" t="str">
            <v>SE0001662230</v>
          </cell>
          <cell r="E2970">
            <v>4.1115609070000003</v>
          </cell>
        </row>
        <row r="2971">
          <cell r="A2971" t="str">
            <v>US44812J1043</v>
          </cell>
          <cell r="E2971">
            <v>10.1301174744</v>
          </cell>
        </row>
        <row r="2972">
          <cell r="A2972" t="str">
            <v>US44812J1043</v>
          </cell>
          <cell r="E2972">
            <v>10.0900423548</v>
          </cell>
        </row>
        <row r="2973">
          <cell r="A2973" t="str">
            <v>SG2D00968206</v>
          </cell>
          <cell r="E2973">
            <v>0.1235875704</v>
          </cell>
        </row>
        <row r="2974">
          <cell r="A2974" t="str">
            <v>GB00B9275X97</v>
          </cell>
          <cell r="E2974">
            <v>0.31</v>
          </cell>
        </row>
        <row r="2975">
          <cell r="A2975" t="str">
            <v>JP3793800008</v>
          </cell>
          <cell r="E2975">
            <v>3.90265928</v>
          </cell>
        </row>
        <row r="2976">
          <cell r="A2976" t="str">
            <v>JP3794200000</v>
          </cell>
          <cell r="E2976">
            <v>18.616488799999999</v>
          </cell>
        </row>
        <row r="2977">
          <cell r="A2977" t="str">
            <v>US4485791028</v>
          </cell>
          <cell r="E2977">
            <v>95.753884009200007</v>
          </cell>
        </row>
        <row r="2978">
          <cell r="A2978" t="str">
            <v>GB00BYN5BY03</v>
          </cell>
          <cell r="E2978">
            <v>3.5</v>
          </cell>
        </row>
        <row r="2979">
          <cell r="A2979" t="str">
            <v>NL0009391242</v>
          </cell>
          <cell r="E2979">
            <v>161</v>
          </cell>
        </row>
        <row r="2980">
          <cell r="A2980" t="str">
            <v>CA4488112083</v>
          </cell>
          <cell r="E2980">
            <v>31.583624406399998</v>
          </cell>
        </row>
        <row r="2981">
          <cell r="A2981" t="str">
            <v>FR0014001PM5</v>
          </cell>
          <cell r="E2981">
            <v>2.95</v>
          </cell>
        </row>
        <row r="2982">
          <cell r="A2982" t="str">
            <v>NO0010892359</v>
          </cell>
          <cell r="E2982">
            <v>0.35306377644999998</v>
          </cell>
        </row>
        <row r="2983">
          <cell r="A2983" t="str">
            <v>BE0974363955</v>
          </cell>
          <cell r="E2983">
            <v>6.5780000000000003</v>
          </cell>
        </row>
        <row r="2984">
          <cell r="A2984" t="str">
            <v>NO0010920945</v>
          </cell>
          <cell r="E2984">
            <v>5.8190912859999999E-3</v>
          </cell>
        </row>
        <row r="2985">
          <cell r="A2985" t="str">
            <v>DE0005493365</v>
          </cell>
          <cell r="E2985">
            <v>187</v>
          </cell>
        </row>
        <row r="2986">
          <cell r="A2986" t="str">
            <v>HK0014000126</v>
          </cell>
          <cell r="E2986">
            <v>1.3748521008000001</v>
          </cell>
        </row>
        <row r="2987">
          <cell r="A2987" t="str">
            <v>US4491721050</v>
          </cell>
          <cell r="E2987">
            <v>33.651129883199999</v>
          </cell>
        </row>
        <row r="2988">
          <cell r="A2988" t="str">
            <v>FR0014005IU4</v>
          </cell>
          <cell r="E2988">
            <v>0.40200000000000002</v>
          </cell>
        </row>
        <row r="2989">
          <cell r="A2989" t="str">
            <v>IT0001214433</v>
          </cell>
          <cell r="E2989">
            <v>9.9</v>
          </cell>
        </row>
        <row r="2990">
          <cell r="A2990" t="str">
            <v>IT0005549255</v>
          </cell>
          <cell r="E2990">
            <v>1.37</v>
          </cell>
        </row>
        <row r="2991">
          <cell r="A2991" t="str">
            <v>FR0005854700</v>
          </cell>
          <cell r="E2991">
            <v>7.7</v>
          </cell>
        </row>
        <row r="2992">
          <cell r="A2992" t="str">
            <v>CA45075E1043</v>
          </cell>
          <cell r="E2992">
            <v>80.4569981864</v>
          </cell>
        </row>
        <row r="2993">
          <cell r="A2993" t="str">
            <v>US44891N2080</v>
          </cell>
          <cell r="E2993">
            <v>29.811087517200001</v>
          </cell>
        </row>
        <row r="2994">
          <cell r="A2994" t="str">
            <v>CA4509131088</v>
          </cell>
          <cell r="E2994">
            <v>6.5947318645999999</v>
          </cell>
        </row>
        <row r="2995">
          <cell r="A2995" t="str">
            <v>SE0005851706</v>
          </cell>
          <cell r="E2995">
            <v>9.9505172059999989</v>
          </cell>
        </row>
        <row r="2996">
          <cell r="A2996" t="str">
            <v>BE0003766806</v>
          </cell>
          <cell r="E2996">
            <v>9.9499999999999993</v>
          </cell>
        </row>
        <row r="2997">
          <cell r="A2997" t="str">
            <v>ES0144580Y14</v>
          </cell>
          <cell r="E2997">
            <v>15.185</v>
          </cell>
        </row>
        <row r="2998">
          <cell r="A2998" t="str">
            <v>PTIBS0AM0008</v>
          </cell>
          <cell r="E2998">
            <v>8.6199999999999992</v>
          </cell>
        </row>
        <row r="2999">
          <cell r="A2999" t="str">
            <v>JP3148800000</v>
          </cell>
          <cell r="E2999">
            <v>22.86550136</v>
          </cell>
        </row>
        <row r="3000">
          <cell r="A3000" t="str">
            <v>US4592001014</v>
          </cell>
          <cell r="E3000">
            <v>212.48234425199999</v>
          </cell>
        </row>
        <row r="3001">
          <cell r="A3001" t="str">
            <v>GB00BYXJC278</v>
          </cell>
          <cell r="E3001">
            <v>2.071909228</v>
          </cell>
        </row>
        <row r="3002">
          <cell r="A3002" t="str">
            <v>FR0000035081</v>
          </cell>
          <cell r="E3002">
            <v>20.48</v>
          </cell>
        </row>
        <row r="3003">
          <cell r="A3003" t="str">
            <v>US4511001012</v>
          </cell>
          <cell r="E3003">
            <v>7.4064265404000009</v>
          </cell>
        </row>
        <row r="3004">
          <cell r="A3004" t="str">
            <v>FR001400A3Q3</v>
          </cell>
          <cell r="E3004">
            <v>6.8</v>
          </cell>
        </row>
        <row r="3005">
          <cell r="A3005" t="str">
            <v>NO0010724701</v>
          </cell>
          <cell r="E3005">
            <v>8.6702792800000008</v>
          </cell>
        </row>
        <row r="3006">
          <cell r="A3006" t="str">
            <v>US44925C1036</v>
          </cell>
          <cell r="E3006">
            <v>71.362994222400005</v>
          </cell>
        </row>
        <row r="3007">
          <cell r="A3007" t="str">
            <v>JP3142150006</v>
          </cell>
          <cell r="E3007">
            <v>5.9745940800000001</v>
          </cell>
        </row>
        <row r="3008">
          <cell r="A3008" t="str">
            <v>JP3048160000</v>
          </cell>
          <cell r="E3008">
            <v>732.28979200000003</v>
          </cell>
        </row>
        <row r="3009">
          <cell r="A3009" t="str">
            <v>JP3120010008</v>
          </cell>
          <cell r="E3009">
            <v>2.3626241600000002</v>
          </cell>
        </row>
        <row r="3010">
          <cell r="A3010" t="str">
            <v>JP3046300004</v>
          </cell>
          <cell r="E3010">
            <v>523.85933599999998</v>
          </cell>
        </row>
        <row r="3011">
          <cell r="A3011" t="str">
            <v>JP3142100001</v>
          </cell>
          <cell r="E3011">
            <v>9.6855220800000001</v>
          </cell>
        </row>
        <row r="3012">
          <cell r="A3012" t="str">
            <v>JP3142300007</v>
          </cell>
          <cell r="E3012">
            <v>4.2799369600000006</v>
          </cell>
        </row>
        <row r="3013">
          <cell r="A3013" t="str">
            <v>KYG4740B1059</v>
          </cell>
          <cell r="E3013">
            <v>15.801553644</v>
          </cell>
        </row>
        <row r="3014">
          <cell r="A3014" t="str">
            <v>IL0002810146</v>
          </cell>
          <cell r="E3014">
            <v>5.5900890899999993</v>
          </cell>
        </row>
        <row r="3015">
          <cell r="A3015" t="str">
            <v>JP3101400004</v>
          </cell>
          <cell r="E3015">
            <v>16.179646080000001</v>
          </cell>
        </row>
        <row r="3016">
          <cell r="A3016" t="str">
            <v>IE0005711209</v>
          </cell>
          <cell r="E3016">
            <v>128.14706897939999</v>
          </cell>
        </row>
        <row r="3017">
          <cell r="A3017" t="str">
            <v>US44930G1076</v>
          </cell>
          <cell r="E3017">
            <v>123.2697737904</v>
          </cell>
        </row>
        <row r="3018">
          <cell r="A3018" t="str">
            <v>JP3153600006</v>
          </cell>
          <cell r="E3018">
            <v>11.806935920000001</v>
          </cell>
        </row>
        <row r="3019">
          <cell r="A3019" t="str">
            <v>FR0010929125</v>
          </cell>
          <cell r="E3019">
            <v>361</v>
          </cell>
        </row>
        <row r="3020">
          <cell r="A3020" t="str">
            <v>US4511071064</v>
          </cell>
          <cell r="E3020">
            <v>105.49964670360001</v>
          </cell>
        </row>
        <row r="3021">
          <cell r="A3021" t="str">
            <v>US45166A1025</v>
          </cell>
          <cell r="E3021">
            <v>14.989406752800001</v>
          </cell>
        </row>
        <row r="3022">
          <cell r="A3022" t="str">
            <v>JP3138800002</v>
          </cell>
          <cell r="E3022">
            <v>13.6376604</v>
          </cell>
        </row>
        <row r="3023">
          <cell r="A3023" t="str">
            <v>JP3142500002</v>
          </cell>
          <cell r="E3023">
            <v>5.3288926080000003</v>
          </cell>
        </row>
        <row r="3024">
          <cell r="A3024" t="str">
            <v>NO0013107490</v>
          </cell>
          <cell r="E3024">
            <v>3.4180908699999999E-3</v>
          </cell>
        </row>
        <row r="3025">
          <cell r="A3025" t="str">
            <v>US45167R1041</v>
          </cell>
          <cell r="E3025">
            <v>147.72245736240001</v>
          </cell>
        </row>
        <row r="3026">
          <cell r="A3026" t="str">
            <v>US45168D1046</v>
          </cell>
          <cell r="E3026">
            <v>356.65607280720002</v>
          </cell>
        </row>
        <row r="3027">
          <cell r="A3027" t="str">
            <v>FR0000051393</v>
          </cell>
          <cell r="E3027">
            <v>70</v>
          </cell>
        </row>
        <row r="3028">
          <cell r="A3028" t="str">
            <v>IL0011295016</v>
          </cell>
          <cell r="E3028">
            <v>41.163601499999999</v>
          </cell>
        </row>
        <row r="3029">
          <cell r="A3029" t="str">
            <v>CH1118852594</v>
          </cell>
          <cell r="E3029">
            <v>2.2999999999999998</v>
          </cell>
        </row>
        <row r="3030">
          <cell r="A3030" t="str">
            <v>JP3235700006</v>
          </cell>
          <cell r="E3030">
            <v>6.1848800000000006</v>
          </cell>
        </row>
        <row r="3031">
          <cell r="A3031" t="str">
            <v>CH0363463438</v>
          </cell>
          <cell r="E3031">
            <v>1.1964150760000001</v>
          </cell>
        </row>
        <row r="3032">
          <cell r="A3032" t="str">
            <v>AU000000IEL5</v>
          </cell>
          <cell r="E3032">
            <v>4.9736967592000001</v>
          </cell>
        </row>
        <row r="3033">
          <cell r="A3033" t="str">
            <v>FR0000062184</v>
          </cell>
          <cell r="E3033">
            <v>218</v>
          </cell>
        </row>
        <row r="3034">
          <cell r="A3034" t="str">
            <v>BE0003748622</v>
          </cell>
          <cell r="E3034">
            <v>5.1109999999999998</v>
          </cell>
        </row>
        <row r="3035">
          <cell r="A3035" t="str">
            <v>US44951W1062</v>
          </cell>
          <cell r="E3035">
            <v>166.03990083240001</v>
          </cell>
        </row>
        <row r="3036">
          <cell r="A3036" t="str">
            <v>IL0004310152</v>
          </cell>
          <cell r="E3036">
            <v>51.076468799999986</v>
          </cell>
        </row>
        <row r="3037">
          <cell r="A3037" t="str">
            <v>SG1AF5000000</v>
          </cell>
          <cell r="E3037">
            <v>4.3806393336999996</v>
          </cell>
        </row>
        <row r="3038">
          <cell r="A3038" t="str">
            <v>GB00B06QFB75</v>
          </cell>
          <cell r="E3038">
            <v>11.90295482</v>
          </cell>
        </row>
        <row r="3039">
          <cell r="A3039" t="str">
            <v>JP3833770005</v>
          </cell>
          <cell r="E3039">
            <v>11.9986672</v>
          </cell>
        </row>
        <row r="3040">
          <cell r="A3040" t="str">
            <v>KYG6771K1022</v>
          </cell>
          <cell r="E3040">
            <v>0.36192298680000001</v>
          </cell>
        </row>
        <row r="3041">
          <cell r="A3041" t="str">
            <v>CA4495861060</v>
          </cell>
          <cell r="E3041">
            <v>26.975563449999999</v>
          </cell>
        </row>
        <row r="3042">
          <cell r="A3042" t="str">
            <v>AU000000IGO4</v>
          </cell>
          <cell r="E3042">
            <v>2.0029819527999999</v>
          </cell>
        </row>
        <row r="3043">
          <cell r="A3043" t="str">
            <v>JP3134800006</v>
          </cell>
          <cell r="E3043">
            <v>63.085776000000003</v>
          </cell>
        </row>
        <row r="3044">
          <cell r="A3044" t="str">
            <v>JP3131090007</v>
          </cell>
          <cell r="E3044">
            <v>13.55725696</v>
          </cell>
        </row>
        <row r="3045">
          <cell r="A3045" t="str">
            <v>JP3131200002</v>
          </cell>
          <cell r="E3045">
            <v>5.9684092</v>
          </cell>
        </row>
        <row r="3046">
          <cell r="A3046" t="str">
            <v>FR00140048X2</v>
          </cell>
          <cell r="E3046">
            <v>1.43</v>
          </cell>
        </row>
        <row r="3047">
          <cell r="A3047" t="str">
            <v>JP3105180008</v>
          </cell>
          <cell r="E3047">
            <v>13.198533919999999</v>
          </cell>
        </row>
        <row r="3048">
          <cell r="A3048" t="str">
            <v>IT0005578395</v>
          </cell>
          <cell r="E3048">
            <v>1E-4</v>
          </cell>
        </row>
        <row r="3049">
          <cell r="A3049" t="str">
            <v>IT0005359192</v>
          </cell>
          <cell r="E3049">
            <v>3.32</v>
          </cell>
        </row>
        <row r="3050">
          <cell r="A3050" t="str">
            <v>US4523081093</v>
          </cell>
          <cell r="E3050">
            <v>204.36087534000001</v>
          </cell>
        </row>
        <row r="3051">
          <cell r="A3051" t="str">
            <v>US4523271090</v>
          </cell>
          <cell r="E3051">
            <v>65.845691972400004</v>
          </cell>
        </row>
        <row r="3052">
          <cell r="A3052" t="str">
            <v>IT0005359101</v>
          </cell>
          <cell r="E3052">
            <v>4.22</v>
          </cell>
        </row>
        <row r="3053">
          <cell r="A3053" t="str">
            <v>AU000000ILU1</v>
          </cell>
          <cell r="E3053">
            <v>2.0367400756</v>
          </cell>
        </row>
        <row r="3054">
          <cell r="A3054" t="str">
            <v>CA45245E1097</v>
          </cell>
          <cell r="E3054">
            <v>19.120762677599998</v>
          </cell>
        </row>
        <row r="3055">
          <cell r="A3055" t="str">
            <v>NL0010801007</v>
          </cell>
          <cell r="E3055">
            <v>120.65</v>
          </cell>
        </row>
        <row r="3056">
          <cell r="A3056" t="str">
            <v>AU000000IMD5</v>
          </cell>
          <cell r="E3056">
            <v>1.5585000026</v>
          </cell>
        </row>
        <row r="3057">
          <cell r="A3057" t="str">
            <v>FR0000120859</v>
          </cell>
          <cell r="E3057">
            <v>28.8</v>
          </cell>
        </row>
        <row r="3058">
          <cell r="A3058" t="str">
            <v>GB00BGLP8L22</v>
          </cell>
          <cell r="E3058">
            <v>20.274777660000002</v>
          </cell>
        </row>
        <row r="3059">
          <cell r="A3059" t="str">
            <v>NL0015285941</v>
          </cell>
          <cell r="E3059">
            <v>3.8576977332000002</v>
          </cell>
        </row>
        <row r="3060">
          <cell r="A3060" t="str">
            <v>FR0013060100</v>
          </cell>
          <cell r="E3060">
            <v>1.55</v>
          </cell>
        </row>
        <row r="3061">
          <cell r="A3061" t="str">
            <v>BE0003893139</v>
          </cell>
          <cell r="E3061">
            <v>30.2</v>
          </cell>
        </row>
        <row r="3062">
          <cell r="A3062" t="str">
            <v>FR0000033243</v>
          </cell>
          <cell r="E3062">
            <v>52.6</v>
          </cell>
        </row>
        <row r="3063">
          <cell r="A3063" t="str">
            <v>BE0003599108</v>
          </cell>
          <cell r="E3063">
            <v>16.5</v>
          </cell>
        </row>
        <row r="3064">
          <cell r="A3064" t="str">
            <v>US45258J1025</v>
          </cell>
          <cell r="E3064">
            <v>13.652012687399999</v>
          </cell>
        </row>
        <row r="3065">
          <cell r="A3065" t="str">
            <v>AU000000IMM6</v>
          </cell>
          <cell r="E3065">
            <v>0.12940613740000001</v>
          </cell>
        </row>
        <row r="3066">
          <cell r="A3066" t="str">
            <v>PTGPA0AP0007</v>
          </cell>
          <cell r="E3066">
            <v>0.18</v>
          </cell>
        </row>
        <row r="3067">
          <cell r="A3067" t="str">
            <v>GB0004905260</v>
          </cell>
          <cell r="E3067">
            <v>1.5995326320000001</v>
          </cell>
        </row>
        <row r="3068">
          <cell r="A3068" t="str">
            <v>GB0004544929</v>
          </cell>
          <cell r="E3068">
            <v>34.527922969999999</v>
          </cell>
        </row>
        <row r="3069">
          <cell r="A3069" t="str">
            <v>JP3542800002</v>
          </cell>
          <cell r="E3069">
            <v>5.5292827200000003</v>
          </cell>
        </row>
        <row r="3070">
          <cell r="A3070" t="str">
            <v>CA4530384086</v>
          </cell>
          <cell r="E3070">
            <v>53.970168474199987</v>
          </cell>
        </row>
        <row r="3071">
          <cell r="A3071" t="str">
            <v>IT0005518953</v>
          </cell>
          <cell r="E3071">
            <v>1.49</v>
          </cell>
        </row>
        <row r="3072">
          <cell r="A3072" t="str">
            <v>US4532041096</v>
          </cell>
          <cell r="E3072">
            <v>58.598163736799997</v>
          </cell>
        </row>
        <row r="3073">
          <cell r="A3073" t="str">
            <v>FR0013470168</v>
          </cell>
          <cell r="E3073">
            <v>0.104</v>
          </cell>
        </row>
        <row r="3074">
          <cell r="A3074" t="str">
            <v>SE0014855029</v>
          </cell>
          <cell r="E3074">
            <v>2.420152919</v>
          </cell>
        </row>
        <row r="3075">
          <cell r="A3075" t="str">
            <v>PTIPR0AM0000</v>
          </cell>
          <cell r="E3075">
            <v>0.10100000000000001</v>
          </cell>
        </row>
        <row r="3076">
          <cell r="A3076" t="str">
            <v>AU0000054942</v>
          </cell>
          <cell r="E3076">
            <v>0.82707400860000002</v>
          </cell>
        </row>
        <row r="3077">
          <cell r="A3077" t="str">
            <v>AU000000IMU9</v>
          </cell>
          <cell r="E3077">
            <v>1.5753790640000001E-2</v>
          </cell>
        </row>
        <row r="3078">
          <cell r="A3078" t="str">
            <v>JP3149200002</v>
          </cell>
          <cell r="E3078">
            <v>14.67672024</v>
          </cell>
        </row>
        <row r="3079">
          <cell r="A3079" t="str">
            <v>JP3146200005</v>
          </cell>
          <cell r="E3079">
            <v>22.33978656</v>
          </cell>
        </row>
        <row r="3080">
          <cell r="A3080" t="str">
            <v>JP3146000009</v>
          </cell>
          <cell r="E3080">
            <v>18.381463360000001</v>
          </cell>
        </row>
        <row r="3081">
          <cell r="A3081" t="str">
            <v>FI0009006407</v>
          </cell>
          <cell r="E3081">
            <v>10.98</v>
          </cell>
        </row>
        <row r="3082">
          <cell r="A3082" t="str">
            <v>GB00B61TVQ02</v>
          </cell>
          <cell r="E3082">
            <v>8.2198204700000002</v>
          </cell>
        </row>
        <row r="3083">
          <cell r="A3083" t="str">
            <v>BE0974374069</v>
          </cell>
          <cell r="E3083">
            <v>13.8</v>
          </cell>
        </row>
        <row r="3084">
          <cell r="A3084" t="str">
            <v>US45337C1027</v>
          </cell>
          <cell r="E3084">
            <v>51.606638325600002</v>
          </cell>
        </row>
        <row r="3085">
          <cell r="A3085" t="str">
            <v>IT0005416281</v>
          </cell>
          <cell r="E3085">
            <v>5.0199999999999996</v>
          </cell>
        </row>
        <row r="3086">
          <cell r="A3086" t="str">
            <v>US45378A1060</v>
          </cell>
          <cell r="E3086">
            <v>16.596045168</v>
          </cell>
        </row>
        <row r="3087">
          <cell r="A3087" t="str">
            <v>US4538361084</v>
          </cell>
          <cell r="E3087">
            <v>48.764124206400012</v>
          </cell>
        </row>
        <row r="3088">
          <cell r="A3088" t="str">
            <v>US45569U1016</v>
          </cell>
          <cell r="E3088">
            <v>1.6860875676</v>
          </cell>
        </row>
        <row r="3089">
          <cell r="A3089" t="str">
            <v>ES0148396007</v>
          </cell>
          <cell r="E3089">
            <v>46.96</v>
          </cell>
        </row>
        <row r="3090">
          <cell r="A3090" t="str">
            <v>GB00BN4HT335</v>
          </cell>
          <cell r="E3090">
            <v>8.1262805500000006</v>
          </cell>
        </row>
        <row r="3091">
          <cell r="A3091" t="str">
            <v>ES0118594417</v>
          </cell>
          <cell r="E3091">
            <v>27.84</v>
          </cell>
        </row>
        <row r="3092">
          <cell r="A3092" t="str">
            <v>NO0010536048</v>
          </cell>
          <cell r="E3092">
            <v>0.30679449759999999</v>
          </cell>
        </row>
        <row r="3093">
          <cell r="A3093" t="str">
            <v>JP3046500009</v>
          </cell>
          <cell r="E3093">
            <v>713.11666400000001</v>
          </cell>
        </row>
        <row r="3094">
          <cell r="A3094" t="str">
            <v>IT0005186371</v>
          </cell>
          <cell r="E3094">
            <v>6.2750000000000004</v>
          </cell>
        </row>
        <row r="3095">
          <cell r="A3095" t="str">
            <v>SE0000107203</v>
          </cell>
          <cell r="E3095">
            <v>29.041835028000001</v>
          </cell>
        </row>
        <row r="3096">
          <cell r="A3096" t="str">
            <v>SE0000190126</v>
          </cell>
          <cell r="E3096">
            <v>29.05982873</v>
          </cell>
        </row>
        <row r="3097">
          <cell r="A3097" t="str">
            <v>SE0001515552</v>
          </cell>
          <cell r="E3097">
            <v>24.219522892000001</v>
          </cell>
        </row>
        <row r="3098">
          <cell r="A3098" t="str">
            <v>JP3105010007</v>
          </cell>
          <cell r="E3098">
            <v>10.903943440000001</v>
          </cell>
        </row>
        <row r="3099">
          <cell r="A3099" t="str">
            <v>CH0011029946</v>
          </cell>
          <cell r="E3099">
            <v>904.86988599999995</v>
          </cell>
        </row>
        <row r="3100">
          <cell r="A3100" t="str">
            <v>DE0006231004</v>
          </cell>
          <cell r="E3100">
            <v>27.06</v>
          </cell>
        </row>
        <row r="3101">
          <cell r="A3101" t="str">
            <v>JP3153480003</v>
          </cell>
          <cell r="E3101">
            <v>2.1523382400000002</v>
          </cell>
        </row>
        <row r="3102">
          <cell r="A3102" t="str">
            <v>AU000000IFM0</v>
          </cell>
          <cell r="E3102">
            <v>0.70892057880000003</v>
          </cell>
        </row>
        <row r="3103">
          <cell r="A3103" t="str">
            <v>JP3153830009</v>
          </cell>
          <cell r="E3103">
            <v>22.636660800000001</v>
          </cell>
        </row>
        <row r="3104">
          <cell r="A3104" t="str">
            <v>GB00BMJ6DW54</v>
          </cell>
          <cell r="E3104">
            <v>8.3601303500000004</v>
          </cell>
        </row>
        <row r="3105">
          <cell r="A3105" t="str">
            <v>US45674M1018</v>
          </cell>
          <cell r="E3105">
            <v>15.527895452399999</v>
          </cell>
        </row>
        <row r="3106">
          <cell r="A3106" t="str">
            <v>FR0000071797</v>
          </cell>
          <cell r="E3106">
            <v>41.9</v>
          </cell>
        </row>
        <row r="3107">
          <cell r="A3107" t="str">
            <v>NZIFTE0003S3</v>
          </cell>
          <cell r="E3107">
            <v>5.2404261910000001</v>
          </cell>
        </row>
        <row r="3108">
          <cell r="A3108" t="str">
            <v>JP3153850007</v>
          </cell>
          <cell r="E3108">
            <v>7.1899230000000003</v>
          </cell>
        </row>
        <row r="3109">
          <cell r="A3109" t="str">
            <v>NL0011821202</v>
          </cell>
          <cell r="E3109">
            <v>16.462</v>
          </cell>
        </row>
        <row r="3110">
          <cell r="A3110" t="str">
            <v>AU000000INA9</v>
          </cell>
          <cell r="E3110">
            <v>3.0326046982000001</v>
          </cell>
        </row>
        <row r="3111">
          <cell r="A3111" t="str">
            <v>US45687V1061</v>
          </cell>
          <cell r="E3111">
            <v>64.292019658800001</v>
          </cell>
        </row>
        <row r="3112">
          <cell r="A3112" t="str">
            <v>US45688C1071</v>
          </cell>
          <cell r="E3112">
            <v>28.0632061644</v>
          </cell>
        </row>
        <row r="3113">
          <cell r="A3113" t="str">
            <v>AU000000ING6</v>
          </cell>
          <cell r="E3113">
            <v>1.8510704002</v>
          </cell>
        </row>
        <row r="3114">
          <cell r="A3114" t="str">
            <v>US4570301048</v>
          </cell>
          <cell r="E3114">
            <v>54.299081823599998</v>
          </cell>
        </row>
        <row r="3115">
          <cell r="A3115" t="str">
            <v>US4571871023</v>
          </cell>
          <cell r="E3115">
            <v>114.91878510479999</v>
          </cell>
        </row>
        <row r="3116">
          <cell r="A3116" t="str">
            <v>US45720N1037</v>
          </cell>
          <cell r="E3116">
            <v>10.4078389644</v>
          </cell>
        </row>
        <row r="3117">
          <cell r="A3117" t="str">
            <v>SE0017486103</v>
          </cell>
          <cell r="E3117">
            <v>0.57523968300000006</v>
          </cell>
        </row>
        <row r="3118">
          <cell r="A3118" t="str">
            <v>NO0010864036</v>
          </cell>
          <cell r="E3118">
            <v>0.25260525210000001</v>
          </cell>
        </row>
        <row r="3119">
          <cell r="A3119" t="str">
            <v>IT0005037905</v>
          </cell>
          <cell r="E3119">
            <v>13.6</v>
          </cell>
        </row>
        <row r="3120">
          <cell r="A3120" t="str">
            <v>ES0139140174</v>
          </cell>
          <cell r="E3120">
            <v>5.56</v>
          </cell>
        </row>
        <row r="3121">
          <cell r="A3121" t="str">
            <v>IL0011595993</v>
          </cell>
          <cell r="E3121">
            <v>13.5990465858</v>
          </cell>
        </row>
        <row r="3122">
          <cell r="A3122" t="str">
            <v>FR0010331421</v>
          </cell>
          <cell r="E3122">
            <v>1.78</v>
          </cell>
        </row>
        <row r="3123">
          <cell r="A3123" t="str">
            <v>FR0000064297</v>
          </cell>
          <cell r="E3123">
            <v>2.89</v>
          </cell>
        </row>
        <row r="3124">
          <cell r="A3124" t="str">
            <v>CA45790B1040</v>
          </cell>
          <cell r="E3124">
            <v>8.5687083899999994</v>
          </cell>
        </row>
        <row r="3125">
          <cell r="A3125" t="str">
            <v>US4576422053</v>
          </cell>
          <cell r="E3125">
            <v>31.514830452000009</v>
          </cell>
        </row>
        <row r="3126">
          <cell r="A3126" t="str">
            <v>US45768S1050</v>
          </cell>
          <cell r="E3126">
            <v>77.00388404280001</v>
          </cell>
        </row>
        <row r="3127">
          <cell r="A3127" t="str">
            <v>JP3147800001</v>
          </cell>
          <cell r="E3127">
            <v>7.1682759200000001</v>
          </cell>
        </row>
        <row r="3128">
          <cell r="A3128" t="str">
            <v>IT0005412298</v>
          </cell>
          <cell r="E3128">
            <v>0.20799999999999999</v>
          </cell>
        </row>
        <row r="3129">
          <cell r="A3129" t="str">
            <v>US45781V1017</v>
          </cell>
          <cell r="E3129">
            <v>44.562146812800002</v>
          </cell>
        </row>
        <row r="3130">
          <cell r="A3130" t="str">
            <v>US45781M1018</v>
          </cell>
          <cell r="E3130">
            <v>15.986934999600001</v>
          </cell>
        </row>
        <row r="3131">
          <cell r="A3131" t="str">
            <v>JP3294460005</v>
          </cell>
          <cell r="E3131">
            <v>11.06784276</v>
          </cell>
        </row>
        <row r="3132">
          <cell r="A3132" t="str">
            <v>LU2290522684</v>
          </cell>
          <cell r="E3132">
            <v>13.22</v>
          </cell>
        </row>
        <row r="3133">
          <cell r="A3133" t="str">
            <v>IL0011323560</v>
          </cell>
          <cell r="E3133">
            <v>3.7395271800000001</v>
          </cell>
        </row>
        <row r="3134">
          <cell r="A3134" t="str">
            <v>US45765U1034</v>
          </cell>
          <cell r="E3134">
            <v>117.6641947044</v>
          </cell>
        </row>
        <row r="3135">
          <cell r="A3135" t="str">
            <v>AU000000IFL2</v>
          </cell>
          <cell r="E3135">
            <v>2.0254873679999998</v>
          </cell>
        </row>
        <row r="3136">
          <cell r="A3136" t="str">
            <v>US4576693075</v>
          </cell>
          <cell r="E3136">
            <v>62.738347345199998</v>
          </cell>
        </row>
        <row r="3137">
          <cell r="A3137" t="str">
            <v>JP3152670000</v>
          </cell>
          <cell r="E3137">
            <v>5.0777864800000003</v>
          </cell>
        </row>
        <row r="3138">
          <cell r="A3138" t="str">
            <v>US45778Q1076</v>
          </cell>
          <cell r="E3138">
            <v>73.525776704400002</v>
          </cell>
        </row>
        <row r="3139">
          <cell r="A3139" t="str">
            <v>US4577301090</v>
          </cell>
          <cell r="E3139">
            <v>129.0960449664</v>
          </cell>
        </row>
        <row r="3140">
          <cell r="A3140" t="str">
            <v>NO0010762792</v>
          </cell>
          <cell r="E3140">
            <v>0.1859107961</v>
          </cell>
        </row>
        <row r="3141">
          <cell r="A3141" t="str">
            <v>SE0017483506</v>
          </cell>
          <cell r="E3141">
            <v>2.7026540404000001</v>
          </cell>
        </row>
        <row r="3142">
          <cell r="A3142" t="str">
            <v>US45780R1014</v>
          </cell>
          <cell r="E3142">
            <v>144.73870030559999</v>
          </cell>
        </row>
        <row r="3143">
          <cell r="A3143" t="str">
            <v>FR0000060451</v>
          </cell>
          <cell r="E3143">
            <v>303</v>
          </cell>
        </row>
        <row r="3144">
          <cell r="A3144" t="str">
            <v>US45784P1012</v>
          </cell>
          <cell r="E3144">
            <v>226.363876713</v>
          </cell>
        </row>
        <row r="3145">
          <cell r="A3145" t="str">
            <v>AU000000IAG3</v>
          </cell>
          <cell r="E3145">
            <v>4.3773032564000003</v>
          </cell>
        </row>
        <row r="3146">
          <cell r="A3146" t="str">
            <v>GB00BVG7F061</v>
          </cell>
          <cell r="E3146">
            <v>14.0713276584</v>
          </cell>
        </row>
        <row r="3147">
          <cell r="A3147" t="str">
            <v>JE00BYVQYS01</v>
          </cell>
          <cell r="E3147">
            <v>2.0438472519999999</v>
          </cell>
        </row>
        <row r="3148">
          <cell r="A3148" t="str">
            <v>CA45823T1066</v>
          </cell>
          <cell r="E3148">
            <v>184.26531353339999</v>
          </cell>
        </row>
        <row r="3149">
          <cell r="A3149" t="str">
            <v>JP3152790006</v>
          </cell>
          <cell r="E3149">
            <v>10.05043</v>
          </cell>
        </row>
        <row r="3150">
          <cell r="A3150" t="str">
            <v>US45827U1097</v>
          </cell>
          <cell r="E3150">
            <v>47.228107260000002</v>
          </cell>
        </row>
        <row r="3151">
          <cell r="A3151" t="str">
            <v>US45826H1095</v>
          </cell>
          <cell r="E3151">
            <v>103.1603105496</v>
          </cell>
        </row>
        <row r="3152">
          <cell r="A3152" t="str">
            <v>US4579852082</v>
          </cell>
          <cell r="E3152">
            <v>14.194915228799999</v>
          </cell>
        </row>
        <row r="3153">
          <cell r="A3153" t="str">
            <v>GB00BD45SH49</v>
          </cell>
          <cell r="E3153">
            <v>3.58959443</v>
          </cell>
        </row>
        <row r="3154">
          <cell r="A3154" t="str">
            <v>FR0010908723</v>
          </cell>
          <cell r="E3154">
            <v>0.56499999999999995</v>
          </cell>
        </row>
        <row r="3155">
          <cell r="A3155" t="str">
            <v>US45828L1089</v>
          </cell>
          <cell r="E3155">
            <v>5.7733050744000014</v>
          </cell>
        </row>
        <row r="3156">
          <cell r="A3156" t="str">
            <v>JP3152910000</v>
          </cell>
          <cell r="E3156">
            <v>15.554973199999999</v>
          </cell>
        </row>
        <row r="3157">
          <cell r="A3157" t="str">
            <v>AU000000IDX2</v>
          </cell>
          <cell r="E3157">
            <v>1.265929605</v>
          </cell>
        </row>
        <row r="3158">
          <cell r="A3158" t="str">
            <v>JP3104770007</v>
          </cell>
          <cell r="E3158">
            <v>40.016173600000002</v>
          </cell>
        </row>
        <row r="3159">
          <cell r="A3159" t="str">
            <v>NO0013461350</v>
          </cell>
          <cell r="E3159">
            <v>3.4843684856500001</v>
          </cell>
        </row>
        <row r="3160">
          <cell r="A3160" t="str">
            <v>US4581401001</v>
          </cell>
          <cell r="E3160">
            <v>17.522951945999999</v>
          </cell>
        </row>
        <row r="3161">
          <cell r="A3161" t="str">
            <v>US45826J1051</v>
          </cell>
          <cell r="E3161">
            <v>6.4971751296000004</v>
          </cell>
        </row>
        <row r="3162">
          <cell r="A3162" t="str">
            <v>KYG4R20B1074</v>
          </cell>
          <cell r="E3162">
            <v>4.9258474487999999</v>
          </cell>
        </row>
        <row r="3163">
          <cell r="A3163" t="str">
            <v>GB00BDVZYZ77</v>
          </cell>
          <cell r="E3163">
            <v>4.2771128420000002</v>
          </cell>
        </row>
        <row r="3164">
          <cell r="A3164" t="str">
            <v>US45841N1072</v>
          </cell>
          <cell r="E3164">
            <v>153.09851667480001</v>
          </cell>
        </row>
        <row r="3165">
          <cell r="A3165" t="str">
            <v>US45866F1049</v>
          </cell>
          <cell r="E3165">
            <v>141.19879918199999</v>
          </cell>
        </row>
        <row r="3166">
          <cell r="A3166" t="str">
            <v>GB00BHJYC057</v>
          </cell>
          <cell r="E3166">
            <v>90.827262320000003</v>
          </cell>
        </row>
        <row r="3167">
          <cell r="A3167" t="str">
            <v>IT0005455875</v>
          </cell>
          <cell r="E3167">
            <v>12.32</v>
          </cell>
        </row>
        <row r="3168">
          <cell r="A3168" t="str">
            <v>US45867G1013</v>
          </cell>
          <cell r="E3168">
            <v>179.14018329480001</v>
          </cell>
        </row>
        <row r="3169">
          <cell r="A3169" t="str">
            <v>US4586653044</v>
          </cell>
          <cell r="E3169">
            <v>16.737288105600001</v>
          </cell>
        </row>
        <row r="3170">
          <cell r="A3170" t="str">
            <v>CA45868C1095</v>
          </cell>
          <cell r="E3170">
            <v>8.7527769405999987</v>
          </cell>
        </row>
        <row r="3171">
          <cell r="A3171" t="str">
            <v>GB00BYT1DJ19</v>
          </cell>
          <cell r="E3171">
            <v>21.23356184</v>
          </cell>
        </row>
        <row r="3172">
          <cell r="A3172" t="str">
            <v>JP3152840009</v>
          </cell>
          <cell r="E3172">
            <v>9.1474375200000004</v>
          </cell>
        </row>
        <row r="3173">
          <cell r="A3173" t="str">
            <v>IT0005469371</v>
          </cell>
          <cell r="E3173">
            <v>1.23</v>
          </cell>
        </row>
        <row r="3174">
          <cell r="A3174" t="str">
            <v>US4590441030</v>
          </cell>
          <cell r="E3174">
            <v>51.536016856800003</v>
          </cell>
        </row>
        <row r="3175">
          <cell r="A3175" t="str">
            <v>US4601461035</v>
          </cell>
          <cell r="E3175">
            <v>41.3753530332</v>
          </cell>
        </row>
        <row r="3176">
          <cell r="A3176" t="str">
            <v>CA46016U1084</v>
          </cell>
          <cell r="E3176">
            <v>11.704903151</v>
          </cell>
        </row>
        <row r="3177">
          <cell r="A3177" t="str">
            <v>MHY410531021</v>
          </cell>
          <cell r="E3177">
            <v>27.683615769599999</v>
          </cell>
        </row>
        <row r="3178">
          <cell r="A3178" t="str">
            <v>JP3152820001</v>
          </cell>
          <cell r="E3178">
            <v>15.0292584</v>
          </cell>
        </row>
        <row r="3179">
          <cell r="A3179" t="str">
            <v>NO0013119255</v>
          </cell>
          <cell r="E3179">
            <v>0.12771988324</v>
          </cell>
        </row>
        <row r="3180">
          <cell r="A3180" t="str">
            <v>FR0004024222</v>
          </cell>
          <cell r="E3180">
            <v>34.454999999999998</v>
          </cell>
        </row>
        <row r="3181">
          <cell r="A3181" t="str">
            <v>US4583341098</v>
          </cell>
          <cell r="E3181">
            <v>92.355225823200001</v>
          </cell>
        </row>
        <row r="3182">
          <cell r="A3182" t="str">
            <v>US4606901001</v>
          </cell>
          <cell r="E3182">
            <v>22.192796570399999</v>
          </cell>
        </row>
        <row r="3183">
          <cell r="A3183" t="str">
            <v>IT0001078911</v>
          </cell>
          <cell r="E3183">
            <v>29.04</v>
          </cell>
        </row>
        <row r="3184">
          <cell r="A3184" t="str">
            <v>CA46071W2058</v>
          </cell>
          <cell r="E3184">
            <v>6.4614408451999994</v>
          </cell>
        </row>
        <row r="3185">
          <cell r="A3185" t="str">
            <v>CH0006372897</v>
          </cell>
          <cell r="E3185">
            <v>1976.0285100000001</v>
          </cell>
        </row>
        <row r="3186">
          <cell r="A3186" t="str">
            <v>CH1338987303</v>
          </cell>
          <cell r="E3186">
            <v>141.2374476</v>
          </cell>
        </row>
        <row r="3187">
          <cell r="A3187" t="str">
            <v>GB0031638363</v>
          </cell>
          <cell r="E3187">
            <v>53.645144119999998</v>
          </cell>
        </row>
        <row r="3188">
          <cell r="A3188" t="str">
            <v>IT0000072618</v>
          </cell>
          <cell r="E3188">
            <v>4.3559999999999999</v>
          </cell>
        </row>
        <row r="3189">
          <cell r="A3189" t="str">
            <v>FR0000064958</v>
          </cell>
          <cell r="E3189">
            <v>2.6</v>
          </cell>
        </row>
        <row r="3190">
          <cell r="A3190" t="str">
            <v>ES0177542018</v>
          </cell>
          <cell r="E3190">
            <v>2.917276255</v>
          </cell>
        </row>
        <row r="3191">
          <cell r="A3191" t="str">
            <v>ES0177542018</v>
          </cell>
          <cell r="E3191">
            <v>2.9239999999999999</v>
          </cell>
        </row>
        <row r="3192">
          <cell r="A3192" t="str">
            <v>US4595061015</v>
          </cell>
          <cell r="E3192">
            <v>63.991878416399999</v>
          </cell>
        </row>
        <row r="3193">
          <cell r="A3193" t="str">
            <v>GB00B1YKG049</v>
          </cell>
          <cell r="E3193">
            <v>1.57848615</v>
          </cell>
        </row>
        <row r="3194">
          <cell r="A3194" t="str">
            <v>FR0011179886</v>
          </cell>
          <cell r="E3194">
            <v>0.30980000000000002</v>
          </cell>
        </row>
        <row r="3195">
          <cell r="A3195" t="str">
            <v>IT0005337818</v>
          </cell>
          <cell r="E3195">
            <v>10.1</v>
          </cell>
        </row>
        <row r="3196">
          <cell r="A3196" t="str">
            <v>SE0000936478</v>
          </cell>
          <cell r="E3196">
            <v>2.7161493169000002</v>
          </cell>
        </row>
        <row r="3197">
          <cell r="A3197" t="str">
            <v>US4612021034</v>
          </cell>
          <cell r="E3197">
            <v>524.43502730880004</v>
          </cell>
        </row>
        <row r="3198">
          <cell r="A3198" t="str">
            <v>US46125A1007</v>
          </cell>
          <cell r="E3198">
            <v>6.8767655244000014</v>
          </cell>
        </row>
        <row r="3199">
          <cell r="A3199" t="str">
            <v>US46120E6023</v>
          </cell>
          <cell r="E3199">
            <v>431.02930713720002</v>
          </cell>
        </row>
        <row r="3200">
          <cell r="A3200" t="str">
            <v>JP3146800002</v>
          </cell>
          <cell r="E3200">
            <v>8.2382601600000012</v>
          </cell>
        </row>
        <row r="3201">
          <cell r="A3201" t="str">
            <v>FR0013233012</v>
          </cell>
          <cell r="E3201">
            <v>2.84</v>
          </cell>
        </row>
        <row r="3202">
          <cell r="A3202" t="str">
            <v>US46124J2015</v>
          </cell>
          <cell r="E3202">
            <v>23.843573403600001</v>
          </cell>
        </row>
        <row r="3203">
          <cell r="A3203" t="str">
            <v>BMG491BT1088</v>
          </cell>
          <cell r="E3203">
            <v>11.546610148799999</v>
          </cell>
        </row>
        <row r="3204">
          <cell r="A3204" t="str">
            <v>GB00B17BBQ50</v>
          </cell>
          <cell r="E3204">
            <v>5.3060519619999997</v>
          </cell>
        </row>
        <row r="3205">
          <cell r="A3205" t="str">
            <v>SE0008321608</v>
          </cell>
          <cell r="E3205">
            <v>10.528115040199999</v>
          </cell>
        </row>
        <row r="3206">
          <cell r="A3206" t="str">
            <v>SE0015811955</v>
          </cell>
          <cell r="E3206">
            <v>25.254160757000001</v>
          </cell>
        </row>
        <row r="3207">
          <cell r="A3207" t="str">
            <v>SE0015811963</v>
          </cell>
          <cell r="E3207">
            <v>25.2676560335</v>
          </cell>
        </row>
        <row r="3208">
          <cell r="A3208" t="str">
            <v>BE0974299316</v>
          </cell>
          <cell r="E3208">
            <v>1.48</v>
          </cell>
        </row>
        <row r="3209">
          <cell r="A3209" t="str">
            <v>JP3046190009</v>
          </cell>
          <cell r="E3209">
            <v>360.57850400000001</v>
          </cell>
        </row>
        <row r="3210">
          <cell r="A3210" t="str">
            <v>SE0001200015</v>
          </cell>
          <cell r="E3210">
            <v>34.143049544999997</v>
          </cell>
        </row>
        <row r="3211">
          <cell r="A3211" t="str">
            <v>US46187W1071</v>
          </cell>
          <cell r="E3211">
            <v>29.104872829200001</v>
          </cell>
        </row>
        <row r="3212">
          <cell r="A3212" t="str">
            <v>SE0006220018</v>
          </cell>
          <cell r="E3212">
            <v>17.642824811000001</v>
          </cell>
        </row>
        <row r="3213">
          <cell r="A3213" t="str">
            <v>IT0005090300</v>
          </cell>
          <cell r="E3213">
            <v>9.7899999999999991</v>
          </cell>
        </row>
        <row r="3214">
          <cell r="A3214" t="str">
            <v>US4622221004</v>
          </cell>
          <cell r="E3214">
            <v>25.052966056799999</v>
          </cell>
        </row>
        <row r="3215">
          <cell r="A3215" t="str">
            <v>DE000A3E00M1</v>
          </cell>
          <cell r="E3215">
            <v>28.55</v>
          </cell>
        </row>
        <row r="3216">
          <cell r="A3216" t="str">
            <v>US46222L1089</v>
          </cell>
          <cell r="E3216">
            <v>22.422316343999999</v>
          </cell>
        </row>
        <row r="3217">
          <cell r="A3217" t="str">
            <v>US4622601007</v>
          </cell>
          <cell r="E3217">
            <v>2.8513418027999999</v>
          </cell>
        </row>
        <row r="3218">
          <cell r="A3218" t="str">
            <v>GB00B128J450</v>
          </cell>
          <cell r="E3218">
            <v>0.46653035100000001</v>
          </cell>
        </row>
        <row r="3219">
          <cell r="A3219" t="str">
            <v>AU0000189318</v>
          </cell>
          <cell r="E3219">
            <v>2.1548935054</v>
          </cell>
        </row>
        <row r="3220">
          <cell r="A3220" t="str">
            <v>AU0000208910</v>
          </cell>
          <cell r="E3220">
            <v>1.4178411576000001</v>
          </cell>
        </row>
        <row r="3221">
          <cell r="A3221" t="str">
            <v>US44980X1090</v>
          </cell>
          <cell r="E3221">
            <v>47.139830424000003</v>
          </cell>
        </row>
        <row r="3222">
          <cell r="A3222" t="str">
            <v>AU000000IPH9</v>
          </cell>
          <cell r="E3222">
            <v>2.5937491017999998</v>
          </cell>
        </row>
        <row r="3223">
          <cell r="A3223" t="str">
            <v>FR0010259150</v>
          </cell>
          <cell r="E3223">
            <v>99.15</v>
          </cell>
        </row>
        <row r="3224">
          <cell r="A3224" t="str">
            <v>FR0000073298</v>
          </cell>
          <cell r="E3224">
            <v>42.28</v>
          </cell>
        </row>
        <row r="3225">
          <cell r="A3225" t="str">
            <v>US46266C1053</v>
          </cell>
          <cell r="E3225">
            <v>131.664900894</v>
          </cell>
        </row>
        <row r="3226">
          <cell r="A3226" t="str">
            <v>IT0003027817</v>
          </cell>
          <cell r="E3226">
            <v>2.3439999999999999</v>
          </cell>
        </row>
        <row r="3227">
          <cell r="A3227" t="str">
            <v>AU000000IRE2</v>
          </cell>
          <cell r="E3227">
            <v>4.3604241950000002</v>
          </cell>
        </row>
        <row r="3228">
          <cell r="A3228" t="str">
            <v>US4500561067</v>
          </cell>
          <cell r="E3228">
            <v>88.938912270000003</v>
          </cell>
        </row>
        <row r="3229">
          <cell r="A3229" t="str">
            <v>US46269C1027</v>
          </cell>
          <cell r="E3229">
            <v>21.362994312000001</v>
          </cell>
        </row>
        <row r="3230">
          <cell r="A3230" t="str">
            <v>AU0000185993</v>
          </cell>
          <cell r="E3230">
            <v>4.811087562</v>
          </cell>
        </row>
        <row r="3231">
          <cell r="A3231" t="str">
            <v>IE00BLP58571</v>
          </cell>
          <cell r="E3231">
            <v>5.101</v>
          </cell>
        </row>
        <row r="3232">
          <cell r="A3232" t="str">
            <v>IE00BJ34P519</v>
          </cell>
          <cell r="E3232">
            <v>0.98599999999999999</v>
          </cell>
        </row>
        <row r="3233">
          <cell r="A3233" t="str">
            <v>JP3149800009</v>
          </cell>
          <cell r="E3233">
            <v>15.202435039999999</v>
          </cell>
        </row>
        <row r="3234">
          <cell r="A3234" t="str">
            <v>US46284V1017</v>
          </cell>
          <cell r="E3234">
            <v>73.534604388000005</v>
          </cell>
        </row>
        <row r="3235">
          <cell r="A3235" t="str">
            <v>US46333X1081</v>
          </cell>
          <cell r="E3235">
            <v>0.637535309592</v>
          </cell>
        </row>
        <row r="3236">
          <cell r="A3236" t="str">
            <v>IT0005474108</v>
          </cell>
          <cell r="E3236">
            <v>1.48</v>
          </cell>
        </row>
        <row r="3237">
          <cell r="A3237" t="str">
            <v>JP3139300002</v>
          </cell>
          <cell r="E3237">
            <v>118.44045199999999</v>
          </cell>
        </row>
        <row r="3238">
          <cell r="A3238" t="str">
            <v>JP3894900004</v>
          </cell>
          <cell r="E3238">
            <v>10.854464399999999</v>
          </cell>
        </row>
        <row r="3239">
          <cell r="A3239" t="str">
            <v>JP3136900002</v>
          </cell>
          <cell r="E3239">
            <v>12.0914404</v>
          </cell>
        </row>
        <row r="3240">
          <cell r="A3240" t="str">
            <v>JP3136800004</v>
          </cell>
          <cell r="E3240">
            <v>10.031875360000001</v>
          </cell>
        </row>
        <row r="3241">
          <cell r="A3241" t="str">
            <v>JP3102360009</v>
          </cell>
          <cell r="E3241">
            <v>4.7005088000000006</v>
          </cell>
        </row>
        <row r="3242">
          <cell r="A3242" t="str">
            <v>ES0109429037</v>
          </cell>
          <cell r="E3242">
            <v>2.96</v>
          </cell>
        </row>
        <row r="3243">
          <cell r="A3243" t="str">
            <v>IL0011574030</v>
          </cell>
          <cell r="E3243">
            <v>4.1763653999999999</v>
          </cell>
        </row>
        <row r="3244">
          <cell r="A3244" t="str">
            <v>IL0004340191</v>
          </cell>
          <cell r="E3244">
            <v>3.0530671200000001</v>
          </cell>
        </row>
        <row r="3245">
          <cell r="A3245" t="str">
            <v>IL0005760173</v>
          </cell>
          <cell r="E3245">
            <v>260.73481229999999</v>
          </cell>
        </row>
        <row r="3246">
          <cell r="A3246" t="str">
            <v>IL0006912120</v>
          </cell>
          <cell r="E3246">
            <v>6.36535692</v>
          </cell>
        </row>
        <row r="3247">
          <cell r="A3247" t="str">
            <v>IL0011685331</v>
          </cell>
          <cell r="E3247">
            <v>31.778780399999999</v>
          </cell>
        </row>
        <row r="3248">
          <cell r="A3248" t="str">
            <v>IL0012029778</v>
          </cell>
          <cell r="E3248">
            <v>92.480091299999998</v>
          </cell>
        </row>
        <row r="3249">
          <cell r="A3249" t="str">
            <v>IL0006130343</v>
          </cell>
          <cell r="E3249">
            <v>190.9127034</v>
          </cell>
        </row>
        <row r="3250">
          <cell r="A3250" t="str">
            <v>DK0060542181</v>
          </cell>
          <cell r="E3250">
            <v>20.950683991999998</v>
          </cell>
        </row>
        <row r="3251">
          <cell r="A3251" t="str">
            <v>IL0010810740</v>
          </cell>
          <cell r="E3251">
            <v>21.239458290000002</v>
          </cell>
        </row>
        <row r="3252">
          <cell r="A3252" t="str">
            <v>JP3102320003</v>
          </cell>
          <cell r="E3252">
            <v>2.8017506399999998</v>
          </cell>
        </row>
        <row r="3253">
          <cell r="A3253" t="str">
            <v>JP3137200006</v>
          </cell>
          <cell r="E3253">
            <v>11.21937232</v>
          </cell>
        </row>
        <row r="3254">
          <cell r="A3254" t="str">
            <v>FR0000072597</v>
          </cell>
          <cell r="E3254">
            <v>23.95</v>
          </cell>
        </row>
        <row r="3255">
          <cell r="A3255" t="str">
            <v>SE0015962097</v>
          </cell>
          <cell r="E3255">
            <v>1.9478182415</v>
          </cell>
        </row>
        <row r="3256">
          <cell r="A3256" t="str">
            <v>IT0005211237</v>
          </cell>
          <cell r="E3256">
            <v>6.77</v>
          </cell>
        </row>
        <row r="3257">
          <cell r="A3257" t="str">
            <v>IT0005075764</v>
          </cell>
          <cell r="E3257">
            <v>20.8</v>
          </cell>
        </row>
        <row r="3258">
          <cell r="A3258" t="str">
            <v>IT0005253205</v>
          </cell>
          <cell r="E3258">
            <v>23.45</v>
          </cell>
        </row>
        <row r="3259">
          <cell r="A3259" t="str">
            <v>NO0010001118</v>
          </cell>
          <cell r="E3259">
            <v>0.78199249660000014</v>
          </cell>
        </row>
        <row r="3260">
          <cell r="A3260" t="str">
            <v>JP3530000003</v>
          </cell>
          <cell r="E3260">
            <v>8.6959412799999996</v>
          </cell>
        </row>
        <row r="3261">
          <cell r="A3261" t="str">
            <v>GB00B0130H42</v>
          </cell>
          <cell r="E3261">
            <v>0.33440521400000001</v>
          </cell>
        </row>
        <row r="3262">
          <cell r="A3262" t="str">
            <v>JP3143000002</v>
          </cell>
          <cell r="E3262">
            <v>20.16889368</v>
          </cell>
        </row>
        <row r="3263">
          <cell r="A3263" t="str">
            <v>JP3143000101</v>
          </cell>
          <cell r="E3263">
            <v>11.194632800000001</v>
          </cell>
        </row>
        <row r="3264">
          <cell r="A3264" t="str">
            <v>JP3143600009</v>
          </cell>
          <cell r="E3264">
            <v>40.52333376</v>
          </cell>
        </row>
        <row r="3265">
          <cell r="A3265" t="str">
            <v>JP3144000001</v>
          </cell>
          <cell r="E3265">
            <v>9.1474375200000004</v>
          </cell>
        </row>
        <row r="3266">
          <cell r="A3266" t="str">
            <v>JP3143700007</v>
          </cell>
          <cell r="E3266">
            <v>47.4998784</v>
          </cell>
        </row>
        <row r="3267">
          <cell r="A3267" t="str">
            <v>JP3144500000</v>
          </cell>
          <cell r="E3267">
            <v>26.254815600000001</v>
          </cell>
        </row>
        <row r="3268">
          <cell r="A3268" t="str">
            <v>JP3142700008</v>
          </cell>
          <cell r="E3268">
            <v>9.8710684799999999</v>
          </cell>
        </row>
        <row r="3269">
          <cell r="A3269" t="str">
            <v>US4657411066</v>
          </cell>
          <cell r="E3269">
            <v>90.112994188800002</v>
          </cell>
        </row>
        <row r="3270">
          <cell r="A3270" t="str">
            <v>US45073V1089</v>
          </cell>
          <cell r="E3270">
            <v>112.0409602512</v>
          </cell>
        </row>
        <row r="3271">
          <cell r="A3271" t="str">
            <v>GB0033986497</v>
          </cell>
          <cell r="E3271">
            <v>0.85822876600000009</v>
          </cell>
        </row>
        <row r="3272">
          <cell r="A3272" t="str">
            <v>CA46579R1047</v>
          </cell>
          <cell r="E3272">
            <v>7.6356712541999991</v>
          </cell>
        </row>
        <row r="3273">
          <cell r="A3273" t="str">
            <v>AU000000IGL0</v>
          </cell>
          <cell r="E3273">
            <v>1.3278194968000001</v>
          </cell>
        </row>
        <row r="3274">
          <cell r="A3274" t="str">
            <v>NL0015000LU4</v>
          </cell>
          <cell r="E3274">
            <v>14.29</v>
          </cell>
        </row>
        <row r="3275">
          <cell r="A3275" t="str">
            <v>IT0005554784</v>
          </cell>
          <cell r="E3275">
            <v>2.4500000000000002</v>
          </cell>
        </row>
        <row r="3276">
          <cell r="A3276" t="str">
            <v>JP3149950002</v>
          </cell>
          <cell r="E3276">
            <v>13.31604664</v>
          </cell>
        </row>
        <row r="3277">
          <cell r="A3277" t="str">
            <v>JP3150100000</v>
          </cell>
          <cell r="E3277">
            <v>12.80888648</v>
          </cell>
        </row>
        <row r="3278">
          <cell r="A3278" t="str">
            <v>JP3151600008</v>
          </cell>
          <cell r="E3278">
            <v>7.9444783600000006</v>
          </cell>
        </row>
        <row r="3279">
          <cell r="A3279" t="str">
            <v>JP3149700001</v>
          </cell>
          <cell r="E3279">
            <v>9.2835048800000006</v>
          </cell>
        </row>
        <row r="3280">
          <cell r="A3280" t="str">
            <v>JP3138400001</v>
          </cell>
          <cell r="E3280">
            <v>20.29259128</v>
          </cell>
        </row>
        <row r="3281">
          <cell r="A3281" t="str">
            <v>US4660321096</v>
          </cell>
          <cell r="E3281">
            <v>117.3552257784</v>
          </cell>
        </row>
        <row r="3282">
          <cell r="A3282" t="str">
            <v>GB0001638955</v>
          </cell>
          <cell r="E3282">
            <v>7.1967275949999996</v>
          </cell>
        </row>
        <row r="3283">
          <cell r="A3283" t="str">
            <v>GB00B019KW72</v>
          </cell>
          <cell r="E3283">
            <v>2.8857065319999999</v>
          </cell>
        </row>
        <row r="3284">
          <cell r="A3284" t="str">
            <v>JP3142350002</v>
          </cell>
          <cell r="E3284">
            <v>2.3440695200000001</v>
          </cell>
        </row>
        <row r="3285">
          <cell r="A3285" t="str">
            <v>JP3386380004</v>
          </cell>
          <cell r="E3285">
            <v>10.89775856</v>
          </cell>
        </row>
        <row r="3286">
          <cell r="A3286" t="str">
            <v>US4456581077</v>
          </cell>
          <cell r="E3286">
            <v>119.2708331196</v>
          </cell>
        </row>
        <row r="3287">
          <cell r="A3287" t="str">
            <v>US8326964058</v>
          </cell>
          <cell r="E3287">
            <v>102.6394772172</v>
          </cell>
        </row>
        <row r="3288">
          <cell r="A3288" t="str">
            <v>PTJMT0AE0001</v>
          </cell>
          <cell r="E3288">
            <v>20.46</v>
          </cell>
        </row>
        <row r="3289">
          <cell r="A3289" t="str">
            <v>US4663131039</v>
          </cell>
          <cell r="E3289">
            <v>119.62394046359999</v>
          </cell>
        </row>
        <row r="3290">
          <cell r="A3290" t="str">
            <v>JP3386130003</v>
          </cell>
          <cell r="E3290">
            <v>5.03449232</v>
          </cell>
        </row>
        <row r="3291">
          <cell r="A3291" t="str">
            <v>JP3388600003</v>
          </cell>
          <cell r="E3291">
            <v>21.770777599999999</v>
          </cell>
        </row>
        <row r="3292">
          <cell r="A3292" t="str">
            <v>US4262811015</v>
          </cell>
          <cell r="E3292">
            <v>153.55755622199999</v>
          </cell>
        </row>
        <row r="3293">
          <cell r="A3293" t="str">
            <v>US4663671091</v>
          </cell>
          <cell r="E3293">
            <v>20.930437815600001</v>
          </cell>
        </row>
        <row r="3294">
          <cell r="A3294" t="str">
            <v>US46817M1071</v>
          </cell>
          <cell r="E3294">
            <v>64.3273303932</v>
          </cell>
        </row>
        <row r="3295">
          <cell r="A3295" t="str">
            <v>US46982L1089</v>
          </cell>
          <cell r="E3295">
            <v>103.73410998360001</v>
          </cell>
        </row>
        <row r="3296">
          <cell r="A3296" t="str">
            <v>FR0012872141</v>
          </cell>
          <cell r="E3296">
            <v>5.0999999999999996</v>
          </cell>
        </row>
        <row r="3297">
          <cell r="A3297" t="str">
            <v>FR0000033904</v>
          </cell>
          <cell r="E3297">
            <v>19.98</v>
          </cell>
        </row>
        <row r="3298">
          <cell r="A3298" t="str">
            <v>NO0010359433</v>
          </cell>
          <cell r="E3298">
            <v>28.7578157465</v>
          </cell>
        </row>
        <row r="3299">
          <cell r="A3299" t="str">
            <v>JP3389900006</v>
          </cell>
          <cell r="E3299">
            <v>12.52128956</v>
          </cell>
        </row>
        <row r="3300">
          <cell r="A3300" t="str">
            <v>JP3390220006</v>
          </cell>
          <cell r="E3300">
            <v>1.74413616</v>
          </cell>
        </row>
        <row r="3301">
          <cell r="A3301" t="str">
            <v>GB00B0LS8535</v>
          </cell>
          <cell r="E3301">
            <v>1.6778723149999999</v>
          </cell>
        </row>
        <row r="3302">
          <cell r="A3302" t="str">
            <v>AU000000JHX1</v>
          </cell>
          <cell r="E3302">
            <v>19.804765375999999</v>
          </cell>
        </row>
        <row r="3303">
          <cell r="A3303" t="str">
            <v>US47074L1052</v>
          </cell>
          <cell r="E3303">
            <v>9.8075564796000005</v>
          </cell>
        </row>
        <row r="3304">
          <cell r="A3304" t="str">
            <v>CA4707481046</v>
          </cell>
          <cell r="E3304">
            <v>19.409711301200002</v>
          </cell>
        </row>
        <row r="3305">
          <cell r="A3305" t="str">
            <v>JE00BYPZJM29</v>
          </cell>
          <cell r="E3305">
            <v>27.6394773516</v>
          </cell>
        </row>
        <row r="3306">
          <cell r="A3306" t="str">
            <v>US47103N1063</v>
          </cell>
          <cell r="E3306">
            <v>5.5349576171999999</v>
          </cell>
        </row>
        <row r="3307">
          <cell r="A3307" t="str">
            <v>US47103J1051</v>
          </cell>
          <cell r="E3307">
            <v>25.6532485416</v>
          </cell>
        </row>
        <row r="3308">
          <cell r="A3308" t="str">
            <v>JP3699400002</v>
          </cell>
          <cell r="E3308">
            <v>23.032493120000002</v>
          </cell>
        </row>
        <row r="3309">
          <cell r="A3309" t="str">
            <v>JP3705200008</v>
          </cell>
          <cell r="E3309">
            <v>14.97977936</v>
          </cell>
        </row>
        <row r="3310">
          <cell r="A3310" t="str">
            <v>JP3705600009</v>
          </cell>
          <cell r="E3310">
            <v>14.35510648</v>
          </cell>
        </row>
        <row r="3311">
          <cell r="A3311" t="str">
            <v>JP3697800005</v>
          </cell>
          <cell r="E3311">
            <v>6.06736728</v>
          </cell>
        </row>
        <row r="3312">
          <cell r="A3312" t="str">
            <v>JP3389660006</v>
          </cell>
          <cell r="E3312">
            <v>9.8958080000000004E-2</v>
          </cell>
        </row>
        <row r="3313">
          <cell r="A3313" t="str">
            <v>JP3735300000</v>
          </cell>
          <cell r="E3313">
            <v>10.2359764</v>
          </cell>
        </row>
        <row r="3314">
          <cell r="A3314" t="str">
            <v>JP3389510003</v>
          </cell>
          <cell r="E3314">
            <v>18.863883999999999</v>
          </cell>
        </row>
        <row r="3315">
          <cell r="A3315" t="str">
            <v>JP3046420000</v>
          </cell>
          <cell r="E3315">
            <v>791.04615200000001</v>
          </cell>
        </row>
        <row r="3316">
          <cell r="A3316" t="str">
            <v>JP3183200009</v>
          </cell>
          <cell r="E3316">
            <v>9.4628664000000011</v>
          </cell>
        </row>
        <row r="3317">
          <cell r="A3317" t="str">
            <v>JP3389460001</v>
          </cell>
          <cell r="E3317">
            <v>12.920214319999999</v>
          </cell>
        </row>
        <row r="3318">
          <cell r="A3318" t="str">
            <v>JP3046400002</v>
          </cell>
          <cell r="E3318">
            <v>430.467648</v>
          </cell>
        </row>
        <row r="3319">
          <cell r="A3319" t="str">
            <v>JP3389470000</v>
          </cell>
          <cell r="E3319">
            <v>9.877253360000001</v>
          </cell>
        </row>
        <row r="3320">
          <cell r="A3320" t="str">
            <v>JP3754500001</v>
          </cell>
          <cell r="E3320">
            <v>9.0299247999999999</v>
          </cell>
        </row>
        <row r="3321">
          <cell r="A3321" t="str">
            <v>JP3046230003</v>
          </cell>
          <cell r="E3321">
            <v>572.71988799999997</v>
          </cell>
        </row>
        <row r="3322">
          <cell r="A3322" t="str">
            <v>JP3389680004</v>
          </cell>
          <cell r="E3322">
            <v>6.5745274400000007</v>
          </cell>
        </row>
        <row r="3323">
          <cell r="A3323" t="str">
            <v>JP3039710003</v>
          </cell>
          <cell r="E3323">
            <v>591.27452800000003</v>
          </cell>
        </row>
        <row r="3324">
          <cell r="A3324" t="str">
            <v>JP3421100003</v>
          </cell>
          <cell r="E3324">
            <v>6.2776531999999996</v>
          </cell>
        </row>
        <row r="3325">
          <cell r="A3325" t="str">
            <v>JP3946750001</v>
          </cell>
          <cell r="E3325">
            <v>8.637184920000001</v>
          </cell>
        </row>
        <row r="3326">
          <cell r="A3326" t="str">
            <v>JP3752900005</v>
          </cell>
          <cell r="E3326">
            <v>8.1454869599999995</v>
          </cell>
        </row>
        <row r="3327">
          <cell r="A3327" t="str">
            <v>JP3233250004</v>
          </cell>
          <cell r="E3327">
            <v>16.275511720000001</v>
          </cell>
        </row>
        <row r="3328">
          <cell r="A3328" t="str">
            <v>JP3040890000</v>
          </cell>
          <cell r="E3328">
            <v>2164.7080000000001</v>
          </cell>
        </row>
        <row r="3329">
          <cell r="A3329" t="str">
            <v>JP3694000005</v>
          </cell>
          <cell r="E3329">
            <v>3.5439362399999998</v>
          </cell>
        </row>
        <row r="3330">
          <cell r="A3330" t="str">
            <v>JP3027680002</v>
          </cell>
          <cell r="E3330">
            <v>694.56202400000006</v>
          </cell>
        </row>
        <row r="3331">
          <cell r="A3331" t="str">
            <v>JP3714400003</v>
          </cell>
          <cell r="E3331">
            <v>10.0813544</v>
          </cell>
        </row>
        <row r="3332">
          <cell r="A3332" t="str">
            <v>JP3721400004</v>
          </cell>
          <cell r="E3332">
            <v>35.44554728</v>
          </cell>
        </row>
        <row r="3333">
          <cell r="A3333" t="str">
            <v>JP3726800000</v>
          </cell>
          <cell r="E3333">
            <v>26.032159920000002</v>
          </cell>
        </row>
        <row r="3334">
          <cell r="A3334" t="str">
            <v>JP3739600009</v>
          </cell>
          <cell r="E3334">
            <v>5.2262236</v>
          </cell>
        </row>
        <row r="3335">
          <cell r="A3335" t="str">
            <v>JP3700800000</v>
          </cell>
          <cell r="E3335">
            <v>8.5165797600000008</v>
          </cell>
        </row>
        <row r="3336">
          <cell r="A3336" t="str">
            <v>SG1AB9000005</v>
          </cell>
          <cell r="E3336">
            <v>0.41592593979999998</v>
          </cell>
        </row>
        <row r="3337">
          <cell r="A3337" t="str">
            <v>SG1B51001017</v>
          </cell>
          <cell r="E3337">
            <v>16.784624215800001</v>
          </cell>
        </row>
        <row r="3338">
          <cell r="A3338" t="str">
            <v>BMG507361001</v>
          </cell>
          <cell r="E3338">
            <v>34.984110106800003</v>
          </cell>
        </row>
        <row r="3339">
          <cell r="A3339" t="str">
            <v>IE00B4Q5ZN47</v>
          </cell>
          <cell r="E3339">
            <v>90.845691927600001</v>
          </cell>
        </row>
        <row r="3340">
          <cell r="A3340" t="str">
            <v>AU000000JBH7</v>
          </cell>
          <cell r="E3340">
            <v>54.744422473999997</v>
          </cell>
        </row>
        <row r="3341">
          <cell r="A3341" t="str">
            <v>JP3746800006</v>
          </cell>
          <cell r="E3341">
            <v>6.6858552800000002</v>
          </cell>
        </row>
        <row r="3342">
          <cell r="A3342" t="str">
            <v>US46590V1008</v>
          </cell>
          <cell r="E3342">
            <v>13.4004237048</v>
          </cell>
        </row>
        <row r="3343">
          <cell r="A3343" t="str">
            <v>US4778391049</v>
          </cell>
          <cell r="E3343">
            <v>84.984110017199995</v>
          </cell>
        </row>
        <row r="3344">
          <cell r="A3344" t="str">
            <v>FR0000077919</v>
          </cell>
          <cell r="E3344">
            <v>15.15</v>
          </cell>
        </row>
        <row r="3345">
          <cell r="A3345" t="str">
            <v>JP3701000006</v>
          </cell>
          <cell r="E3345">
            <v>2.6409437599999999</v>
          </cell>
        </row>
        <row r="3346">
          <cell r="A3346" t="str">
            <v>JP3166200000</v>
          </cell>
          <cell r="E3346">
            <v>19.296825599999998</v>
          </cell>
        </row>
        <row r="3347">
          <cell r="A3347" t="str">
            <v>GB00BM8Q5M07</v>
          </cell>
          <cell r="E3347">
            <v>0.87763829940000004</v>
          </cell>
        </row>
        <row r="3348">
          <cell r="A3348" t="str">
            <v>JP3707200006</v>
          </cell>
          <cell r="E3348">
            <v>2.88833896</v>
          </cell>
        </row>
        <row r="3349">
          <cell r="A3349" t="str">
            <v>NL0014332678</v>
          </cell>
          <cell r="E3349">
            <v>20.32</v>
          </cell>
        </row>
        <row r="3350">
          <cell r="A3350" t="str">
            <v>US47233W1099</v>
          </cell>
          <cell r="E3350">
            <v>38.983050777599999</v>
          </cell>
        </row>
        <row r="3351">
          <cell r="A3351" t="str">
            <v>US47580P1030</v>
          </cell>
          <cell r="E3351">
            <v>4.5374293703999999</v>
          </cell>
        </row>
        <row r="3352">
          <cell r="A3352" t="str">
            <v>DE000A2NB601</v>
          </cell>
          <cell r="E3352">
            <v>16.96</v>
          </cell>
        </row>
        <row r="3353">
          <cell r="A3353" t="str">
            <v>BE0003858751</v>
          </cell>
          <cell r="E3353">
            <v>43.4</v>
          </cell>
        </row>
        <row r="3354">
          <cell r="A3354" t="str">
            <v>JP3735000006</v>
          </cell>
          <cell r="E3354">
            <v>27.45468232</v>
          </cell>
        </row>
        <row r="3355">
          <cell r="A3355" t="str">
            <v>GB00B1722W11</v>
          </cell>
          <cell r="E3355">
            <v>15.305469410000001</v>
          </cell>
        </row>
        <row r="3356">
          <cell r="A3356" t="str">
            <v>JP3386030005</v>
          </cell>
          <cell r="E3356">
            <v>10.205052</v>
          </cell>
        </row>
        <row r="3357">
          <cell r="A3357" t="str">
            <v>IL0011684185</v>
          </cell>
          <cell r="E3357">
            <v>28.381002773999999</v>
          </cell>
        </row>
        <row r="3358">
          <cell r="A3358" t="str">
            <v>JP3667600005</v>
          </cell>
          <cell r="E3358">
            <v>6.56525012</v>
          </cell>
        </row>
        <row r="3359">
          <cell r="A3359" t="str">
            <v>KYG5140Y1162</v>
          </cell>
          <cell r="E3359">
            <v>0.14795593800000001</v>
          </cell>
        </row>
        <row r="3360">
          <cell r="A3360" t="str">
            <v>BMG5137R1088</v>
          </cell>
          <cell r="E3360">
            <v>0.45685702360000002</v>
          </cell>
        </row>
        <row r="3361">
          <cell r="A3361" t="str">
            <v>JP3386110005</v>
          </cell>
          <cell r="E3361">
            <v>54.426943999999999</v>
          </cell>
        </row>
        <row r="3362">
          <cell r="A3362" t="str">
            <v>JP3714200007</v>
          </cell>
          <cell r="E3362">
            <v>12.307911199999999</v>
          </cell>
        </row>
        <row r="3363">
          <cell r="A3363" t="str">
            <v>SE0000806994</v>
          </cell>
          <cell r="E3363">
            <v>13.180386714999999</v>
          </cell>
        </row>
        <row r="3364">
          <cell r="A3364" t="str">
            <v>JP3389690003</v>
          </cell>
          <cell r="E3364">
            <v>15.1838804</v>
          </cell>
        </row>
        <row r="3365">
          <cell r="A3365" t="str">
            <v>JP3386690006</v>
          </cell>
          <cell r="E3365">
            <v>18.746371280000002</v>
          </cell>
        </row>
        <row r="3366">
          <cell r="A3366" t="str">
            <v>KYG651631007</v>
          </cell>
          <cell r="E3366">
            <v>5.1818502732000002</v>
          </cell>
        </row>
        <row r="3367">
          <cell r="A3367" t="str">
            <v>US8004221078</v>
          </cell>
          <cell r="E3367">
            <v>59.498587464000011</v>
          </cell>
        </row>
        <row r="3368">
          <cell r="A3368" t="str">
            <v>SE0012481364</v>
          </cell>
          <cell r="E3368">
            <v>5.3261357920000014</v>
          </cell>
        </row>
        <row r="3369">
          <cell r="A3369" t="str">
            <v>US9682232064</v>
          </cell>
          <cell r="E3369">
            <v>37.773658124400001</v>
          </cell>
        </row>
        <row r="3370">
          <cell r="A3370" t="str">
            <v>GB00B5N0P849</v>
          </cell>
          <cell r="E3370">
            <v>0.26378257440000002</v>
          </cell>
        </row>
        <row r="3371">
          <cell r="A3371" t="str">
            <v>AU000000JLG8</v>
          </cell>
          <cell r="E3371">
            <v>1.1702815903999999</v>
          </cell>
        </row>
        <row r="3372">
          <cell r="A3372" t="str">
            <v>US4781601046</v>
          </cell>
          <cell r="E3372">
            <v>135.61087546319999</v>
          </cell>
        </row>
        <row r="3373">
          <cell r="A3373" t="str">
            <v>IE00BY7QL619</v>
          </cell>
          <cell r="E3373">
            <v>69.376765412400005</v>
          </cell>
        </row>
        <row r="3374">
          <cell r="A3374" t="str">
            <v>BMG5150J1577</v>
          </cell>
          <cell r="E3374">
            <v>1.4772831348</v>
          </cell>
        </row>
        <row r="3375">
          <cell r="A3375" t="str">
            <v>GB00BZ4BQC70</v>
          </cell>
          <cell r="E3375">
            <v>14.030988000000001</v>
          </cell>
        </row>
        <row r="3376">
          <cell r="A3376" t="str">
            <v>GB0004762810</v>
          </cell>
          <cell r="E3376">
            <v>1.54340868</v>
          </cell>
        </row>
        <row r="3377">
          <cell r="A3377" t="str">
            <v>JP3840000008</v>
          </cell>
          <cell r="E3377">
            <v>12.555306399999999</v>
          </cell>
        </row>
        <row r="3378">
          <cell r="A3378" t="str">
            <v>US48020Q1076</v>
          </cell>
          <cell r="E3378">
            <v>190.25423694720001</v>
          </cell>
        </row>
        <row r="3379">
          <cell r="A3379" t="str">
            <v>JP3393000009</v>
          </cell>
          <cell r="E3379">
            <v>13.14287</v>
          </cell>
        </row>
        <row r="3380">
          <cell r="A3380" t="str">
            <v>JP3392920009</v>
          </cell>
          <cell r="E3380">
            <v>12.586230799999999</v>
          </cell>
        </row>
        <row r="3381">
          <cell r="A3381" t="str">
            <v>JP3386190007</v>
          </cell>
          <cell r="E3381">
            <v>3.9459534399999998</v>
          </cell>
        </row>
        <row r="3382">
          <cell r="A3382" t="str">
            <v>US46625H1005</v>
          </cell>
          <cell r="E3382">
            <v>205.79978776679999</v>
          </cell>
        </row>
        <row r="3383">
          <cell r="A3383" t="str">
            <v>JP3247010006</v>
          </cell>
          <cell r="E3383">
            <v>22.537702719999999</v>
          </cell>
        </row>
        <row r="3384">
          <cell r="A3384" t="str">
            <v>JP3386630002</v>
          </cell>
          <cell r="E3384">
            <v>20.317330800000001</v>
          </cell>
        </row>
        <row r="3385">
          <cell r="A3385" t="str">
            <v>JP3386000008</v>
          </cell>
          <cell r="E3385">
            <v>11.31214552</v>
          </cell>
        </row>
        <row r="3386">
          <cell r="A3386" t="str">
            <v>JE00BF4X3P53</v>
          </cell>
          <cell r="E3386">
            <v>10.30108369</v>
          </cell>
        </row>
        <row r="3387">
          <cell r="A3387" t="str">
            <v>JP3292200007</v>
          </cell>
          <cell r="E3387">
            <v>5.9566579280000003</v>
          </cell>
        </row>
        <row r="3388">
          <cell r="A3388" t="str">
            <v>GB0032398678</v>
          </cell>
          <cell r="E3388">
            <v>78.807382599999997</v>
          </cell>
        </row>
        <row r="3389">
          <cell r="A3389" t="str">
            <v>AU0000182271</v>
          </cell>
          <cell r="E3389">
            <v>0.95085379219999999</v>
          </cell>
        </row>
        <row r="3390">
          <cell r="A3390" t="str">
            <v>CH0102484968</v>
          </cell>
          <cell r="E3390">
            <v>53.80628450999999</v>
          </cell>
        </row>
        <row r="3391">
          <cell r="A3391" t="str">
            <v>AU000000JIN0</v>
          </cell>
          <cell r="E3391">
            <v>5.6938700455999998</v>
          </cell>
        </row>
        <row r="3392">
          <cell r="A3392" t="str">
            <v>CH0017875789</v>
          </cell>
          <cell r="E3392">
            <v>205.8093082</v>
          </cell>
        </row>
        <row r="3393">
          <cell r="A3393" t="str">
            <v>DE0006219934</v>
          </cell>
          <cell r="E3393">
            <v>30.6</v>
          </cell>
        </row>
        <row r="3394">
          <cell r="A3394" t="str">
            <v>US48203R1041</v>
          </cell>
          <cell r="E3394">
            <v>30.605579041199999</v>
          </cell>
        </row>
        <row r="3395">
          <cell r="A3395" t="str">
            <v>GB00B53P2009</v>
          </cell>
          <cell r="E3395">
            <v>0.85939801500000002</v>
          </cell>
        </row>
        <row r="3396">
          <cell r="A3396" t="str">
            <v>JP3392650002</v>
          </cell>
          <cell r="E3396">
            <v>25.636327600000001</v>
          </cell>
        </row>
        <row r="3397">
          <cell r="A3397" t="str">
            <v>NL0012015705</v>
          </cell>
          <cell r="E3397">
            <v>19.239999999999998</v>
          </cell>
        </row>
        <row r="3398">
          <cell r="A3398" t="str">
            <v>GB00BCRX1J15</v>
          </cell>
          <cell r="E3398">
            <v>1.62525611</v>
          </cell>
        </row>
        <row r="3399">
          <cell r="A3399" t="str">
            <v>JP3388450003</v>
          </cell>
          <cell r="E3399">
            <v>20.069935600000001</v>
          </cell>
        </row>
        <row r="3400">
          <cell r="A3400" t="str">
            <v>IT0005572778</v>
          </cell>
          <cell r="E3400">
            <v>2.9980000000000002</v>
          </cell>
        </row>
        <row r="3401">
          <cell r="A3401" t="str">
            <v>JP3386410009</v>
          </cell>
          <cell r="E3401">
            <v>6.2621910000000014</v>
          </cell>
        </row>
        <row r="3402">
          <cell r="A3402" t="str">
            <v>DK0010307958</v>
          </cell>
          <cell r="E3402">
            <v>69.790961379999999</v>
          </cell>
        </row>
        <row r="3403">
          <cell r="A3403" t="str">
            <v>DE000KSAG888</v>
          </cell>
          <cell r="E3403">
            <v>13.55</v>
          </cell>
        </row>
        <row r="3404">
          <cell r="A3404" t="str">
            <v>JP3277020008</v>
          </cell>
          <cell r="E3404">
            <v>16.09924264</v>
          </cell>
        </row>
        <row r="3405">
          <cell r="A3405" t="str">
            <v>CA4991131083</v>
          </cell>
          <cell r="E3405">
            <v>8.1878769059999996</v>
          </cell>
        </row>
        <row r="3406">
          <cell r="A3406" t="str">
            <v>US48282T1043</v>
          </cell>
          <cell r="E3406">
            <v>281.647245258</v>
          </cell>
        </row>
        <row r="3407">
          <cell r="A3407" t="str">
            <v>JP3214350005</v>
          </cell>
          <cell r="E3407">
            <v>23.855082159999998</v>
          </cell>
        </row>
        <row r="3408">
          <cell r="A3408" t="str">
            <v>JP3206200002</v>
          </cell>
          <cell r="E3408">
            <v>15.128216480000001</v>
          </cell>
        </row>
        <row r="3409">
          <cell r="A3409" t="str">
            <v>JP3208200000</v>
          </cell>
          <cell r="E3409">
            <v>18.678337599999999</v>
          </cell>
        </row>
        <row r="3410">
          <cell r="A3410" t="str">
            <v>JP3205670007</v>
          </cell>
          <cell r="E3410">
            <v>5.1643748</v>
          </cell>
        </row>
        <row r="3411">
          <cell r="A3411" t="str">
            <v>GB00BZ0D6727</v>
          </cell>
          <cell r="E3411">
            <v>8.1672042650000005</v>
          </cell>
        </row>
        <row r="3412">
          <cell r="A3412" t="str">
            <v>US4830077040</v>
          </cell>
          <cell r="E3412">
            <v>48.207980139599997</v>
          </cell>
        </row>
        <row r="3413">
          <cell r="A3413" t="str">
            <v>JP3210200006</v>
          </cell>
          <cell r="E3413">
            <v>18.69689224</v>
          </cell>
        </row>
        <row r="3414">
          <cell r="A3414" t="str">
            <v>JP3206000006</v>
          </cell>
          <cell r="E3414">
            <v>13.2665676</v>
          </cell>
        </row>
        <row r="3415">
          <cell r="A3415" t="str">
            <v>JP3207000005</v>
          </cell>
          <cell r="E3415">
            <v>24.900326880000001</v>
          </cell>
        </row>
        <row r="3416">
          <cell r="A3416" t="str">
            <v>JP3206500005</v>
          </cell>
          <cell r="E3416">
            <v>18.585564399999999</v>
          </cell>
        </row>
        <row r="3417">
          <cell r="A3417" t="str">
            <v>NO0010884794</v>
          </cell>
          <cell r="E3417">
            <v>1.450604418</v>
          </cell>
        </row>
        <row r="3418">
          <cell r="A3418" t="str">
            <v>FI4000571054</v>
          </cell>
          <cell r="E3418">
            <v>26.28</v>
          </cell>
        </row>
        <row r="3419">
          <cell r="A3419" t="str">
            <v>FR0010722819</v>
          </cell>
          <cell r="E3419">
            <v>0.60799999999999998</v>
          </cell>
        </row>
        <row r="3420">
          <cell r="A3420" t="str">
            <v>IL0010941198</v>
          </cell>
          <cell r="E3420">
            <v>5.5204829999999996</v>
          </cell>
        </row>
        <row r="3421">
          <cell r="A3421" t="str">
            <v>MT0000780107</v>
          </cell>
          <cell r="E3421">
            <v>10.34637865</v>
          </cell>
        </row>
        <row r="3422">
          <cell r="A3422" t="str">
            <v>JP3219800004</v>
          </cell>
          <cell r="E3422">
            <v>24.863217599999999</v>
          </cell>
        </row>
        <row r="3423">
          <cell r="A3423" t="str">
            <v>JP3219400003</v>
          </cell>
          <cell r="E3423">
            <v>11.07712008</v>
          </cell>
        </row>
        <row r="3424">
          <cell r="A3424" t="str">
            <v>JP3219000001</v>
          </cell>
          <cell r="E3424">
            <v>20.53998648</v>
          </cell>
        </row>
        <row r="3425">
          <cell r="A3425" t="str">
            <v>JP3215000005</v>
          </cell>
          <cell r="E3425">
            <v>8.6093529600000007</v>
          </cell>
        </row>
        <row r="3426">
          <cell r="A3426" t="str">
            <v>JP3215200001</v>
          </cell>
          <cell r="E3426">
            <v>19.173127999999998</v>
          </cell>
        </row>
        <row r="3427">
          <cell r="A3427" t="str">
            <v>JP3230600003</v>
          </cell>
          <cell r="E3427">
            <v>16.362100040000001</v>
          </cell>
        </row>
        <row r="3428">
          <cell r="A3428" t="str">
            <v>JP3215800008</v>
          </cell>
          <cell r="E3428">
            <v>21.003852479999999</v>
          </cell>
        </row>
        <row r="3429">
          <cell r="A3429" t="str">
            <v>JP3217100001</v>
          </cell>
          <cell r="E3429">
            <v>13.903610240000001</v>
          </cell>
        </row>
        <row r="3430">
          <cell r="A3430" t="str">
            <v>JP3233400005</v>
          </cell>
          <cell r="E3430">
            <v>21.925399599999999</v>
          </cell>
        </row>
        <row r="3431">
          <cell r="A3431" t="str">
            <v>JP3228600007</v>
          </cell>
          <cell r="E3431">
            <v>10.062799760000001</v>
          </cell>
        </row>
        <row r="3432">
          <cell r="A3432" t="str">
            <v>JP3229400001</v>
          </cell>
          <cell r="E3432">
            <v>13.0964834</v>
          </cell>
        </row>
        <row r="3433">
          <cell r="A3433" t="str">
            <v>JP3232600001</v>
          </cell>
          <cell r="E3433">
            <v>5.0468620800000004</v>
          </cell>
        </row>
        <row r="3434">
          <cell r="A3434" t="str">
            <v>JP3205800000</v>
          </cell>
          <cell r="E3434">
            <v>37.294826399999998</v>
          </cell>
        </row>
        <row r="3435">
          <cell r="A3435" t="str">
            <v>JP3212400000</v>
          </cell>
          <cell r="E3435">
            <v>8.9928155200000006</v>
          </cell>
        </row>
        <row r="3436">
          <cell r="A3436" t="str">
            <v>IL0011184475</v>
          </cell>
          <cell r="E3436">
            <v>1.245468969</v>
          </cell>
        </row>
        <row r="3437">
          <cell r="A3437" t="str">
            <v>CH0100837282</v>
          </cell>
          <cell r="E3437">
            <v>225.1376745</v>
          </cell>
        </row>
        <row r="3438">
          <cell r="A3438" t="str">
            <v>SE0017832173</v>
          </cell>
          <cell r="E3438">
            <v>4.0575798010000002</v>
          </cell>
        </row>
        <row r="3439">
          <cell r="A3439" t="str">
            <v>SE0012323715</v>
          </cell>
          <cell r="E3439">
            <v>8.0971659000000002</v>
          </cell>
        </row>
        <row r="3440">
          <cell r="A3440" t="str">
            <v>AU000000KAR6</v>
          </cell>
          <cell r="E3440">
            <v>0.68922834050000004</v>
          </cell>
        </row>
        <row r="3441">
          <cell r="A3441" t="str">
            <v>JP3211050004</v>
          </cell>
          <cell r="E3441">
            <v>77.4965464</v>
          </cell>
        </row>
        <row r="3442">
          <cell r="A3442" t="str">
            <v>JP3211400001</v>
          </cell>
          <cell r="E3442">
            <v>13.241828079999999</v>
          </cell>
        </row>
        <row r="3443">
          <cell r="A3443" t="str">
            <v>JP3932950003</v>
          </cell>
          <cell r="E3443">
            <v>12.43779368</v>
          </cell>
        </row>
        <row r="3444">
          <cell r="A3444" t="str">
            <v>JP3213300001</v>
          </cell>
          <cell r="E3444">
            <v>30.986248799999998</v>
          </cell>
        </row>
        <row r="3445">
          <cell r="A3445" t="str">
            <v>FR0004007813</v>
          </cell>
          <cell r="E3445">
            <v>31.2</v>
          </cell>
        </row>
        <row r="3446">
          <cell r="A3446" t="str">
            <v>JP3226300006</v>
          </cell>
          <cell r="E3446">
            <v>17.497025520000001</v>
          </cell>
        </row>
        <row r="3447">
          <cell r="A3447" t="str">
            <v>JP3221400009</v>
          </cell>
          <cell r="E3447">
            <v>16.173461199999998</v>
          </cell>
        </row>
        <row r="3448">
          <cell r="A3448" t="str">
            <v>JP3224200000</v>
          </cell>
          <cell r="E3448">
            <v>48.47708944</v>
          </cell>
        </row>
        <row r="3449">
          <cell r="A3449" t="str">
            <v>JP3223800008</v>
          </cell>
          <cell r="E3449">
            <v>11.15443108</v>
          </cell>
        </row>
        <row r="3450">
          <cell r="A3450" t="str">
            <v>US48666K1097</v>
          </cell>
          <cell r="E3450">
            <v>45.056497094400001</v>
          </cell>
        </row>
        <row r="3451">
          <cell r="A3451" t="str">
            <v>BE0003565737</v>
          </cell>
          <cell r="E3451">
            <v>80.42</v>
          </cell>
        </row>
        <row r="3452">
          <cell r="A3452" t="str">
            <v>BE0003867844</v>
          </cell>
          <cell r="E3452">
            <v>56.5</v>
          </cell>
        </row>
        <row r="3453">
          <cell r="A3453" t="str">
            <v>US48242W1062</v>
          </cell>
          <cell r="E3453">
            <v>44.359110090000001</v>
          </cell>
        </row>
        <row r="3454">
          <cell r="A3454" t="str">
            <v>JP3496400007</v>
          </cell>
          <cell r="E3454">
            <v>15.554973199999999</v>
          </cell>
        </row>
        <row r="3455">
          <cell r="A3455" t="str">
            <v>JP3236320002</v>
          </cell>
          <cell r="E3455">
            <v>24.677671199999999</v>
          </cell>
        </row>
        <row r="3456">
          <cell r="A3456" t="str">
            <v>JP3279400000</v>
          </cell>
          <cell r="E3456">
            <v>20.57091088</v>
          </cell>
        </row>
        <row r="3457">
          <cell r="A3457" t="str">
            <v>JP3279000008</v>
          </cell>
          <cell r="E3457">
            <v>8.9124120800000011</v>
          </cell>
        </row>
        <row r="3458">
          <cell r="A3458" t="str">
            <v>JP3280200001</v>
          </cell>
          <cell r="E3458">
            <v>9.3700932000000012</v>
          </cell>
        </row>
        <row r="3459">
          <cell r="A3459" t="str">
            <v>JP3277800003</v>
          </cell>
          <cell r="E3459">
            <v>23.855082159999998</v>
          </cell>
        </row>
        <row r="3460">
          <cell r="A3460" t="str">
            <v>JP3278600006</v>
          </cell>
          <cell r="E3460">
            <v>8.7083110399999999</v>
          </cell>
        </row>
        <row r="3461">
          <cell r="A3461" t="str">
            <v>JP3281600001</v>
          </cell>
          <cell r="E3461">
            <v>4.6262902400000003</v>
          </cell>
        </row>
        <row r="3462">
          <cell r="A3462" t="str">
            <v>US4878361082</v>
          </cell>
          <cell r="E3462">
            <v>72.651836028000005</v>
          </cell>
        </row>
        <row r="3463">
          <cell r="A3463" t="str">
            <v>GB0004866223</v>
          </cell>
          <cell r="E3463">
            <v>16.579950820000001</v>
          </cell>
        </row>
        <row r="3464">
          <cell r="A3464" t="str">
            <v>AU0000186678</v>
          </cell>
          <cell r="E3464">
            <v>1.4741046955999999</v>
          </cell>
        </row>
        <row r="3465">
          <cell r="A3465" t="str">
            <v>FI0009004824</v>
          </cell>
          <cell r="E3465">
            <v>19.82</v>
          </cell>
        </row>
        <row r="3466">
          <cell r="A3466" t="str">
            <v>US4884011002</v>
          </cell>
          <cell r="E3466">
            <v>51.703742845199997</v>
          </cell>
        </row>
        <row r="3467">
          <cell r="A3467" t="str">
            <v>FI4000513593</v>
          </cell>
          <cell r="E3467">
            <v>12</v>
          </cell>
        </row>
        <row r="3468">
          <cell r="A3468" t="str">
            <v>NL0000852531</v>
          </cell>
          <cell r="E3468">
            <v>10.4</v>
          </cell>
        </row>
        <row r="3469">
          <cell r="A3469" t="str">
            <v>JP3046270009</v>
          </cell>
          <cell r="E3469">
            <v>914.74375200000009</v>
          </cell>
        </row>
        <row r="3470">
          <cell r="A3470" t="str">
            <v>JP3281850002</v>
          </cell>
          <cell r="E3470">
            <v>11.299775759999999</v>
          </cell>
        </row>
        <row r="3471">
          <cell r="A3471" t="str">
            <v>IE00BDC5DG00</v>
          </cell>
          <cell r="E3471">
            <v>4.57</v>
          </cell>
        </row>
        <row r="3472">
          <cell r="A3472" t="str">
            <v>US4891701009</v>
          </cell>
          <cell r="E3472">
            <v>16.8079095744</v>
          </cell>
        </row>
        <row r="3473">
          <cell r="A3473" t="str">
            <v>US4893981070</v>
          </cell>
          <cell r="E3473">
            <v>5.9498587464000003</v>
          </cell>
        </row>
        <row r="3474">
          <cell r="A3474" t="str">
            <v>SG9999012629</v>
          </cell>
          <cell r="E3474">
            <v>24.962184000000001</v>
          </cell>
        </row>
        <row r="3475">
          <cell r="A3475" t="str">
            <v>US49177J1025</v>
          </cell>
          <cell r="E3475">
            <v>20.224223127599998</v>
          </cell>
        </row>
        <row r="3476">
          <cell r="A3476" t="str">
            <v>SG1U68934629</v>
          </cell>
          <cell r="E3476">
            <v>4.0452151887000003</v>
          </cell>
        </row>
        <row r="3477">
          <cell r="A3477" t="str">
            <v>SG1AF6000009</v>
          </cell>
          <cell r="E3477">
            <v>1.3349880971000001</v>
          </cell>
        </row>
        <row r="3478">
          <cell r="A3478" t="str">
            <v>SG1U48933923</v>
          </cell>
          <cell r="E3478">
            <v>0.27840204034999999</v>
          </cell>
        </row>
        <row r="3479">
          <cell r="A3479" t="str">
            <v>SG1EA1000007</v>
          </cell>
          <cell r="E3479">
            <v>0.16331214660000001</v>
          </cell>
        </row>
        <row r="3480">
          <cell r="A3480" t="str">
            <v>SG1T22929874</v>
          </cell>
          <cell r="E3480">
            <v>0.54003287345000006</v>
          </cell>
        </row>
        <row r="3481">
          <cell r="A3481" t="str">
            <v>FR0000121485</v>
          </cell>
          <cell r="E3481">
            <v>162.08000000000001</v>
          </cell>
        </row>
        <row r="3482">
          <cell r="A3482" t="str">
            <v>FR0013156007</v>
          </cell>
          <cell r="E3482">
            <v>0.55600000000000005</v>
          </cell>
        </row>
        <row r="3483">
          <cell r="A3483" t="str">
            <v>US4923271013</v>
          </cell>
          <cell r="E3483">
            <v>11.555437832400001</v>
          </cell>
        </row>
        <row r="3484">
          <cell r="A3484" t="str">
            <v>IE0004906560</v>
          </cell>
          <cell r="E3484">
            <v>93.25</v>
          </cell>
        </row>
        <row r="3485">
          <cell r="A3485" t="str">
            <v>BMG524181036</v>
          </cell>
          <cell r="E3485">
            <v>0.71132662499999999</v>
          </cell>
        </row>
        <row r="3486">
          <cell r="A3486" t="str">
            <v>BMG524401079</v>
          </cell>
          <cell r="E3486">
            <v>1.9507421363999999</v>
          </cell>
        </row>
        <row r="3487">
          <cell r="A3487" t="str">
            <v>FI0009000202</v>
          </cell>
          <cell r="E3487">
            <v>19.63</v>
          </cell>
        </row>
        <row r="3488">
          <cell r="A3488" t="str">
            <v>US49271V1008</v>
          </cell>
          <cell r="E3488">
            <v>31.241172260399999</v>
          </cell>
        </row>
        <row r="3489">
          <cell r="A3489" t="str">
            <v>JP3244800003</v>
          </cell>
          <cell r="E3489">
            <v>19.012321119999999</v>
          </cell>
        </row>
        <row r="3490">
          <cell r="A3490" t="str">
            <v>JP3236300004</v>
          </cell>
          <cell r="E3490">
            <v>12.80888648</v>
          </cell>
        </row>
        <row r="3491">
          <cell r="A3491" t="str">
            <v>US4932671088</v>
          </cell>
          <cell r="E3491">
            <v>12.57944913</v>
          </cell>
        </row>
        <row r="3492">
          <cell r="A3492" t="str">
            <v>JP3236200006</v>
          </cell>
          <cell r="E3492">
            <v>355.012112</v>
          </cell>
        </row>
        <row r="3493">
          <cell r="A3493" t="str">
            <v>CA4932711001</v>
          </cell>
          <cell r="E3493">
            <v>26.385274649799999</v>
          </cell>
        </row>
        <row r="3494">
          <cell r="A3494" t="str">
            <v>FR0004029411</v>
          </cell>
          <cell r="E3494">
            <v>7.1790000000000003</v>
          </cell>
        </row>
        <row r="3495">
          <cell r="A3495" t="str">
            <v>US49338L1035</v>
          </cell>
          <cell r="E3495">
            <v>120.84216080039999</v>
          </cell>
        </row>
        <row r="3496">
          <cell r="A3496" t="str">
            <v>BE0003880979</v>
          </cell>
          <cell r="E3496">
            <v>0.76500000000000001</v>
          </cell>
        </row>
        <row r="3497">
          <cell r="A3497" t="str">
            <v>SE0016101679</v>
          </cell>
          <cell r="E3497">
            <v>1.0794421829800001</v>
          </cell>
        </row>
        <row r="3498">
          <cell r="A3498" t="str">
            <v>US4937321010</v>
          </cell>
          <cell r="E3498">
            <v>39.344985805199997</v>
          </cell>
        </row>
        <row r="3499">
          <cell r="A3499" t="str">
            <v>JP3277040006</v>
          </cell>
          <cell r="E3499">
            <v>14.534468</v>
          </cell>
        </row>
        <row r="3500">
          <cell r="A3500" t="str">
            <v>NO0010743545</v>
          </cell>
          <cell r="E3500">
            <v>11.871613168</v>
          </cell>
        </row>
        <row r="3501">
          <cell r="A3501" t="str">
            <v>GB0004915632</v>
          </cell>
          <cell r="E3501">
            <v>1.5270391940000001</v>
          </cell>
        </row>
        <row r="3502">
          <cell r="A3502" t="str">
            <v>JP3240400006</v>
          </cell>
          <cell r="E3502">
            <v>9.3082443999999995</v>
          </cell>
        </row>
        <row r="3503">
          <cell r="A3503" t="str">
            <v>CA49410M1023</v>
          </cell>
          <cell r="E3503">
            <v>10.403046704599999</v>
          </cell>
        </row>
        <row r="3504">
          <cell r="A3504" t="str">
            <v>US49427F1084</v>
          </cell>
          <cell r="E3504">
            <v>27.692443453199999</v>
          </cell>
        </row>
        <row r="3505">
          <cell r="A3505" t="str">
            <v>US4943681035</v>
          </cell>
          <cell r="E3505">
            <v>124.88523988919999</v>
          </cell>
        </row>
        <row r="3506">
          <cell r="A3506" t="str">
            <v>US49446R1095</v>
          </cell>
          <cell r="E3506">
            <v>17.9113700244</v>
          </cell>
        </row>
        <row r="3507">
          <cell r="A3507" t="str">
            <v>PG000A143KS8</v>
          </cell>
          <cell r="E3507">
            <v>0.61327256420000009</v>
          </cell>
        </row>
        <row r="3508">
          <cell r="A3508" t="str">
            <v>CA49448Q1090</v>
          </cell>
          <cell r="E3508">
            <v>109.552523564</v>
          </cell>
        </row>
        <row r="3509">
          <cell r="A3509" t="str">
            <v>JP3263000006</v>
          </cell>
          <cell r="E3509">
            <v>20.335885439999998</v>
          </cell>
        </row>
        <row r="3510">
          <cell r="A3510" t="str">
            <v>US49456B1017</v>
          </cell>
          <cell r="E3510">
            <v>24.028954759200001</v>
          </cell>
        </row>
        <row r="3511">
          <cell r="A3511" t="str">
            <v>US49456W1053</v>
          </cell>
          <cell r="E3511">
            <v>10.019420886000001</v>
          </cell>
        </row>
        <row r="3512">
          <cell r="A3512" t="str">
            <v>TW0002520004</v>
          </cell>
          <cell r="E3512">
            <v>1.334110339</v>
          </cell>
        </row>
        <row r="3513">
          <cell r="A3513" t="str">
            <v>BE0974274061</v>
          </cell>
          <cell r="E3513">
            <v>31.55</v>
          </cell>
        </row>
        <row r="3514">
          <cell r="A3514" t="str">
            <v>US02215L2097</v>
          </cell>
          <cell r="E3514">
            <v>38.206214620799997</v>
          </cell>
        </row>
        <row r="3515">
          <cell r="A3515" t="str">
            <v>KYG525621408</v>
          </cell>
          <cell r="E3515">
            <v>2.2876264260000001</v>
          </cell>
        </row>
        <row r="3516">
          <cell r="A3516" t="str">
            <v>GB0033195214</v>
          </cell>
          <cell r="E3516">
            <v>3.1195563320000002</v>
          </cell>
        </row>
        <row r="3517">
          <cell r="A3517" t="str">
            <v>AU000000KCN1</v>
          </cell>
          <cell r="E3517">
            <v>0.86083213140000003</v>
          </cell>
        </row>
        <row r="3518">
          <cell r="A3518" t="str">
            <v>IE0004927939</v>
          </cell>
          <cell r="E3518">
            <v>74.400000000000006</v>
          </cell>
        </row>
        <row r="3519">
          <cell r="A3519" t="str">
            <v>SE0022060521</v>
          </cell>
          <cell r="E3519">
            <v>6.8340080195999997</v>
          </cell>
        </row>
        <row r="3520">
          <cell r="A3520" t="str">
            <v>CA4969024047</v>
          </cell>
          <cell r="E3520">
            <v>12.980006413</v>
          </cell>
        </row>
        <row r="3521">
          <cell r="A3521" t="str">
            <v>US49714P1084</v>
          </cell>
          <cell r="E3521">
            <v>427.4452675956</v>
          </cell>
        </row>
        <row r="3522">
          <cell r="A3522" t="str">
            <v>JP3250800004</v>
          </cell>
          <cell r="E3522">
            <v>12.512012240000001</v>
          </cell>
        </row>
        <row r="3523">
          <cell r="A3523" t="str">
            <v>JP3260800002</v>
          </cell>
          <cell r="E3523">
            <v>19.445262719999999</v>
          </cell>
        </row>
        <row r="3524">
          <cell r="A3524" t="str">
            <v>DE000KGX8881</v>
          </cell>
          <cell r="E3524">
            <v>34</v>
          </cell>
        </row>
        <row r="3525">
          <cell r="A3525" t="str">
            <v>JP3236330001</v>
          </cell>
          <cell r="E3525">
            <v>12.023406720000001</v>
          </cell>
        </row>
        <row r="3526">
          <cell r="A3526" t="str">
            <v>US4972661064</v>
          </cell>
          <cell r="E3526">
            <v>84.366172165199998</v>
          </cell>
        </row>
        <row r="3527">
          <cell r="A3527" t="str">
            <v>JP3258000003</v>
          </cell>
          <cell r="E3527">
            <v>13.1119456</v>
          </cell>
        </row>
        <row r="3528">
          <cell r="A3528" t="str">
            <v>JP3237000009</v>
          </cell>
          <cell r="E3528">
            <v>13.86031608</v>
          </cell>
        </row>
        <row r="3529">
          <cell r="A3529" t="str">
            <v>JP3240600001</v>
          </cell>
          <cell r="E3529">
            <v>22.482038800000002</v>
          </cell>
        </row>
        <row r="3530">
          <cell r="A3530" t="str">
            <v>JP3277620005</v>
          </cell>
          <cell r="E3530">
            <v>29.3472556</v>
          </cell>
        </row>
        <row r="3531">
          <cell r="A3531" t="str">
            <v>JP3238200004</v>
          </cell>
          <cell r="E3531">
            <v>17.35477328</v>
          </cell>
        </row>
        <row r="3532">
          <cell r="A3532" t="str">
            <v>US49803T3005</v>
          </cell>
          <cell r="E3532">
            <v>18.3527542044</v>
          </cell>
        </row>
        <row r="3533">
          <cell r="A3533" t="str">
            <v>NO0003079709</v>
          </cell>
          <cell r="E3533">
            <v>4.3351396400000004</v>
          </cell>
        </row>
        <row r="3534">
          <cell r="A3534" t="str">
            <v>JP3240700009</v>
          </cell>
          <cell r="E3534">
            <v>6.4879391200000001</v>
          </cell>
        </row>
        <row r="3535">
          <cell r="A3535" t="str">
            <v>NZKPGE0001S9</v>
          </cell>
          <cell r="E3535">
            <v>0.4476088305</v>
          </cell>
        </row>
        <row r="3536">
          <cell r="A3536" t="str">
            <v>JP3248000006</v>
          </cell>
          <cell r="E3536">
            <v>13.229458320000001</v>
          </cell>
        </row>
        <row r="3537">
          <cell r="A3537" t="str">
            <v>FR0013374667</v>
          </cell>
          <cell r="E3537">
            <v>0.17799999999999999</v>
          </cell>
        </row>
        <row r="3538">
          <cell r="A3538" t="str">
            <v>US48251W1045</v>
          </cell>
          <cell r="E3538">
            <v>92.01094616280001</v>
          </cell>
        </row>
        <row r="3539">
          <cell r="A3539" t="str">
            <v>US4824801009</v>
          </cell>
          <cell r="E3539">
            <v>596.93679271560006</v>
          </cell>
        </row>
        <row r="3540">
          <cell r="A3540" t="str">
            <v>FR0011038348</v>
          </cell>
          <cell r="E3540">
            <v>0.79200000000000004</v>
          </cell>
        </row>
        <row r="3541">
          <cell r="A3541" t="str">
            <v>NO0010833262</v>
          </cell>
          <cell r="E3541">
            <v>4.91871613</v>
          </cell>
        </row>
        <row r="3542">
          <cell r="A3542" t="str">
            <v>US49845K1016</v>
          </cell>
          <cell r="E3542">
            <v>23.543432161199998</v>
          </cell>
        </row>
        <row r="3543">
          <cell r="A3543" t="str">
            <v>FR0013481835</v>
          </cell>
          <cell r="E3543">
            <v>0.18060000000000001</v>
          </cell>
        </row>
        <row r="3544">
          <cell r="A3544" t="str">
            <v>FR0000121964</v>
          </cell>
          <cell r="E3544">
            <v>30.56</v>
          </cell>
        </row>
        <row r="3545">
          <cell r="A3545" t="str">
            <v>NO0010360175</v>
          </cell>
          <cell r="E3545">
            <v>4.8353480600000004E-3</v>
          </cell>
        </row>
        <row r="3546">
          <cell r="A3546" t="str">
            <v>NZKMDE0001S3</v>
          </cell>
          <cell r="E3546">
            <v>0.172761303</v>
          </cell>
        </row>
        <row r="3547">
          <cell r="A3547" t="str">
            <v>US4988941047</v>
          </cell>
          <cell r="E3547">
            <v>83.359816234800007</v>
          </cell>
        </row>
        <row r="3548">
          <cell r="A3548" t="str">
            <v>US4990491049</v>
          </cell>
          <cell r="E3548">
            <v>34.895833270799997</v>
          </cell>
        </row>
        <row r="3549">
          <cell r="A3549" t="str">
            <v>DE000KBX1006</v>
          </cell>
          <cell r="E3549">
            <v>81.25</v>
          </cell>
        </row>
        <row r="3550">
          <cell r="A3550" t="str">
            <v>SE0000421273</v>
          </cell>
          <cell r="E3550">
            <v>13.13540246</v>
          </cell>
        </row>
        <row r="3551">
          <cell r="A3551" t="str">
            <v>US49926D1090</v>
          </cell>
          <cell r="E3551">
            <v>12.791313536400001</v>
          </cell>
        </row>
        <row r="3552">
          <cell r="A3552" t="str">
            <v>JP3283400004</v>
          </cell>
          <cell r="E3552">
            <v>5.0530469600000014</v>
          </cell>
        </row>
        <row r="3553">
          <cell r="A3553" t="str">
            <v>JP3285800003</v>
          </cell>
          <cell r="E3553">
            <v>5.3622909600000002</v>
          </cell>
        </row>
        <row r="3554">
          <cell r="A3554" t="str">
            <v>JP3301100008</v>
          </cell>
          <cell r="E3554">
            <v>34.15909224</v>
          </cell>
        </row>
        <row r="3555">
          <cell r="A3555" t="str">
            <v>JP3291200008</v>
          </cell>
          <cell r="E3555">
            <v>26.557874720000001</v>
          </cell>
        </row>
        <row r="3556">
          <cell r="A3556" t="str">
            <v>JP3289800009</v>
          </cell>
          <cell r="E3556">
            <v>9.9607492400000002</v>
          </cell>
        </row>
        <row r="3557">
          <cell r="A3557" t="str">
            <v>US50012A1088</v>
          </cell>
          <cell r="E3557">
            <v>29.555084692800001</v>
          </cell>
        </row>
        <row r="3558">
          <cell r="A3558" t="str">
            <v>JP3283460008</v>
          </cell>
          <cell r="E3558">
            <v>14.21285424</v>
          </cell>
        </row>
        <row r="3559">
          <cell r="A3559" t="str">
            <v>AU000000KGN2</v>
          </cell>
          <cell r="E3559">
            <v>2.4699693182</v>
          </cell>
        </row>
        <row r="3560">
          <cell r="A3560" t="str">
            <v>US5002551043</v>
          </cell>
          <cell r="E3560">
            <v>5.5261299336</v>
          </cell>
        </row>
        <row r="3561">
          <cell r="A3561" t="str">
            <v>JP3283750002</v>
          </cell>
          <cell r="E3561">
            <v>22.482038800000002</v>
          </cell>
        </row>
        <row r="3562">
          <cell r="A3562" t="str">
            <v>JP3302100007</v>
          </cell>
          <cell r="E3562">
            <v>10.106093919999999</v>
          </cell>
        </row>
        <row r="3563">
          <cell r="A3563" t="str">
            <v>JP3284600008</v>
          </cell>
          <cell r="E3563">
            <v>10.736951680000001</v>
          </cell>
        </row>
        <row r="3564">
          <cell r="A3564" t="str">
            <v>FI4000312251</v>
          </cell>
          <cell r="E3564">
            <v>9.5449999999999999</v>
          </cell>
        </row>
        <row r="3565">
          <cell r="A3565" t="str">
            <v>JP3297380002</v>
          </cell>
          <cell r="E3565">
            <v>5.8818208800000003</v>
          </cell>
        </row>
        <row r="3566">
          <cell r="A3566" t="str">
            <v>JP3293330001</v>
          </cell>
          <cell r="E3566">
            <v>14.287072800000001</v>
          </cell>
        </row>
        <row r="3567">
          <cell r="A3567" t="str">
            <v>JP3297000006</v>
          </cell>
          <cell r="E3567">
            <v>16.733192840000001</v>
          </cell>
        </row>
        <row r="3568">
          <cell r="A3568" t="str">
            <v>JP3304200003</v>
          </cell>
          <cell r="E3568">
            <v>25.327083600000002</v>
          </cell>
        </row>
        <row r="3569">
          <cell r="A3569" t="str">
            <v>JP3304600004</v>
          </cell>
          <cell r="E3569">
            <v>4.64484488</v>
          </cell>
        </row>
        <row r="3570">
          <cell r="A3570" t="str">
            <v>JP3303200004</v>
          </cell>
          <cell r="E3570">
            <v>8.5969832000000004</v>
          </cell>
        </row>
        <row r="3571">
          <cell r="A3571" t="str">
            <v>CH0010702154</v>
          </cell>
          <cell r="E3571">
            <v>104.63232929999999</v>
          </cell>
        </row>
        <row r="3572">
          <cell r="A3572" t="str">
            <v>JP3305580007</v>
          </cell>
          <cell r="E3572">
            <v>17.775345120000001</v>
          </cell>
        </row>
        <row r="3573">
          <cell r="A3573" t="str">
            <v>JP3305600003</v>
          </cell>
          <cell r="E3573">
            <v>17.868118320000001</v>
          </cell>
        </row>
        <row r="3574">
          <cell r="A3574" t="str">
            <v>JP3305800009</v>
          </cell>
          <cell r="E3574">
            <v>6.7909982400000004</v>
          </cell>
        </row>
        <row r="3575">
          <cell r="A3575" t="str">
            <v>NO0011016040</v>
          </cell>
          <cell r="E3575">
            <v>0.96290120850000005</v>
          </cell>
        </row>
        <row r="3576">
          <cell r="A3576" t="str">
            <v>ES0105425005</v>
          </cell>
          <cell r="E3576">
            <v>1</v>
          </cell>
        </row>
        <row r="3577">
          <cell r="A3577" t="str">
            <v>JP3300200007</v>
          </cell>
          <cell r="E3577">
            <v>115.7191048</v>
          </cell>
        </row>
        <row r="3578">
          <cell r="A3578" t="str">
            <v>JP3306050000</v>
          </cell>
          <cell r="E3578">
            <v>8.6712017600000006</v>
          </cell>
        </row>
        <row r="3579">
          <cell r="A3579" t="str">
            <v>FI0009013403</v>
          </cell>
          <cell r="E3579">
            <v>51.48</v>
          </cell>
        </row>
        <row r="3580">
          <cell r="A3580" t="str">
            <v>FI0009005870</v>
          </cell>
          <cell r="E3580">
            <v>54.7</v>
          </cell>
        </row>
        <row r="3581">
          <cell r="A3581" t="str">
            <v>NO0003033102</v>
          </cell>
          <cell r="E3581">
            <v>0.11054606082</v>
          </cell>
        </row>
        <row r="3582">
          <cell r="A3582" t="str">
            <v>NO0003043309</v>
          </cell>
          <cell r="E3582">
            <v>135.764901995</v>
          </cell>
        </row>
        <row r="3583">
          <cell r="A3583" t="str">
            <v>JP3300600008</v>
          </cell>
          <cell r="E3583">
            <v>2.5320898719999998</v>
          </cell>
        </row>
        <row r="3584">
          <cell r="A3584" t="str">
            <v>JP3300800004</v>
          </cell>
          <cell r="E3584">
            <v>6.7415191999999999</v>
          </cell>
        </row>
        <row r="3585">
          <cell r="A3585" t="str">
            <v>JP3288970001</v>
          </cell>
          <cell r="E3585">
            <v>15.27046872</v>
          </cell>
        </row>
        <row r="3586">
          <cell r="A3586" t="str">
            <v>US50050N1037</v>
          </cell>
          <cell r="E3586">
            <v>48.923022511200003</v>
          </cell>
        </row>
        <row r="3587">
          <cell r="A3587" t="str">
            <v>AT0000A0E9W5</v>
          </cell>
          <cell r="E3587">
            <v>22</v>
          </cell>
        </row>
        <row r="3588">
          <cell r="A3588" t="str">
            <v>SE0000500779</v>
          </cell>
          <cell r="E3588">
            <v>10.16644163</v>
          </cell>
        </row>
        <row r="3589">
          <cell r="A3589" t="str">
            <v>US50060P1066</v>
          </cell>
          <cell r="E3589">
            <v>21.592514085600001</v>
          </cell>
        </row>
        <row r="3590">
          <cell r="A3590" t="str">
            <v>US5006432000</v>
          </cell>
          <cell r="E3590">
            <v>55.014124195199997</v>
          </cell>
        </row>
        <row r="3591">
          <cell r="A3591" t="str">
            <v>IL0011216723</v>
          </cell>
          <cell r="E3591">
            <v>17.0462570316</v>
          </cell>
        </row>
        <row r="3592">
          <cell r="A3592" t="str">
            <v>JP3287700003</v>
          </cell>
          <cell r="E3592">
            <v>3.1171795200000001</v>
          </cell>
        </row>
        <row r="3593">
          <cell r="A3593" t="str">
            <v>JP3283650004</v>
          </cell>
          <cell r="E3593">
            <v>37.146389280000001</v>
          </cell>
        </row>
        <row r="3594">
          <cell r="A3594" t="str">
            <v>JP3297360004</v>
          </cell>
          <cell r="E3594">
            <v>6.1415858400000003</v>
          </cell>
        </row>
        <row r="3595">
          <cell r="A3595" t="str">
            <v>US5006881065</v>
          </cell>
          <cell r="E3595">
            <v>1.4036016924000001</v>
          </cell>
        </row>
        <row r="3596">
          <cell r="A3596" t="str">
            <v>JP3299600001</v>
          </cell>
          <cell r="E3596">
            <v>12.644987159999999</v>
          </cell>
        </row>
        <row r="3597">
          <cell r="A3597" t="str">
            <v>JP3288940004</v>
          </cell>
          <cell r="E3597">
            <v>16.142536799999998</v>
          </cell>
        </row>
        <row r="3598">
          <cell r="A3598" t="str">
            <v>NL0000009082</v>
          </cell>
          <cell r="E3598">
            <v>4.024</v>
          </cell>
        </row>
        <row r="3599">
          <cell r="A3599" t="str">
            <v>JP3293350009</v>
          </cell>
          <cell r="E3599">
            <v>3.7727767999999999</v>
          </cell>
        </row>
        <row r="3600">
          <cell r="A3600" t="str">
            <v>NO0010815103</v>
          </cell>
          <cell r="E3600">
            <v>0.67111296350000005</v>
          </cell>
        </row>
        <row r="3601">
          <cell r="A3601" t="str">
            <v>US5007541064</v>
          </cell>
          <cell r="E3601">
            <v>25.971045151199998</v>
          </cell>
        </row>
        <row r="3602">
          <cell r="A3602" t="str">
            <v>US50077B2079</v>
          </cell>
          <cell r="E3602">
            <v>29.096045145600002</v>
          </cell>
        </row>
        <row r="3603">
          <cell r="A3603" t="str">
            <v>US50101L1061</v>
          </cell>
          <cell r="E3603">
            <v>3.5752118579999999</v>
          </cell>
        </row>
        <row r="3604">
          <cell r="A3604" t="str">
            <v>US5010441013</v>
          </cell>
          <cell r="E3604">
            <v>60.1518360504</v>
          </cell>
        </row>
        <row r="3605">
          <cell r="A3605" t="str">
            <v>DE0006335003</v>
          </cell>
          <cell r="E3605">
            <v>120.2</v>
          </cell>
        </row>
        <row r="3606">
          <cell r="A3606" t="str">
            <v>JP3272400007</v>
          </cell>
          <cell r="E3606">
            <v>14.7200144</v>
          </cell>
        </row>
        <row r="3607">
          <cell r="A3607" t="str">
            <v>IT0005573800</v>
          </cell>
          <cell r="E3607">
            <v>1.95</v>
          </cell>
        </row>
        <row r="3608">
          <cell r="A3608" t="str">
            <v>US5011471027</v>
          </cell>
          <cell r="E3608">
            <v>149.30261272679999</v>
          </cell>
        </row>
        <row r="3609">
          <cell r="A3609" t="str">
            <v>JP3277150003</v>
          </cell>
          <cell r="E3609">
            <v>7.8609824800000014</v>
          </cell>
        </row>
        <row r="3610">
          <cell r="A3610" t="str">
            <v>JP3266400005</v>
          </cell>
          <cell r="E3610">
            <v>10.0195056</v>
          </cell>
        </row>
        <row r="3611">
          <cell r="A3611" t="str">
            <v>CH0025238863</v>
          </cell>
          <cell r="E3611">
            <v>198.8986074</v>
          </cell>
        </row>
        <row r="3612">
          <cell r="A3612" t="str">
            <v>US5012421013</v>
          </cell>
          <cell r="E3612">
            <v>26.897951929200001</v>
          </cell>
        </row>
        <row r="3613">
          <cell r="A3613" t="str">
            <v>JP3266800006</v>
          </cell>
          <cell r="E3613">
            <v>24.121032</v>
          </cell>
        </row>
        <row r="3614">
          <cell r="A3614" t="str">
            <v>JP3267600009</v>
          </cell>
          <cell r="E3614">
            <v>4.8180215200000003</v>
          </cell>
        </row>
        <row r="3615">
          <cell r="A3615" t="str">
            <v>FR0013419876</v>
          </cell>
          <cell r="E3615">
            <v>4.8</v>
          </cell>
        </row>
        <row r="3616">
          <cell r="A3616" t="str">
            <v>US50127T1097</v>
          </cell>
          <cell r="E3616">
            <v>5.3230932108000006</v>
          </cell>
        </row>
        <row r="3617">
          <cell r="A3617" t="str">
            <v>JP3268200007</v>
          </cell>
          <cell r="E3617">
            <v>20.6884236</v>
          </cell>
        </row>
        <row r="3618">
          <cell r="A3618" t="str">
            <v>JP3268800004</v>
          </cell>
          <cell r="E3618">
            <v>35.191967200000001</v>
          </cell>
        </row>
        <row r="3619">
          <cell r="A3619" t="str">
            <v>JP3269600007</v>
          </cell>
          <cell r="E3619">
            <v>10.06898464</v>
          </cell>
        </row>
        <row r="3620">
          <cell r="A3620" t="str">
            <v>JP3271600003</v>
          </cell>
          <cell r="E3620">
            <v>15.418905840000001</v>
          </cell>
        </row>
        <row r="3621">
          <cell r="A3621" t="str">
            <v>JP3270800000</v>
          </cell>
          <cell r="E3621">
            <v>27.275320799999999</v>
          </cell>
        </row>
        <row r="3622">
          <cell r="A3622" t="str">
            <v>JP3270000007</v>
          </cell>
          <cell r="E3622">
            <v>28.518481680000001</v>
          </cell>
        </row>
        <row r="3623">
          <cell r="A3623" t="str">
            <v>CH0325814116</v>
          </cell>
          <cell r="E3623">
            <v>23.928301520000002</v>
          </cell>
        </row>
        <row r="3624">
          <cell r="A3624" t="str">
            <v>JP3266190002</v>
          </cell>
          <cell r="E3624">
            <v>19.92768336</v>
          </cell>
        </row>
        <row r="3625">
          <cell r="A3625" t="str">
            <v>IL0011849028</v>
          </cell>
          <cell r="E3625">
            <v>12.289075199999999</v>
          </cell>
        </row>
        <row r="3626">
          <cell r="A3626" t="str">
            <v>JP3220200004</v>
          </cell>
          <cell r="E3626">
            <v>17.002235120000002</v>
          </cell>
        </row>
        <row r="3627">
          <cell r="A3627" t="str">
            <v>US5015751044</v>
          </cell>
          <cell r="E3627">
            <v>22.475282445600001</v>
          </cell>
        </row>
        <row r="3628">
          <cell r="A3628" t="str">
            <v>US50155Q1004</v>
          </cell>
          <cell r="E3628">
            <v>26.7390536244</v>
          </cell>
        </row>
        <row r="3629">
          <cell r="A3629" t="str">
            <v>JP3249600002</v>
          </cell>
          <cell r="E3629">
            <v>10.155572960000001</v>
          </cell>
        </row>
        <row r="3630">
          <cell r="A3630" t="str">
            <v>JP3252800002</v>
          </cell>
          <cell r="E3630">
            <v>6.0797370400000004</v>
          </cell>
        </row>
        <row r="3631">
          <cell r="A3631" t="str">
            <v>JP3247400009</v>
          </cell>
          <cell r="E3631">
            <v>11.13896888</v>
          </cell>
        </row>
        <row r="3632">
          <cell r="A3632" t="str">
            <v>JP3256900006</v>
          </cell>
          <cell r="E3632">
            <v>13.748988239999999</v>
          </cell>
        </row>
        <row r="3633">
          <cell r="A3633" t="str">
            <v>JP3256970009</v>
          </cell>
          <cell r="E3633">
            <v>8.2629996800000001</v>
          </cell>
        </row>
        <row r="3634">
          <cell r="A3634" t="str">
            <v>JP3257200000</v>
          </cell>
          <cell r="E3634">
            <v>25.234310399999998</v>
          </cell>
        </row>
        <row r="3635">
          <cell r="A3635" t="str">
            <v>JP3247090008</v>
          </cell>
          <cell r="E3635">
            <v>8.9371516</v>
          </cell>
        </row>
        <row r="3636">
          <cell r="A3636" t="str">
            <v>JP3253900009</v>
          </cell>
          <cell r="E3636">
            <v>18.48351388</v>
          </cell>
        </row>
        <row r="3637">
          <cell r="A3637" t="str">
            <v>JP3252200005</v>
          </cell>
          <cell r="E3637">
            <v>12.512012240000001</v>
          </cell>
        </row>
        <row r="3638">
          <cell r="A3638" t="str">
            <v>JP3256000005</v>
          </cell>
          <cell r="E3638">
            <v>13.40881984</v>
          </cell>
        </row>
        <row r="3639">
          <cell r="A3639" t="str">
            <v>JP3247050002</v>
          </cell>
          <cell r="E3639">
            <v>28.994717439999999</v>
          </cell>
        </row>
        <row r="3640">
          <cell r="A3640" t="str">
            <v>JP3246400000</v>
          </cell>
          <cell r="E3640">
            <v>7.6166797199999996</v>
          </cell>
        </row>
        <row r="3641">
          <cell r="A3641" t="str">
            <v>JP3246500007</v>
          </cell>
          <cell r="E3641">
            <v>3.9669820320000002</v>
          </cell>
        </row>
        <row r="3642">
          <cell r="A3642" t="str">
            <v>US5024311095</v>
          </cell>
          <cell r="E3642">
            <v>195.04766914199999</v>
          </cell>
        </row>
        <row r="3643">
          <cell r="A3643" t="str">
            <v>JP3968300008</v>
          </cell>
          <cell r="E3643">
            <v>42.490125599999999</v>
          </cell>
        </row>
        <row r="3644">
          <cell r="A3644" t="str">
            <v>IT0005555468</v>
          </cell>
          <cell r="E3644">
            <v>2.78</v>
          </cell>
        </row>
        <row r="3645">
          <cell r="A3645" t="str">
            <v>IT0005497885</v>
          </cell>
          <cell r="E3645">
            <v>1.075</v>
          </cell>
        </row>
        <row r="3646">
          <cell r="A3646" t="str">
            <v>US5049221055</v>
          </cell>
          <cell r="E3646">
            <v>199.52330472720001</v>
          </cell>
        </row>
        <row r="3647">
          <cell r="A3647" t="str">
            <v>FR0000075343</v>
          </cell>
          <cell r="E3647">
            <v>3.585</v>
          </cell>
        </row>
        <row r="3648">
          <cell r="A3648" t="str">
            <v>ES0157261019</v>
          </cell>
          <cell r="E3648">
            <v>49.94</v>
          </cell>
        </row>
        <row r="3649">
          <cell r="A3649" t="str">
            <v>CA5054401073</v>
          </cell>
          <cell r="E3649">
            <v>17.727705580199999</v>
          </cell>
        </row>
        <row r="3650">
          <cell r="A3650" t="str">
            <v>FR0000066607</v>
          </cell>
          <cell r="E3650">
            <v>6.62</v>
          </cell>
        </row>
        <row r="3651">
          <cell r="A3651" t="str">
            <v>JP3967250006</v>
          </cell>
          <cell r="E3651">
            <v>20.8121212</v>
          </cell>
        </row>
        <row r="3652">
          <cell r="A3652" t="str">
            <v>US5057431042</v>
          </cell>
          <cell r="E3652">
            <v>8.9247881196000005</v>
          </cell>
        </row>
        <row r="3653">
          <cell r="A3653" t="str">
            <v>KYG5340S1093</v>
          </cell>
          <cell r="E3653">
            <v>1.4135482692000001</v>
          </cell>
        </row>
        <row r="3654">
          <cell r="A3654" t="str">
            <v>FR0000130213</v>
          </cell>
          <cell r="E3654">
            <v>19.760000000000002</v>
          </cell>
        </row>
        <row r="3655">
          <cell r="A3655" t="str">
            <v>SE0014990966</v>
          </cell>
          <cell r="E3655">
            <v>18.749437484000001</v>
          </cell>
        </row>
        <row r="3656">
          <cell r="A3656" t="str">
            <v>US5116561003</v>
          </cell>
          <cell r="E3656">
            <v>45.983403872399997</v>
          </cell>
        </row>
        <row r="3657">
          <cell r="A3657" t="str">
            <v>US5128073062</v>
          </cell>
          <cell r="E3657">
            <v>60.416666558400003</v>
          </cell>
        </row>
        <row r="3658">
          <cell r="A3658" t="str">
            <v>US5128161099</v>
          </cell>
          <cell r="E3658">
            <v>96.539547849599998</v>
          </cell>
        </row>
        <row r="3659">
          <cell r="A3659" t="str">
            <v>US5132721045</v>
          </cell>
          <cell r="E3659">
            <v>48.225635506800003</v>
          </cell>
        </row>
        <row r="3660">
          <cell r="A3660" t="str">
            <v>BMG5361W1047</v>
          </cell>
          <cell r="E3660">
            <v>6.7582592200000002</v>
          </cell>
        </row>
        <row r="3661">
          <cell r="A3661" t="str">
            <v>US5138471033</v>
          </cell>
          <cell r="E3661">
            <v>163.10028219360001</v>
          </cell>
        </row>
        <row r="3662">
          <cell r="A3662" t="str">
            <v>IL0006120104</v>
          </cell>
          <cell r="E3662">
            <v>7.0134136199999997</v>
          </cell>
        </row>
        <row r="3663">
          <cell r="A3663" t="str">
            <v>GB00BYW0PQ60</v>
          </cell>
          <cell r="E3663">
            <v>6.4601007250000002</v>
          </cell>
        </row>
        <row r="3664">
          <cell r="A3664" t="str">
            <v>CH0371153492</v>
          </cell>
          <cell r="E3664">
            <v>51.452327049999987</v>
          </cell>
        </row>
        <row r="3665">
          <cell r="A3665" t="str">
            <v>US5150981018</v>
          </cell>
          <cell r="E3665">
            <v>121.53072012120001</v>
          </cell>
        </row>
        <row r="3666">
          <cell r="A3666" t="str">
            <v>FR0004027068</v>
          </cell>
          <cell r="E3666">
            <v>36</v>
          </cell>
        </row>
        <row r="3667">
          <cell r="A3667" t="str">
            <v>US5165441032</v>
          </cell>
          <cell r="E3667">
            <v>90.730932040799999</v>
          </cell>
        </row>
        <row r="3668">
          <cell r="A3668" t="str">
            <v>DE0005470405</v>
          </cell>
          <cell r="E3668">
            <v>23.98</v>
          </cell>
        </row>
        <row r="3669">
          <cell r="A3669" t="str">
            <v>IL0006420173</v>
          </cell>
          <cell r="E3669">
            <v>15.627767309999999</v>
          </cell>
        </row>
        <row r="3670">
          <cell r="A3670" t="str">
            <v>FR0013308582</v>
          </cell>
          <cell r="E3670">
            <v>2.69</v>
          </cell>
        </row>
        <row r="3671">
          <cell r="A3671" t="str">
            <v>AU0000183253</v>
          </cell>
          <cell r="E3671">
            <v>0.51481137269999999</v>
          </cell>
        </row>
        <row r="3672">
          <cell r="A3672" t="str">
            <v>US5178341070</v>
          </cell>
          <cell r="E3672">
            <v>28.840042321199999</v>
          </cell>
        </row>
        <row r="3673">
          <cell r="A3673" t="str">
            <v>JP3048180008</v>
          </cell>
          <cell r="E3673">
            <v>855.987392</v>
          </cell>
        </row>
        <row r="3674">
          <cell r="A3674" t="str">
            <v>JP3979200007</v>
          </cell>
          <cell r="E3674">
            <v>73.909316000000004</v>
          </cell>
        </row>
        <row r="3675">
          <cell r="A3675" t="str">
            <v>FI0009010854</v>
          </cell>
          <cell r="E3675">
            <v>8.67</v>
          </cell>
        </row>
        <row r="3676">
          <cell r="A3676" t="str">
            <v>FR001400JY13</v>
          </cell>
          <cell r="E3676">
            <v>1.5100000000000001E-2</v>
          </cell>
        </row>
        <row r="3677">
          <cell r="A3677" t="str">
            <v>SE0010100958</v>
          </cell>
          <cell r="E3677">
            <v>24.084570126999999</v>
          </cell>
        </row>
        <row r="3678">
          <cell r="A3678" t="str">
            <v>US5184151042</v>
          </cell>
          <cell r="E3678">
            <v>38.524011230399999</v>
          </cell>
        </row>
        <row r="3679">
          <cell r="A3679" t="str">
            <v>US5186132032</v>
          </cell>
          <cell r="E3679">
            <v>17.099223133199999</v>
          </cell>
        </row>
        <row r="3680">
          <cell r="A3680" t="str">
            <v>CA51925D1069</v>
          </cell>
          <cell r="E3680">
            <v>16.9343066552</v>
          </cell>
        </row>
        <row r="3681">
          <cell r="A3681" t="str">
            <v>FR0006864484</v>
          </cell>
          <cell r="E3681">
            <v>93.2</v>
          </cell>
        </row>
        <row r="3682">
          <cell r="A3682" t="str">
            <v>NL0010545679</v>
          </cell>
          <cell r="E3682">
            <v>0.43</v>
          </cell>
        </row>
        <row r="3683">
          <cell r="A3683" t="str">
            <v>US52110M1099</v>
          </cell>
          <cell r="E3683">
            <v>31.603107288</v>
          </cell>
        </row>
        <row r="3684">
          <cell r="A3684" t="str">
            <v>US5053361078</v>
          </cell>
          <cell r="E3684">
            <v>33.580508414400001</v>
          </cell>
        </row>
        <row r="3685">
          <cell r="A3685" t="str">
            <v>US50189K1034</v>
          </cell>
          <cell r="E3685">
            <v>67.461158071200003</v>
          </cell>
        </row>
        <row r="3686">
          <cell r="A3686" t="str">
            <v>FR001400SF56</v>
          </cell>
          <cell r="E3686">
            <v>76</v>
          </cell>
        </row>
        <row r="3687">
          <cell r="A3687" t="str">
            <v>US5218652049</v>
          </cell>
          <cell r="E3687">
            <v>69.182556373200001</v>
          </cell>
        </row>
        <row r="3688">
          <cell r="A3688" t="str">
            <v>FR0000121295</v>
          </cell>
          <cell r="E3688">
            <v>86.9</v>
          </cell>
        </row>
        <row r="3689">
          <cell r="A3689" t="str">
            <v>JP3410800001</v>
          </cell>
          <cell r="E3689">
            <v>7.6321419199999996</v>
          </cell>
        </row>
        <row r="3690">
          <cell r="A3690" t="str">
            <v>FR0000065484</v>
          </cell>
          <cell r="E3690">
            <v>27.05</v>
          </cell>
        </row>
        <row r="3691">
          <cell r="A3691" t="str">
            <v>DE000LEG1110</v>
          </cell>
          <cell r="E3691">
            <v>74.05</v>
          </cell>
        </row>
        <row r="3692">
          <cell r="A3692" t="str">
            <v>GB0005603997</v>
          </cell>
          <cell r="E3692">
            <v>2.84127507</v>
          </cell>
        </row>
        <row r="3693">
          <cell r="A3693" t="str">
            <v>US52466B1035</v>
          </cell>
          <cell r="E3693">
            <v>6.2588276723999998</v>
          </cell>
        </row>
        <row r="3694">
          <cell r="A3694" t="str">
            <v>US5246601075</v>
          </cell>
          <cell r="E3694">
            <v>5.8880649611999996</v>
          </cell>
        </row>
        <row r="3695">
          <cell r="A3695" t="str">
            <v>FR0010307819</v>
          </cell>
          <cell r="E3695">
            <v>94.52</v>
          </cell>
        </row>
        <row r="3696">
          <cell r="A3696" t="str">
            <v>US5253271028</v>
          </cell>
          <cell r="E3696">
            <v>124.823446104</v>
          </cell>
        </row>
        <row r="3697">
          <cell r="A3697" t="str">
            <v>CH0022427626</v>
          </cell>
          <cell r="E3697">
            <v>700.78825299999994</v>
          </cell>
        </row>
        <row r="3698">
          <cell r="A3698" t="str">
            <v>US5255582018</v>
          </cell>
          <cell r="E3698">
            <v>74.708686306800004</v>
          </cell>
        </row>
        <row r="3699">
          <cell r="A3699" t="str">
            <v>IT0005573438</v>
          </cell>
          <cell r="E3699">
            <v>1.66</v>
          </cell>
        </row>
        <row r="3700">
          <cell r="A3700" t="str">
            <v>US52567D1072</v>
          </cell>
          <cell r="E3700">
            <v>23.719985833199999</v>
          </cell>
        </row>
        <row r="3701">
          <cell r="A3701" t="str">
            <v>US52603A2087</v>
          </cell>
          <cell r="E3701">
            <v>8.3421610019999992</v>
          </cell>
        </row>
        <row r="3702">
          <cell r="A3702" t="str">
            <v>SGXC61949712</v>
          </cell>
          <cell r="E3702">
            <v>0.34213262789999999</v>
          </cell>
        </row>
        <row r="3703">
          <cell r="A3703" t="str">
            <v>AU000000LLC3</v>
          </cell>
          <cell r="E3703">
            <v>2.9875938677999998</v>
          </cell>
        </row>
        <row r="3704">
          <cell r="A3704" t="str">
            <v>US5260571048</v>
          </cell>
          <cell r="E3704">
            <v>92.761299268800002</v>
          </cell>
        </row>
        <row r="3705">
          <cell r="A3705" t="str">
            <v>US5260573028</v>
          </cell>
          <cell r="E3705">
            <v>88.506355773600006</v>
          </cell>
        </row>
        <row r="3706">
          <cell r="A3706" t="str">
            <v>US5261071071</v>
          </cell>
          <cell r="E3706">
            <v>491.87853019200008</v>
          </cell>
        </row>
        <row r="3707">
          <cell r="A3707" t="str">
            <v>HK0992009065</v>
          </cell>
          <cell r="E3707">
            <v>0.94236551279999992</v>
          </cell>
        </row>
        <row r="3708">
          <cell r="A3708" t="str">
            <v>AT0000644505</v>
          </cell>
          <cell r="E3708">
            <v>26.55</v>
          </cell>
        </row>
        <row r="3709">
          <cell r="A3709" t="str">
            <v>IT0003856405</v>
          </cell>
          <cell r="E3709">
            <v>46.5</v>
          </cell>
        </row>
        <row r="3710">
          <cell r="A3710" t="str">
            <v>US52661A1088</v>
          </cell>
          <cell r="E3710">
            <v>32.0533191516</v>
          </cell>
        </row>
        <row r="3711">
          <cell r="A3711" t="str">
            <v>IT0004973696</v>
          </cell>
          <cell r="E3711">
            <v>1.48</v>
          </cell>
        </row>
        <row r="3712">
          <cell r="A3712" t="str">
            <v>JP3167500002</v>
          </cell>
          <cell r="E3712">
            <v>3.4573479200000001</v>
          </cell>
        </row>
        <row r="3713">
          <cell r="A3713" t="str">
            <v>FR001400F2Z1</v>
          </cell>
          <cell r="E3713">
            <v>0.29799999999999999</v>
          </cell>
        </row>
        <row r="3714">
          <cell r="A3714" t="str">
            <v>NO0003096208</v>
          </cell>
          <cell r="E3714">
            <v>3.7148811992000002</v>
          </cell>
        </row>
        <row r="3715">
          <cell r="A3715" t="str">
            <v>FR0007080254</v>
          </cell>
          <cell r="E3715">
            <v>78.5</v>
          </cell>
        </row>
        <row r="3716">
          <cell r="A3716" t="str">
            <v>US5270641096</v>
          </cell>
          <cell r="E3716">
            <v>0.47360522513999997</v>
          </cell>
        </row>
        <row r="3717">
          <cell r="A3717" t="str">
            <v>US52736R1023</v>
          </cell>
          <cell r="E3717">
            <v>12.667725966000001</v>
          </cell>
        </row>
        <row r="3718">
          <cell r="A3718" t="str">
            <v>FR0000033599</v>
          </cell>
          <cell r="E3718">
            <v>4.0199999999999996</v>
          </cell>
        </row>
        <row r="3719">
          <cell r="A3719" t="str">
            <v>US50187T1060</v>
          </cell>
          <cell r="E3719">
            <v>48.993643980000002</v>
          </cell>
        </row>
        <row r="3720">
          <cell r="A3720" t="str">
            <v>FR0014009YQ1</v>
          </cell>
          <cell r="E3720">
            <v>3.2</v>
          </cell>
        </row>
        <row r="3721">
          <cell r="A3721" t="str">
            <v>US5303073051</v>
          </cell>
          <cell r="E3721">
            <v>69.738700440000002</v>
          </cell>
        </row>
        <row r="3722">
          <cell r="A3722" t="str">
            <v>US5303071071</v>
          </cell>
          <cell r="E3722">
            <v>69.138417955199998</v>
          </cell>
        </row>
        <row r="3723">
          <cell r="A3723" t="str">
            <v>US53115L1044</v>
          </cell>
          <cell r="E3723">
            <v>10.0547316204</v>
          </cell>
        </row>
        <row r="3724">
          <cell r="A3724" t="str">
            <v>BMG611881019</v>
          </cell>
          <cell r="E3724">
            <v>9.4103107175999998</v>
          </cell>
        </row>
        <row r="3725">
          <cell r="A3725" t="str">
            <v>BMG611881274</v>
          </cell>
          <cell r="E3725">
            <v>9.7457626943999998</v>
          </cell>
        </row>
        <row r="3726">
          <cell r="A3726" t="str">
            <v>BMG9001E1286</v>
          </cell>
          <cell r="E3726">
            <v>4.6257062064000003</v>
          </cell>
        </row>
        <row r="3727">
          <cell r="A3727" t="str">
            <v>US5312297220</v>
          </cell>
          <cell r="E3727">
            <v>60.575564863200007</v>
          </cell>
        </row>
        <row r="3728">
          <cell r="A3728" t="str">
            <v>US5312297717</v>
          </cell>
          <cell r="E3728">
            <v>64.614230110199998</v>
          </cell>
        </row>
        <row r="3729">
          <cell r="A3729" t="str">
            <v>US5312297485</v>
          </cell>
          <cell r="E3729">
            <v>59.516242831200003</v>
          </cell>
        </row>
        <row r="3730">
          <cell r="A3730" t="str">
            <v>US5312297550</v>
          </cell>
          <cell r="E3730">
            <v>70.850988573600006</v>
          </cell>
        </row>
        <row r="3731">
          <cell r="A3731" t="str">
            <v>IL0011769812</v>
          </cell>
          <cell r="E3731">
            <v>3.1202730000000001</v>
          </cell>
        </row>
        <row r="3732">
          <cell r="A3732" t="str">
            <v>SE0015949201</v>
          </cell>
          <cell r="E3732">
            <v>31.542959606</v>
          </cell>
        </row>
        <row r="3733">
          <cell r="A3733" t="str">
            <v>JP3966600003</v>
          </cell>
          <cell r="E3733">
            <v>12.59860056</v>
          </cell>
        </row>
        <row r="3734">
          <cell r="A3734" t="str">
            <v>US53190C1027</v>
          </cell>
          <cell r="E3734">
            <v>28.3103813052</v>
          </cell>
        </row>
        <row r="3735">
          <cell r="A3735" t="str">
            <v>AU0000045098</v>
          </cell>
          <cell r="E3735">
            <v>10.830731065</v>
          </cell>
        </row>
        <row r="3736">
          <cell r="A3736" t="str">
            <v>NO0013355859</v>
          </cell>
          <cell r="E3736">
            <v>0.75864943699999998</v>
          </cell>
        </row>
        <row r="3737">
          <cell r="A3737" t="str">
            <v>JP3966680005</v>
          </cell>
          <cell r="E3737">
            <v>11.120414240000001</v>
          </cell>
        </row>
        <row r="3738">
          <cell r="A3738" t="str">
            <v>JP3966660007</v>
          </cell>
          <cell r="E3738">
            <v>10.198867119999999</v>
          </cell>
        </row>
        <row r="3739">
          <cell r="A3739" t="str">
            <v>US53228F1012</v>
          </cell>
          <cell r="E3739">
            <v>6.0204802152000001</v>
          </cell>
        </row>
        <row r="3740">
          <cell r="A3740" t="str">
            <v>AU000000LIC9</v>
          </cell>
          <cell r="E3740">
            <v>4.3041606570000006</v>
          </cell>
        </row>
        <row r="3741">
          <cell r="A3741" t="str">
            <v>US53220K5048</v>
          </cell>
          <cell r="E3741">
            <v>94.279660848000006</v>
          </cell>
        </row>
        <row r="3742">
          <cell r="A3742" t="str">
            <v>US80874P1093</v>
          </cell>
          <cell r="E3742">
            <v>70.939265409599997</v>
          </cell>
        </row>
        <row r="3743">
          <cell r="A3743" t="str">
            <v>FR0013230950</v>
          </cell>
          <cell r="E3743">
            <v>21.28</v>
          </cell>
        </row>
        <row r="3744">
          <cell r="A3744" t="str">
            <v>CA53229C1077</v>
          </cell>
          <cell r="E3744">
            <v>7.9720723983999999</v>
          </cell>
        </row>
        <row r="3745">
          <cell r="A3745" t="str">
            <v>SE0011870195</v>
          </cell>
          <cell r="E3745">
            <v>34.907781880000002</v>
          </cell>
        </row>
        <row r="3746">
          <cell r="A3746" t="str">
            <v>CA53278L1076</v>
          </cell>
          <cell r="E3746">
            <v>30.8854333524</v>
          </cell>
        </row>
        <row r="3747">
          <cell r="A3747" t="str">
            <v>SE0015949433</v>
          </cell>
          <cell r="E3747">
            <v>6.0908681270000002</v>
          </cell>
        </row>
        <row r="3748">
          <cell r="A3748" t="str">
            <v>US5339001068</v>
          </cell>
          <cell r="E3748">
            <v>158.98658163600001</v>
          </cell>
        </row>
        <row r="3749">
          <cell r="A3749" t="str">
            <v>US5341871094</v>
          </cell>
          <cell r="E3749">
            <v>26.694915206400001</v>
          </cell>
        </row>
        <row r="3750">
          <cell r="A3750" t="str">
            <v>SE0001852419</v>
          </cell>
          <cell r="E3750">
            <v>17.246963366999999</v>
          </cell>
        </row>
        <row r="3751">
          <cell r="A3751" t="str">
            <v>IT0005469272</v>
          </cell>
          <cell r="E3751">
            <v>3.57</v>
          </cell>
        </row>
        <row r="3752">
          <cell r="A3752" t="str">
            <v>IE000S9YS762</v>
          </cell>
          <cell r="E3752">
            <v>398.10204730919997</v>
          </cell>
        </row>
        <row r="3753">
          <cell r="A3753" t="str">
            <v>US5355551061</v>
          </cell>
          <cell r="E3753">
            <v>113.44456194359999</v>
          </cell>
        </row>
        <row r="3754">
          <cell r="A3754" t="str">
            <v>CH0010570767</v>
          </cell>
          <cell r="E3754">
            <v>12871.18024</v>
          </cell>
        </row>
        <row r="3755">
          <cell r="A3755" t="str">
            <v>CH0010570759</v>
          </cell>
          <cell r="E3755">
            <v>123960.69560000001</v>
          </cell>
        </row>
        <row r="3756">
          <cell r="A3756" t="str">
            <v>ES0105546008</v>
          </cell>
          <cell r="E3756">
            <v>1.1579999999999999</v>
          </cell>
        </row>
        <row r="3757">
          <cell r="A3757" t="str">
            <v>US53566V1061</v>
          </cell>
          <cell r="E3757">
            <v>47.669491440000002</v>
          </cell>
        </row>
        <row r="3758">
          <cell r="A3758" t="str">
            <v>FR0004156297</v>
          </cell>
          <cell r="E3758">
            <v>71.599999999999994</v>
          </cell>
        </row>
        <row r="3759">
          <cell r="A3759" t="str">
            <v>JP3977020001</v>
          </cell>
          <cell r="E3759">
            <v>3.0058516800000001</v>
          </cell>
        </row>
        <row r="3760">
          <cell r="A3760" t="str">
            <v>NO0010894231</v>
          </cell>
          <cell r="E3760">
            <v>1.8716131715</v>
          </cell>
        </row>
        <row r="3761">
          <cell r="A3761" t="str">
            <v>HK0823032773</v>
          </cell>
          <cell r="E3761">
            <v>3.8696168399999999</v>
          </cell>
        </row>
        <row r="3762">
          <cell r="A3762" t="str">
            <v>JP3977200009</v>
          </cell>
          <cell r="E3762">
            <v>16.06831824</v>
          </cell>
        </row>
        <row r="3763">
          <cell r="A3763" t="str">
            <v>JP3965400009</v>
          </cell>
          <cell r="E3763">
            <v>11.132783999999999</v>
          </cell>
        </row>
        <row r="3764">
          <cell r="A3764" t="str">
            <v>GB00BF4HYT85</v>
          </cell>
          <cell r="E3764">
            <v>64.074845199999999</v>
          </cell>
        </row>
        <row r="3765">
          <cell r="A3765" t="str">
            <v>CA5359195008</v>
          </cell>
          <cell r="E3765">
            <v>6.2676553559999997</v>
          </cell>
        </row>
        <row r="3766">
          <cell r="A3766" t="str">
            <v>AU000000LTR4</v>
          </cell>
          <cell r="E3766">
            <v>0.30382310520000011</v>
          </cell>
        </row>
        <row r="3767">
          <cell r="A3767" t="str">
            <v>GB0007388407</v>
          </cell>
          <cell r="E3767">
            <v>3.8819066800000002</v>
          </cell>
        </row>
        <row r="3768">
          <cell r="A3768" t="str">
            <v>US53635D2027</v>
          </cell>
          <cell r="E3768">
            <v>12.005649696000001</v>
          </cell>
        </row>
        <row r="3769">
          <cell r="A3769" t="str">
            <v>FR0000050353</v>
          </cell>
          <cell r="E3769">
            <v>27.45</v>
          </cell>
        </row>
        <row r="3770">
          <cell r="A3770" t="str">
            <v>JP3974470001</v>
          </cell>
          <cell r="E3770">
            <v>7.0507631999999996</v>
          </cell>
        </row>
        <row r="3771">
          <cell r="A3771" t="str">
            <v>US5367971034</v>
          </cell>
          <cell r="E3771">
            <v>256.77966055680002</v>
          </cell>
        </row>
        <row r="3772">
          <cell r="A3772" t="str">
            <v>IT0005600801</v>
          </cell>
          <cell r="E3772">
            <v>0.96</v>
          </cell>
        </row>
        <row r="3773">
          <cell r="A3773" t="str">
            <v>US5370081045</v>
          </cell>
          <cell r="E3773">
            <v>137.12923704240001</v>
          </cell>
        </row>
        <row r="3774">
          <cell r="A3774" t="str">
            <v>GB00BYMT0J19</v>
          </cell>
          <cell r="E3774">
            <v>30.720338928</v>
          </cell>
        </row>
        <row r="3775">
          <cell r="A3775" t="str">
            <v>US5380341090</v>
          </cell>
          <cell r="E3775">
            <v>113.8594630728</v>
          </cell>
        </row>
        <row r="3776">
          <cell r="A3776" t="str">
            <v>US53803X1054</v>
          </cell>
          <cell r="E3776">
            <v>21.080508436799999</v>
          </cell>
        </row>
        <row r="3777">
          <cell r="A3777" t="str">
            <v>US53815P1084</v>
          </cell>
          <cell r="E3777">
            <v>22.298728773600001</v>
          </cell>
        </row>
        <row r="3778">
          <cell r="A3778" t="str">
            <v>JP3626800001</v>
          </cell>
          <cell r="E3778">
            <v>9.9205475199999995</v>
          </cell>
        </row>
        <row r="3779">
          <cell r="A3779" t="str">
            <v>US5018892084</v>
          </cell>
          <cell r="E3779">
            <v>36.749646826800003</v>
          </cell>
        </row>
        <row r="3780">
          <cell r="A3780" t="str">
            <v>BE0974334667</v>
          </cell>
          <cell r="E3780">
            <v>0.93</v>
          </cell>
        </row>
        <row r="3781">
          <cell r="A3781" t="str">
            <v>ES0105089009</v>
          </cell>
          <cell r="E3781">
            <v>1.06</v>
          </cell>
        </row>
        <row r="3782">
          <cell r="A3782" t="str">
            <v>GB0008706128</v>
          </cell>
          <cell r="E3782">
            <v>0.82782829199999997</v>
          </cell>
        </row>
        <row r="3783">
          <cell r="A3783" t="str">
            <v>FR0004170017</v>
          </cell>
          <cell r="E3783">
            <v>22.7</v>
          </cell>
        </row>
        <row r="3784">
          <cell r="A3784" t="str">
            <v>JP3982600003</v>
          </cell>
          <cell r="E3784">
            <v>14.58394704</v>
          </cell>
        </row>
        <row r="3785">
          <cell r="A3785" t="str">
            <v>US53947R1059</v>
          </cell>
          <cell r="E3785">
            <v>78.160310594400002</v>
          </cell>
        </row>
        <row r="3786">
          <cell r="A3786" t="str">
            <v>CA5394811015</v>
          </cell>
          <cell r="E3786">
            <v>133.6845452668</v>
          </cell>
        </row>
        <row r="3787">
          <cell r="A3787" t="str">
            <v>US5398301094</v>
          </cell>
          <cell r="E3787">
            <v>414.53036648879998</v>
          </cell>
        </row>
        <row r="3788">
          <cell r="A3788" t="str">
            <v>US5404241086</v>
          </cell>
          <cell r="E3788">
            <v>76.032838846800004</v>
          </cell>
        </row>
        <row r="3789">
          <cell r="A3789" t="str">
            <v>FR0000044943</v>
          </cell>
          <cell r="E3789">
            <v>1.48</v>
          </cell>
        </row>
        <row r="3790">
          <cell r="A3790" t="str">
            <v>ES0105027009</v>
          </cell>
          <cell r="E3790">
            <v>29.46</v>
          </cell>
        </row>
        <row r="3791">
          <cell r="A3791" t="str">
            <v>SE0017131337</v>
          </cell>
          <cell r="E3791">
            <v>1.2127755147999999</v>
          </cell>
        </row>
        <row r="3792">
          <cell r="A3792" t="str">
            <v>CH0025751329</v>
          </cell>
          <cell r="E3792">
            <v>64.420689019999983</v>
          </cell>
        </row>
        <row r="3793">
          <cell r="A3793" t="str">
            <v>NO0010921299</v>
          </cell>
          <cell r="E3793">
            <v>0.10295956645</v>
          </cell>
        </row>
        <row r="3794">
          <cell r="A3794" t="str">
            <v>GB00B0SWJX34</v>
          </cell>
          <cell r="E3794">
            <v>133.17746109999999</v>
          </cell>
        </row>
        <row r="3795">
          <cell r="A3795" t="str">
            <v>GB00B4WFW713</v>
          </cell>
          <cell r="E3795">
            <v>2.2028651159999999</v>
          </cell>
        </row>
        <row r="3796">
          <cell r="A3796" t="str">
            <v>IT0005337073</v>
          </cell>
          <cell r="E3796">
            <v>1.36</v>
          </cell>
        </row>
        <row r="3797">
          <cell r="A3797" t="str">
            <v>CH0013841017</v>
          </cell>
          <cell r="E3797">
            <v>583.73825820000002</v>
          </cell>
        </row>
        <row r="3798">
          <cell r="A3798" t="str">
            <v>SE0014504817</v>
          </cell>
          <cell r="E3798">
            <v>34.637876349999999</v>
          </cell>
        </row>
        <row r="3799">
          <cell r="A3799" t="str">
            <v>FR0000120321</v>
          </cell>
          <cell r="E3799">
            <v>343.8</v>
          </cell>
        </row>
        <row r="3800">
          <cell r="A3800" t="str">
            <v>AU0000219529</v>
          </cell>
          <cell r="E3800">
            <v>2.7906714847999998</v>
          </cell>
        </row>
        <row r="3801">
          <cell r="A3801" t="str">
            <v>IT0005541336</v>
          </cell>
          <cell r="E3801">
            <v>19.07</v>
          </cell>
        </row>
        <row r="3802">
          <cell r="A3802" t="str">
            <v>BE0003604155</v>
          </cell>
          <cell r="E3802">
            <v>8180</v>
          </cell>
        </row>
        <row r="3803">
          <cell r="A3803" t="str">
            <v>AU0000058737</v>
          </cell>
          <cell r="E3803">
            <v>9.00216608E-2</v>
          </cell>
        </row>
        <row r="3804">
          <cell r="A3804" t="str">
            <v>FR001400TL40</v>
          </cell>
          <cell r="E3804">
            <v>1.325</v>
          </cell>
        </row>
        <row r="3805">
          <cell r="A3805" t="str">
            <v>US5463471053</v>
          </cell>
          <cell r="E3805">
            <v>75.644420768399996</v>
          </cell>
        </row>
        <row r="3806">
          <cell r="A3806" t="str">
            <v>AU000000LOV7</v>
          </cell>
          <cell r="E3806">
            <v>13.7395559796</v>
          </cell>
        </row>
        <row r="3807">
          <cell r="A3807" t="str">
            <v>US5486611073</v>
          </cell>
          <cell r="E3807">
            <v>194.65925106360001</v>
          </cell>
        </row>
        <row r="3808">
          <cell r="A3808" t="str">
            <v>US50212V1008</v>
          </cell>
          <cell r="E3808">
            <v>277.02153905159997</v>
          </cell>
        </row>
        <row r="3809">
          <cell r="A3809" t="str">
            <v>US5021751020</v>
          </cell>
          <cell r="E3809">
            <v>30.861581865600002</v>
          </cell>
        </row>
        <row r="3810">
          <cell r="A3810" t="str">
            <v>FR0011884378</v>
          </cell>
          <cell r="E3810">
            <v>0.08</v>
          </cell>
        </row>
        <row r="3811">
          <cell r="A3811" t="str">
            <v>US54948X1090</v>
          </cell>
          <cell r="E3811">
            <v>0.99752824679999996</v>
          </cell>
        </row>
        <row r="3812">
          <cell r="A3812" t="str">
            <v>US5494981039</v>
          </cell>
          <cell r="E3812">
            <v>2.1539547984</v>
          </cell>
        </row>
        <row r="3813">
          <cell r="A3813" t="str">
            <v>IT0004522162</v>
          </cell>
          <cell r="E3813">
            <v>0.91</v>
          </cell>
        </row>
        <row r="3814">
          <cell r="A3814" t="str">
            <v>DE0008232125</v>
          </cell>
          <cell r="E3814">
            <v>6.1459999999999999</v>
          </cell>
        </row>
        <row r="3815">
          <cell r="A3815" t="str">
            <v>US5500211090</v>
          </cell>
          <cell r="E3815">
            <v>225.6709035504</v>
          </cell>
        </row>
        <row r="3816">
          <cell r="A3816" t="str">
            <v>US5502411037</v>
          </cell>
          <cell r="E3816">
            <v>3.0014124240000002</v>
          </cell>
        </row>
        <row r="3817">
          <cell r="A3817" t="str">
            <v>US55024U1097</v>
          </cell>
          <cell r="E3817">
            <v>46.513064888400002</v>
          </cell>
        </row>
        <row r="3818">
          <cell r="A3818" t="str">
            <v>NO0010927288</v>
          </cell>
          <cell r="E3818">
            <v>1.075448103</v>
          </cell>
        </row>
        <row r="3819">
          <cell r="A3819" t="str">
            <v>FR0000038242</v>
          </cell>
          <cell r="E3819">
            <v>9.3800000000000008</v>
          </cell>
        </row>
        <row r="3820">
          <cell r="A3820" t="str">
            <v>SE0000108847</v>
          </cell>
          <cell r="E3820">
            <v>43.382815522000001</v>
          </cell>
        </row>
        <row r="3821">
          <cell r="A3821" t="str">
            <v>CA5503711080</v>
          </cell>
          <cell r="E3821">
            <v>34.192320071799998</v>
          </cell>
        </row>
        <row r="3822">
          <cell r="A3822" t="str">
            <v>CA5503721063</v>
          </cell>
          <cell r="E3822">
            <v>6.8041891807999999</v>
          </cell>
        </row>
        <row r="3823">
          <cell r="A3823" t="str">
            <v>FR0000121014</v>
          </cell>
          <cell r="E3823">
            <v>488.65</v>
          </cell>
        </row>
        <row r="3824">
          <cell r="A3824" t="str">
            <v>US5290431015</v>
          </cell>
          <cell r="E3824">
            <v>6.7884886884000002</v>
          </cell>
        </row>
        <row r="3825">
          <cell r="A3825" t="str">
            <v>JP3933800009</v>
          </cell>
          <cell r="E3825">
            <v>3.186450176000001</v>
          </cell>
        </row>
        <row r="3826">
          <cell r="A3826" t="str">
            <v>AU000000LYL7</v>
          </cell>
          <cell r="E3826">
            <v>6.031451273600001</v>
          </cell>
        </row>
        <row r="3827">
          <cell r="A3827" t="str">
            <v>US55087P1049</v>
          </cell>
          <cell r="E3827">
            <v>9.6133474404000001</v>
          </cell>
        </row>
        <row r="3828">
          <cell r="A3828" t="str">
            <v>AU000000LYC6</v>
          </cell>
          <cell r="E3828">
            <v>4.5123357475999999</v>
          </cell>
        </row>
        <row r="3829">
          <cell r="A3829" t="str">
            <v>NL0009434992</v>
          </cell>
          <cell r="E3829">
            <v>50.052966012000013</v>
          </cell>
        </row>
        <row r="3830">
          <cell r="A3830" t="str">
            <v>NO0010405780</v>
          </cell>
          <cell r="E3830">
            <v>0.43684868680000011</v>
          </cell>
        </row>
        <row r="3831">
          <cell r="A3831" t="str">
            <v>NO0010976343</v>
          </cell>
          <cell r="E3831">
            <v>0.90037515600000007</v>
          </cell>
        </row>
        <row r="3832">
          <cell r="A3832" t="str">
            <v>IL0011612640</v>
          </cell>
          <cell r="E3832">
            <v>60.413285700000003</v>
          </cell>
        </row>
        <row r="3833">
          <cell r="A3833" t="str">
            <v>JP3167320005</v>
          </cell>
          <cell r="E3833">
            <v>16.569293519999999</v>
          </cell>
        </row>
        <row r="3834">
          <cell r="A3834" t="str">
            <v>JP3167370000</v>
          </cell>
          <cell r="E3834">
            <v>6.9889144000000014</v>
          </cell>
        </row>
        <row r="3835">
          <cell r="A3835" t="str">
            <v>GB00BKFB1C65</v>
          </cell>
          <cell r="E3835">
            <v>2.2776970520000002</v>
          </cell>
        </row>
        <row r="3836">
          <cell r="A3836" t="str">
            <v>US55261F1049</v>
          </cell>
          <cell r="E3836">
            <v>140.88100257240001</v>
          </cell>
        </row>
        <row r="3837">
          <cell r="A3837" t="str">
            <v>GB0007538100</v>
          </cell>
          <cell r="E3837">
            <v>11.5755651</v>
          </cell>
        </row>
        <row r="3838">
          <cell r="A3838" t="str">
            <v>US55305B1017</v>
          </cell>
          <cell r="E3838">
            <v>93.697033730400008</v>
          </cell>
        </row>
        <row r="3839">
          <cell r="A3839" t="str">
            <v>FR0013270626</v>
          </cell>
          <cell r="E3839">
            <v>8.33</v>
          </cell>
        </row>
        <row r="3840">
          <cell r="A3840" t="str">
            <v>JP3435750009</v>
          </cell>
          <cell r="E3840">
            <v>10.505018679999999</v>
          </cell>
        </row>
        <row r="3841">
          <cell r="A3841" t="str">
            <v>AU0000156218</v>
          </cell>
          <cell r="E3841">
            <v>3.4545812331999999</v>
          </cell>
        </row>
        <row r="3842">
          <cell r="A3842" t="str">
            <v>AU0000118564</v>
          </cell>
          <cell r="E3842">
            <v>2.138014444</v>
          </cell>
        </row>
        <row r="3843">
          <cell r="A3843" t="str">
            <v>NO0010974983</v>
          </cell>
          <cell r="E3843">
            <v>2.0341809080000002</v>
          </cell>
        </row>
        <row r="3844">
          <cell r="A3844" t="str">
            <v>FR0012634822</v>
          </cell>
          <cell r="E3844">
            <v>6.18</v>
          </cell>
        </row>
        <row r="3845">
          <cell r="A3845" t="str">
            <v>JP3870000001</v>
          </cell>
          <cell r="E3845">
            <v>12.86764284</v>
          </cell>
        </row>
        <row r="3846">
          <cell r="A3846" t="str">
            <v>JP3862970005</v>
          </cell>
          <cell r="E3846">
            <v>17.7506056</v>
          </cell>
        </row>
        <row r="3847">
          <cell r="A3847" t="str">
            <v>US5543821012</v>
          </cell>
          <cell r="E3847">
            <v>12.57944913</v>
          </cell>
        </row>
        <row r="3848">
          <cell r="A3848" t="str">
            <v>AU000000MAH3</v>
          </cell>
          <cell r="E3848">
            <v>0.1434720219</v>
          </cell>
        </row>
        <row r="3849">
          <cell r="A3849" t="str">
            <v>JP3862960006</v>
          </cell>
          <cell r="E3849">
            <v>11.35853212</v>
          </cell>
        </row>
        <row r="3850">
          <cell r="A3850" t="str">
            <v>US55405Y1001</v>
          </cell>
          <cell r="E3850">
            <v>87.8266241364</v>
          </cell>
        </row>
        <row r="3851">
          <cell r="A3851" t="str">
            <v>AU000000MQG1</v>
          </cell>
          <cell r="E3851">
            <v>101.35876370699999</v>
          </cell>
        </row>
        <row r="3852">
          <cell r="A3852" t="str">
            <v>AU000000MAQ4</v>
          </cell>
          <cell r="E3852">
            <v>33.668101139199997</v>
          </cell>
        </row>
        <row r="3853">
          <cell r="A3853" t="str">
            <v>US5560991094</v>
          </cell>
          <cell r="E3853">
            <v>1.1122881335999999</v>
          </cell>
        </row>
        <row r="3854">
          <cell r="A3854" t="str">
            <v>JP3863030007</v>
          </cell>
          <cell r="E3854">
            <v>8.1764113599999995</v>
          </cell>
        </row>
        <row r="3855">
          <cell r="A3855" t="str">
            <v>US55616P1049</v>
          </cell>
          <cell r="E3855">
            <v>9.8870056319999993</v>
          </cell>
        </row>
        <row r="3856">
          <cell r="A3856" t="str">
            <v>AU0000056269</v>
          </cell>
          <cell r="E3856">
            <v>3.4039440490000001</v>
          </cell>
        </row>
        <row r="3857">
          <cell r="A3857" t="str">
            <v>US5582561032</v>
          </cell>
          <cell r="E3857">
            <v>27.1804378044</v>
          </cell>
        </row>
        <row r="3858">
          <cell r="A3858" t="str">
            <v>US55825T1034</v>
          </cell>
          <cell r="E3858">
            <v>170.0035307688</v>
          </cell>
        </row>
        <row r="3859">
          <cell r="A3859" t="str">
            <v>US5588681057</v>
          </cell>
          <cell r="E3859">
            <v>283.45692039599999</v>
          </cell>
        </row>
        <row r="3860">
          <cell r="A3860" t="str">
            <v>JP3861250003</v>
          </cell>
          <cell r="E3860">
            <v>11.7821964</v>
          </cell>
        </row>
        <row r="3861">
          <cell r="A3861" t="str">
            <v>CA55903Q1046</v>
          </cell>
          <cell r="E3861">
            <v>14.0145986112</v>
          </cell>
        </row>
        <row r="3862">
          <cell r="A3862" t="str">
            <v>AU000000MFG4</v>
          </cell>
          <cell r="E3862">
            <v>4.0622274436000003</v>
          </cell>
        </row>
        <row r="3863">
          <cell r="A3863" t="str">
            <v>IL0010823123</v>
          </cell>
          <cell r="E3863">
            <v>11.7231638208</v>
          </cell>
        </row>
        <row r="3864">
          <cell r="A3864" t="str">
            <v>IL0010823123</v>
          </cell>
          <cell r="E3864">
            <v>11.837835719999999</v>
          </cell>
        </row>
        <row r="3865">
          <cell r="A3865" t="str">
            <v>IT0005525347</v>
          </cell>
          <cell r="E3865">
            <v>13.5</v>
          </cell>
        </row>
        <row r="3866">
          <cell r="A3866" t="str">
            <v>CA5592224011</v>
          </cell>
          <cell r="E3866">
            <v>28.6321804054</v>
          </cell>
        </row>
        <row r="3867">
          <cell r="A3867" t="str">
            <v>US55939A1079</v>
          </cell>
          <cell r="E3867">
            <v>13.3827683376</v>
          </cell>
        </row>
        <row r="3868">
          <cell r="A3868" t="str">
            <v>US55955D1000</v>
          </cell>
          <cell r="E3868">
            <v>8.9512711704000001</v>
          </cell>
        </row>
        <row r="3869">
          <cell r="A3869" t="str">
            <v>US5596631094</v>
          </cell>
          <cell r="E3869">
            <v>17.9113700244</v>
          </cell>
        </row>
        <row r="3870">
          <cell r="A3870" t="str">
            <v>NO0010187032</v>
          </cell>
          <cell r="E3870">
            <v>1.7340558559999999</v>
          </cell>
        </row>
        <row r="3871">
          <cell r="A3871" t="str">
            <v>US56035L1044</v>
          </cell>
          <cell r="E3871">
            <v>47.387005564799999</v>
          </cell>
        </row>
        <row r="3872">
          <cell r="A3872" t="str">
            <v>NZMFTE0001S9</v>
          </cell>
          <cell r="E3872">
            <v>30.254168789000001</v>
          </cell>
        </row>
        <row r="3873">
          <cell r="A3873" t="str">
            <v>IT0004931058</v>
          </cell>
          <cell r="E3873">
            <v>8</v>
          </cell>
        </row>
        <row r="3874">
          <cell r="A3874" t="str">
            <v>FR0013153541</v>
          </cell>
          <cell r="E3874">
            <v>2.94</v>
          </cell>
        </row>
        <row r="3875">
          <cell r="A3875" t="str">
            <v>MU0295S00016</v>
          </cell>
          <cell r="E3875">
            <v>90.651482888399997</v>
          </cell>
        </row>
        <row r="3876">
          <cell r="A3876" t="str">
            <v>ES0105463006</v>
          </cell>
          <cell r="E3876">
            <v>9.15</v>
          </cell>
        </row>
        <row r="3877">
          <cell r="A3877" t="str">
            <v>JP3862800004</v>
          </cell>
          <cell r="E3877">
            <v>69.270656000000002</v>
          </cell>
        </row>
        <row r="3878">
          <cell r="A3878" t="str">
            <v>JP3862400003</v>
          </cell>
          <cell r="E3878">
            <v>25.21575576</v>
          </cell>
        </row>
        <row r="3879">
          <cell r="A3879" t="str">
            <v>IL0007310183</v>
          </cell>
          <cell r="E3879">
            <v>27.626417100000001</v>
          </cell>
        </row>
        <row r="3880">
          <cell r="A3880" t="str">
            <v>US56117J1007</v>
          </cell>
          <cell r="E3880">
            <v>23.516949110399999</v>
          </cell>
        </row>
        <row r="3881">
          <cell r="A3881" t="str">
            <v>IE00BVGC3741</v>
          </cell>
          <cell r="E3881">
            <v>9.1</v>
          </cell>
        </row>
        <row r="3882">
          <cell r="A3882" t="str">
            <v>FR0000030074</v>
          </cell>
          <cell r="E3882">
            <v>835</v>
          </cell>
        </row>
        <row r="3883">
          <cell r="A3883" t="str">
            <v>JE00BJ1DLW90</v>
          </cell>
          <cell r="E3883">
            <v>1.877813894</v>
          </cell>
        </row>
        <row r="3884">
          <cell r="A3884" t="str">
            <v>BMG5800U1071</v>
          </cell>
          <cell r="E3884">
            <v>0.44045344619999999</v>
          </cell>
        </row>
        <row r="3885">
          <cell r="A3885" t="str">
            <v>JP3869980007</v>
          </cell>
          <cell r="E3885">
            <v>11.15752352</v>
          </cell>
        </row>
        <row r="3886">
          <cell r="A3886" t="str">
            <v>BMG578481068</v>
          </cell>
          <cell r="E3886">
            <v>1.5007062120000001</v>
          </cell>
        </row>
        <row r="3887">
          <cell r="A3887" t="str">
            <v>FI4000552526</v>
          </cell>
          <cell r="E3887">
            <v>5.9880000000000004</v>
          </cell>
        </row>
        <row r="3888">
          <cell r="A3888" t="str">
            <v>JP3879400004</v>
          </cell>
          <cell r="E3888">
            <v>8.1578567199999998</v>
          </cell>
        </row>
        <row r="3889">
          <cell r="A3889" t="str">
            <v>US5627501092</v>
          </cell>
          <cell r="E3889">
            <v>145.08297996600001</v>
          </cell>
        </row>
        <row r="3890">
          <cell r="A3890" t="str">
            <v>JP3869920003</v>
          </cell>
          <cell r="E3890">
            <v>6.5776198800000003</v>
          </cell>
        </row>
        <row r="3891">
          <cell r="A3891" t="str">
            <v>FR0000038606</v>
          </cell>
          <cell r="E3891">
            <v>17.7</v>
          </cell>
        </row>
        <row r="3892">
          <cell r="A3892" t="str">
            <v>US56400P7069</v>
          </cell>
          <cell r="E3892">
            <v>4.0960451903999999</v>
          </cell>
        </row>
        <row r="3893">
          <cell r="A3893" t="str">
            <v>US56418H1005</v>
          </cell>
          <cell r="E3893">
            <v>44.438559242399997</v>
          </cell>
        </row>
        <row r="3894">
          <cell r="A3894" t="str">
            <v>CA56501R1064</v>
          </cell>
          <cell r="E3894">
            <v>25.6997779786</v>
          </cell>
        </row>
        <row r="3895">
          <cell r="A3895" t="str">
            <v>CA5649051078</v>
          </cell>
          <cell r="E3895">
            <v>15.2840368912</v>
          </cell>
        </row>
        <row r="3896">
          <cell r="A3896" t="str">
            <v>US5653941030</v>
          </cell>
          <cell r="E3896">
            <v>36.952683549600003</v>
          </cell>
        </row>
        <row r="3897">
          <cell r="A3897" t="str">
            <v>SG2C32962814</v>
          </cell>
          <cell r="E3897">
            <v>1.3282796142</v>
          </cell>
        </row>
        <row r="3898">
          <cell r="A3898" t="str">
            <v>SG1S03926213</v>
          </cell>
          <cell r="E3898">
            <v>0.76476705059999994</v>
          </cell>
        </row>
        <row r="3899">
          <cell r="A3899" t="str">
            <v>SG2D18969584</v>
          </cell>
          <cell r="E3899">
            <v>0.79160098219999997</v>
          </cell>
        </row>
        <row r="3900">
          <cell r="A3900" t="str">
            <v>IT0005364333</v>
          </cell>
          <cell r="E3900">
            <v>3.25</v>
          </cell>
        </row>
        <row r="3901">
          <cell r="A3901" t="str">
            <v>US5657881067</v>
          </cell>
          <cell r="E3901">
            <v>11.105225968799999</v>
          </cell>
        </row>
        <row r="3902">
          <cell r="A3902" t="str">
            <v>US56585A1025</v>
          </cell>
          <cell r="E3902">
            <v>107.9007766428</v>
          </cell>
        </row>
        <row r="3903">
          <cell r="A3903" t="str">
            <v>US5663241090</v>
          </cell>
          <cell r="E3903">
            <v>27.701271136799999</v>
          </cell>
        </row>
        <row r="3904">
          <cell r="A3904" t="str">
            <v>IT0005588626</v>
          </cell>
          <cell r="E3904">
            <v>3.43</v>
          </cell>
        </row>
        <row r="3905">
          <cell r="A3905" t="str">
            <v>FR0013400835</v>
          </cell>
          <cell r="E3905">
            <v>0.57999999999999996</v>
          </cell>
        </row>
        <row r="3906">
          <cell r="A3906" t="str">
            <v>GB00BMT7GT62</v>
          </cell>
          <cell r="E3906">
            <v>33.986581860000001</v>
          </cell>
        </row>
        <row r="3907">
          <cell r="A3907" t="str">
            <v>FI0009007660</v>
          </cell>
          <cell r="E3907">
            <v>12.48</v>
          </cell>
        </row>
        <row r="3908">
          <cell r="A3908" t="str">
            <v>JP3048290005</v>
          </cell>
          <cell r="E3908">
            <v>633.33171200000004</v>
          </cell>
        </row>
        <row r="3909">
          <cell r="A3909" t="str">
            <v>US5705351048</v>
          </cell>
          <cell r="E3909">
            <v>1572.2545875779999</v>
          </cell>
        </row>
        <row r="3910">
          <cell r="A3910" t="str">
            <v>US57060D1081</v>
          </cell>
          <cell r="E3910">
            <v>197.7224572728</v>
          </cell>
        </row>
        <row r="3911">
          <cell r="A3911" t="str">
            <v>JP3860210008</v>
          </cell>
          <cell r="E3911">
            <v>13.581996480000001</v>
          </cell>
        </row>
        <row r="3912">
          <cell r="A3912" t="str">
            <v>GB0031274896</v>
          </cell>
          <cell r="E3912">
            <v>4.7249352089999999</v>
          </cell>
        </row>
        <row r="3913">
          <cell r="A3913" t="str">
            <v>GB00BD8SLV43</v>
          </cell>
          <cell r="E3913">
            <v>3.7649817799999998</v>
          </cell>
        </row>
        <row r="3914">
          <cell r="A3914" t="str">
            <v>US57142B1044</v>
          </cell>
          <cell r="E3914">
            <v>3.4516242876000001</v>
          </cell>
        </row>
        <row r="3915">
          <cell r="A3915" t="str">
            <v>IT0003428445</v>
          </cell>
          <cell r="E3915">
            <v>9.33</v>
          </cell>
        </row>
        <row r="3916">
          <cell r="A3916" t="str">
            <v>US5719032022</v>
          </cell>
          <cell r="E3916">
            <v>196.48658156880001</v>
          </cell>
        </row>
        <row r="3917">
          <cell r="A3917" t="str">
            <v>US57164Y1073</v>
          </cell>
          <cell r="E3917">
            <v>46.804378447200001</v>
          </cell>
        </row>
        <row r="3918">
          <cell r="A3918" t="str">
            <v>JP3860220007</v>
          </cell>
          <cell r="E3918">
            <v>18.1216984</v>
          </cell>
        </row>
        <row r="3919">
          <cell r="A3919" t="str">
            <v>US5717481023</v>
          </cell>
          <cell r="E3919">
            <v>205.12005612959999</v>
          </cell>
        </row>
        <row r="3920">
          <cell r="A3920" t="str">
            <v>GB00B012BV22</v>
          </cell>
          <cell r="E3920">
            <v>3.0751248699999998</v>
          </cell>
        </row>
        <row r="3921">
          <cell r="A3921" t="str">
            <v>PTMFR0AM0003</v>
          </cell>
          <cell r="E3921">
            <v>1.825</v>
          </cell>
        </row>
        <row r="3922">
          <cell r="A3922" t="str">
            <v>US5732841060</v>
          </cell>
          <cell r="E3922">
            <v>440.545550058</v>
          </cell>
        </row>
        <row r="3923">
          <cell r="A3923" t="str">
            <v>CA5734591046</v>
          </cell>
          <cell r="E3923">
            <v>4.3605204918</v>
          </cell>
        </row>
        <row r="3924">
          <cell r="A3924" t="str">
            <v>JP3877600001</v>
          </cell>
          <cell r="E3924">
            <v>13.807744599999999</v>
          </cell>
        </row>
        <row r="3925">
          <cell r="A3925" t="str">
            <v>JP3877500003</v>
          </cell>
          <cell r="E3925">
            <v>5.3746607200000014</v>
          </cell>
        </row>
        <row r="3926">
          <cell r="A3926" t="str">
            <v>JP3876450002</v>
          </cell>
          <cell r="E3926">
            <v>25.079688399999998</v>
          </cell>
        </row>
        <row r="3927">
          <cell r="A3927" t="str">
            <v>JP3876400007</v>
          </cell>
          <cell r="E3927">
            <v>10.89775856</v>
          </cell>
        </row>
        <row r="3928">
          <cell r="A3928" t="str">
            <v>JP3876600002</v>
          </cell>
          <cell r="E3928">
            <v>19.37104416</v>
          </cell>
        </row>
        <row r="3929">
          <cell r="A3929" t="str">
            <v>JP3870400003</v>
          </cell>
          <cell r="E3929">
            <v>17.317664000000001</v>
          </cell>
        </row>
        <row r="3930">
          <cell r="A3930" t="str">
            <v>JP3871200006</v>
          </cell>
          <cell r="E3930">
            <v>20.286406400000001</v>
          </cell>
        </row>
        <row r="3931">
          <cell r="A3931" t="str">
            <v>JP3828100002</v>
          </cell>
          <cell r="E3931">
            <v>13.687139439999999</v>
          </cell>
        </row>
        <row r="3932">
          <cell r="A3932" t="str">
            <v>JP3874800000</v>
          </cell>
          <cell r="E3932">
            <v>5.2880723999999999</v>
          </cell>
        </row>
        <row r="3933">
          <cell r="A3933" t="str">
            <v>JP3879250003</v>
          </cell>
          <cell r="E3933">
            <v>164.67242999999999</v>
          </cell>
        </row>
        <row r="3934">
          <cell r="A3934" t="str">
            <v>JP3876000005</v>
          </cell>
          <cell r="E3934">
            <v>35.130118400000001</v>
          </cell>
        </row>
        <row r="3935">
          <cell r="A3935" t="str">
            <v>US5738741041</v>
          </cell>
          <cell r="E3935">
            <v>47.069208955199997</v>
          </cell>
        </row>
        <row r="3936">
          <cell r="A3936" t="str">
            <v>IT0004376858</v>
          </cell>
          <cell r="E3936">
            <v>2.34</v>
          </cell>
        </row>
        <row r="3937">
          <cell r="A3937" t="str">
            <v>US5745991068</v>
          </cell>
          <cell r="E3937">
            <v>54.6168784332</v>
          </cell>
        </row>
        <row r="3938">
          <cell r="A3938" t="str">
            <v>IT0004125677</v>
          </cell>
          <cell r="E3938">
            <v>3.94</v>
          </cell>
        </row>
        <row r="3939">
          <cell r="A3939" t="str">
            <v>US5747951003</v>
          </cell>
          <cell r="E3939">
            <v>134.2337568216</v>
          </cell>
        </row>
        <row r="3940">
          <cell r="A3940" t="str">
            <v>US5763231090</v>
          </cell>
          <cell r="E3940">
            <v>104.7581212812</v>
          </cell>
        </row>
        <row r="3941">
          <cell r="A3941" t="str">
            <v>US57638P1049</v>
          </cell>
          <cell r="E3941">
            <v>10.213629925199999</v>
          </cell>
        </row>
        <row r="3942">
          <cell r="A3942" t="str">
            <v>US57636Q1040</v>
          </cell>
          <cell r="E3942">
            <v>456.72669409679997</v>
          </cell>
        </row>
        <row r="3943">
          <cell r="A3943" t="str">
            <v>FR0004155687</v>
          </cell>
          <cell r="E3943">
            <v>1.83E-2</v>
          </cell>
        </row>
        <row r="3944">
          <cell r="A3944" t="str">
            <v>US5764852050</v>
          </cell>
          <cell r="E3944">
            <v>34.383827622000013</v>
          </cell>
        </row>
        <row r="3945">
          <cell r="A3945" t="str">
            <v>DK0060497295</v>
          </cell>
          <cell r="E3945">
            <v>17.896492208000002</v>
          </cell>
        </row>
        <row r="3946">
          <cell r="A3946" t="str">
            <v>US57667L1070</v>
          </cell>
          <cell r="E3946">
            <v>25.6709039088</v>
          </cell>
        </row>
        <row r="3947">
          <cell r="A3947" t="str">
            <v>US5766901012</v>
          </cell>
          <cell r="E3947">
            <v>68.811793661999999</v>
          </cell>
        </row>
        <row r="3948">
          <cell r="A3948" t="str">
            <v>IT0005388449</v>
          </cell>
          <cell r="E3948">
            <v>1.64</v>
          </cell>
        </row>
        <row r="3949">
          <cell r="A3949" t="str">
            <v>US8085411069</v>
          </cell>
          <cell r="E3949">
            <v>4.149011292</v>
          </cell>
        </row>
        <row r="3950">
          <cell r="A3950" t="str">
            <v>IL0004450156</v>
          </cell>
          <cell r="E3950">
            <v>20.898628469999998</v>
          </cell>
        </row>
        <row r="3951">
          <cell r="A3951" t="str">
            <v>US57686G1058</v>
          </cell>
          <cell r="E3951">
            <v>88.815324699599998</v>
          </cell>
        </row>
        <row r="3952">
          <cell r="A3952" t="str">
            <v>JP3868500004</v>
          </cell>
          <cell r="E3952">
            <v>20.7811968</v>
          </cell>
        </row>
        <row r="3953">
          <cell r="A3953" t="str">
            <v>JP3863600007</v>
          </cell>
          <cell r="E3953">
            <v>5.6715349599999998</v>
          </cell>
        </row>
        <row r="3954">
          <cell r="A3954" t="str">
            <v>JP3863800003</v>
          </cell>
          <cell r="E3954">
            <v>4.5025926399999996</v>
          </cell>
        </row>
        <row r="3955">
          <cell r="A3955" t="str">
            <v>JP3869010003</v>
          </cell>
          <cell r="E3955">
            <v>15.61063712</v>
          </cell>
        </row>
        <row r="3956">
          <cell r="A3956" t="str">
            <v>JP3869200000</v>
          </cell>
          <cell r="E3956">
            <v>5.9560394400000014</v>
          </cell>
        </row>
        <row r="3957">
          <cell r="A3957" t="str">
            <v>JP3869800007</v>
          </cell>
          <cell r="E3957">
            <v>37.171128799999998</v>
          </cell>
        </row>
        <row r="3958">
          <cell r="A3958" t="str">
            <v>US5770811025</v>
          </cell>
          <cell r="E3958">
            <v>13.1709039312</v>
          </cell>
        </row>
        <row r="3959">
          <cell r="A3959" t="str">
            <v>US5771281012</v>
          </cell>
          <cell r="E3959">
            <v>18.405720305999999</v>
          </cell>
        </row>
        <row r="3960">
          <cell r="A3960" t="str">
            <v>CA57722Y1025</v>
          </cell>
          <cell r="E3960">
            <v>6.0425262127999986</v>
          </cell>
        </row>
        <row r="3961">
          <cell r="A3961" t="str">
            <v>NO0013008664</v>
          </cell>
          <cell r="E3961">
            <v>6.2526052500000002</v>
          </cell>
        </row>
        <row r="3962">
          <cell r="A3962" t="str">
            <v>FR0010609263</v>
          </cell>
          <cell r="E3962">
            <v>9.1999999999999998E-2</v>
          </cell>
        </row>
        <row r="3963">
          <cell r="A3963" t="str">
            <v>FR0000051070</v>
          </cell>
          <cell r="E3963">
            <v>4.5540000000000003</v>
          </cell>
        </row>
        <row r="3964">
          <cell r="A3964" t="str">
            <v>JP3864800002</v>
          </cell>
          <cell r="E3964">
            <v>25.172461599999998</v>
          </cell>
        </row>
        <row r="3965">
          <cell r="A3965" t="str">
            <v>IL0011685588</v>
          </cell>
          <cell r="E3965">
            <v>3.4563024000000002</v>
          </cell>
        </row>
        <row r="3966">
          <cell r="A3966" t="str">
            <v>JP3791800000</v>
          </cell>
          <cell r="E3966">
            <v>10.37204376</v>
          </cell>
        </row>
        <row r="3967">
          <cell r="A3967" t="str">
            <v>SGXZ57724486</v>
          </cell>
          <cell r="E3967">
            <v>2.4717514079999998</v>
          </cell>
        </row>
        <row r="3968">
          <cell r="A3968" t="str">
            <v>US5779331041</v>
          </cell>
          <cell r="E3968">
            <v>60.107697632399997</v>
          </cell>
        </row>
        <row r="3969">
          <cell r="A3969" t="str">
            <v>US57776J1007</v>
          </cell>
          <cell r="E3969">
            <v>9.2072739947999995</v>
          </cell>
        </row>
        <row r="3970">
          <cell r="A3970" t="str">
            <v>AU000000MYX0</v>
          </cell>
          <cell r="E3970">
            <v>3.9497003676000002</v>
          </cell>
        </row>
        <row r="3971">
          <cell r="A3971" t="str">
            <v>AT0000938204</v>
          </cell>
          <cell r="E3971">
            <v>76.3</v>
          </cell>
        </row>
        <row r="3972">
          <cell r="A3972" t="str">
            <v>IL0010910656</v>
          </cell>
          <cell r="E3972">
            <v>0.92648105999999997</v>
          </cell>
        </row>
        <row r="3973">
          <cell r="A3973" t="str">
            <v>JP3868400007</v>
          </cell>
          <cell r="E3973">
            <v>5.0215040719999999</v>
          </cell>
        </row>
        <row r="3974">
          <cell r="A3974" t="str">
            <v>FR0000060873</v>
          </cell>
          <cell r="E3974">
            <v>3.25</v>
          </cell>
        </row>
        <row r="3975">
          <cell r="A3975" t="str">
            <v>US5797802064</v>
          </cell>
          <cell r="E3975">
            <v>66.445974457199995</v>
          </cell>
        </row>
        <row r="3976">
          <cell r="A3976" t="str">
            <v>US5801351017</v>
          </cell>
          <cell r="E3976">
            <v>275.8474571328</v>
          </cell>
        </row>
        <row r="3977">
          <cell r="A3977" t="str">
            <v>JP3750500005</v>
          </cell>
          <cell r="E3977">
            <v>37.047431199999998</v>
          </cell>
        </row>
        <row r="3978">
          <cell r="A3978" t="str">
            <v>US5805891091</v>
          </cell>
          <cell r="E3978">
            <v>94.085451808800002</v>
          </cell>
        </row>
        <row r="3979">
          <cell r="A3979" t="str">
            <v>JP3167420003</v>
          </cell>
          <cell r="E3979">
            <v>7.7558395200000003</v>
          </cell>
        </row>
        <row r="3980">
          <cell r="A3980" t="str">
            <v>US58155Q1031</v>
          </cell>
          <cell r="E3980">
            <v>611.63488590960003</v>
          </cell>
        </row>
        <row r="3981">
          <cell r="A3981" t="str">
            <v>AU000000MMS5</v>
          </cell>
          <cell r="E3981">
            <v>8.2651137321999997</v>
          </cell>
        </row>
        <row r="3982">
          <cell r="A3982" t="str">
            <v>FR0011742329</v>
          </cell>
          <cell r="E3982">
            <v>0.38500000000000001</v>
          </cell>
        </row>
        <row r="3983">
          <cell r="A3983" t="str">
            <v>CA55293N1096</v>
          </cell>
          <cell r="E3983">
            <v>15.677562758000001</v>
          </cell>
        </row>
        <row r="3984">
          <cell r="A3984" t="str">
            <v>US5526901096</v>
          </cell>
          <cell r="E3984">
            <v>14.8128530808</v>
          </cell>
        </row>
        <row r="3985">
          <cell r="A3985" t="str">
            <v>GB0008481250</v>
          </cell>
          <cell r="E3985">
            <v>2.2356040880000001</v>
          </cell>
        </row>
        <row r="3986">
          <cell r="A3986" t="str">
            <v>GB0005630420</v>
          </cell>
          <cell r="E3986">
            <v>4.5776098349999996</v>
          </cell>
        </row>
        <row r="3987">
          <cell r="A3987" t="str">
            <v>JP3117700009</v>
          </cell>
          <cell r="E3987">
            <v>3.9199769440000001</v>
          </cell>
        </row>
        <row r="3988">
          <cell r="A3988" t="str">
            <v>JP3920890005</v>
          </cell>
          <cell r="E3988">
            <v>12.988248</v>
          </cell>
        </row>
        <row r="3989">
          <cell r="A3989" t="str">
            <v>CH0468525222</v>
          </cell>
          <cell r="E3989">
            <v>130.4394776</v>
          </cell>
        </row>
        <row r="3990">
          <cell r="A3990" t="str">
            <v>SE0009160872</v>
          </cell>
          <cell r="E3990">
            <v>34.862797624999999</v>
          </cell>
        </row>
        <row r="3991">
          <cell r="A3991" t="str">
            <v>FR0010844464</v>
          </cell>
          <cell r="E3991">
            <v>0.35</v>
          </cell>
        </row>
        <row r="3992">
          <cell r="A3992" t="str">
            <v>FR0000064404</v>
          </cell>
          <cell r="E3992">
            <v>10.7</v>
          </cell>
        </row>
        <row r="3993">
          <cell r="A3993" t="str">
            <v>PTGMC0AM0003</v>
          </cell>
          <cell r="E3993">
            <v>1.95</v>
          </cell>
        </row>
        <row r="3994">
          <cell r="A3994" t="str">
            <v>FR0011049824</v>
          </cell>
          <cell r="E3994">
            <v>2.58</v>
          </cell>
        </row>
        <row r="3995">
          <cell r="A3995" t="str">
            <v>AU000000MPL3</v>
          </cell>
          <cell r="E3995">
            <v>2.4868483796</v>
          </cell>
        </row>
        <row r="3996">
          <cell r="A3996" t="str">
            <v>US58463J3041</v>
          </cell>
          <cell r="E3996">
            <v>4.8022598784000001</v>
          </cell>
        </row>
        <row r="3997">
          <cell r="A3997" t="str">
            <v>SE0009778848</v>
          </cell>
          <cell r="E3997">
            <v>18.80341859</v>
          </cell>
        </row>
        <row r="3998">
          <cell r="A3998" t="str">
            <v>FR0004065605</v>
          </cell>
          <cell r="E3998">
            <v>14.02</v>
          </cell>
        </row>
        <row r="3999">
          <cell r="A3999" t="str">
            <v>IT0000062957</v>
          </cell>
          <cell r="E3999">
            <v>15.744999999999999</v>
          </cell>
        </row>
        <row r="4000">
          <cell r="A4000" t="str">
            <v>JP3268950007</v>
          </cell>
          <cell r="E4000">
            <v>14.24996352</v>
          </cell>
        </row>
        <row r="4001">
          <cell r="A4001" t="str">
            <v>NO0010159684</v>
          </cell>
          <cell r="E4001">
            <v>13.338891200000001</v>
          </cell>
        </row>
        <row r="4002">
          <cell r="A4002" t="str">
            <v>IL0011315236</v>
          </cell>
          <cell r="E4002">
            <v>2.7962446500000002</v>
          </cell>
        </row>
        <row r="4003">
          <cell r="A4003" t="str">
            <v>JP3921310003</v>
          </cell>
          <cell r="E4003">
            <v>20.286406400000001</v>
          </cell>
        </row>
        <row r="4004">
          <cell r="A4004" t="str">
            <v>US58506Q1094</v>
          </cell>
          <cell r="E4004">
            <v>269.24434980000001</v>
          </cell>
        </row>
        <row r="4005">
          <cell r="A4005" t="str">
            <v>IE00BTN1Y115</v>
          </cell>
          <cell r="E4005">
            <v>72.713629813200001</v>
          </cell>
        </row>
        <row r="4006">
          <cell r="A4006" t="str">
            <v>AU0000192726</v>
          </cell>
          <cell r="E4006">
            <v>9.00216608E-2</v>
          </cell>
        </row>
        <row r="4007">
          <cell r="A4007" t="str">
            <v>CA5527041084</v>
          </cell>
          <cell r="E4007">
            <v>12.313551316</v>
          </cell>
        </row>
        <row r="4008">
          <cell r="A4008" t="str">
            <v>IL0011044885</v>
          </cell>
          <cell r="E4008">
            <v>28.5865011</v>
          </cell>
        </row>
        <row r="4009">
          <cell r="A4009" t="str">
            <v>JP3920860008</v>
          </cell>
          <cell r="E4009">
            <v>25.203385999999998</v>
          </cell>
        </row>
        <row r="4010">
          <cell r="A4010" t="str">
            <v>AU000000MP15</v>
          </cell>
          <cell r="E4010">
            <v>5.6376065076000001</v>
          </cell>
        </row>
        <row r="4011">
          <cell r="A4011" t="str">
            <v>IT0005450173</v>
          </cell>
          <cell r="E4011">
            <v>0.219</v>
          </cell>
        </row>
        <row r="4012">
          <cell r="A4012" t="str">
            <v>JP3947800003</v>
          </cell>
          <cell r="E4012">
            <v>15.783813759999999</v>
          </cell>
        </row>
        <row r="4013">
          <cell r="A4013" t="str">
            <v>IL0011391955</v>
          </cell>
          <cell r="E4013">
            <v>1.3952420729999999</v>
          </cell>
        </row>
        <row r="4014">
          <cell r="A4014" t="str">
            <v>JP3919800007</v>
          </cell>
          <cell r="E4014">
            <v>21.956323999999999</v>
          </cell>
        </row>
        <row r="4015">
          <cell r="A4015" t="str">
            <v>JP3918000005</v>
          </cell>
          <cell r="E4015">
            <v>21.047146640000001</v>
          </cell>
        </row>
        <row r="4016">
          <cell r="A4016" t="str">
            <v>JP3915350007</v>
          </cell>
          <cell r="E4016">
            <v>36.800035999999999</v>
          </cell>
        </row>
        <row r="4017">
          <cell r="A4017" t="str">
            <v>JP3918200001</v>
          </cell>
          <cell r="E4017">
            <v>7.9352010399999999</v>
          </cell>
        </row>
        <row r="4018">
          <cell r="A4018" t="str">
            <v>IL0010818438</v>
          </cell>
          <cell r="E4018">
            <v>11.07216873</v>
          </cell>
        </row>
        <row r="4019">
          <cell r="A4019" t="str">
            <v>JP3919200000</v>
          </cell>
          <cell r="E4019">
            <v>17.648555080000001</v>
          </cell>
        </row>
        <row r="4020">
          <cell r="A4020" t="str">
            <v>JP3920200007</v>
          </cell>
          <cell r="E4020">
            <v>12.431608799999999</v>
          </cell>
        </row>
        <row r="4021">
          <cell r="A4021" t="str">
            <v>SE0002110064</v>
          </cell>
          <cell r="E4021">
            <v>10.994151922</v>
          </cell>
        </row>
        <row r="4022">
          <cell r="A4022" t="str">
            <v>HK0200030994</v>
          </cell>
          <cell r="E4022">
            <v>0.39720478739999998</v>
          </cell>
        </row>
        <row r="4023">
          <cell r="A4023" t="str">
            <v>BE0165385973</v>
          </cell>
          <cell r="E4023">
            <v>48.92</v>
          </cell>
        </row>
        <row r="4024">
          <cell r="A4024" t="str">
            <v>NO0006001908</v>
          </cell>
          <cell r="E4024">
            <v>13.970821170600001</v>
          </cell>
        </row>
        <row r="4025">
          <cell r="A4025" t="str">
            <v>ES0176252718</v>
          </cell>
          <cell r="E4025">
            <v>6.2450000000000001</v>
          </cell>
        </row>
        <row r="4026">
          <cell r="A4026" t="str">
            <v>IL0003230146</v>
          </cell>
          <cell r="E4026">
            <v>72.990386099999995</v>
          </cell>
        </row>
        <row r="4027">
          <cell r="A4027" t="str">
            <v>GB00BNGDN821</v>
          </cell>
          <cell r="E4027">
            <v>5.0581711739999999</v>
          </cell>
        </row>
        <row r="4028">
          <cell r="A4028" t="str">
            <v>FR0010298620</v>
          </cell>
          <cell r="E4028">
            <v>3.9849999999999999</v>
          </cell>
        </row>
        <row r="4029">
          <cell r="A4029" t="str">
            <v>JP3921270009</v>
          </cell>
          <cell r="E4029">
            <v>7.2734188800000004</v>
          </cell>
        </row>
        <row r="4030">
          <cell r="A4030" t="str">
            <v>IL0011708935</v>
          </cell>
          <cell r="E4030">
            <v>4.2507719100000001</v>
          </cell>
        </row>
        <row r="4031">
          <cell r="A4031" t="str">
            <v>IL0011405730</v>
          </cell>
          <cell r="E4031">
            <v>0.43923843000000001</v>
          </cell>
        </row>
        <row r="4032">
          <cell r="A4032" t="str">
            <v>IL0005660183</v>
          </cell>
          <cell r="E4032">
            <v>45.603990000000003</v>
          </cell>
        </row>
        <row r="4033">
          <cell r="A4033" t="str">
            <v>US58733R1023</v>
          </cell>
          <cell r="E4033">
            <v>1869.9858723551999</v>
          </cell>
        </row>
        <row r="4034">
          <cell r="A4034" t="str">
            <v>JP3921290007</v>
          </cell>
          <cell r="E4034">
            <v>14.18811472</v>
          </cell>
        </row>
        <row r="4035">
          <cell r="A4035" t="str">
            <v>DE0007100000</v>
          </cell>
          <cell r="E4035">
            <v>50.14</v>
          </cell>
        </row>
        <row r="4036">
          <cell r="A4036" t="str">
            <v>US58844R1086</v>
          </cell>
          <cell r="E4036">
            <v>28.592867180399999</v>
          </cell>
        </row>
        <row r="4037">
          <cell r="A4037" t="str">
            <v>FR0010241638</v>
          </cell>
          <cell r="E4037">
            <v>11.46</v>
          </cell>
        </row>
        <row r="4038">
          <cell r="A4038" t="str">
            <v>US58933Y1055</v>
          </cell>
          <cell r="E4038">
            <v>69.200211740400007</v>
          </cell>
        </row>
        <row r="4039">
          <cell r="A4039" t="str">
            <v>DE0006599905</v>
          </cell>
          <cell r="E4039">
            <v>118.95</v>
          </cell>
        </row>
        <row r="4040">
          <cell r="A4040" t="str">
            <v>US5894001008</v>
          </cell>
          <cell r="E4040">
            <v>46.4512711032</v>
          </cell>
        </row>
        <row r="4041">
          <cell r="A4041" t="str">
            <v>NZMRPE0001S2</v>
          </cell>
          <cell r="E4041">
            <v>3.0259403979999999</v>
          </cell>
        </row>
        <row r="4042">
          <cell r="A4042" t="str">
            <v>US5893781089</v>
          </cell>
          <cell r="E4042">
            <v>42.399364330799997</v>
          </cell>
        </row>
        <row r="4043">
          <cell r="A4043" t="str">
            <v>NZMELE0002S7</v>
          </cell>
          <cell r="E4043">
            <v>3.0730571169999998</v>
          </cell>
        </row>
        <row r="4044">
          <cell r="A4044" t="str">
            <v>US5898891040</v>
          </cell>
          <cell r="E4044">
            <v>81.179378385600003</v>
          </cell>
        </row>
        <row r="4045">
          <cell r="A4045" t="str">
            <v>US59001A1025</v>
          </cell>
          <cell r="E4045">
            <v>56.558968825199997</v>
          </cell>
        </row>
        <row r="4046">
          <cell r="A4046" t="str">
            <v>ES0105025003</v>
          </cell>
          <cell r="E4046">
            <v>9.5</v>
          </cell>
        </row>
        <row r="4047">
          <cell r="A4047" t="str">
            <v>FR0000039620</v>
          </cell>
          <cell r="E4047">
            <v>17.940000000000001</v>
          </cell>
        </row>
        <row r="4048">
          <cell r="A4048" t="str">
            <v>NL0011606264</v>
          </cell>
          <cell r="E4048">
            <v>38.153248519199998</v>
          </cell>
        </row>
        <row r="4049">
          <cell r="A4049" t="str">
            <v>IL0011669749</v>
          </cell>
          <cell r="E4049">
            <v>0.62405460000000001</v>
          </cell>
        </row>
        <row r="4050">
          <cell r="A4050" t="str">
            <v>IL0005730143</v>
          </cell>
          <cell r="E4050">
            <v>89.167801499999996</v>
          </cell>
        </row>
        <row r="4051">
          <cell r="A4051" t="str">
            <v>AU000000MSB8</v>
          </cell>
          <cell r="E4051">
            <v>0.95648014599999998</v>
          </cell>
        </row>
        <row r="4052">
          <cell r="A4052" t="str">
            <v>US30303M1027</v>
          </cell>
          <cell r="E4052">
            <v>460.38135510720002</v>
          </cell>
        </row>
        <row r="4053">
          <cell r="A4053" t="str">
            <v>AU000000MLX7</v>
          </cell>
          <cell r="E4053">
            <v>0.28975722069999998</v>
          </cell>
        </row>
        <row r="4054">
          <cell r="A4054" t="str">
            <v>JP3481200008</v>
          </cell>
          <cell r="E4054">
            <v>2.2822207200000002</v>
          </cell>
        </row>
        <row r="4055">
          <cell r="A4055" t="str">
            <v>FR00140066X4</v>
          </cell>
          <cell r="E4055">
            <v>2.8799999999999999E-2</v>
          </cell>
        </row>
        <row r="4056">
          <cell r="A4056" t="str">
            <v>JP3921260000</v>
          </cell>
          <cell r="E4056">
            <v>11.392548959999999</v>
          </cell>
        </row>
        <row r="4057">
          <cell r="A4057" t="str">
            <v>AU000000MTS0</v>
          </cell>
          <cell r="E4057">
            <v>1.7779278007999999</v>
          </cell>
        </row>
        <row r="4058">
          <cell r="A4058" t="str">
            <v>AU000000MEI3</v>
          </cell>
          <cell r="E4058">
            <v>5.0074548820000002E-2</v>
          </cell>
        </row>
        <row r="4059">
          <cell r="A4059" t="str">
            <v>CA59151K1084</v>
          </cell>
          <cell r="E4059">
            <v>23.973341917799999</v>
          </cell>
        </row>
        <row r="4060">
          <cell r="A4060" t="str">
            <v>FR0011217710</v>
          </cell>
          <cell r="E4060">
            <v>2.6795</v>
          </cell>
        </row>
        <row r="4061">
          <cell r="A4061" t="str">
            <v>US59156R1086</v>
          </cell>
          <cell r="E4061">
            <v>64.186087455600003</v>
          </cell>
        </row>
        <row r="4062">
          <cell r="A4062" t="str">
            <v>DE000BFB0019</v>
          </cell>
          <cell r="E4062">
            <v>5.33</v>
          </cell>
        </row>
        <row r="4063">
          <cell r="A4063" t="str">
            <v>CA59162N1096</v>
          </cell>
          <cell r="E4063">
            <v>64.030466843199989</v>
          </cell>
        </row>
        <row r="4064">
          <cell r="A4064" t="str">
            <v>AU000000MMI6</v>
          </cell>
          <cell r="E4064">
            <v>2.7006498239999999E-2</v>
          </cell>
        </row>
        <row r="4065">
          <cell r="A4065" t="str">
            <v>FR0000053225</v>
          </cell>
          <cell r="E4065">
            <v>13.58</v>
          </cell>
        </row>
        <row r="4066">
          <cell r="A4066" t="str">
            <v>FI0009000665</v>
          </cell>
          <cell r="E4066">
            <v>3.1760000000000002</v>
          </cell>
        </row>
        <row r="4067">
          <cell r="A4067" t="str">
            <v>FI0009014575</v>
          </cell>
          <cell r="E4067">
            <v>8.6440000000000001</v>
          </cell>
        </row>
        <row r="4068">
          <cell r="A4068" t="str">
            <v>US5926881054</v>
          </cell>
          <cell r="E4068">
            <v>923.88771020879994</v>
          </cell>
        </row>
        <row r="4069">
          <cell r="A4069" t="str">
            <v>IT0005586950</v>
          </cell>
          <cell r="E4069">
            <v>0.504</v>
          </cell>
        </row>
        <row r="4070">
          <cell r="A4070" t="str">
            <v>IT0005450819</v>
          </cell>
          <cell r="E4070">
            <v>1.2</v>
          </cell>
        </row>
        <row r="4071">
          <cell r="A4071" t="str">
            <v>CH1357065999</v>
          </cell>
          <cell r="E4071">
            <v>1.7406327640000001</v>
          </cell>
        </row>
        <row r="4072">
          <cell r="A4072" t="str">
            <v>US55272X6076</v>
          </cell>
          <cell r="E4072">
            <v>7.6624293648000004</v>
          </cell>
        </row>
        <row r="4073">
          <cell r="A4073" t="str">
            <v>NL0015001OI1</v>
          </cell>
          <cell r="E4073">
            <v>3.1520000000000001</v>
          </cell>
        </row>
        <row r="4074">
          <cell r="A4074" t="str">
            <v>FR0010204453</v>
          </cell>
          <cell r="E4074">
            <v>3.5</v>
          </cell>
        </row>
        <row r="4075">
          <cell r="A4075" t="str">
            <v>US55277P1049</v>
          </cell>
          <cell r="E4075">
            <v>80.120056353600006</v>
          </cell>
        </row>
        <row r="4076">
          <cell r="A4076" t="str">
            <v>FR0010353888</v>
          </cell>
          <cell r="E4076">
            <v>11.98</v>
          </cell>
        </row>
        <row r="4077">
          <cell r="A4077" t="str">
            <v>US5528481030</v>
          </cell>
          <cell r="E4077">
            <v>21.4424434644</v>
          </cell>
        </row>
        <row r="4078">
          <cell r="A4078" t="str">
            <v>KYG607441022</v>
          </cell>
          <cell r="E4078">
            <v>1.0778021021999999</v>
          </cell>
        </row>
        <row r="4079">
          <cell r="A4079" t="str">
            <v>US5529531015</v>
          </cell>
          <cell r="E4079">
            <v>26.227047975600001</v>
          </cell>
        </row>
        <row r="4080">
          <cell r="A4080" t="str">
            <v>US55303J1060</v>
          </cell>
          <cell r="E4080">
            <v>23.931850239599999</v>
          </cell>
        </row>
        <row r="4081">
          <cell r="A4081" t="str">
            <v>FR001400AJ45</v>
          </cell>
          <cell r="E4081">
            <v>30.56</v>
          </cell>
        </row>
        <row r="4082">
          <cell r="A4082" t="str">
            <v>US5950171042</v>
          </cell>
          <cell r="E4082">
            <v>34.189618582800001</v>
          </cell>
        </row>
        <row r="4083">
          <cell r="A4083" t="str">
            <v>US5951121038</v>
          </cell>
          <cell r="E4083">
            <v>62.711864294400009</v>
          </cell>
        </row>
        <row r="4084">
          <cell r="A4084" t="str">
            <v>JP3750400008</v>
          </cell>
          <cell r="E4084">
            <v>19.018505999999999</v>
          </cell>
        </row>
        <row r="4085">
          <cell r="A4085" t="str">
            <v>KYG608371046</v>
          </cell>
          <cell r="E4085">
            <v>0.78416647139999995</v>
          </cell>
        </row>
        <row r="4086">
          <cell r="A4086" t="str">
            <v>US5949181045</v>
          </cell>
          <cell r="E4086">
            <v>340.5102395028</v>
          </cell>
        </row>
        <row r="4087">
          <cell r="A4087" t="str">
            <v>US5949724083</v>
          </cell>
          <cell r="E4087">
            <v>274.29378481920003</v>
          </cell>
        </row>
        <row r="4088">
          <cell r="A4088" t="str">
            <v>US59522J1034</v>
          </cell>
          <cell r="E4088">
            <v>136.7319912804</v>
          </cell>
        </row>
        <row r="4089">
          <cell r="A4089" t="str">
            <v>US5962781010</v>
          </cell>
          <cell r="E4089">
            <v>114.3096749364</v>
          </cell>
        </row>
        <row r="4090">
          <cell r="A4090" t="str">
            <v>JP3332510001</v>
          </cell>
          <cell r="E4090">
            <v>3.0615155999999999</v>
          </cell>
        </row>
        <row r="4091">
          <cell r="A4091" t="str">
            <v>JP3882500006</v>
          </cell>
          <cell r="E4091">
            <v>13.6376604</v>
          </cell>
        </row>
        <row r="4092">
          <cell r="A4092" t="str">
            <v>IL0010811656</v>
          </cell>
          <cell r="E4092">
            <v>1.6388633880000001</v>
          </cell>
        </row>
        <row r="4093">
          <cell r="A4093" t="str">
            <v>BE0003731453</v>
          </cell>
          <cell r="E4093">
            <v>50.4</v>
          </cell>
        </row>
        <row r="4094">
          <cell r="A4094" t="str">
            <v>JP3910650005</v>
          </cell>
          <cell r="E4094">
            <v>17.008420000000001</v>
          </cell>
        </row>
        <row r="4095">
          <cell r="A4095" t="str">
            <v>SE0016074249</v>
          </cell>
          <cell r="E4095">
            <v>20.998650233999999</v>
          </cell>
        </row>
        <row r="4096">
          <cell r="A4096" t="str">
            <v>FR0013053535</v>
          </cell>
          <cell r="E4096">
            <v>1.33</v>
          </cell>
        </row>
        <row r="4097">
          <cell r="A4097" t="str">
            <v>US6005441000</v>
          </cell>
          <cell r="E4097">
            <v>14.2743643812</v>
          </cell>
        </row>
        <row r="4098">
          <cell r="A4098" t="str">
            <v>LU0038705702</v>
          </cell>
          <cell r="E4098">
            <v>26.3418078624</v>
          </cell>
        </row>
        <row r="4099">
          <cell r="A4099" t="str">
            <v>US6011371027</v>
          </cell>
          <cell r="E4099">
            <v>20.965748550000001</v>
          </cell>
        </row>
        <row r="4100">
          <cell r="A4100" t="str">
            <v>JP3907150001</v>
          </cell>
          <cell r="E4100">
            <v>8.5227646400000001</v>
          </cell>
        </row>
        <row r="4101">
          <cell r="A4101" t="str">
            <v>IE00BD64C665</v>
          </cell>
          <cell r="E4101">
            <v>0.41</v>
          </cell>
        </row>
        <row r="4102">
          <cell r="A4102" t="str">
            <v>JP3906000009</v>
          </cell>
          <cell r="E4102">
            <v>12.64189472</v>
          </cell>
        </row>
        <row r="4103">
          <cell r="A4103" t="str">
            <v>AU000000MIN4</v>
          </cell>
          <cell r="E4103">
            <v>10.268095685</v>
          </cell>
        </row>
        <row r="4104">
          <cell r="A4104" t="str">
            <v>US6031581068</v>
          </cell>
          <cell r="E4104">
            <v>50.105932113599998</v>
          </cell>
        </row>
        <row r="4105">
          <cell r="A4105" t="str">
            <v>JP3905950006</v>
          </cell>
          <cell r="E4105">
            <v>11.009086399999999</v>
          </cell>
        </row>
        <row r="4106">
          <cell r="A4106" t="str">
            <v>FR0004172450</v>
          </cell>
          <cell r="E4106">
            <v>4</v>
          </cell>
        </row>
        <row r="4107">
          <cell r="A4107" t="str">
            <v>KYG6145U1094</v>
          </cell>
          <cell r="E4107">
            <v>1.9939907952</v>
          </cell>
        </row>
        <row r="4108">
          <cell r="A4108" t="str">
            <v>SE0009216278</v>
          </cell>
          <cell r="E4108">
            <v>33.000449467999999</v>
          </cell>
        </row>
        <row r="4109">
          <cell r="A4109" t="str">
            <v>JP3048370005</v>
          </cell>
          <cell r="E4109">
            <v>259.76495999999997</v>
          </cell>
        </row>
        <row r="4110">
          <cell r="A4110" t="str">
            <v>JP3910600000</v>
          </cell>
          <cell r="E4110">
            <v>22.853131600000001</v>
          </cell>
        </row>
        <row r="4111">
          <cell r="A4111" t="str">
            <v>JP3910620008</v>
          </cell>
          <cell r="E4111">
            <v>12.9573236</v>
          </cell>
        </row>
        <row r="4112">
          <cell r="A4112" t="str">
            <v>JP3460800000</v>
          </cell>
          <cell r="E4112">
            <v>3.0058516800000001</v>
          </cell>
        </row>
        <row r="4113">
          <cell r="A4113" t="str">
            <v>US60471A1016</v>
          </cell>
          <cell r="E4113">
            <v>12.305790938399999</v>
          </cell>
        </row>
        <row r="4114">
          <cell r="A4114" t="str">
            <v>JP3910700008</v>
          </cell>
          <cell r="E4114">
            <v>10.718397039999999</v>
          </cell>
        </row>
        <row r="4115">
          <cell r="A4115" t="str">
            <v>US6047491013</v>
          </cell>
          <cell r="E4115">
            <v>34.101341746800003</v>
          </cell>
        </row>
        <row r="4116">
          <cell r="A4116" t="str">
            <v>AU000000MGR9</v>
          </cell>
          <cell r="E4116">
            <v>1.2040397132</v>
          </cell>
        </row>
        <row r="4117">
          <cell r="A4117" t="str">
            <v>IT0005603078</v>
          </cell>
          <cell r="E4117">
            <v>2.5499999999999998</v>
          </cell>
        </row>
        <row r="4118">
          <cell r="A4118" t="str">
            <v>US60646V1052</v>
          </cell>
          <cell r="E4118">
            <v>6.3912429264000004</v>
          </cell>
        </row>
        <row r="4119">
          <cell r="A4119" t="str">
            <v>JP3885400006</v>
          </cell>
          <cell r="E4119">
            <v>13.40881984</v>
          </cell>
        </row>
        <row r="4120">
          <cell r="A4120" t="str">
            <v>IT0005427510</v>
          </cell>
          <cell r="E4120">
            <v>1.83</v>
          </cell>
        </row>
        <row r="4121">
          <cell r="A4121" t="str">
            <v>JP3887600009</v>
          </cell>
          <cell r="E4121">
            <v>38.717348800000003</v>
          </cell>
        </row>
        <row r="4122">
          <cell r="A4122" t="str">
            <v>GB00B1FP6H53</v>
          </cell>
          <cell r="E4122">
            <v>2.823736335</v>
          </cell>
        </row>
        <row r="4123">
          <cell r="A4123" t="str">
            <v>GB0004657408</v>
          </cell>
          <cell r="E4123">
            <v>1.4264837800000001</v>
          </cell>
        </row>
        <row r="4124">
          <cell r="A4124" t="str">
            <v>JP3905400002</v>
          </cell>
          <cell r="E4124">
            <v>3.0058516800000001</v>
          </cell>
        </row>
        <row r="4125">
          <cell r="A4125" t="str">
            <v>JP3902400005</v>
          </cell>
          <cell r="E4125">
            <v>15.888956719999999</v>
          </cell>
        </row>
        <row r="4126">
          <cell r="A4126" t="str">
            <v>JP3896800004</v>
          </cell>
          <cell r="E4126">
            <v>13.32532396</v>
          </cell>
        </row>
        <row r="4127">
          <cell r="A4127" t="str">
            <v>JP3903000002</v>
          </cell>
          <cell r="E4127">
            <v>13.640752839999999</v>
          </cell>
        </row>
        <row r="4128">
          <cell r="A4128" t="str">
            <v>JP3895200008</v>
          </cell>
          <cell r="E4128">
            <v>4.77472736</v>
          </cell>
        </row>
        <row r="4129">
          <cell r="A4129" t="str">
            <v>JP3897700005</v>
          </cell>
          <cell r="E4129">
            <v>4.0715065040000002</v>
          </cell>
        </row>
        <row r="4130">
          <cell r="A4130" t="str">
            <v>JP3898400001</v>
          </cell>
          <cell r="E4130">
            <v>15.31685532</v>
          </cell>
        </row>
        <row r="4131">
          <cell r="A4131" t="str">
            <v>JP3899600005</v>
          </cell>
          <cell r="E4131">
            <v>14.91793056</v>
          </cell>
        </row>
        <row r="4132">
          <cell r="A4132" t="str">
            <v>JP3048480002</v>
          </cell>
          <cell r="E4132">
            <v>708.16876000000002</v>
          </cell>
        </row>
        <row r="4133">
          <cell r="A4133" t="str">
            <v>JP3499800005</v>
          </cell>
          <cell r="E4133">
            <v>5.8638847280000004</v>
          </cell>
        </row>
        <row r="4134">
          <cell r="A4134" t="str">
            <v>JP3900000005</v>
          </cell>
          <cell r="E4134">
            <v>15.83947768</v>
          </cell>
        </row>
        <row r="4135">
          <cell r="A4135" t="str">
            <v>JP3896000001</v>
          </cell>
          <cell r="E4135">
            <v>7.2548642399999999</v>
          </cell>
        </row>
        <row r="4136">
          <cell r="A4136" t="str">
            <v>JP3753800006</v>
          </cell>
          <cell r="E4136">
            <v>11.5038768</v>
          </cell>
        </row>
        <row r="4137">
          <cell r="A4137" t="str">
            <v>JP3902000003</v>
          </cell>
          <cell r="E4137">
            <v>5.7210140000000003</v>
          </cell>
        </row>
        <row r="4138">
          <cell r="A4138" t="str">
            <v>JP3899800001</v>
          </cell>
          <cell r="E4138">
            <v>2.3001568720000001</v>
          </cell>
        </row>
        <row r="4139">
          <cell r="A4139" t="str">
            <v>JP3895600009</v>
          </cell>
          <cell r="E4139">
            <v>15.171510639999999</v>
          </cell>
        </row>
        <row r="4140">
          <cell r="A4140" t="str">
            <v>JP3902200009</v>
          </cell>
          <cell r="E4140">
            <v>29.130784800000001</v>
          </cell>
        </row>
        <row r="4141">
          <cell r="A4141" t="str">
            <v>JP3976000004</v>
          </cell>
          <cell r="E4141">
            <v>30.677004799999999</v>
          </cell>
        </row>
        <row r="4142">
          <cell r="A4142" t="str">
            <v>JP3902900004</v>
          </cell>
          <cell r="E4142">
            <v>10.415337920000001</v>
          </cell>
        </row>
        <row r="4143">
          <cell r="A4143" t="str">
            <v>JP3904000001</v>
          </cell>
          <cell r="E4143">
            <v>21.245062799999999</v>
          </cell>
        </row>
        <row r="4144">
          <cell r="A4144" t="str">
            <v>JP3893600001</v>
          </cell>
          <cell r="E4144">
            <v>16.386839559999999</v>
          </cell>
        </row>
        <row r="4145">
          <cell r="A4145" t="str">
            <v>JP3888300005</v>
          </cell>
          <cell r="E4145">
            <v>18.931917680000002</v>
          </cell>
        </row>
        <row r="4146">
          <cell r="A4146" t="str">
            <v>JP3890400009</v>
          </cell>
          <cell r="E4146">
            <v>20.7502724</v>
          </cell>
        </row>
        <row r="4147">
          <cell r="A4147" t="str">
            <v>JP3891600003</v>
          </cell>
          <cell r="E4147">
            <v>9.3144292800000006</v>
          </cell>
        </row>
        <row r="4148">
          <cell r="A4148" t="str">
            <v>JP3893200000</v>
          </cell>
          <cell r="E4148">
            <v>8.5011175600000009</v>
          </cell>
        </row>
        <row r="4149">
          <cell r="A4149" t="str">
            <v>JP3048300002</v>
          </cell>
          <cell r="E4149">
            <v>620.34346400000004</v>
          </cell>
        </row>
        <row r="4150">
          <cell r="A4150" t="str">
            <v>JP3892400007</v>
          </cell>
          <cell r="E4150">
            <v>3.9583232000000002</v>
          </cell>
        </row>
        <row r="4151">
          <cell r="A4151" t="str">
            <v>JP3888400003</v>
          </cell>
          <cell r="E4151">
            <v>22.704694480000001</v>
          </cell>
        </row>
        <row r="4152">
          <cell r="A4152" t="str">
            <v>JP3894000003</v>
          </cell>
          <cell r="E4152">
            <v>23.811788</v>
          </cell>
        </row>
        <row r="4153">
          <cell r="A4153" t="str">
            <v>JP3362700001</v>
          </cell>
          <cell r="E4153">
            <v>30.66463504</v>
          </cell>
        </row>
        <row r="4154">
          <cell r="A4154" t="str">
            <v>JP3891200002</v>
          </cell>
          <cell r="E4154">
            <v>53.994002399999999</v>
          </cell>
        </row>
        <row r="4155">
          <cell r="A4155" t="str">
            <v>JP3894400005</v>
          </cell>
          <cell r="E4155">
            <v>9.9885812000000005</v>
          </cell>
        </row>
        <row r="4156">
          <cell r="A4156" t="str">
            <v>JP3880800002</v>
          </cell>
          <cell r="E4156">
            <v>16.720823079999999</v>
          </cell>
        </row>
        <row r="4157">
          <cell r="A4157" t="str">
            <v>IL0002260193</v>
          </cell>
          <cell r="E4157">
            <v>2.4650156700000001</v>
          </cell>
        </row>
        <row r="4158">
          <cell r="A4158" t="str">
            <v>IL0001270193</v>
          </cell>
          <cell r="E4158">
            <v>55.708874100000003</v>
          </cell>
        </row>
        <row r="4159">
          <cell r="A4159" t="str">
            <v>JP3882750007</v>
          </cell>
          <cell r="E4159">
            <v>19.234976799999998</v>
          </cell>
        </row>
        <row r="4160">
          <cell r="A4160" t="str">
            <v>JP3908700002</v>
          </cell>
          <cell r="E4160">
            <v>10.75550632</v>
          </cell>
        </row>
        <row r="4161">
          <cell r="A4161" t="str">
            <v>JP3908000007</v>
          </cell>
          <cell r="E4161">
            <v>17.849563679999999</v>
          </cell>
        </row>
        <row r="4162">
          <cell r="A4162" t="str">
            <v>IL0006954379</v>
          </cell>
          <cell r="E4162">
            <v>41.859662399999998</v>
          </cell>
        </row>
        <row r="4163">
          <cell r="A4163" t="str">
            <v>JP3885780001</v>
          </cell>
          <cell r="E4163">
            <v>20.886339759999998</v>
          </cell>
        </row>
        <row r="4164">
          <cell r="A4164" t="str">
            <v>JP3286500008</v>
          </cell>
          <cell r="E4164">
            <v>6.1168463200000014</v>
          </cell>
        </row>
        <row r="4165">
          <cell r="A4165" t="str">
            <v>JP3905200006</v>
          </cell>
          <cell r="E4165">
            <v>14.682905119999999</v>
          </cell>
        </row>
        <row r="4166">
          <cell r="A4166" t="str">
            <v>GB00BRKD9Z53</v>
          </cell>
          <cell r="E4166">
            <v>5.3551604199999998</v>
          </cell>
        </row>
        <row r="4167">
          <cell r="A4167" t="str">
            <v>NL0009312842</v>
          </cell>
          <cell r="E4167">
            <v>5.8999999999999997E-2</v>
          </cell>
        </row>
        <row r="4168">
          <cell r="A4168" t="str">
            <v>US55306N1046</v>
          </cell>
          <cell r="E4168">
            <v>59.304378424800007</v>
          </cell>
        </row>
        <row r="4169">
          <cell r="A4169" t="str">
            <v>GB0006215205</v>
          </cell>
          <cell r="E4169">
            <v>0.71616501249999998</v>
          </cell>
        </row>
        <row r="4170">
          <cell r="A4170" t="str">
            <v>US60741F1049</v>
          </cell>
          <cell r="E4170">
            <v>10.902189246000001</v>
          </cell>
        </row>
        <row r="4171">
          <cell r="A4171" t="str">
            <v>CH0276837694</v>
          </cell>
          <cell r="E4171">
            <v>10.862757820000001</v>
          </cell>
        </row>
        <row r="4172">
          <cell r="A4172" t="str">
            <v>CH0011108872</v>
          </cell>
          <cell r="E4172">
            <v>331.49767899999989</v>
          </cell>
        </row>
        <row r="4173">
          <cell r="A4173" t="str">
            <v>KYG622681008</v>
          </cell>
          <cell r="E4173">
            <v>0.67263045659999998</v>
          </cell>
        </row>
        <row r="4174">
          <cell r="A4174" t="str">
            <v>JP3922800002</v>
          </cell>
          <cell r="E4174">
            <v>18.263950640000001</v>
          </cell>
        </row>
        <row r="4175">
          <cell r="A4175" t="str">
            <v>JP3888250002</v>
          </cell>
          <cell r="E4175">
            <v>22.110945999999998</v>
          </cell>
        </row>
        <row r="4176">
          <cell r="A4176" t="str">
            <v>SE0018012494</v>
          </cell>
          <cell r="E4176">
            <v>9.8785423980000004</v>
          </cell>
        </row>
        <row r="4177">
          <cell r="A4177" t="str">
            <v>US60770K1079</v>
          </cell>
          <cell r="E4177">
            <v>23.163841766400001</v>
          </cell>
        </row>
        <row r="4178">
          <cell r="A4178" t="str">
            <v>US6078281002</v>
          </cell>
          <cell r="E4178">
            <v>67.929025301999999</v>
          </cell>
        </row>
        <row r="4179">
          <cell r="A4179" t="str">
            <v>US60786M1053</v>
          </cell>
          <cell r="E4179">
            <v>46.212923646</v>
          </cell>
        </row>
        <row r="4180">
          <cell r="A4180" t="str">
            <v>KYG6185A1040</v>
          </cell>
          <cell r="E4180">
            <v>4.3248658799999999E-2</v>
          </cell>
        </row>
        <row r="4181">
          <cell r="A4181" t="str">
            <v>US6081901042</v>
          </cell>
          <cell r="E4181">
            <v>90.960451814400002</v>
          </cell>
        </row>
        <row r="4182">
          <cell r="A4182" t="str">
            <v>US60855R1005</v>
          </cell>
          <cell r="E4182">
            <v>296.16878478000001</v>
          </cell>
        </row>
        <row r="4183">
          <cell r="A4183" t="str">
            <v>US60871R2094</v>
          </cell>
          <cell r="E4183">
            <v>52.533545103599998</v>
          </cell>
        </row>
        <row r="4184">
          <cell r="A4184" t="str">
            <v>GB00BY7QYJ50</v>
          </cell>
          <cell r="E4184">
            <v>3.1756802839999998</v>
          </cell>
        </row>
        <row r="4185">
          <cell r="A4185" t="str">
            <v>IT0004195308</v>
          </cell>
          <cell r="E4185">
            <v>40.85</v>
          </cell>
        </row>
        <row r="4186">
          <cell r="A4186" t="str">
            <v>SE0017562523</v>
          </cell>
          <cell r="E4186">
            <v>15.078722276000001</v>
          </cell>
        </row>
        <row r="4187">
          <cell r="A4187" t="str">
            <v>FR001400H3A0</v>
          </cell>
          <cell r="E4187">
            <v>4.38</v>
          </cell>
        </row>
        <row r="4188">
          <cell r="A4188" t="str">
            <v>AU000000MND5</v>
          </cell>
          <cell r="E4188">
            <v>8.4845415303999996</v>
          </cell>
        </row>
        <row r="4189">
          <cell r="A4189" t="str">
            <v>US6090271072</v>
          </cell>
          <cell r="E4189">
            <v>66.3488699376</v>
          </cell>
        </row>
        <row r="4190">
          <cell r="A4190" t="str">
            <v>AU000000MVF3</v>
          </cell>
          <cell r="E4190">
            <v>0.42197653499999999</v>
          </cell>
        </row>
        <row r="4191">
          <cell r="A4191" t="str">
            <v>FR001400SU99</v>
          </cell>
          <cell r="E4191">
            <v>134.68</v>
          </cell>
        </row>
        <row r="4192">
          <cell r="A4192" t="str">
            <v>IT0004965148</v>
          </cell>
          <cell r="E4192">
            <v>54.72</v>
          </cell>
        </row>
        <row r="4193">
          <cell r="A4193" t="str">
            <v>IT0001469383</v>
          </cell>
          <cell r="E4193">
            <v>2.08</v>
          </cell>
        </row>
        <row r="4194">
          <cell r="A4194" t="str">
            <v>IL0011762130</v>
          </cell>
          <cell r="E4194">
            <v>221.6587213542</v>
          </cell>
        </row>
        <row r="4195">
          <cell r="A4195" t="str">
            <v>US6092071058</v>
          </cell>
          <cell r="E4195">
            <v>59.171963170800012</v>
          </cell>
        </row>
        <row r="4196">
          <cell r="A4196" t="str">
            <v>GB00BMWC6P49</v>
          </cell>
          <cell r="E4196">
            <v>12.996202635</v>
          </cell>
        </row>
        <row r="4197">
          <cell r="A4197" t="str">
            <v>FR0011443266</v>
          </cell>
          <cell r="E4197">
            <v>5.0000000000000001E-3</v>
          </cell>
        </row>
        <row r="4198">
          <cell r="A4198" t="str">
            <v>JP3869970008</v>
          </cell>
          <cell r="E4198">
            <v>4.0634661599999999</v>
          </cell>
        </row>
        <row r="4199">
          <cell r="A4199" t="str">
            <v>JP3869960009</v>
          </cell>
          <cell r="E4199">
            <v>24.739519999999999</v>
          </cell>
        </row>
        <row r="4200">
          <cell r="A4200" t="str">
            <v>GB00B1ZBKY84</v>
          </cell>
          <cell r="E4200">
            <v>2.273020056</v>
          </cell>
        </row>
        <row r="4201">
          <cell r="A4201" t="str">
            <v>US60937P1066</v>
          </cell>
          <cell r="E4201">
            <v>139.9894065288</v>
          </cell>
        </row>
        <row r="4202">
          <cell r="A4202" t="str">
            <v>KYG6264V1361</v>
          </cell>
          <cell r="E4202">
            <v>0.64303926900000008</v>
          </cell>
        </row>
        <row r="4203">
          <cell r="A4203" t="str">
            <v>IT0005338139</v>
          </cell>
          <cell r="E4203">
            <v>1.0549999999999999</v>
          </cell>
        </row>
        <row r="4204">
          <cell r="A4204" t="str">
            <v>JP3922930007</v>
          </cell>
          <cell r="E4204">
            <v>22.358341200000002</v>
          </cell>
        </row>
        <row r="4205">
          <cell r="A4205" t="str">
            <v>US6098391054</v>
          </cell>
          <cell r="E4205">
            <v>480.44667993000002</v>
          </cell>
        </row>
        <row r="4206">
          <cell r="A4206" t="str">
            <v>JP3922950005</v>
          </cell>
          <cell r="E4206">
            <v>16.971310720000002</v>
          </cell>
        </row>
        <row r="4207">
          <cell r="A4207" t="str">
            <v>US6102361010</v>
          </cell>
          <cell r="E4207">
            <v>12.3764124072</v>
          </cell>
        </row>
        <row r="4208">
          <cell r="A4208" t="str">
            <v>US61174X1090</v>
          </cell>
          <cell r="E4208">
            <v>51.7655366304</v>
          </cell>
        </row>
        <row r="4209">
          <cell r="A4209" t="str">
            <v>CH1110425654</v>
          </cell>
          <cell r="E4209">
            <v>16.412914399999998</v>
          </cell>
        </row>
        <row r="4210">
          <cell r="A4210" t="str">
            <v>BE0003853703</v>
          </cell>
          <cell r="E4210">
            <v>61.7</v>
          </cell>
        </row>
        <row r="4211">
          <cell r="A4211" t="str">
            <v>US6151111019</v>
          </cell>
          <cell r="E4211">
            <v>12.526483028399999</v>
          </cell>
        </row>
        <row r="4212">
          <cell r="A4212" t="str">
            <v>US6153691059</v>
          </cell>
          <cell r="E4212">
            <v>384.048375018</v>
          </cell>
        </row>
        <row r="4213">
          <cell r="A4213" t="str">
            <v>US6153942023</v>
          </cell>
          <cell r="E4213">
            <v>145.40077657559999</v>
          </cell>
        </row>
        <row r="4214">
          <cell r="A4214" t="str">
            <v>KY61559X1045</v>
          </cell>
          <cell r="E4214">
            <v>32.459392597200001</v>
          </cell>
        </row>
        <row r="4215">
          <cell r="A4215" t="str">
            <v>GB00BMT9K014</v>
          </cell>
          <cell r="E4215">
            <v>2.6425027399999999</v>
          </cell>
        </row>
        <row r="4216">
          <cell r="A4216" t="str">
            <v>NL0000488153</v>
          </cell>
          <cell r="E4216">
            <v>256</v>
          </cell>
        </row>
        <row r="4217">
          <cell r="A4217" t="str">
            <v>CWN814651014</v>
          </cell>
          <cell r="E4217">
            <v>0.48399999999999999</v>
          </cell>
        </row>
        <row r="4218">
          <cell r="A4218" t="str">
            <v>NO0013325506</v>
          </cell>
          <cell r="E4218">
            <v>0.96540225060000007</v>
          </cell>
        </row>
        <row r="4219">
          <cell r="A4219" t="str">
            <v>GB0006027295</v>
          </cell>
          <cell r="E4219">
            <v>2.1818186339999999</v>
          </cell>
        </row>
        <row r="4220">
          <cell r="A4220" t="str">
            <v>GB0008085614</v>
          </cell>
          <cell r="E4220">
            <v>40.514477849999999</v>
          </cell>
        </row>
        <row r="4221">
          <cell r="A4221" t="str">
            <v>US6174464486</v>
          </cell>
          <cell r="E4221">
            <v>97.492937678399997</v>
          </cell>
        </row>
        <row r="4222">
          <cell r="A4222" t="str">
            <v>JP3046470005</v>
          </cell>
          <cell r="E4222">
            <v>816.40416000000005</v>
          </cell>
        </row>
        <row r="4223">
          <cell r="A4223" t="str">
            <v>JP3046170001</v>
          </cell>
          <cell r="E4223">
            <v>385.93651199999999</v>
          </cell>
        </row>
        <row r="4224">
          <cell r="A4224" t="str">
            <v>JP3926400007</v>
          </cell>
          <cell r="E4224">
            <v>15.511679040000001</v>
          </cell>
        </row>
        <row r="4225">
          <cell r="A4225" t="str">
            <v>JP3926800008</v>
          </cell>
          <cell r="E4225">
            <v>20.38536448</v>
          </cell>
        </row>
        <row r="4226">
          <cell r="A4226" t="str">
            <v>JP3925600003</v>
          </cell>
          <cell r="E4226">
            <v>11.899709120000001</v>
          </cell>
        </row>
        <row r="4227">
          <cell r="A4227" t="str">
            <v>JP3926200001</v>
          </cell>
          <cell r="E4227">
            <v>8.4609158400000002</v>
          </cell>
        </row>
        <row r="4228">
          <cell r="A4228" t="str">
            <v>US6177001095</v>
          </cell>
          <cell r="E4228">
            <v>250.91807864640001</v>
          </cell>
        </row>
        <row r="4229">
          <cell r="A4229" t="str">
            <v>JP3927600001</v>
          </cell>
          <cell r="E4229">
            <v>10.854464399999999</v>
          </cell>
        </row>
        <row r="4230">
          <cell r="A4230" t="str">
            <v>NO0010694029</v>
          </cell>
          <cell r="E4230">
            <v>0.82867861580000002</v>
          </cell>
        </row>
        <row r="4231">
          <cell r="A4231" t="str">
            <v>GB00BQSBH502</v>
          </cell>
          <cell r="E4231">
            <v>8.8161374600000002</v>
          </cell>
        </row>
        <row r="4232">
          <cell r="A4232" t="str">
            <v>JP3924000007</v>
          </cell>
          <cell r="E4232">
            <v>5.9931487200000007</v>
          </cell>
        </row>
        <row r="4233">
          <cell r="A4233" t="str">
            <v>JP3922400001</v>
          </cell>
          <cell r="E4233">
            <v>23.347922000000001</v>
          </cell>
        </row>
        <row r="4234">
          <cell r="A4234" t="str">
            <v>US61945C1036</v>
          </cell>
          <cell r="E4234">
            <v>23.296257020399999</v>
          </cell>
        </row>
        <row r="4235">
          <cell r="A4235" t="str">
            <v>PTMEN0AE0005</v>
          </cell>
          <cell r="E4235">
            <v>3.5139999999999998</v>
          </cell>
        </row>
        <row r="4236">
          <cell r="A4236" t="str">
            <v>GB00BMXH3352</v>
          </cell>
          <cell r="E4236">
            <v>4.4000000000000004</v>
          </cell>
        </row>
        <row r="4237">
          <cell r="A4237" t="str">
            <v>US6200763075</v>
          </cell>
          <cell r="E4237">
            <v>380.1553665504</v>
          </cell>
        </row>
        <row r="4238">
          <cell r="A4238" t="str">
            <v>FR0011033083</v>
          </cell>
          <cell r="E4238">
            <v>15.1</v>
          </cell>
        </row>
        <row r="4239">
          <cell r="A4239" t="str">
            <v>AU000000MGX7</v>
          </cell>
          <cell r="E4239">
            <v>0.18566967540000001</v>
          </cell>
        </row>
        <row r="4240">
          <cell r="A4240" t="str">
            <v>BE0003602134</v>
          </cell>
          <cell r="E4240">
            <v>510</v>
          </cell>
        </row>
        <row r="4241">
          <cell r="A4241" t="str">
            <v>NO0003054108</v>
          </cell>
          <cell r="E4241">
            <v>15.723218001999999</v>
          </cell>
        </row>
        <row r="4242">
          <cell r="A4242" t="str">
            <v>US5533681012</v>
          </cell>
          <cell r="E4242">
            <v>22.1310027852</v>
          </cell>
        </row>
        <row r="4243">
          <cell r="A4243" t="str">
            <v>NO0010791353</v>
          </cell>
          <cell r="E4243">
            <v>1.2455189658000001</v>
          </cell>
        </row>
        <row r="4244">
          <cell r="A4244" t="str">
            <v>NL0015268814</v>
          </cell>
          <cell r="E4244">
            <v>0.72530220899999998</v>
          </cell>
        </row>
        <row r="4245">
          <cell r="A4245" t="str">
            <v>US55336V1008</v>
          </cell>
          <cell r="E4245">
            <v>44.253177886800003</v>
          </cell>
        </row>
        <row r="4246">
          <cell r="A4246" t="str">
            <v>FR0004034320</v>
          </cell>
          <cell r="E4246">
            <v>7.18</v>
          </cell>
        </row>
        <row r="4247">
          <cell r="A4247" t="str">
            <v>US62482R1077</v>
          </cell>
          <cell r="E4247">
            <v>100.97987270039999</v>
          </cell>
        </row>
        <row r="4248">
          <cell r="A4248" t="str">
            <v>US55345K1034</v>
          </cell>
          <cell r="E4248">
            <v>9.0307203228000006</v>
          </cell>
        </row>
        <row r="4249">
          <cell r="A4249" t="str">
            <v>JP3890310000</v>
          </cell>
          <cell r="E4249">
            <v>18.1526228</v>
          </cell>
        </row>
        <row r="4250">
          <cell r="A4250" t="str">
            <v>US5534981064</v>
          </cell>
          <cell r="E4250">
            <v>126.0416664408</v>
          </cell>
        </row>
        <row r="4251">
          <cell r="A4251" t="str">
            <v>US5535301064</v>
          </cell>
          <cell r="E4251">
            <v>68.008474454400002</v>
          </cell>
        </row>
        <row r="4252">
          <cell r="A4252" t="str">
            <v>US55354G1004</v>
          </cell>
          <cell r="E4252">
            <v>491.32238612520013</v>
          </cell>
        </row>
        <row r="4253">
          <cell r="A4253" t="str">
            <v>JP3167430002</v>
          </cell>
          <cell r="E4253">
            <v>16.55692376</v>
          </cell>
        </row>
        <row r="4254">
          <cell r="A4254" t="str">
            <v>HK0066009694</v>
          </cell>
          <cell r="E4254">
            <v>2.8737595649999998</v>
          </cell>
        </row>
        <row r="4255">
          <cell r="A4255" t="str">
            <v>DE000A0D9PT0</v>
          </cell>
          <cell r="E4255">
            <v>276.5</v>
          </cell>
        </row>
        <row r="4256">
          <cell r="A4256" t="str">
            <v>CA55378N1078</v>
          </cell>
          <cell r="E4256">
            <v>24.988892541799999</v>
          </cell>
        </row>
        <row r="4257">
          <cell r="A4257" t="str">
            <v>US6247561029</v>
          </cell>
          <cell r="E4257">
            <v>64.909957510799998</v>
          </cell>
        </row>
        <row r="4258">
          <cell r="A4258" t="str">
            <v>US6247581084</v>
          </cell>
          <cell r="E4258">
            <v>21.936793745999999</v>
          </cell>
        </row>
        <row r="4259">
          <cell r="A4259" t="str">
            <v>CA6252841045</v>
          </cell>
          <cell r="E4259">
            <v>7.9720723983999999</v>
          </cell>
        </row>
        <row r="4260">
          <cell r="A4260" t="str">
            <v>NO0010734338</v>
          </cell>
          <cell r="E4260">
            <v>14.83951646</v>
          </cell>
        </row>
        <row r="4261">
          <cell r="A4261" t="str">
            <v>FR0013462231</v>
          </cell>
          <cell r="E4261">
            <v>0.42899999999999999</v>
          </cell>
        </row>
        <row r="4262">
          <cell r="A4262" t="str">
            <v>DE0008430026</v>
          </cell>
          <cell r="E4262">
            <v>590</v>
          </cell>
        </row>
        <row r="4263">
          <cell r="A4263" t="str">
            <v>SE0009806607</v>
          </cell>
          <cell r="E4263">
            <v>9.4017092949999999</v>
          </cell>
        </row>
        <row r="4264">
          <cell r="A4264" t="str">
            <v>JP3167310006</v>
          </cell>
          <cell r="E4264">
            <v>11.29359088</v>
          </cell>
        </row>
        <row r="4265">
          <cell r="A4265" t="str">
            <v>JP3914200005</v>
          </cell>
          <cell r="E4265">
            <v>32.532468799999997</v>
          </cell>
        </row>
        <row r="4266">
          <cell r="A4266" t="str">
            <v>JP3914400001</v>
          </cell>
          <cell r="E4266">
            <v>12.663541800000001</v>
          </cell>
        </row>
        <row r="4267">
          <cell r="A4267" t="str">
            <v>US6267171022</v>
          </cell>
          <cell r="E4267">
            <v>17.761299403199999</v>
          </cell>
        </row>
        <row r="4268">
          <cell r="A4268" t="str">
            <v>US6267551025</v>
          </cell>
          <cell r="E4268">
            <v>451.55367150720002</v>
          </cell>
        </row>
        <row r="4269">
          <cell r="A4269" t="str">
            <v>JP3912700006</v>
          </cell>
          <cell r="E4269">
            <v>13.229458320000001</v>
          </cell>
        </row>
        <row r="4270">
          <cell r="A4270" t="str">
            <v>JP3912800004</v>
          </cell>
          <cell r="E4270">
            <v>17.664017279999999</v>
          </cell>
        </row>
        <row r="4271">
          <cell r="A4271" t="str">
            <v>FI4000410758</v>
          </cell>
          <cell r="E4271">
            <v>20.6</v>
          </cell>
        </row>
        <row r="4272">
          <cell r="A4272" t="str">
            <v>SE0000375115</v>
          </cell>
          <cell r="E4272">
            <v>34.475933032</v>
          </cell>
        </row>
        <row r="4273">
          <cell r="A4273" t="str">
            <v>AU000000MYR2</v>
          </cell>
          <cell r="E4273">
            <v>0.3600866432</v>
          </cell>
        </row>
        <row r="4274">
          <cell r="A4274" t="str">
            <v>FR001400IE67</v>
          </cell>
          <cell r="E4274">
            <v>0.55600000000000005</v>
          </cell>
        </row>
        <row r="4275">
          <cell r="A4275" t="str">
            <v>DE000A31C305</v>
          </cell>
          <cell r="E4275">
            <v>0.81</v>
          </cell>
        </row>
        <row r="4276">
          <cell r="A4276" t="str">
            <v>US55405W1045</v>
          </cell>
          <cell r="E4276">
            <v>100.1588981256</v>
          </cell>
        </row>
        <row r="4277">
          <cell r="A4277" t="str">
            <v>US62855J1043</v>
          </cell>
          <cell r="E4277">
            <v>7.0709745636000001</v>
          </cell>
        </row>
        <row r="4278">
          <cell r="A4278" t="str">
            <v>AU000000MYS0</v>
          </cell>
          <cell r="E4278">
            <v>2.0986299674</v>
          </cell>
        </row>
        <row r="4279">
          <cell r="A4279" t="str">
            <v>JP3651210001</v>
          </cell>
          <cell r="E4279">
            <v>12.771777200000001</v>
          </cell>
        </row>
        <row r="4280">
          <cell r="A4280" t="str">
            <v>JP3813200007</v>
          </cell>
          <cell r="E4280">
            <v>17.775345120000001</v>
          </cell>
        </row>
        <row r="4281">
          <cell r="A4281" t="str">
            <v>FR0013482791</v>
          </cell>
          <cell r="E4281">
            <v>0.49</v>
          </cell>
        </row>
        <row r="4282">
          <cell r="A4282" t="str">
            <v>JP3651160008</v>
          </cell>
          <cell r="E4282">
            <v>10.58851456</v>
          </cell>
        </row>
        <row r="4283">
          <cell r="A4283" t="str">
            <v>KYG6382M1096</v>
          </cell>
          <cell r="E4283">
            <v>0.35737049640000002</v>
          </cell>
        </row>
        <row r="4284">
          <cell r="A4284" t="str">
            <v>JP3647000003</v>
          </cell>
          <cell r="E4284">
            <v>12.08525552</v>
          </cell>
        </row>
        <row r="4285">
          <cell r="A4285" t="str">
            <v>JP3648350001</v>
          </cell>
          <cell r="E4285">
            <v>11.009086399999999</v>
          </cell>
        </row>
        <row r="4286">
          <cell r="A4286" t="str">
            <v>DE000A3H2200</v>
          </cell>
          <cell r="E4286">
            <v>71.5</v>
          </cell>
        </row>
        <row r="4287">
          <cell r="A4287" t="str">
            <v>JP3647800006</v>
          </cell>
          <cell r="E4287">
            <v>14.83134224</v>
          </cell>
        </row>
        <row r="4288">
          <cell r="A4288" t="str">
            <v>JP3648700007</v>
          </cell>
          <cell r="E4288">
            <v>36.861884799999999</v>
          </cell>
        </row>
        <row r="4289">
          <cell r="A4289" t="str">
            <v>JP3649800004</v>
          </cell>
          <cell r="E4289">
            <v>10.83590976</v>
          </cell>
        </row>
        <row r="4290">
          <cell r="A4290" t="str">
            <v>NL0015000CG2</v>
          </cell>
          <cell r="E4290">
            <v>9.35</v>
          </cell>
        </row>
        <row r="4291">
          <cell r="A4291" t="str">
            <v>JP3642500007</v>
          </cell>
          <cell r="E4291">
            <v>11.40491872</v>
          </cell>
        </row>
        <row r="4292">
          <cell r="A4292" t="str">
            <v>JP3646400006</v>
          </cell>
          <cell r="E4292">
            <v>4.4654833600000003</v>
          </cell>
        </row>
        <row r="4293">
          <cell r="A4293" t="str">
            <v>FR0014003J32</v>
          </cell>
          <cell r="E4293">
            <v>0.30499999999999999</v>
          </cell>
        </row>
        <row r="4294">
          <cell r="A4294" t="str">
            <v>JP3651400008</v>
          </cell>
          <cell r="E4294">
            <v>10.675102880000001</v>
          </cell>
        </row>
        <row r="4295">
          <cell r="A4295" t="str">
            <v>JP3653000004</v>
          </cell>
          <cell r="E4295">
            <v>14.670535360000001</v>
          </cell>
        </row>
        <row r="4296">
          <cell r="A4296" t="str">
            <v>FR0011341205</v>
          </cell>
          <cell r="E4296">
            <v>3.01</v>
          </cell>
        </row>
        <row r="4297">
          <cell r="A4297" t="str">
            <v>AU000000NAN9</v>
          </cell>
          <cell r="E4297">
            <v>2.7119025315999998</v>
          </cell>
        </row>
        <row r="4298">
          <cell r="A4298" t="str">
            <v>JP3653400006</v>
          </cell>
          <cell r="E4298">
            <v>21.616155599999999</v>
          </cell>
        </row>
        <row r="4299">
          <cell r="A4299" t="str">
            <v>DK0060520450</v>
          </cell>
          <cell r="E4299">
            <v>1.5723218001999999</v>
          </cell>
        </row>
        <row r="4300">
          <cell r="A4300" t="str">
            <v>US6304021057</v>
          </cell>
          <cell r="E4300">
            <v>19.103107310399999</v>
          </cell>
        </row>
        <row r="4301">
          <cell r="A4301" t="str">
            <v>US6311031081</v>
          </cell>
          <cell r="E4301">
            <v>64.592160901200003</v>
          </cell>
        </row>
        <row r="4302">
          <cell r="A4302" t="str">
            <v>AU000000NAB4</v>
          </cell>
          <cell r="E4302">
            <v>19.0001967826</v>
          </cell>
        </row>
        <row r="4303">
          <cell r="A4303" t="str">
            <v>CA6330671034</v>
          </cell>
          <cell r="E4303">
            <v>72.6943831042</v>
          </cell>
        </row>
        <row r="4304">
          <cell r="A4304" t="str">
            <v>US6323071042</v>
          </cell>
          <cell r="E4304">
            <v>133.9512709464</v>
          </cell>
        </row>
        <row r="4305">
          <cell r="A4305" t="str">
            <v>US6337071046</v>
          </cell>
          <cell r="E4305">
            <v>30.993997119599999</v>
          </cell>
        </row>
        <row r="4306">
          <cell r="A4306" t="str">
            <v>US6350171061</v>
          </cell>
          <cell r="E4306">
            <v>38.312146824000003</v>
          </cell>
        </row>
        <row r="4307">
          <cell r="A4307" t="str">
            <v>US6361801011</v>
          </cell>
          <cell r="E4307">
            <v>68.873587447199995</v>
          </cell>
        </row>
        <row r="4308">
          <cell r="A4308" t="str">
            <v>GB00BDR05C01</v>
          </cell>
          <cell r="E4308">
            <v>12.329730704999999</v>
          </cell>
        </row>
        <row r="4309">
          <cell r="A4309" t="str">
            <v>US63633D1046</v>
          </cell>
          <cell r="E4309">
            <v>65.863347339599997</v>
          </cell>
        </row>
        <row r="4310">
          <cell r="A4310" t="str">
            <v>US6359061008</v>
          </cell>
          <cell r="E4310">
            <v>81.876765390000003</v>
          </cell>
        </row>
        <row r="4311">
          <cell r="A4311" t="str">
            <v>US6378701063</v>
          </cell>
          <cell r="E4311">
            <v>31.338276780000001</v>
          </cell>
        </row>
        <row r="4312">
          <cell r="A4312" t="str">
            <v>AU000000NSR2</v>
          </cell>
          <cell r="E4312">
            <v>1.2265451284</v>
          </cell>
        </row>
        <row r="4313">
          <cell r="A4313" t="str">
            <v>US63845R1077</v>
          </cell>
          <cell r="E4313">
            <v>10.2930790776</v>
          </cell>
        </row>
        <row r="4314">
          <cell r="A4314" t="str">
            <v>JP3651060000</v>
          </cell>
          <cell r="E4314">
            <v>12.53675176</v>
          </cell>
        </row>
        <row r="4315">
          <cell r="A4315" t="str">
            <v>ES0116870314</v>
          </cell>
          <cell r="E4315">
            <v>24.9</v>
          </cell>
        </row>
        <row r="4316">
          <cell r="A4316" t="str">
            <v>GB00BM8PJY71</v>
          </cell>
          <cell r="E4316">
            <v>5.3422986809999999</v>
          </cell>
        </row>
        <row r="4317">
          <cell r="A4317" t="str">
            <v>NO0010205966</v>
          </cell>
          <cell r="E4317">
            <v>1.5964985405000001</v>
          </cell>
        </row>
        <row r="4318">
          <cell r="A4318" t="str">
            <v>US63938C1080</v>
          </cell>
          <cell r="E4318">
            <v>9.9487994172000001</v>
          </cell>
        </row>
        <row r="4319">
          <cell r="A4319" t="str">
            <v>AU000000NGI6</v>
          </cell>
          <cell r="E4319">
            <v>0.96773285360000005</v>
          </cell>
        </row>
        <row r="4320">
          <cell r="A4320" t="str">
            <v>IL0002080179</v>
          </cell>
          <cell r="E4320">
            <v>11.204180279999999</v>
          </cell>
        </row>
        <row r="4321">
          <cell r="A4321" t="str">
            <v>IL0011751166</v>
          </cell>
          <cell r="E4321">
            <v>34.274998799999999</v>
          </cell>
        </row>
        <row r="4322">
          <cell r="A4322" t="str">
            <v>US6287781024</v>
          </cell>
          <cell r="E4322">
            <v>34.931144005199997</v>
          </cell>
        </row>
        <row r="4323">
          <cell r="A4323" t="str">
            <v>SE0017160773</v>
          </cell>
          <cell r="E4323">
            <v>4.1799369746000004</v>
          </cell>
        </row>
        <row r="4324">
          <cell r="A4324" t="str">
            <v>SE0000117970</v>
          </cell>
          <cell r="E4324">
            <v>15.852451461999999</v>
          </cell>
        </row>
        <row r="4325">
          <cell r="A4325" t="str">
            <v>GB00B01QGK86</v>
          </cell>
          <cell r="E4325">
            <v>1.5995326320000001</v>
          </cell>
        </row>
        <row r="4326">
          <cell r="A4326" t="str">
            <v>US63947X1019</v>
          </cell>
          <cell r="E4326">
            <v>21.2040960072</v>
          </cell>
        </row>
        <row r="4327">
          <cell r="A4327" t="str">
            <v>US63001N1063</v>
          </cell>
          <cell r="E4327">
            <v>22.272245722800001</v>
          </cell>
        </row>
        <row r="4328">
          <cell r="A4328" t="str">
            <v>US62886E1082</v>
          </cell>
          <cell r="E4328">
            <v>7.2298728684000002</v>
          </cell>
        </row>
        <row r="4329">
          <cell r="A4329" t="str">
            <v>JP3164740007</v>
          </cell>
          <cell r="E4329">
            <v>22.296492400000002</v>
          </cell>
        </row>
        <row r="4330">
          <cell r="A4330" t="str">
            <v>JP3733000008</v>
          </cell>
          <cell r="E4330">
            <v>18.597934160000001</v>
          </cell>
        </row>
        <row r="4331">
          <cell r="A4331" t="str">
            <v>NL0000371243</v>
          </cell>
          <cell r="E4331">
            <v>63.1</v>
          </cell>
        </row>
        <row r="4332">
          <cell r="A4332" t="str">
            <v>NO0003049405</v>
          </cell>
          <cell r="E4332">
            <v>0.90871196300000001</v>
          </cell>
        </row>
        <row r="4333">
          <cell r="A4333" t="str">
            <v>NO0010081235</v>
          </cell>
          <cell r="E4333">
            <v>0.1942476031</v>
          </cell>
        </row>
        <row r="4334">
          <cell r="A4334" t="str">
            <v>US64031N1081</v>
          </cell>
          <cell r="E4334">
            <v>93.555790792800011</v>
          </cell>
        </row>
        <row r="4335">
          <cell r="A4335" t="str">
            <v>DE0006452907</v>
          </cell>
          <cell r="E4335">
            <v>109</v>
          </cell>
        </row>
        <row r="4336">
          <cell r="A4336" t="str">
            <v>SE0005034550</v>
          </cell>
          <cell r="E4336">
            <v>1.4349977345</v>
          </cell>
        </row>
        <row r="4337">
          <cell r="A4337" t="str">
            <v>US6404911066</v>
          </cell>
          <cell r="E4337">
            <v>4.369703382</v>
          </cell>
        </row>
        <row r="4338">
          <cell r="A4338" t="str">
            <v>US64049M2098</v>
          </cell>
          <cell r="E4338">
            <v>8.3862994200000003</v>
          </cell>
        </row>
        <row r="4339">
          <cell r="A4339" t="str">
            <v>FR0011636083</v>
          </cell>
          <cell r="E4339">
            <v>7.0000000000000007E-2</v>
          </cell>
        </row>
        <row r="4340">
          <cell r="A4340" t="str">
            <v>IT0005497018</v>
          </cell>
          <cell r="E4340">
            <v>0.48</v>
          </cell>
        </row>
        <row r="4341">
          <cell r="A4341" t="str">
            <v>FR001400TG47</v>
          </cell>
          <cell r="E4341">
            <v>2.4799999999999999E-2</v>
          </cell>
        </row>
        <row r="4342">
          <cell r="A4342" t="str">
            <v>NL0015000RT3</v>
          </cell>
          <cell r="E4342">
            <v>6.08</v>
          </cell>
        </row>
        <row r="4343">
          <cell r="A4343" t="str">
            <v>FI0009013296</v>
          </cell>
          <cell r="E4343">
            <v>7.274</v>
          </cell>
        </row>
        <row r="4344">
          <cell r="A4344" t="str">
            <v>CH0038863350</v>
          </cell>
          <cell r="E4344">
            <v>93.272864859999984</v>
          </cell>
        </row>
        <row r="4345">
          <cell r="A4345" t="str">
            <v>JP3758270007</v>
          </cell>
          <cell r="E4345">
            <v>2.6533135200000002</v>
          </cell>
        </row>
        <row r="4346">
          <cell r="A4346" t="str">
            <v>IL0004210162</v>
          </cell>
          <cell r="E4346">
            <v>2.92105557</v>
          </cell>
        </row>
        <row r="4347">
          <cell r="A4347" t="str">
            <v>US64110D1046</v>
          </cell>
          <cell r="E4347">
            <v>72.545903824800007</v>
          </cell>
        </row>
        <row r="4348">
          <cell r="A4348" t="str">
            <v>DK0060952919</v>
          </cell>
          <cell r="E4348">
            <v>37.748738803999998</v>
          </cell>
        </row>
        <row r="4349">
          <cell r="A4349" t="str">
            <v>US64110L1061</v>
          </cell>
          <cell r="E4349">
            <v>861.82909450080001</v>
          </cell>
        </row>
        <row r="4350">
          <cell r="A4350" t="str">
            <v>FR0004154060</v>
          </cell>
          <cell r="E4350">
            <v>0.98</v>
          </cell>
        </row>
        <row r="4351">
          <cell r="A4351" t="str">
            <v>SG1DH9000006</v>
          </cell>
          <cell r="E4351">
            <v>0.603763461</v>
          </cell>
        </row>
        <row r="4352">
          <cell r="A4352" t="str">
            <v>FR001400RF99</v>
          </cell>
          <cell r="E4352">
            <v>1.3897999999999999</v>
          </cell>
        </row>
        <row r="4353">
          <cell r="A4353" t="str">
            <v>IL0011050973</v>
          </cell>
          <cell r="E4353">
            <v>25.5142323</v>
          </cell>
        </row>
        <row r="4354">
          <cell r="A4354" t="str">
            <v>US64115T1043</v>
          </cell>
          <cell r="E4354">
            <v>17.796610137599998</v>
          </cell>
        </row>
        <row r="4355">
          <cell r="A4355" t="str">
            <v>US64119V3033</v>
          </cell>
          <cell r="E4355">
            <v>14.309675115599999</v>
          </cell>
        </row>
        <row r="4356">
          <cell r="A4356" t="str">
            <v>JP3288200003</v>
          </cell>
          <cell r="E4356">
            <v>5.5478373599999999</v>
          </cell>
        </row>
        <row r="4357">
          <cell r="A4357" t="str">
            <v>AU000000NWL7</v>
          </cell>
          <cell r="E4357">
            <v>14.3978393742</v>
          </cell>
        </row>
        <row r="4358">
          <cell r="A4358" t="str">
            <v>NZNEUE0001S8</v>
          </cell>
          <cell r="E4358">
            <v>6.1777364724000003</v>
          </cell>
        </row>
        <row r="4359">
          <cell r="A4359" t="str">
            <v>US64125C1099</v>
          </cell>
          <cell r="E4359">
            <v>84.887005497600001</v>
          </cell>
        </row>
        <row r="4360">
          <cell r="A4360" t="str">
            <v>FR0004050250</v>
          </cell>
          <cell r="E4360">
            <v>45.7</v>
          </cell>
        </row>
        <row r="4361">
          <cell r="A4361" t="str">
            <v>GRS802003004</v>
          </cell>
          <cell r="E4361">
            <v>0.47599999999999998</v>
          </cell>
        </row>
        <row r="4362">
          <cell r="A4362" t="str">
            <v>US6443931000</v>
          </cell>
          <cell r="E4362">
            <v>4.3961864328000004</v>
          </cell>
        </row>
        <row r="4363">
          <cell r="A4363" t="str">
            <v>CA6445351068</v>
          </cell>
          <cell r="E4363">
            <v>3.2307204226000001</v>
          </cell>
        </row>
        <row r="4364">
          <cell r="A4364" t="str">
            <v>AU000000NHC7</v>
          </cell>
          <cell r="E4364">
            <v>2.0648718445999998</v>
          </cell>
        </row>
        <row r="4365">
          <cell r="A4365" t="str">
            <v>US6460251068</v>
          </cell>
          <cell r="E4365">
            <v>43.026129866400012</v>
          </cell>
        </row>
        <row r="4366">
          <cell r="A4366" t="str">
            <v>NL0009822014</v>
          </cell>
          <cell r="E4366">
            <v>1.7000000000000001E-2</v>
          </cell>
        </row>
        <row r="4367">
          <cell r="A4367" t="str">
            <v>SE0020356970</v>
          </cell>
          <cell r="E4367">
            <v>8.2950966220000009</v>
          </cell>
        </row>
        <row r="4368">
          <cell r="A4368" t="str">
            <v>HK0000608585</v>
          </cell>
          <cell r="E4368">
            <v>0.51443141519999991</v>
          </cell>
        </row>
        <row r="4369">
          <cell r="A4369" t="str">
            <v>US6501111073</v>
          </cell>
          <cell r="E4369">
            <v>43.043785233599998</v>
          </cell>
        </row>
        <row r="4370">
          <cell r="A4370" t="str">
            <v>NL00150012L7</v>
          </cell>
          <cell r="E4370">
            <v>14.1772598616</v>
          </cell>
        </row>
        <row r="4371">
          <cell r="A4371" t="str">
            <v>US6512291062</v>
          </cell>
          <cell r="E4371">
            <v>4.1754943428000004</v>
          </cell>
        </row>
        <row r="4372">
          <cell r="A4372" t="str">
            <v>US65158N1028</v>
          </cell>
          <cell r="E4372">
            <v>9.2867231472</v>
          </cell>
        </row>
        <row r="4373">
          <cell r="A4373" t="str">
            <v>US6515871076</v>
          </cell>
          <cell r="E4373">
            <v>495.98340306600011</v>
          </cell>
        </row>
        <row r="4374">
          <cell r="A4374" t="str">
            <v>US6516391066</v>
          </cell>
          <cell r="E4374">
            <v>48.1814970888</v>
          </cell>
        </row>
        <row r="4375">
          <cell r="A4375" t="str">
            <v>GB00BD7XPJ64</v>
          </cell>
          <cell r="E4375">
            <v>0.81379730399999994</v>
          </cell>
        </row>
        <row r="4376">
          <cell r="A4376" t="str">
            <v>US65249B1098</v>
          </cell>
          <cell r="E4376">
            <v>23.287429336799999</v>
          </cell>
        </row>
        <row r="4377">
          <cell r="A4377" t="str">
            <v>US65249B2088</v>
          </cell>
          <cell r="E4377">
            <v>26.942090347200001</v>
          </cell>
        </row>
        <row r="4378">
          <cell r="A4378" t="str">
            <v>FR0000044448</v>
          </cell>
          <cell r="E4378">
            <v>90.65</v>
          </cell>
        </row>
        <row r="4379">
          <cell r="A4379" t="str">
            <v>CA65340P1062</v>
          </cell>
          <cell r="E4379">
            <v>4.0177721562000004</v>
          </cell>
        </row>
        <row r="4380">
          <cell r="A4380" t="str">
            <v>IT0005366767</v>
          </cell>
          <cell r="E4380">
            <v>4.82</v>
          </cell>
        </row>
        <row r="4381">
          <cell r="A4381" t="str">
            <v>FR0010112524</v>
          </cell>
          <cell r="E4381">
            <v>9.0050000000000008</v>
          </cell>
        </row>
        <row r="4382">
          <cell r="A4382" t="str">
            <v>JP3758190007</v>
          </cell>
          <cell r="E4382">
            <v>12.966600919999999</v>
          </cell>
        </row>
        <row r="4383">
          <cell r="A4383" t="str">
            <v>US65336K1034</v>
          </cell>
          <cell r="E4383">
            <v>134.533898064</v>
          </cell>
        </row>
        <row r="4384">
          <cell r="A4384" t="str">
            <v>GB0032089863</v>
          </cell>
          <cell r="E4384">
            <v>139.84218039999999</v>
          </cell>
        </row>
        <row r="4385">
          <cell r="A4385" t="str">
            <v>NO0010629108</v>
          </cell>
          <cell r="E4385">
            <v>0.40766986230000002</v>
          </cell>
        </row>
        <row r="4386">
          <cell r="A4386" t="str">
            <v>IT0005594418</v>
          </cell>
          <cell r="E4386">
            <v>7.92</v>
          </cell>
        </row>
        <row r="4387">
          <cell r="A4387" t="str">
            <v>JP3758210003</v>
          </cell>
          <cell r="E4387">
            <v>9.7411860000000008</v>
          </cell>
        </row>
        <row r="4388">
          <cell r="A4388" t="str">
            <v>AU000000NXT8</v>
          </cell>
          <cell r="E4388">
            <v>6.3465270864000001</v>
          </cell>
        </row>
        <row r="4389">
          <cell r="A4389" t="str">
            <v>US65342K1051</v>
          </cell>
          <cell r="E4389">
            <v>6.7002118523999998</v>
          </cell>
        </row>
        <row r="4390">
          <cell r="A4390" t="str">
            <v>FR0004171346</v>
          </cell>
          <cell r="E4390">
            <v>0.49869999999999998</v>
          </cell>
        </row>
        <row r="4391">
          <cell r="A4391" t="str">
            <v>BE0003770840</v>
          </cell>
          <cell r="E4391">
            <v>40.700000000000003</v>
          </cell>
        </row>
        <row r="4392">
          <cell r="A4392" t="str">
            <v>US65339F1012</v>
          </cell>
          <cell r="E4392">
            <v>59.7281072376</v>
          </cell>
        </row>
        <row r="4393">
          <cell r="A4393" t="str">
            <v>US65290E1010</v>
          </cell>
          <cell r="E4393">
            <v>35.813912365199997</v>
          </cell>
        </row>
        <row r="4394">
          <cell r="A4394" t="str">
            <v>IL0011765935</v>
          </cell>
          <cell r="E4394">
            <v>22.554773369999999</v>
          </cell>
        </row>
        <row r="4395">
          <cell r="A4395" t="str">
            <v>DE0005220909</v>
          </cell>
          <cell r="E4395">
            <v>69.8</v>
          </cell>
        </row>
        <row r="4396">
          <cell r="A4396" t="str">
            <v>CA62910L1022</v>
          </cell>
          <cell r="E4396">
            <v>7.1532847077999993</v>
          </cell>
        </row>
        <row r="4397">
          <cell r="A4397" t="str">
            <v>FR0014003XT0</v>
          </cell>
          <cell r="E4397">
            <v>1.3620000000000001</v>
          </cell>
        </row>
        <row r="4398">
          <cell r="A4398" t="str">
            <v>CA65343P1036</v>
          </cell>
          <cell r="E4398">
            <v>7.4262139379999992</v>
          </cell>
        </row>
        <row r="4399">
          <cell r="A4399" t="str">
            <v>JP3695200000</v>
          </cell>
          <cell r="E4399">
            <v>10.399875720000001</v>
          </cell>
        </row>
        <row r="4400">
          <cell r="A4400" t="str">
            <v>JP3743000006</v>
          </cell>
          <cell r="E4400">
            <v>32.118081840000002</v>
          </cell>
        </row>
        <row r="4401">
          <cell r="A4401" t="str">
            <v>JP3742600004</v>
          </cell>
          <cell r="E4401">
            <v>8.9649835600000003</v>
          </cell>
        </row>
        <row r="4402">
          <cell r="A4402" t="str">
            <v>AU000000NHF0</v>
          </cell>
          <cell r="E4402">
            <v>3.8202942302</v>
          </cell>
        </row>
        <row r="4403">
          <cell r="A4403" t="str">
            <v>SE0015988019</v>
          </cell>
          <cell r="E4403">
            <v>3.3333332955000001</v>
          </cell>
        </row>
        <row r="4404">
          <cell r="A4404" t="str">
            <v>IL0002730112</v>
          </cell>
          <cell r="E4404">
            <v>137.53203300000001</v>
          </cell>
        </row>
        <row r="4405">
          <cell r="A4405" t="str">
            <v>JP3660400007</v>
          </cell>
          <cell r="E4405">
            <v>28.499927039999999</v>
          </cell>
        </row>
        <row r="4406">
          <cell r="A4406" t="str">
            <v>JP3661800007</v>
          </cell>
          <cell r="E4406">
            <v>6.8961412000000006</v>
          </cell>
        </row>
        <row r="4407">
          <cell r="A4407" t="str">
            <v>JP3661950000</v>
          </cell>
          <cell r="E4407">
            <v>17.280554720000001</v>
          </cell>
        </row>
        <row r="4408">
          <cell r="A4408" t="str">
            <v>JP3662200009</v>
          </cell>
          <cell r="E4408">
            <v>17.694941679999999</v>
          </cell>
        </row>
        <row r="4409">
          <cell r="A4409" t="str">
            <v>JP3665200006</v>
          </cell>
          <cell r="E4409">
            <v>11.59974244</v>
          </cell>
        </row>
        <row r="4410">
          <cell r="A4410" t="str">
            <v>JP3665600007</v>
          </cell>
          <cell r="E4410">
            <v>14.163375200000001</v>
          </cell>
        </row>
        <row r="4411">
          <cell r="A4411" t="str">
            <v>JP3665000000</v>
          </cell>
          <cell r="E4411">
            <v>20.87397</v>
          </cell>
        </row>
        <row r="4412">
          <cell r="A4412" t="str">
            <v>GB0006389398</v>
          </cell>
          <cell r="E4412">
            <v>14.030988000000001</v>
          </cell>
        </row>
        <row r="4413">
          <cell r="A4413" t="str">
            <v>AU000000NCK1</v>
          </cell>
          <cell r="E4413">
            <v>9.4522743840000008</v>
          </cell>
        </row>
        <row r="4414">
          <cell r="A4414" t="str">
            <v>AU0000018236</v>
          </cell>
          <cell r="E4414">
            <v>0.28694404379999999</v>
          </cell>
        </row>
        <row r="4415">
          <cell r="A4415" t="str">
            <v>US65406E1029</v>
          </cell>
          <cell r="E4415">
            <v>92.814265370400008</v>
          </cell>
        </row>
        <row r="4416">
          <cell r="A4416" t="str">
            <v>FR0013018124</v>
          </cell>
          <cell r="E4416">
            <v>0.23080000000000001</v>
          </cell>
        </row>
        <row r="4417">
          <cell r="A4417" t="str">
            <v>JP3734800000</v>
          </cell>
          <cell r="E4417">
            <v>13.272752479999999</v>
          </cell>
        </row>
        <row r="4418">
          <cell r="A4418" t="str">
            <v>JP3756200006</v>
          </cell>
          <cell r="E4418">
            <v>21.2141384</v>
          </cell>
        </row>
        <row r="4419">
          <cell r="A4419" t="str">
            <v>JP3734350006</v>
          </cell>
          <cell r="E4419">
            <v>22.265567999999998</v>
          </cell>
        </row>
        <row r="4420">
          <cell r="A4420" t="str">
            <v>JP3706800004</v>
          </cell>
          <cell r="E4420">
            <v>11.11113692</v>
          </cell>
        </row>
        <row r="4421">
          <cell r="A4421" t="str">
            <v>JP3689050007</v>
          </cell>
          <cell r="E4421">
            <v>3.4944571999999998</v>
          </cell>
        </row>
        <row r="4422">
          <cell r="A4422" t="str">
            <v>JP3741800001</v>
          </cell>
          <cell r="E4422">
            <v>4.4592984800000002</v>
          </cell>
        </row>
        <row r="4423">
          <cell r="A4423" t="str">
            <v>JP3744600002</v>
          </cell>
          <cell r="E4423">
            <v>6.8961412000000006</v>
          </cell>
        </row>
        <row r="4424">
          <cell r="A4424" t="str">
            <v>US6541061031</v>
          </cell>
          <cell r="E4424">
            <v>48.4021891788</v>
          </cell>
        </row>
        <row r="4425">
          <cell r="A4425" t="str">
            <v>JP3668000007</v>
          </cell>
          <cell r="E4425">
            <v>7.2301247200000001</v>
          </cell>
        </row>
        <row r="4426">
          <cell r="A4426" t="str">
            <v>JP3669200002</v>
          </cell>
          <cell r="E4426">
            <v>4.0449115200000003</v>
          </cell>
        </row>
        <row r="4427">
          <cell r="A4427" t="str">
            <v>JP3709600005</v>
          </cell>
          <cell r="E4427">
            <v>18.069126919999999</v>
          </cell>
        </row>
        <row r="4428">
          <cell r="A4428" t="str">
            <v>JP3657400002</v>
          </cell>
          <cell r="E4428">
            <v>9.0794038400000012</v>
          </cell>
        </row>
        <row r="4429">
          <cell r="A4429" t="str">
            <v>AU000000NEC4</v>
          </cell>
          <cell r="E4429">
            <v>0.75393140920000012</v>
          </cell>
        </row>
        <row r="4430">
          <cell r="A4430" t="str">
            <v>GB00BJHPLV88</v>
          </cell>
          <cell r="E4430">
            <v>1.5703014070000001</v>
          </cell>
        </row>
        <row r="4431">
          <cell r="A4431" t="str">
            <v>JP3756600007</v>
          </cell>
          <cell r="E4431">
            <v>63.735188400000013</v>
          </cell>
        </row>
        <row r="4432">
          <cell r="A4432" t="str">
            <v>JP3723000000</v>
          </cell>
          <cell r="E4432">
            <v>13.81702192</v>
          </cell>
        </row>
        <row r="4433">
          <cell r="A4433" t="str">
            <v>JP3046440008</v>
          </cell>
          <cell r="E4433">
            <v>720.53852000000006</v>
          </cell>
        </row>
        <row r="4434">
          <cell r="A4434" t="str">
            <v>JP3699500009</v>
          </cell>
          <cell r="E4434">
            <v>5.9745940800000001</v>
          </cell>
        </row>
        <row r="4435">
          <cell r="A4435" t="str">
            <v>JP3732600006</v>
          </cell>
          <cell r="E4435">
            <v>13.885055599999999</v>
          </cell>
        </row>
        <row r="4436">
          <cell r="A4436" t="str">
            <v>JP3027670003</v>
          </cell>
          <cell r="E4436">
            <v>823.82601599999998</v>
          </cell>
        </row>
        <row r="4437">
          <cell r="A4437" t="str">
            <v>JP3690400001</v>
          </cell>
          <cell r="E4437">
            <v>24.677671199999999</v>
          </cell>
        </row>
        <row r="4438">
          <cell r="A4438" t="str">
            <v>JP3725200004</v>
          </cell>
          <cell r="E4438">
            <v>15.79618352</v>
          </cell>
        </row>
        <row r="4439">
          <cell r="A4439" t="str">
            <v>JP3734600004</v>
          </cell>
          <cell r="E4439">
            <v>1.6018839199999999</v>
          </cell>
        </row>
        <row r="4440">
          <cell r="A4440" t="str">
            <v>JP3736200001</v>
          </cell>
          <cell r="E4440">
            <v>12.51819712</v>
          </cell>
        </row>
        <row r="4441">
          <cell r="A4441" t="str">
            <v>JP3733400000</v>
          </cell>
          <cell r="E4441">
            <v>19.705027680000001</v>
          </cell>
        </row>
        <row r="4442">
          <cell r="A4442" t="str">
            <v>JP3688370000</v>
          </cell>
          <cell r="E4442">
            <v>15.573527840000001</v>
          </cell>
        </row>
        <row r="4443">
          <cell r="A4443" t="str">
            <v>JP3720000003</v>
          </cell>
          <cell r="E4443">
            <v>12.326465839999999</v>
          </cell>
        </row>
        <row r="4444">
          <cell r="A4444" t="str">
            <v>JP3695600001</v>
          </cell>
          <cell r="E4444">
            <v>15.44055292</v>
          </cell>
        </row>
        <row r="4445">
          <cell r="A4445" t="str">
            <v>JP3745800007</v>
          </cell>
          <cell r="E4445">
            <v>10.89157368</v>
          </cell>
        </row>
        <row r="4446">
          <cell r="A4446" t="str">
            <v>JP3695010003</v>
          </cell>
          <cell r="E4446">
            <v>16.16109144</v>
          </cell>
        </row>
        <row r="4447">
          <cell r="A4447" t="str">
            <v>JP3694400007</v>
          </cell>
          <cell r="E4447">
            <v>8.01869692</v>
          </cell>
        </row>
        <row r="4448">
          <cell r="A4448" t="str">
            <v>JP3700200003</v>
          </cell>
          <cell r="E4448">
            <v>8.6897564000000003</v>
          </cell>
        </row>
        <row r="4449">
          <cell r="A4449" t="str">
            <v>JP3749400002</v>
          </cell>
          <cell r="E4449">
            <v>6.4570147200000001</v>
          </cell>
        </row>
        <row r="4450">
          <cell r="A4450" t="str">
            <v>JP3721600009</v>
          </cell>
          <cell r="E4450">
            <v>6.3704264000000004</v>
          </cell>
        </row>
        <row r="4451">
          <cell r="A4451" t="str">
            <v>JP3728000005</v>
          </cell>
          <cell r="E4451">
            <v>1.40396776</v>
          </cell>
        </row>
        <row r="4452">
          <cell r="A4452" t="str">
            <v>JP3747800005</v>
          </cell>
          <cell r="E4452">
            <v>20.5028772</v>
          </cell>
        </row>
        <row r="4453">
          <cell r="A4453" t="str">
            <v>JP3047550003</v>
          </cell>
          <cell r="E4453">
            <v>1462.7241200000001</v>
          </cell>
        </row>
        <row r="4454">
          <cell r="A4454" t="str">
            <v>JP3047750009</v>
          </cell>
          <cell r="E4454">
            <v>514.58201600000007</v>
          </cell>
        </row>
        <row r="4455">
          <cell r="A4455" t="str">
            <v>JP3510600004</v>
          </cell>
          <cell r="E4455">
            <v>9.19691656</v>
          </cell>
        </row>
        <row r="4456">
          <cell r="A4456" t="str">
            <v>JP3740200005</v>
          </cell>
          <cell r="E4456">
            <v>11.9677428</v>
          </cell>
        </row>
        <row r="4457">
          <cell r="A4457" t="str">
            <v>JP3720600000</v>
          </cell>
          <cell r="E4457">
            <v>6.3951659200000002</v>
          </cell>
        </row>
        <row r="4458">
          <cell r="A4458" t="str">
            <v>JP3686800008</v>
          </cell>
          <cell r="E4458">
            <v>2.2389265599999999</v>
          </cell>
        </row>
        <row r="4459">
          <cell r="A4459" t="str">
            <v>JP3717600005</v>
          </cell>
          <cell r="E4459">
            <v>21.832626399999999</v>
          </cell>
        </row>
        <row r="4460">
          <cell r="A4460" t="str">
            <v>JP3715200006</v>
          </cell>
          <cell r="E4460">
            <v>10.350396679999999</v>
          </cell>
        </row>
        <row r="4461">
          <cell r="A4461" t="str">
            <v>JP3716000009</v>
          </cell>
          <cell r="E4461">
            <v>5.3066270400000004</v>
          </cell>
        </row>
        <row r="4462">
          <cell r="A4462" t="str">
            <v>JP3726200003</v>
          </cell>
          <cell r="E4462">
            <v>16.389932000000002</v>
          </cell>
        </row>
        <row r="4463">
          <cell r="A4463" t="str">
            <v>JP3381000003</v>
          </cell>
          <cell r="E4463">
            <v>18.282505279999999</v>
          </cell>
        </row>
        <row r="4464">
          <cell r="A4464" t="str">
            <v>JP3735400008</v>
          </cell>
          <cell r="E4464">
            <v>0.90422945599999993</v>
          </cell>
        </row>
        <row r="4465">
          <cell r="A4465" t="str">
            <v>JP3732200005</v>
          </cell>
          <cell r="E4465">
            <v>19.049430399999999</v>
          </cell>
        </row>
        <row r="4466">
          <cell r="A4466" t="str">
            <v>JP3739400004</v>
          </cell>
          <cell r="E4466">
            <v>2.8264901600000001</v>
          </cell>
        </row>
        <row r="4467">
          <cell r="A4467" t="str">
            <v>JP3752600001</v>
          </cell>
          <cell r="E4467">
            <v>24.0591832</v>
          </cell>
        </row>
        <row r="4468">
          <cell r="A4468" t="str">
            <v>JP3753000003</v>
          </cell>
          <cell r="E4468">
            <v>28.196867919999999</v>
          </cell>
        </row>
        <row r="4469">
          <cell r="A4469" t="str">
            <v>JP3673600007</v>
          </cell>
          <cell r="E4469">
            <v>7.8980917600000007</v>
          </cell>
        </row>
        <row r="4470">
          <cell r="A4470" t="str">
            <v>JP3657550004</v>
          </cell>
          <cell r="E4470">
            <v>14.546837760000001</v>
          </cell>
        </row>
        <row r="4471">
          <cell r="A4471" t="str">
            <v>JP3659200004</v>
          </cell>
          <cell r="E4471">
            <v>30.738853599999999</v>
          </cell>
        </row>
        <row r="4472">
          <cell r="A4472" t="str">
            <v>JP3659300002</v>
          </cell>
          <cell r="E4472">
            <v>12.9573236</v>
          </cell>
        </row>
        <row r="4473">
          <cell r="A4473" t="str">
            <v>JP3658850007</v>
          </cell>
          <cell r="E4473">
            <v>11.5038768</v>
          </cell>
        </row>
        <row r="4474">
          <cell r="A4474" t="str">
            <v>JP3658800002</v>
          </cell>
          <cell r="E4474">
            <v>13.33150884</v>
          </cell>
        </row>
        <row r="4475">
          <cell r="A4475" t="str">
            <v>JP3657500009</v>
          </cell>
          <cell r="E4475">
            <v>24.306578399999999</v>
          </cell>
        </row>
        <row r="4476">
          <cell r="A4476" t="str">
            <v>US65473P1057</v>
          </cell>
          <cell r="E4476">
            <v>34.842867169199998</v>
          </cell>
        </row>
        <row r="4477">
          <cell r="A4477" t="str">
            <v>JP3670800006</v>
          </cell>
          <cell r="E4477">
            <v>25.110612799999998</v>
          </cell>
        </row>
        <row r="4478">
          <cell r="A4478" t="str">
            <v>JP3672400003</v>
          </cell>
          <cell r="E4478">
            <v>1.9680288159999999</v>
          </cell>
        </row>
        <row r="4479">
          <cell r="A4479" t="str">
            <v>JP3672000001</v>
          </cell>
          <cell r="E4479">
            <v>5.9251150400000014</v>
          </cell>
        </row>
        <row r="4480">
          <cell r="A4480" t="str">
            <v>JP3678200001</v>
          </cell>
          <cell r="E4480">
            <v>26.9351524</v>
          </cell>
        </row>
        <row r="4481">
          <cell r="A4481" t="str">
            <v>JP3713200008</v>
          </cell>
          <cell r="E4481">
            <v>7.4342257600000003</v>
          </cell>
        </row>
        <row r="4482">
          <cell r="A4482" t="str">
            <v>JP3677200002</v>
          </cell>
          <cell r="E4482">
            <v>29.8729704</v>
          </cell>
        </row>
        <row r="4483">
          <cell r="A4483" t="str">
            <v>JP3676800000</v>
          </cell>
          <cell r="E4483">
            <v>11.086397399999999</v>
          </cell>
        </row>
        <row r="4484">
          <cell r="A4484" t="str">
            <v>JP3678000005</v>
          </cell>
          <cell r="E4484">
            <v>5.0264519760000006</v>
          </cell>
        </row>
        <row r="4485">
          <cell r="A4485" t="str">
            <v>JP3674400001</v>
          </cell>
          <cell r="E4485">
            <v>27.924733199999999</v>
          </cell>
        </row>
        <row r="4486">
          <cell r="A4486" t="str">
            <v>JP3675600005</v>
          </cell>
          <cell r="E4486">
            <v>19.173127999999998</v>
          </cell>
        </row>
        <row r="4487">
          <cell r="A4487" t="str">
            <v>JP3718800000</v>
          </cell>
          <cell r="E4487">
            <v>5.1983916400000014</v>
          </cell>
        </row>
        <row r="4488">
          <cell r="A4488" t="str">
            <v>JP3738600000</v>
          </cell>
          <cell r="E4488">
            <v>26.248630720000001</v>
          </cell>
        </row>
        <row r="4489">
          <cell r="A4489" t="str">
            <v>JP3756100008</v>
          </cell>
          <cell r="E4489">
            <v>103.6276644</v>
          </cell>
        </row>
        <row r="4490">
          <cell r="A4490" t="str">
            <v>JP3679850002</v>
          </cell>
          <cell r="E4490">
            <v>21.523382399999999</v>
          </cell>
        </row>
        <row r="4491">
          <cell r="A4491" t="str">
            <v>JP3680800004</v>
          </cell>
          <cell r="E4491">
            <v>37.851465599999997</v>
          </cell>
        </row>
        <row r="4492">
          <cell r="A4492" t="str">
            <v>JP3684400009</v>
          </cell>
          <cell r="E4492">
            <v>22.234643599999998</v>
          </cell>
        </row>
        <row r="4493">
          <cell r="A4493" t="str">
            <v>JP3684000007</v>
          </cell>
          <cell r="E4493">
            <v>15.74670448</v>
          </cell>
        </row>
        <row r="4494">
          <cell r="A4494" t="str">
            <v>JP3682400001</v>
          </cell>
          <cell r="E4494">
            <v>18.103143759999998</v>
          </cell>
        </row>
        <row r="4495">
          <cell r="A4495" t="str">
            <v>JP3684700002</v>
          </cell>
          <cell r="E4495">
            <v>12.054331120000001</v>
          </cell>
        </row>
        <row r="4496">
          <cell r="A4496" t="str">
            <v>JP3718600004</v>
          </cell>
          <cell r="E4496">
            <v>24.523049199999999</v>
          </cell>
        </row>
        <row r="4497">
          <cell r="A4497" t="str">
            <v>DK0010287663</v>
          </cell>
          <cell r="E4497">
            <v>67.848602569999997</v>
          </cell>
        </row>
        <row r="4498">
          <cell r="A4498" t="str">
            <v>US6292093050</v>
          </cell>
          <cell r="E4498">
            <v>30.102401076</v>
          </cell>
        </row>
        <row r="4499">
          <cell r="A4499" t="str">
            <v>NL0010773842</v>
          </cell>
          <cell r="E4499">
            <v>50.26</v>
          </cell>
        </row>
        <row r="4500">
          <cell r="A4500" t="str">
            <v>US6374171063</v>
          </cell>
          <cell r="E4500">
            <v>36.105225924000003</v>
          </cell>
        </row>
        <row r="4501">
          <cell r="A4501" t="str">
            <v>SE0000949331</v>
          </cell>
          <cell r="E4501">
            <v>0.33378317210000003</v>
          </cell>
        </row>
        <row r="4502">
          <cell r="A4502" t="str">
            <v>GB00BMXNWH07</v>
          </cell>
          <cell r="E4502">
            <v>17.2757768052</v>
          </cell>
        </row>
        <row r="4503">
          <cell r="A4503" t="str">
            <v>JP3760450001</v>
          </cell>
          <cell r="E4503">
            <v>25.481705600000002</v>
          </cell>
        </row>
        <row r="4504">
          <cell r="A4504" t="str">
            <v>JP3753400005</v>
          </cell>
          <cell r="E4504">
            <v>12.47181052</v>
          </cell>
        </row>
        <row r="4505">
          <cell r="A4505" t="str">
            <v>JP3759800000</v>
          </cell>
          <cell r="E4505">
            <v>19.234976799999998</v>
          </cell>
        </row>
        <row r="4506">
          <cell r="A4506" t="str">
            <v>JP3761600000</v>
          </cell>
          <cell r="E4506">
            <v>14.998334</v>
          </cell>
        </row>
        <row r="4507">
          <cell r="A4507" t="str">
            <v>JP3164800009</v>
          </cell>
          <cell r="E4507">
            <v>11.850230079999999</v>
          </cell>
        </row>
        <row r="4508">
          <cell r="A4508" t="str">
            <v>FI0009000681</v>
          </cell>
          <cell r="E4508">
            <v>4.5209999999999999</v>
          </cell>
        </row>
        <row r="4509">
          <cell r="A4509" t="str">
            <v>FI0009000681</v>
          </cell>
          <cell r="E4509">
            <v>4.5289999999999999</v>
          </cell>
        </row>
        <row r="4510">
          <cell r="A4510" t="str">
            <v>FI0009005318</v>
          </cell>
          <cell r="E4510">
            <v>6.5149999999999997</v>
          </cell>
        </row>
        <row r="4511">
          <cell r="A4511" t="str">
            <v>SE0015962477</v>
          </cell>
          <cell r="E4511">
            <v>4.6648672434999998</v>
          </cell>
        </row>
        <row r="4512">
          <cell r="A4512" t="str">
            <v>VGG6564A1057</v>
          </cell>
          <cell r="E4512">
            <v>17.125706183999998</v>
          </cell>
        </row>
        <row r="4513">
          <cell r="A4513" t="str">
            <v>JP3762400004</v>
          </cell>
          <cell r="E4513">
            <v>5.2324084800000001</v>
          </cell>
        </row>
        <row r="4514">
          <cell r="A4514" t="str">
            <v>JP3762600009</v>
          </cell>
          <cell r="E4514">
            <v>4.7877156080000001</v>
          </cell>
        </row>
        <row r="4515">
          <cell r="A4515" t="str">
            <v>JP3762950008</v>
          </cell>
          <cell r="E4515">
            <v>13.92834976</v>
          </cell>
        </row>
        <row r="4516">
          <cell r="A4516" t="str">
            <v>JP3048110005</v>
          </cell>
          <cell r="E4516">
            <v>881.963888</v>
          </cell>
        </row>
        <row r="4517">
          <cell r="A4517" t="str">
            <v>JP3762900003</v>
          </cell>
          <cell r="E4517">
            <v>5.3684758400000003</v>
          </cell>
        </row>
        <row r="4518">
          <cell r="A4518" t="str">
            <v>JP3762800005</v>
          </cell>
          <cell r="E4518">
            <v>32.903561600000003</v>
          </cell>
        </row>
        <row r="4519">
          <cell r="A4519" t="str">
            <v>NO0010360019</v>
          </cell>
          <cell r="E4519">
            <v>2.2634431005</v>
          </cell>
        </row>
        <row r="4520">
          <cell r="A4520" t="str">
            <v>NO0010856511</v>
          </cell>
          <cell r="E4520">
            <v>10.404335136</v>
          </cell>
        </row>
        <row r="4521">
          <cell r="A4521" t="str">
            <v>NO0010892912</v>
          </cell>
          <cell r="E4521">
            <v>1.58399333</v>
          </cell>
        </row>
        <row r="4522">
          <cell r="A4522" t="str">
            <v>NO0013052209</v>
          </cell>
          <cell r="E4522">
            <v>3.768236764000001</v>
          </cell>
        </row>
        <row r="4523">
          <cell r="A4523" t="str">
            <v>FI4000297767</v>
          </cell>
          <cell r="E4523">
            <v>11.145</v>
          </cell>
        </row>
        <row r="4524">
          <cell r="A4524" t="str">
            <v>FI4000297767</v>
          </cell>
          <cell r="E4524">
            <v>11.1605936655</v>
          </cell>
        </row>
        <row r="4525">
          <cell r="A4525" t="str">
            <v>DE000A0D6554</v>
          </cell>
          <cell r="E4525">
            <v>15.47</v>
          </cell>
        </row>
        <row r="4526">
          <cell r="A4526" t="str">
            <v>NO0011002651</v>
          </cell>
          <cell r="E4526">
            <v>2.9012088359999999</v>
          </cell>
        </row>
        <row r="4527">
          <cell r="A4527" t="str">
            <v>NO0012928805</v>
          </cell>
          <cell r="E4527">
            <v>6.8361817399999998</v>
          </cell>
        </row>
        <row r="4528">
          <cell r="A4528" t="str">
            <v>NO0012958539</v>
          </cell>
          <cell r="E4528">
            <v>2.5844101699999998E-3</v>
          </cell>
        </row>
        <row r="4529">
          <cell r="A4529" t="str">
            <v>NO0003058109</v>
          </cell>
          <cell r="E4529">
            <v>1.6673614000000001</v>
          </cell>
        </row>
        <row r="4530">
          <cell r="A4530" t="str">
            <v>NO0013162693</v>
          </cell>
          <cell r="E4530">
            <v>1.7090454349999999</v>
          </cell>
        </row>
        <row r="4531">
          <cell r="A4531" t="str">
            <v>NO0003055501</v>
          </cell>
          <cell r="E4531">
            <v>9.1037932440000002</v>
          </cell>
        </row>
        <row r="4532">
          <cell r="A4532" t="str">
            <v>NO0011018434</v>
          </cell>
          <cell r="E4532">
            <v>0.10837849099999999</v>
          </cell>
        </row>
        <row r="4533">
          <cell r="A4533" t="str">
            <v>SE0015192067</v>
          </cell>
          <cell r="E4533">
            <v>23.013944857999999</v>
          </cell>
        </row>
        <row r="4534">
          <cell r="A4534" t="str">
            <v>US6556631025</v>
          </cell>
          <cell r="E4534">
            <v>161.62605903240001</v>
          </cell>
        </row>
        <row r="4535">
          <cell r="A4535" t="str">
            <v>US6556641008</v>
          </cell>
          <cell r="E4535">
            <v>21.2217513744</v>
          </cell>
        </row>
        <row r="4536">
          <cell r="A4536" t="str">
            <v>US6558441084</v>
          </cell>
          <cell r="E4536">
            <v>192.1963273392</v>
          </cell>
        </row>
        <row r="4537">
          <cell r="A4537" t="str">
            <v>SE0017831795</v>
          </cell>
          <cell r="E4537">
            <v>3.5650022087500002</v>
          </cell>
        </row>
        <row r="4538">
          <cell r="A4538" t="str">
            <v>JP3763000001</v>
          </cell>
          <cell r="E4538">
            <v>21.337835999999999</v>
          </cell>
        </row>
        <row r="4539">
          <cell r="A4539" t="str">
            <v>JP3759500006</v>
          </cell>
          <cell r="E4539">
            <v>26.440362</v>
          </cell>
        </row>
        <row r="4540">
          <cell r="A4540" t="str">
            <v>JP3759400009</v>
          </cell>
          <cell r="E4540">
            <v>10.594699439999999</v>
          </cell>
        </row>
        <row r="4541">
          <cell r="A4541" t="str">
            <v>NO0012885252</v>
          </cell>
          <cell r="E4541">
            <v>0.40225093774999998</v>
          </cell>
        </row>
        <row r="4542">
          <cell r="A4542" t="str">
            <v>NO0005052605</v>
          </cell>
          <cell r="E4542">
            <v>4.5018757799999998</v>
          </cell>
        </row>
        <row r="4543">
          <cell r="A4543" t="str">
            <v>NO0010969108</v>
          </cell>
          <cell r="E4543">
            <v>0.17924135050000001</v>
          </cell>
        </row>
        <row r="4544">
          <cell r="A4544" t="str">
            <v>NO0010969108</v>
          </cell>
          <cell r="E4544">
            <v>0.17924135050000001</v>
          </cell>
        </row>
        <row r="4545">
          <cell r="A4545" t="str">
            <v>NO0010861115</v>
          </cell>
          <cell r="E4545">
            <v>1.5022926214000001</v>
          </cell>
        </row>
        <row r="4546">
          <cell r="A4546" t="str">
            <v>PAL0605071A3</v>
          </cell>
          <cell r="E4546">
            <v>2.3246033850000001</v>
          </cell>
        </row>
        <row r="4547">
          <cell r="A4547" t="str">
            <v>NO0010550056</v>
          </cell>
          <cell r="E4547">
            <v>0.21175489780000001</v>
          </cell>
        </row>
        <row r="4548">
          <cell r="A4548" t="str">
            <v>JP3843400007</v>
          </cell>
          <cell r="E4548">
            <v>2.6409437599999999</v>
          </cell>
        </row>
        <row r="4549">
          <cell r="A4549" t="str">
            <v>CA6632782083</v>
          </cell>
          <cell r="E4549">
            <v>34.097112200799998</v>
          </cell>
        </row>
        <row r="4550">
          <cell r="A4550" t="str">
            <v>DE000A0SMU87</v>
          </cell>
          <cell r="E4550">
            <v>24</v>
          </cell>
        </row>
        <row r="4551">
          <cell r="A4551" t="str">
            <v>BMG6682J1036</v>
          </cell>
          <cell r="E4551">
            <v>0.48270112529999998</v>
          </cell>
        </row>
        <row r="4552">
          <cell r="A4552" t="str">
            <v>US6655313079</v>
          </cell>
          <cell r="E4552">
            <v>19.800494314800002</v>
          </cell>
        </row>
        <row r="4553">
          <cell r="A4553" t="str">
            <v>AU000000NST8</v>
          </cell>
          <cell r="E4553">
            <v>12.2485722226</v>
          </cell>
        </row>
        <row r="4554">
          <cell r="A4554" t="str">
            <v>US6658591044</v>
          </cell>
          <cell r="E4554">
            <v>78.804731497199995</v>
          </cell>
        </row>
        <row r="4555">
          <cell r="A4555" t="str">
            <v>CA6665111002</v>
          </cell>
          <cell r="E4555">
            <v>11.7359568986</v>
          </cell>
        </row>
        <row r="4556">
          <cell r="A4556" t="str">
            <v>US6668071029</v>
          </cell>
          <cell r="E4556">
            <v>467.30225904960002</v>
          </cell>
        </row>
        <row r="4557">
          <cell r="A4557" t="str">
            <v>US6673401039</v>
          </cell>
          <cell r="E4557">
            <v>9.9046609992000008</v>
          </cell>
        </row>
        <row r="4558">
          <cell r="A4558" t="str">
            <v>CA6674951059</v>
          </cell>
          <cell r="E4558">
            <v>3.1101237859999999</v>
          </cell>
        </row>
        <row r="4559">
          <cell r="A4559" t="str">
            <v>US66765N1054</v>
          </cell>
          <cell r="E4559">
            <v>37.455861514799999</v>
          </cell>
        </row>
        <row r="4560">
          <cell r="A4560" t="str">
            <v>US6680743050</v>
          </cell>
          <cell r="E4560">
            <v>50.697386914799999</v>
          </cell>
        </row>
        <row r="4561">
          <cell r="A4561" t="str">
            <v>SE0017084759</v>
          </cell>
          <cell r="E4561">
            <v>3.2523616364999999</v>
          </cell>
        </row>
        <row r="4562">
          <cell r="A4562" t="str">
            <v>NO0010196140</v>
          </cell>
          <cell r="E4562">
            <v>1.0454355978000001</v>
          </cell>
        </row>
        <row r="4563">
          <cell r="A4563" t="str">
            <v>NO0010984966</v>
          </cell>
          <cell r="E4563">
            <v>1.7090454349999999E-2</v>
          </cell>
        </row>
        <row r="4564">
          <cell r="A4564" t="str">
            <v>BMG667211046</v>
          </cell>
          <cell r="E4564">
            <v>14.3979519516</v>
          </cell>
        </row>
        <row r="4565">
          <cell r="A4565" t="str">
            <v>PTZON0AM0006</v>
          </cell>
          <cell r="E4565">
            <v>4.0999999999999996</v>
          </cell>
        </row>
        <row r="4566">
          <cell r="A4566" t="str">
            <v>SE0001161654</v>
          </cell>
          <cell r="E4566">
            <v>16.185334949000001</v>
          </cell>
        </row>
        <row r="4567">
          <cell r="A4567" t="str">
            <v>IT0005025355</v>
          </cell>
          <cell r="E4567">
            <v>0.72199999999999998</v>
          </cell>
        </row>
        <row r="4568">
          <cell r="A4568" t="str">
            <v>US62955J1034</v>
          </cell>
          <cell r="E4568">
            <v>10.6020480036</v>
          </cell>
        </row>
        <row r="4569">
          <cell r="A4569" t="str">
            <v>IL0010845571</v>
          </cell>
          <cell r="E4569">
            <v>164.41438500000001</v>
          </cell>
        </row>
        <row r="4570">
          <cell r="A4570" t="str">
            <v>PTNBA0AM0006</v>
          </cell>
          <cell r="E4570">
            <v>7.25</v>
          </cell>
        </row>
        <row r="4571">
          <cell r="A4571" t="str">
            <v>FR0010397232</v>
          </cell>
          <cell r="E4571">
            <v>0.5</v>
          </cell>
        </row>
        <row r="4572">
          <cell r="A4572" t="str">
            <v>IT0005605701</v>
          </cell>
          <cell r="E4572">
            <v>3.68</v>
          </cell>
        </row>
        <row r="4573">
          <cell r="A4573" t="str">
            <v>CA67000B1040</v>
          </cell>
          <cell r="E4573">
            <v>100.71504219240001</v>
          </cell>
        </row>
        <row r="4574">
          <cell r="A4574" t="str">
            <v>CH0012005267</v>
          </cell>
          <cell r="E4574">
            <v>97.39768939999999</v>
          </cell>
        </row>
        <row r="4575">
          <cell r="A4575" t="str">
            <v>US6700024010</v>
          </cell>
          <cell r="E4575">
            <v>5.6408898204</v>
          </cell>
        </row>
        <row r="4576">
          <cell r="A4576" t="str">
            <v>DK0062498333</v>
          </cell>
          <cell r="E4576">
            <v>57.018277756999993</v>
          </cell>
        </row>
        <row r="4577">
          <cell r="A4577" t="str">
            <v>JE00BYSS4X48</v>
          </cell>
          <cell r="E4577">
            <v>14.530367205599999</v>
          </cell>
        </row>
        <row r="4578">
          <cell r="A4578" t="str">
            <v>IL0011401515</v>
          </cell>
          <cell r="E4578">
            <v>0.37011238200000002</v>
          </cell>
        </row>
        <row r="4579">
          <cell r="A4579" t="str">
            <v>DK0060336014</v>
          </cell>
          <cell r="E4579">
            <v>54.921869800000003</v>
          </cell>
        </row>
        <row r="4580">
          <cell r="A4580" t="str">
            <v>SE0006342333</v>
          </cell>
          <cell r="E4580">
            <v>21.007647084999999</v>
          </cell>
        </row>
        <row r="4581">
          <cell r="A4581" t="str">
            <v>JP3970700005</v>
          </cell>
          <cell r="E4581">
            <v>13.37789544</v>
          </cell>
        </row>
        <row r="4582">
          <cell r="A4582" t="str">
            <v>FR0014001PV6</v>
          </cell>
          <cell r="E4582">
            <v>34</v>
          </cell>
        </row>
        <row r="4583">
          <cell r="A4583" t="str">
            <v>NO0003679102</v>
          </cell>
          <cell r="E4583">
            <v>0.40558566055</v>
          </cell>
        </row>
        <row r="4584">
          <cell r="A4584" t="str">
            <v>US6293775085</v>
          </cell>
          <cell r="E4584">
            <v>85.725635439599998</v>
          </cell>
        </row>
        <row r="4585">
          <cell r="A4585" t="str">
            <v>FR0000121691</v>
          </cell>
          <cell r="E4585">
            <v>6.58</v>
          </cell>
        </row>
        <row r="4586">
          <cell r="A4586" t="str">
            <v>AU000000NWH5</v>
          </cell>
          <cell r="E4586">
            <v>1.350324912</v>
          </cell>
        </row>
        <row r="4587">
          <cell r="A4587" t="str">
            <v>JP3379900008</v>
          </cell>
          <cell r="E4587">
            <v>22.178979680000001</v>
          </cell>
        </row>
        <row r="4588">
          <cell r="A4588" t="str">
            <v>JP3385000009</v>
          </cell>
          <cell r="E4588">
            <v>22.605736400000001</v>
          </cell>
        </row>
        <row r="4589">
          <cell r="A4589" t="str">
            <v>FR0000064529</v>
          </cell>
          <cell r="E4589">
            <v>63.5</v>
          </cell>
        </row>
        <row r="4590">
          <cell r="A4590" t="str">
            <v>JP3712600000</v>
          </cell>
          <cell r="E4590">
            <v>20.632759679999999</v>
          </cell>
        </row>
        <row r="4591">
          <cell r="A4591" t="str">
            <v>FR0004065639</v>
          </cell>
          <cell r="E4591">
            <v>40.875</v>
          </cell>
        </row>
        <row r="4592">
          <cell r="A4592" t="str">
            <v>NL0012365084</v>
          </cell>
          <cell r="E4592">
            <v>20.7</v>
          </cell>
        </row>
        <row r="4593">
          <cell r="A4593" t="str">
            <v>JP3720800006</v>
          </cell>
          <cell r="E4593">
            <v>3.6694893039999998</v>
          </cell>
        </row>
        <row r="4594">
          <cell r="A4594" t="str">
            <v>DK0061141215</v>
          </cell>
          <cell r="E4594">
            <v>33.488945000000001</v>
          </cell>
        </row>
        <row r="4595">
          <cell r="A4595" t="str">
            <v>JP3165600002</v>
          </cell>
          <cell r="E4595">
            <v>1.3111945599999999</v>
          </cell>
        </row>
        <row r="4596">
          <cell r="A4596" t="str">
            <v>JP3165700000</v>
          </cell>
          <cell r="E4596">
            <v>15.66939348</v>
          </cell>
        </row>
        <row r="4597">
          <cell r="A4597" t="str">
            <v>JP3041770003</v>
          </cell>
          <cell r="E4597">
            <v>822.58904000000007</v>
          </cell>
        </row>
        <row r="4598">
          <cell r="A4598" t="str">
            <v>KYG6683N1034</v>
          </cell>
          <cell r="E4598">
            <v>9.5692090224000008</v>
          </cell>
        </row>
        <row r="4599">
          <cell r="A4599" t="str">
            <v>US6703461052</v>
          </cell>
          <cell r="E4599">
            <v>97.528248412800011</v>
          </cell>
        </row>
        <row r="4600">
          <cell r="A4600" t="str">
            <v>AU000000NUF3</v>
          </cell>
          <cell r="E4600">
            <v>2.1548935054</v>
          </cell>
        </row>
        <row r="4601">
          <cell r="A4601" t="str">
            <v>AU0000119307</v>
          </cell>
          <cell r="E4601">
            <v>1.3334458506</v>
          </cell>
        </row>
        <row r="4602">
          <cell r="A4602" t="str">
            <v>US67080M1036</v>
          </cell>
          <cell r="E4602">
            <v>8.6687852952000011</v>
          </cell>
        </row>
        <row r="4603">
          <cell r="A4603" t="str">
            <v>US67079K1007</v>
          </cell>
          <cell r="E4603">
            <v>13.5769773768</v>
          </cell>
        </row>
        <row r="4604">
          <cell r="A4604" t="str">
            <v>IT0005453110</v>
          </cell>
          <cell r="E4604">
            <v>0.82</v>
          </cell>
        </row>
        <row r="4605">
          <cell r="A4605" t="str">
            <v>US67059N1081</v>
          </cell>
          <cell r="E4605">
            <v>55.481991426</v>
          </cell>
        </row>
        <row r="4606">
          <cell r="A4606" t="str">
            <v>CA67077M1086</v>
          </cell>
          <cell r="E4606">
            <v>46.277372497399988</v>
          </cell>
        </row>
        <row r="4607">
          <cell r="A4607" t="str">
            <v>US6707031075</v>
          </cell>
          <cell r="E4607">
            <v>62.482344520800012</v>
          </cell>
        </row>
        <row r="4608">
          <cell r="A4608" t="str">
            <v>CA67072Q1046</v>
          </cell>
          <cell r="E4608">
            <v>7.3437004498</v>
          </cell>
        </row>
        <row r="4609">
          <cell r="A4609" t="str">
            <v>US62945V1098</v>
          </cell>
          <cell r="E4609">
            <v>14.0713276584</v>
          </cell>
        </row>
        <row r="4610">
          <cell r="A4610" t="str">
            <v>IE00BDVJJQ56</v>
          </cell>
          <cell r="E4610">
            <v>44.597457547200001</v>
          </cell>
        </row>
        <row r="4611">
          <cell r="A4611" t="str">
            <v>US67066G1040</v>
          </cell>
          <cell r="E4611">
            <v>99.046609992</v>
          </cell>
        </row>
        <row r="4612">
          <cell r="A4612" t="str">
            <v>US62944T1051</v>
          </cell>
          <cell r="E4612">
            <v>6360.4961044211996</v>
          </cell>
        </row>
        <row r="4613">
          <cell r="A4613" t="str">
            <v>BMG668971101</v>
          </cell>
          <cell r="E4613">
            <v>0.79440957480000007</v>
          </cell>
        </row>
        <row r="4614">
          <cell r="A4614" t="str">
            <v>NL0015000D50</v>
          </cell>
          <cell r="E4614">
            <v>3.25</v>
          </cell>
        </row>
        <row r="4615">
          <cell r="A4615" t="str">
            <v>NL0009538784</v>
          </cell>
          <cell r="E4615">
            <v>151.50953362679999</v>
          </cell>
        </row>
        <row r="4616">
          <cell r="A4616" t="str">
            <v>SE0011426428</v>
          </cell>
          <cell r="E4616">
            <v>7.9442194329999998</v>
          </cell>
        </row>
        <row r="4617">
          <cell r="A4617" t="str">
            <v>NO0010714785</v>
          </cell>
          <cell r="E4617">
            <v>0.21175489780000001</v>
          </cell>
        </row>
        <row r="4618">
          <cell r="A4618" t="str">
            <v>BE0974294267</v>
          </cell>
          <cell r="E4618">
            <v>5.2600000000000001E-2</v>
          </cell>
        </row>
        <row r="4619">
          <cell r="A4619" t="str">
            <v>BE0974358906</v>
          </cell>
          <cell r="E4619">
            <v>5.4</v>
          </cell>
        </row>
        <row r="4620">
          <cell r="A4620" t="str">
            <v>NZNZXE0001S7</v>
          </cell>
          <cell r="E4620">
            <v>0.76957307699999999</v>
          </cell>
        </row>
        <row r="4621">
          <cell r="A4621" t="str">
            <v>JP3197650009</v>
          </cell>
          <cell r="E4621">
            <v>20.131784400000001</v>
          </cell>
        </row>
        <row r="4622">
          <cell r="A4622" t="str">
            <v>JP3190000004</v>
          </cell>
          <cell r="E4622">
            <v>12.570768599999999</v>
          </cell>
        </row>
        <row r="4623">
          <cell r="A4623" t="str">
            <v>AT0000625108</v>
          </cell>
          <cell r="E4623">
            <v>70</v>
          </cell>
        </row>
        <row r="4624">
          <cell r="A4624" t="str">
            <v>JP3173500004</v>
          </cell>
          <cell r="E4624">
            <v>45.959843280000001</v>
          </cell>
        </row>
        <row r="4625">
          <cell r="A4625" t="str">
            <v>JP3173400007</v>
          </cell>
          <cell r="E4625">
            <v>28.759692000000001</v>
          </cell>
        </row>
        <row r="4626">
          <cell r="A4626" t="str">
            <v>FR0014003711</v>
          </cell>
          <cell r="E4626">
            <v>4.25</v>
          </cell>
        </row>
        <row r="4627">
          <cell r="A4627" t="str">
            <v>AU000000OCL7</v>
          </cell>
          <cell r="E4627">
            <v>8.5633104836000005</v>
          </cell>
        </row>
        <row r="4628">
          <cell r="A4628" t="str">
            <v>NO0013457952</v>
          </cell>
          <cell r="E4628">
            <v>7.9199666500000002E-2</v>
          </cell>
        </row>
        <row r="4629">
          <cell r="A4629" t="str">
            <v>CH0000816824</v>
          </cell>
          <cell r="E4629">
            <v>3.6367562960000002</v>
          </cell>
        </row>
        <row r="4630">
          <cell r="A4630" t="str">
            <v>GB00B3MBS747</v>
          </cell>
          <cell r="E4630">
            <v>3.6737803580000001</v>
          </cell>
        </row>
        <row r="4631">
          <cell r="A4631" t="str">
            <v>SG1S04926220</v>
          </cell>
          <cell r="E4631">
            <v>10.4451078753</v>
          </cell>
        </row>
        <row r="4632">
          <cell r="A4632" t="str">
            <v>US6745991058</v>
          </cell>
          <cell r="E4632">
            <v>33.368644007999997</v>
          </cell>
        </row>
        <row r="4633">
          <cell r="A4633" t="str">
            <v>NO0010914641</v>
          </cell>
          <cell r="E4633">
            <v>0.50020841999999999</v>
          </cell>
        </row>
        <row r="4634">
          <cell r="A4634" t="str">
            <v>NO0010887565</v>
          </cell>
          <cell r="E4634">
            <v>9.7540641900000002E-2</v>
          </cell>
        </row>
        <row r="4635">
          <cell r="A4635" t="str">
            <v>CA6752221037</v>
          </cell>
          <cell r="E4635">
            <v>3.1926372742</v>
          </cell>
        </row>
        <row r="4636">
          <cell r="A4636" t="str">
            <v>US6752321025</v>
          </cell>
          <cell r="E4636">
            <v>14.962923701999999</v>
          </cell>
        </row>
        <row r="4637">
          <cell r="A4637" t="str">
            <v>US6752341080</v>
          </cell>
          <cell r="E4637">
            <v>13.7182203144</v>
          </cell>
        </row>
        <row r="4638">
          <cell r="A4638" t="str">
            <v>NZOCAE0002S0</v>
          </cell>
          <cell r="E4638">
            <v>0.31411146000000001</v>
          </cell>
        </row>
        <row r="4639">
          <cell r="A4639" t="str">
            <v>NL0010558797</v>
          </cell>
          <cell r="E4639">
            <v>6.35</v>
          </cell>
        </row>
        <row r="4640">
          <cell r="A4640" t="str">
            <v>JP3196000008</v>
          </cell>
          <cell r="E4640">
            <v>9.8648836000000006</v>
          </cell>
        </row>
        <row r="4641">
          <cell r="A4641" t="str">
            <v>IL0011974909</v>
          </cell>
          <cell r="E4641">
            <v>36.2641242288</v>
          </cell>
        </row>
        <row r="4642">
          <cell r="A4642" t="str">
            <v>BMG671801022</v>
          </cell>
          <cell r="E4642">
            <v>4.5185493940000008</v>
          </cell>
        </row>
        <row r="4643">
          <cell r="A4643" t="str">
            <v>NO0003399909</v>
          </cell>
          <cell r="E4643">
            <v>7.8365985800000004</v>
          </cell>
        </row>
        <row r="4644">
          <cell r="A4644" t="str">
            <v>NO0003399917</v>
          </cell>
          <cell r="E4644">
            <v>7.7949145450000001</v>
          </cell>
        </row>
        <row r="4645">
          <cell r="A4645" t="str">
            <v>BMG6716L1081</v>
          </cell>
          <cell r="E4645">
            <v>3.5848270100000001</v>
          </cell>
        </row>
        <row r="4646">
          <cell r="A4646" t="str">
            <v>FR001400U4P9</v>
          </cell>
          <cell r="E4646">
            <v>17.78</v>
          </cell>
        </row>
        <row r="4647">
          <cell r="A4647" t="str">
            <v>SE0017766843</v>
          </cell>
          <cell r="E4647">
            <v>11.96581183</v>
          </cell>
        </row>
        <row r="4648">
          <cell r="A4648" t="str">
            <v>FR0000052680</v>
          </cell>
          <cell r="E4648">
            <v>8.5</v>
          </cell>
        </row>
        <row r="4649">
          <cell r="A4649" t="str">
            <v>IT0005374035</v>
          </cell>
          <cell r="E4649">
            <v>14.9</v>
          </cell>
        </row>
        <row r="4650">
          <cell r="A4650" t="str">
            <v>IT0005374035</v>
          </cell>
          <cell r="E4650">
            <v>15</v>
          </cell>
        </row>
        <row r="4651">
          <cell r="A4651" t="str">
            <v>PR67103X1020</v>
          </cell>
          <cell r="E4651">
            <v>31.294138362000009</v>
          </cell>
        </row>
        <row r="4652">
          <cell r="A4652" t="str">
            <v>JP3176000002</v>
          </cell>
          <cell r="E4652">
            <v>12.75940744</v>
          </cell>
        </row>
        <row r="4653">
          <cell r="A4653" t="str">
            <v>US6708371033</v>
          </cell>
          <cell r="E4653">
            <v>39.530367160799997</v>
          </cell>
        </row>
        <row r="4654">
          <cell r="A4654" t="str">
            <v>DE0005936124</v>
          </cell>
          <cell r="E4654">
            <v>74.400000000000006</v>
          </cell>
        </row>
        <row r="4655">
          <cell r="A4655" t="str">
            <v>JP3174300008</v>
          </cell>
          <cell r="E4655">
            <v>20.008086800000001</v>
          </cell>
        </row>
        <row r="4656">
          <cell r="A4656" t="str">
            <v>US67098H1041</v>
          </cell>
          <cell r="E4656">
            <v>9.5338982880000014</v>
          </cell>
        </row>
        <row r="4657">
          <cell r="A4657" t="str">
            <v>IL0025902482</v>
          </cell>
          <cell r="E4657">
            <v>0.22922005500000001</v>
          </cell>
        </row>
        <row r="4658">
          <cell r="A4658" t="str">
            <v>JP3174200000</v>
          </cell>
          <cell r="E4658">
            <v>13.14287</v>
          </cell>
        </row>
        <row r="4659">
          <cell r="A4659" t="str">
            <v>JP3174190003</v>
          </cell>
          <cell r="E4659">
            <v>8.7392354399999999</v>
          </cell>
        </row>
        <row r="4660">
          <cell r="A4660" t="str">
            <v>JP3175200009</v>
          </cell>
          <cell r="E4660">
            <v>18.987581599999999</v>
          </cell>
        </row>
        <row r="4661">
          <cell r="A4661" t="str">
            <v>JP3174410005</v>
          </cell>
          <cell r="E4661">
            <v>3.7468003040000002</v>
          </cell>
        </row>
        <row r="4662">
          <cell r="A4662" t="str">
            <v>JP3192000002</v>
          </cell>
          <cell r="E4662">
            <v>5.2076689600000003</v>
          </cell>
        </row>
        <row r="4663">
          <cell r="A4663" t="str">
            <v>JP3192800005</v>
          </cell>
          <cell r="E4663">
            <v>31.048097599999998</v>
          </cell>
        </row>
        <row r="4664">
          <cell r="A4664" t="str">
            <v>JP3193200007</v>
          </cell>
          <cell r="E4664">
            <v>20.255482000000001</v>
          </cell>
        </row>
        <row r="4665">
          <cell r="A4665" t="str">
            <v>JP3192400004</v>
          </cell>
          <cell r="E4665">
            <v>11.70797784</v>
          </cell>
        </row>
        <row r="4666">
          <cell r="A4666" t="str">
            <v>JP3190800007</v>
          </cell>
          <cell r="E4666">
            <v>3.76040704</v>
          </cell>
        </row>
        <row r="4667">
          <cell r="A4667" t="str">
            <v>NO0010816895</v>
          </cell>
          <cell r="E4667">
            <v>1.3689037094000001</v>
          </cell>
        </row>
        <row r="4668">
          <cell r="A4668" t="str">
            <v>MHY641771016</v>
          </cell>
          <cell r="E4668">
            <v>18.007503119999999</v>
          </cell>
        </row>
        <row r="4669">
          <cell r="A4669" t="str">
            <v>JP3194000000</v>
          </cell>
          <cell r="E4669">
            <v>5.4550641600000001</v>
          </cell>
        </row>
        <row r="4670">
          <cell r="A4670" t="str">
            <v>JP3194650002</v>
          </cell>
          <cell r="E4670">
            <v>25.760025200000001</v>
          </cell>
        </row>
        <row r="4671">
          <cell r="A4671" t="str">
            <v>JP3194700005</v>
          </cell>
          <cell r="E4671">
            <v>5.5478373599999999</v>
          </cell>
        </row>
        <row r="4672">
          <cell r="A4672" t="str">
            <v>JP3194750000</v>
          </cell>
          <cell r="E4672">
            <v>13.77372776</v>
          </cell>
        </row>
        <row r="4673">
          <cell r="A4673" t="str">
            <v>US02156V1098</v>
          </cell>
          <cell r="E4673">
            <v>20.303672280000001</v>
          </cell>
        </row>
        <row r="4674">
          <cell r="A4674" t="str">
            <v>US6792951054</v>
          </cell>
          <cell r="E4674">
            <v>88.462217355600004</v>
          </cell>
        </row>
        <row r="4675">
          <cell r="A4675" t="str">
            <v>JP3172100004</v>
          </cell>
          <cell r="E4675">
            <v>18.863883999999999</v>
          </cell>
        </row>
        <row r="4676">
          <cell r="A4676" t="str">
            <v>JP3194800003</v>
          </cell>
          <cell r="E4676">
            <v>27.0279256</v>
          </cell>
        </row>
        <row r="4677">
          <cell r="A4677" t="str">
            <v>JP3178400002</v>
          </cell>
          <cell r="E4677">
            <v>23.3788464</v>
          </cell>
        </row>
        <row r="4678">
          <cell r="A4678" t="str">
            <v>SGXE65760014</v>
          </cell>
          <cell r="E4678">
            <v>0.61047194390000004</v>
          </cell>
        </row>
        <row r="4679">
          <cell r="A4679" t="str">
            <v>NO0005638858</v>
          </cell>
          <cell r="E4679">
            <v>20.92538557</v>
          </cell>
        </row>
        <row r="4680">
          <cell r="A4680" t="str">
            <v>US6795801009</v>
          </cell>
          <cell r="E4680">
            <v>134.93114382600001</v>
          </cell>
        </row>
        <row r="4681">
          <cell r="A4681" t="str">
            <v>ZAE000255360</v>
          </cell>
          <cell r="E4681">
            <v>0.48523833500000002</v>
          </cell>
        </row>
        <row r="4682">
          <cell r="A4682" t="str">
            <v>US6800331075</v>
          </cell>
          <cell r="E4682">
            <v>17.196327652800001</v>
          </cell>
        </row>
        <row r="4683">
          <cell r="A4683" t="str">
            <v>US6802231042</v>
          </cell>
          <cell r="E4683">
            <v>33.324505590000001</v>
          </cell>
        </row>
        <row r="4684">
          <cell r="A4684" t="str">
            <v>US6806652052</v>
          </cell>
          <cell r="E4684">
            <v>17.876059290000001</v>
          </cell>
        </row>
        <row r="4685">
          <cell r="A4685" t="str">
            <v>US6811161099</v>
          </cell>
          <cell r="E4685">
            <v>101.0593218528</v>
          </cell>
        </row>
        <row r="4686">
          <cell r="A4686" t="str">
            <v>JP3201200007</v>
          </cell>
          <cell r="E4686">
            <v>11.09258228</v>
          </cell>
        </row>
        <row r="4687">
          <cell r="A4687" t="str">
            <v>NO0010894512</v>
          </cell>
          <cell r="E4687">
            <v>3.1012922039999999</v>
          </cell>
        </row>
        <row r="4688">
          <cell r="A4688" t="str">
            <v>US6819361006</v>
          </cell>
          <cell r="E4688">
            <v>33.748234402800001</v>
          </cell>
        </row>
        <row r="4689">
          <cell r="A4689" t="str">
            <v>IT0005453748</v>
          </cell>
          <cell r="E4689">
            <v>4.3899999999999997</v>
          </cell>
        </row>
        <row r="4690">
          <cell r="A4690" t="str">
            <v>FR0014003T71</v>
          </cell>
          <cell r="E4690">
            <v>4.33</v>
          </cell>
        </row>
        <row r="4691">
          <cell r="A4691" t="str">
            <v>AU0000082489</v>
          </cell>
          <cell r="E4691">
            <v>0.75111823229999997</v>
          </cell>
        </row>
        <row r="4692">
          <cell r="A4692" t="str">
            <v>US68213N1090</v>
          </cell>
          <cell r="E4692">
            <v>27.674788086</v>
          </cell>
        </row>
        <row r="4693">
          <cell r="A4693" t="str">
            <v>US6819191064</v>
          </cell>
          <cell r="E4693">
            <v>67.823093098800001</v>
          </cell>
        </row>
        <row r="4694">
          <cell r="A4694" t="str">
            <v>JP3197800000</v>
          </cell>
          <cell r="E4694">
            <v>25.395117280000001</v>
          </cell>
        </row>
        <row r="4695">
          <cell r="A4695" t="str">
            <v>AT0000743059</v>
          </cell>
          <cell r="E4695">
            <v>42.46</v>
          </cell>
        </row>
        <row r="4696">
          <cell r="A4696" t="str">
            <v>CH1134540470</v>
          </cell>
          <cell r="E4696">
            <v>37.667725921200002</v>
          </cell>
        </row>
        <row r="4697">
          <cell r="A4697" t="str">
            <v>US6821891057</v>
          </cell>
          <cell r="E4697">
            <v>31.647245706</v>
          </cell>
        </row>
        <row r="4698">
          <cell r="A4698" t="str">
            <v>GB00BYM1K758</v>
          </cell>
          <cell r="E4698">
            <v>3.104356095</v>
          </cell>
        </row>
        <row r="4699">
          <cell r="A4699" t="str">
            <v>FR001400CM63</v>
          </cell>
          <cell r="E4699">
            <v>0.5</v>
          </cell>
        </row>
        <row r="4700">
          <cell r="A4700" t="str">
            <v>NO0010779341</v>
          </cell>
          <cell r="E4700">
            <v>0.12688620253999999</v>
          </cell>
        </row>
        <row r="4701">
          <cell r="A4701" t="str">
            <v>FR0013266772</v>
          </cell>
          <cell r="E4701">
            <v>0.3</v>
          </cell>
        </row>
        <row r="4702">
          <cell r="A4702" t="str">
            <v>US68235P1084</v>
          </cell>
          <cell r="E4702">
            <v>67.637711743200001</v>
          </cell>
        </row>
        <row r="4703">
          <cell r="A4703" t="str">
            <v>JP3047640002</v>
          </cell>
          <cell r="E4703">
            <v>1496.7409600000001</v>
          </cell>
        </row>
        <row r="4704">
          <cell r="A4704" t="str">
            <v>IL0001610182</v>
          </cell>
          <cell r="E4704">
            <v>17.04869163</v>
          </cell>
        </row>
        <row r="4705">
          <cell r="A4705" t="str">
            <v>US68268W1036</v>
          </cell>
          <cell r="E4705">
            <v>39.468573375600002</v>
          </cell>
        </row>
        <row r="4706">
          <cell r="A4706" t="str">
            <v>US6826801036</v>
          </cell>
          <cell r="E4706">
            <v>74.2937851776</v>
          </cell>
        </row>
        <row r="4707">
          <cell r="A4707" t="str">
            <v>BSP736841136</v>
          </cell>
          <cell r="E4707">
            <v>14.989406752800001</v>
          </cell>
        </row>
        <row r="4708">
          <cell r="A4708" t="str">
            <v>CA68272K1030</v>
          </cell>
          <cell r="E4708">
            <v>58.5020631338</v>
          </cell>
        </row>
        <row r="4709">
          <cell r="A4709" t="str">
            <v>JP3197600004</v>
          </cell>
          <cell r="E4709">
            <v>10.63490116</v>
          </cell>
        </row>
        <row r="4710">
          <cell r="A4710" t="str">
            <v>JP3196700003</v>
          </cell>
          <cell r="E4710">
            <v>8.6279076000000003</v>
          </cell>
        </row>
        <row r="4711">
          <cell r="A4711" t="str">
            <v>BE0974276082</v>
          </cell>
          <cell r="E4711">
            <v>7.9</v>
          </cell>
        </row>
        <row r="4712">
          <cell r="A4712" t="str">
            <v>US6833441057</v>
          </cell>
          <cell r="E4712">
            <v>106.34710432919999</v>
          </cell>
        </row>
        <row r="4713">
          <cell r="A4713" t="str">
            <v>JP3203500008</v>
          </cell>
          <cell r="E4713">
            <v>3.38931424</v>
          </cell>
        </row>
        <row r="4714">
          <cell r="A4714" t="str">
            <v>NL0015000HT4</v>
          </cell>
          <cell r="E4714">
            <v>3.875</v>
          </cell>
        </row>
        <row r="4715">
          <cell r="A4715" t="str">
            <v>AU000000OML6</v>
          </cell>
          <cell r="E4715">
            <v>0.81582130100000005</v>
          </cell>
        </row>
        <row r="4716">
          <cell r="A4716" t="str">
            <v>IL0011415713</v>
          </cell>
          <cell r="E4716">
            <v>7.8726887999999997</v>
          </cell>
        </row>
        <row r="4717">
          <cell r="A4717" t="str">
            <v>JP3173540000</v>
          </cell>
          <cell r="E4717">
            <v>37.146389280000001</v>
          </cell>
        </row>
        <row r="4718">
          <cell r="A4718" t="str">
            <v>CA6837151068</v>
          </cell>
          <cell r="E4718">
            <v>22.729292403399999</v>
          </cell>
        </row>
        <row r="4719">
          <cell r="A4719" t="str">
            <v>JP3635580008</v>
          </cell>
          <cell r="E4719">
            <v>10.668918</v>
          </cell>
        </row>
        <row r="4720">
          <cell r="A4720" t="str">
            <v>US48238T1097</v>
          </cell>
          <cell r="E4720">
            <v>16.5783898008</v>
          </cell>
        </row>
        <row r="4721">
          <cell r="A4721" t="str">
            <v>FR0000124570</v>
          </cell>
          <cell r="E4721">
            <v>8.7550000000000008</v>
          </cell>
        </row>
        <row r="4722">
          <cell r="A4722" t="str">
            <v>JP3197700002</v>
          </cell>
          <cell r="E4722">
            <v>8.8753028</v>
          </cell>
        </row>
        <row r="4723">
          <cell r="A4723" t="str">
            <v>AU000000OPT2</v>
          </cell>
          <cell r="E4723">
            <v>0.33758122800000001</v>
          </cell>
        </row>
        <row r="4724">
          <cell r="A4724" t="str">
            <v>US68404L2016</v>
          </cell>
          <cell r="E4724">
            <v>28.478107293600001</v>
          </cell>
        </row>
        <row r="4725">
          <cell r="A4725" t="str">
            <v>JP3197760006</v>
          </cell>
          <cell r="E4725">
            <v>8.1702264800000002</v>
          </cell>
        </row>
        <row r="4726">
          <cell r="A4726" t="str">
            <v>AU0000050130</v>
          </cell>
          <cell r="E4726">
            <v>0.63296480249999998</v>
          </cell>
        </row>
        <row r="4727">
          <cell r="A4727" t="str">
            <v>US68389X1054</v>
          </cell>
          <cell r="E4727">
            <v>118.2379941384</v>
          </cell>
        </row>
        <row r="4728">
          <cell r="A4728" t="str">
            <v>JP3689500001</v>
          </cell>
          <cell r="E4728">
            <v>100.4115268</v>
          </cell>
        </row>
        <row r="4729">
          <cell r="A4729" t="str">
            <v>FR0000133308</v>
          </cell>
          <cell r="E4729">
            <v>12.39</v>
          </cell>
        </row>
        <row r="4730">
          <cell r="A4730" t="str">
            <v>BE0003735496</v>
          </cell>
          <cell r="E4730">
            <v>15.2</v>
          </cell>
        </row>
        <row r="4731">
          <cell r="A4731" t="str">
            <v>IL0002650179</v>
          </cell>
          <cell r="E4731">
            <v>8.3983347899999998</v>
          </cell>
        </row>
        <row r="4732">
          <cell r="A4732" t="str">
            <v>FR0013318052</v>
          </cell>
          <cell r="E4732">
            <v>0.65990000000000004</v>
          </cell>
        </row>
        <row r="4733">
          <cell r="A4733" t="str">
            <v>FR0010609206</v>
          </cell>
          <cell r="E4733">
            <v>0.33</v>
          </cell>
        </row>
        <row r="4734">
          <cell r="A4734" t="str">
            <v>US67103H1077</v>
          </cell>
          <cell r="E4734">
            <v>1234.0483734948</v>
          </cell>
        </row>
        <row r="4735">
          <cell r="A4735" t="str">
            <v>JP3201600008</v>
          </cell>
          <cell r="E4735">
            <v>37.789616799999997</v>
          </cell>
        </row>
        <row r="4736">
          <cell r="A4736" t="str">
            <v>US68622V1061</v>
          </cell>
          <cell r="E4736">
            <v>9.7545903780000014</v>
          </cell>
        </row>
        <row r="4737">
          <cell r="A4737" t="str">
            <v>AU000000ORI1</v>
          </cell>
          <cell r="E4737">
            <v>8.884012650199999</v>
          </cell>
        </row>
        <row r="4738">
          <cell r="A4738" t="str">
            <v>JP3199000005</v>
          </cell>
          <cell r="E4738">
            <v>4.484038</v>
          </cell>
        </row>
        <row r="4739">
          <cell r="A4739" t="str">
            <v>JP3198900007</v>
          </cell>
          <cell r="E4739">
            <v>19.12983384</v>
          </cell>
        </row>
        <row r="4740">
          <cell r="A4740" t="str">
            <v>JP3197950003</v>
          </cell>
          <cell r="E4740">
            <v>2.2636660800000001</v>
          </cell>
        </row>
        <row r="4741">
          <cell r="A4741" t="str">
            <v>US68621T1025</v>
          </cell>
          <cell r="E4741">
            <v>26.641949104799998</v>
          </cell>
        </row>
        <row r="4742">
          <cell r="A4742" t="str">
            <v>AU000000ORG5</v>
          </cell>
          <cell r="E4742">
            <v>5.6882436917999986</v>
          </cell>
        </row>
        <row r="4743">
          <cell r="A4743" t="str">
            <v>IE00B1WV4493</v>
          </cell>
          <cell r="E4743">
            <v>3.16</v>
          </cell>
        </row>
        <row r="4744">
          <cell r="A4744" t="str">
            <v>FI0009014377</v>
          </cell>
          <cell r="E4744">
            <v>49.92</v>
          </cell>
        </row>
        <row r="4745">
          <cell r="A4745" t="str">
            <v>JP3200450009</v>
          </cell>
          <cell r="E4745">
            <v>16.80431896</v>
          </cell>
        </row>
        <row r="4746">
          <cell r="A4746" t="str">
            <v>JP3040880001</v>
          </cell>
          <cell r="E4746">
            <v>1086.064928</v>
          </cell>
        </row>
        <row r="4747">
          <cell r="A4747" t="str">
            <v>NO0003733800</v>
          </cell>
          <cell r="E4747">
            <v>9.9624843649999999</v>
          </cell>
        </row>
        <row r="4748">
          <cell r="A4748" t="str">
            <v>CA68634K1066</v>
          </cell>
          <cell r="E4748">
            <v>9.9333545409999999</v>
          </cell>
        </row>
        <row r="4749">
          <cell r="A4749" t="str">
            <v>US6866881021</v>
          </cell>
          <cell r="E4749">
            <v>62.747175028800001</v>
          </cell>
        </row>
        <row r="4750">
          <cell r="A4750" t="str">
            <v>AU000000ORA8</v>
          </cell>
          <cell r="E4750">
            <v>0.97617238430000008</v>
          </cell>
        </row>
        <row r="4751">
          <cell r="A4751" t="str">
            <v>SE0000825820</v>
          </cell>
          <cell r="E4751">
            <v>0.39316238869999998</v>
          </cell>
        </row>
        <row r="4752">
          <cell r="A4752" t="str">
            <v>DK0060094928</v>
          </cell>
          <cell r="E4752">
            <v>38.177397300000003</v>
          </cell>
        </row>
        <row r="4753">
          <cell r="A4753" t="str">
            <v>AU000000OCC6</v>
          </cell>
          <cell r="E4753">
            <v>0.81582130100000005</v>
          </cell>
        </row>
        <row r="4754">
          <cell r="A4754" t="str">
            <v>IT0005424830</v>
          </cell>
          <cell r="E4754">
            <v>0.216</v>
          </cell>
        </row>
        <row r="4755">
          <cell r="A4755" t="str">
            <v>JP3180400008</v>
          </cell>
          <cell r="E4755">
            <v>20.6574992</v>
          </cell>
        </row>
        <row r="4756">
          <cell r="A4756" t="str">
            <v>JP3187000009</v>
          </cell>
          <cell r="E4756">
            <v>14.28088792</v>
          </cell>
        </row>
        <row r="4757">
          <cell r="A4757" t="str">
            <v>JP3485900009</v>
          </cell>
          <cell r="E4757">
            <v>9.4257571200000001</v>
          </cell>
        </row>
        <row r="4758">
          <cell r="A4758" t="str">
            <v>JP3407200009</v>
          </cell>
          <cell r="E4758">
            <v>10.062799760000001</v>
          </cell>
        </row>
        <row r="4759">
          <cell r="A4759" t="str">
            <v>JP3187600006</v>
          </cell>
          <cell r="E4759">
            <v>4.7376180799999998</v>
          </cell>
        </row>
        <row r="4760">
          <cell r="A4760" t="str">
            <v>GB00BLDRH360</v>
          </cell>
          <cell r="E4760">
            <v>5.0347861939999996</v>
          </cell>
        </row>
        <row r="4761">
          <cell r="A4761" t="str">
            <v>US6877931096</v>
          </cell>
          <cell r="E4761">
            <v>10.990466081999999</v>
          </cell>
        </row>
        <row r="4762">
          <cell r="A4762" t="str">
            <v>FR0012127173</v>
          </cell>
          <cell r="E4762">
            <v>5.75</v>
          </cell>
        </row>
        <row r="4763">
          <cell r="A4763" t="str">
            <v>JP3170800001</v>
          </cell>
          <cell r="E4763">
            <v>9.892715560000001</v>
          </cell>
        </row>
        <row r="4764">
          <cell r="A4764" t="str">
            <v>US6882392011</v>
          </cell>
          <cell r="E4764">
            <v>75.1765535376</v>
          </cell>
        </row>
        <row r="4765">
          <cell r="A4765" t="str">
            <v>US6710441055</v>
          </cell>
          <cell r="E4765">
            <v>170.46257031600001</v>
          </cell>
        </row>
        <row r="4766">
          <cell r="A4766" t="str">
            <v>CA68827L1013</v>
          </cell>
          <cell r="E4766">
            <v>20.6156776672</v>
          </cell>
        </row>
        <row r="4767">
          <cell r="A4767" t="str">
            <v>FR001400IUV6</v>
          </cell>
          <cell r="E4767">
            <v>0.9</v>
          </cell>
        </row>
        <row r="4768">
          <cell r="A4768" t="str">
            <v>AT0000APOST4</v>
          </cell>
          <cell r="E4768">
            <v>31.8</v>
          </cell>
        </row>
        <row r="4769">
          <cell r="A4769" t="str">
            <v>GRS260333000</v>
          </cell>
          <cell r="E4769">
            <v>15.79</v>
          </cell>
        </row>
        <row r="4770">
          <cell r="A4770" t="str">
            <v>NO0010040611</v>
          </cell>
          <cell r="E4770">
            <v>0.75197999139999994</v>
          </cell>
        </row>
        <row r="4771">
          <cell r="A4771" t="str">
            <v>US68902V1070</v>
          </cell>
          <cell r="E4771">
            <v>87.208686284400002</v>
          </cell>
        </row>
        <row r="4772">
          <cell r="A4772" t="str">
            <v>NO0010809783</v>
          </cell>
          <cell r="E4772">
            <v>0.13255523129999999</v>
          </cell>
        </row>
        <row r="4773">
          <cell r="A4773" t="str">
            <v>JP3188200004</v>
          </cell>
          <cell r="E4773">
            <v>18.740186399999999</v>
          </cell>
        </row>
        <row r="4774">
          <cell r="A4774" t="str">
            <v>JP3188220002</v>
          </cell>
          <cell r="E4774">
            <v>42.224175760000001</v>
          </cell>
        </row>
        <row r="4775">
          <cell r="A4775" t="str">
            <v>US6896481032</v>
          </cell>
          <cell r="E4775">
            <v>70.436087444400002</v>
          </cell>
        </row>
        <row r="4776">
          <cell r="A4776" t="str">
            <v>SG2G60000004</v>
          </cell>
          <cell r="E4776">
            <v>0.18112903829999999</v>
          </cell>
        </row>
        <row r="4777">
          <cell r="A4777" t="str">
            <v>US69007J3041</v>
          </cell>
          <cell r="E4777">
            <v>12.6059321808</v>
          </cell>
        </row>
        <row r="4778">
          <cell r="A4778" t="str">
            <v>FI0009002422</v>
          </cell>
          <cell r="E4778">
            <v>3.1680000000000001</v>
          </cell>
        </row>
        <row r="4779">
          <cell r="A4779" t="str">
            <v>FR0014005HJ9</v>
          </cell>
          <cell r="E4779">
            <v>11.06</v>
          </cell>
        </row>
        <row r="4780">
          <cell r="A4780" t="str">
            <v>US69047Q1022</v>
          </cell>
          <cell r="E4780">
            <v>28.425141192000009</v>
          </cell>
        </row>
        <row r="4781">
          <cell r="A4781" t="str">
            <v>IE00B4XVDC01</v>
          </cell>
          <cell r="E4781">
            <v>1.95E-2</v>
          </cell>
        </row>
        <row r="4782">
          <cell r="A4782" t="str">
            <v>IT0005043507</v>
          </cell>
          <cell r="E4782">
            <v>3.1539999999999999</v>
          </cell>
        </row>
        <row r="4783">
          <cell r="A4783" t="str">
            <v>SE0010948711</v>
          </cell>
          <cell r="E4783">
            <v>2.5146198544999998</v>
          </cell>
        </row>
        <row r="4784">
          <cell r="A4784" t="str">
            <v>US6907421019</v>
          </cell>
          <cell r="E4784">
            <v>122.0074150356</v>
          </cell>
        </row>
        <row r="4785">
          <cell r="A4785" t="str">
            <v>US6914973093</v>
          </cell>
          <cell r="E4785">
            <v>40.298375634000003</v>
          </cell>
        </row>
        <row r="4786">
          <cell r="A4786" t="str">
            <v>GB0006650450</v>
          </cell>
          <cell r="E4786">
            <v>19.035373719999999</v>
          </cell>
        </row>
        <row r="4787">
          <cell r="A4787" t="str">
            <v>GB00BP6S8Z30</v>
          </cell>
          <cell r="E4787">
            <v>1.460392001</v>
          </cell>
        </row>
        <row r="4788">
          <cell r="A4788" t="str">
            <v>BE0974487192</v>
          </cell>
          <cell r="E4788">
            <v>9.5000000000000001E-2</v>
          </cell>
        </row>
        <row r="4789">
          <cell r="A4789" t="str">
            <v>IL0011708778</v>
          </cell>
          <cell r="E4789">
            <v>20.14976295</v>
          </cell>
        </row>
        <row r="4790">
          <cell r="A4790" t="str">
            <v>JP3174600001</v>
          </cell>
          <cell r="E4790">
            <v>16.031208960000001</v>
          </cell>
        </row>
        <row r="4791">
          <cell r="A4791" t="str">
            <v>US6937181088</v>
          </cell>
          <cell r="E4791">
            <v>78.407485735199998</v>
          </cell>
        </row>
        <row r="4792">
          <cell r="A4792" t="str">
            <v>BMG684371393</v>
          </cell>
          <cell r="E4792">
            <v>0.1968952098</v>
          </cell>
        </row>
        <row r="4793">
          <cell r="A4793" t="str">
            <v>AU000000PAC7</v>
          </cell>
          <cell r="E4793">
            <v>6.2002418875999998</v>
          </cell>
        </row>
        <row r="4794">
          <cell r="A4794" t="str">
            <v>JP3448400006</v>
          </cell>
          <cell r="E4794">
            <v>7.3971164800000002</v>
          </cell>
        </row>
        <row r="4795">
          <cell r="A4795" t="str">
            <v>US69478X1054</v>
          </cell>
          <cell r="E4795">
            <v>16.852047992399999</v>
          </cell>
        </row>
        <row r="4796">
          <cell r="A4796" t="str">
            <v>US6951271005</v>
          </cell>
          <cell r="E4796">
            <v>21.963276796799999</v>
          </cell>
        </row>
        <row r="4797">
          <cell r="A4797" t="str">
            <v>JP3345900009</v>
          </cell>
          <cell r="E4797">
            <v>19.451447600000002</v>
          </cell>
        </row>
        <row r="4798">
          <cell r="A4798" t="str">
            <v>US6951561090</v>
          </cell>
          <cell r="E4798">
            <v>166.58721721559999</v>
          </cell>
        </row>
        <row r="4799">
          <cell r="A4799" t="str">
            <v>GB0030232317</v>
          </cell>
          <cell r="E4799">
            <v>2.93481499</v>
          </cell>
        </row>
        <row r="4800">
          <cell r="A4800" t="str">
            <v>US69553P1003</v>
          </cell>
          <cell r="E4800">
            <v>13.647598845599999</v>
          </cell>
        </row>
        <row r="4801">
          <cell r="A4801" t="str">
            <v>KYG687071012</v>
          </cell>
          <cell r="E4801">
            <v>7.5211864272</v>
          </cell>
        </row>
        <row r="4802">
          <cell r="A4802" t="str">
            <v>JP3781650001</v>
          </cell>
          <cell r="E4802">
            <v>24.584897999999999</v>
          </cell>
        </row>
        <row r="4803">
          <cell r="A4803" t="str">
            <v>AU000000PDN8</v>
          </cell>
          <cell r="E4803">
            <v>2.5768700403999998</v>
          </cell>
        </row>
        <row r="4804">
          <cell r="A4804" t="str">
            <v>US69608A1088</v>
          </cell>
          <cell r="E4804">
            <v>86.864406624000011</v>
          </cell>
        </row>
        <row r="4805">
          <cell r="A4805" t="str">
            <v>IT0005575730</v>
          </cell>
          <cell r="E4805">
            <v>5.48</v>
          </cell>
        </row>
        <row r="4806">
          <cell r="A4806" t="str">
            <v>US6974351057</v>
          </cell>
          <cell r="E4806">
            <v>153.20444887799999</v>
          </cell>
        </row>
        <row r="4807">
          <cell r="A4807" t="str">
            <v>US69753M1053</v>
          </cell>
          <cell r="E4807">
            <v>136.24646868240001</v>
          </cell>
        </row>
        <row r="4808">
          <cell r="A4808" t="str">
            <v>IL0006440130</v>
          </cell>
          <cell r="E4808">
            <v>18.320802929999999</v>
          </cell>
        </row>
        <row r="4809">
          <cell r="A4809" t="str">
            <v>JP3782200004</v>
          </cell>
          <cell r="E4809">
            <v>23.675720640000002</v>
          </cell>
        </row>
        <row r="4810">
          <cell r="A4810" t="str">
            <v>GB0004300496</v>
          </cell>
          <cell r="E4810">
            <v>0.55948564649999999</v>
          </cell>
        </row>
        <row r="4811">
          <cell r="A4811" t="str">
            <v>CA6979001089</v>
          </cell>
          <cell r="E4811">
            <v>24.240819165600001</v>
          </cell>
        </row>
        <row r="4812">
          <cell r="A4812" t="str">
            <v>JP3639650005</v>
          </cell>
          <cell r="E4812">
            <v>26.947522159999998</v>
          </cell>
        </row>
        <row r="4813">
          <cell r="A4813" t="str">
            <v>JP3866800000</v>
          </cell>
          <cell r="E4813">
            <v>9.4010176000000012</v>
          </cell>
        </row>
        <row r="4814">
          <cell r="A4814" t="str">
            <v>DK0060252690</v>
          </cell>
          <cell r="E4814">
            <v>127.900978744</v>
          </cell>
        </row>
        <row r="4815">
          <cell r="A4815" t="str">
            <v>SE0007100359</v>
          </cell>
          <cell r="E4815">
            <v>14.520917514000001</v>
          </cell>
        </row>
        <row r="4816">
          <cell r="A4816" t="str">
            <v>NO0010564701</v>
          </cell>
          <cell r="E4816">
            <v>1.8716131715</v>
          </cell>
        </row>
        <row r="4817">
          <cell r="A4817" t="str">
            <v>GB00B125SX82</v>
          </cell>
          <cell r="E4817">
            <v>0.38935991699999989</v>
          </cell>
        </row>
        <row r="4818">
          <cell r="A4818" t="str">
            <v>AU000000PNR8</v>
          </cell>
          <cell r="E4818">
            <v>1.5303682336</v>
          </cell>
        </row>
        <row r="4819">
          <cell r="A4819" t="str">
            <v>US6988131024</v>
          </cell>
          <cell r="E4819">
            <v>26.880296562000002</v>
          </cell>
        </row>
        <row r="4820">
          <cell r="A4820" t="str">
            <v>US6988841036</v>
          </cell>
          <cell r="E4820">
            <v>49.682203300799998</v>
          </cell>
        </row>
        <row r="4821">
          <cell r="A4821" t="str">
            <v>SE0008294953</v>
          </cell>
          <cell r="E4821">
            <v>15.897435717</v>
          </cell>
        </row>
        <row r="4822">
          <cell r="A4822" t="str">
            <v>GB00B2NGPM57</v>
          </cell>
          <cell r="E4822">
            <v>9.0324485249999995</v>
          </cell>
        </row>
        <row r="4823">
          <cell r="A4823" t="str">
            <v>AU000000PGC4</v>
          </cell>
          <cell r="E4823">
            <v>0.22224097509999999</v>
          </cell>
        </row>
        <row r="4824">
          <cell r="A4824" t="str">
            <v>SG2G02994595</v>
          </cell>
          <cell r="E4824">
            <v>0.65072284130000002</v>
          </cell>
        </row>
        <row r="4825">
          <cell r="A4825" t="str">
            <v>JP3781620004</v>
          </cell>
          <cell r="E4825">
            <v>14.23140888</v>
          </cell>
        </row>
        <row r="4826">
          <cell r="A4826" t="str">
            <v>US92556H2067</v>
          </cell>
          <cell r="E4826">
            <v>9.5868643896000005</v>
          </cell>
        </row>
        <row r="4827">
          <cell r="A4827" t="str">
            <v>CA6993202069</v>
          </cell>
          <cell r="E4827">
            <v>10.168200622800001</v>
          </cell>
        </row>
        <row r="4828">
          <cell r="A4828" t="str">
            <v>BMG6904D1083</v>
          </cell>
          <cell r="E4828">
            <v>3.0362651093999999</v>
          </cell>
        </row>
        <row r="4829">
          <cell r="A4829" t="str">
            <v>FR0010263202</v>
          </cell>
          <cell r="E4829">
            <v>38.5</v>
          </cell>
        </row>
        <row r="4830">
          <cell r="A4830" t="str">
            <v>NO0010397581</v>
          </cell>
          <cell r="E4830">
            <v>6.1275531450000003</v>
          </cell>
        </row>
        <row r="4831">
          <cell r="A4831" t="str">
            <v>CA69946Q1046</v>
          </cell>
          <cell r="E4831">
            <v>7.0009521142000004</v>
          </cell>
        </row>
        <row r="4832">
          <cell r="A4832" t="str">
            <v>US7005171050</v>
          </cell>
          <cell r="E4832">
            <v>8.5716807756000009</v>
          </cell>
        </row>
        <row r="4833">
          <cell r="A4833" t="str">
            <v>US7006581075</v>
          </cell>
          <cell r="E4833">
            <v>127.75423705919999</v>
          </cell>
        </row>
        <row r="4834">
          <cell r="A4834" t="str">
            <v>JP3780100008</v>
          </cell>
          <cell r="E4834">
            <v>11.70797784</v>
          </cell>
        </row>
        <row r="4835">
          <cell r="A4835" t="str">
            <v>US7010941042</v>
          </cell>
          <cell r="E4835">
            <v>501.63312057000002</v>
          </cell>
        </row>
        <row r="4836">
          <cell r="A4836" t="str">
            <v>CA70137W1086</v>
          </cell>
          <cell r="E4836">
            <v>20.755315878000001</v>
          </cell>
        </row>
        <row r="4837">
          <cell r="A4837" t="str">
            <v>SG1V52937132</v>
          </cell>
          <cell r="E4837">
            <v>2.7840204035</v>
          </cell>
        </row>
        <row r="4838">
          <cell r="A4838" t="str">
            <v>FR0004038263</v>
          </cell>
          <cell r="E4838">
            <v>7.4</v>
          </cell>
        </row>
        <row r="4839">
          <cell r="A4839" t="str">
            <v>US70202L1026</v>
          </cell>
          <cell r="E4839">
            <v>56.567796508800001</v>
          </cell>
        </row>
        <row r="4840">
          <cell r="A4840" t="str">
            <v>IL0010834849</v>
          </cell>
          <cell r="E4840">
            <v>6.2717487299999997</v>
          </cell>
        </row>
        <row r="4841">
          <cell r="A4841" t="str">
            <v>CH0024608827</v>
          </cell>
          <cell r="E4841">
            <v>1171.0398465000001</v>
          </cell>
        </row>
        <row r="4842">
          <cell r="A4842" t="str">
            <v>CA7029251088</v>
          </cell>
          <cell r="E4842">
            <v>7.0199936883999996</v>
          </cell>
        </row>
        <row r="4843">
          <cell r="A4843" t="str">
            <v>JP3781490002</v>
          </cell>
          <cell r="E4843">
            <v>13.3284164</v>
          </cell>
        </row>
        <row r="4844">
          <cell r="A4844" t="str">
            <v>IT0005546319</v>
          </cell>
          <cell r="E4844">
            <v>0.73</v>
          </cell>
        </row>
        <row r="4845">
          <cell r="A4845" t="str">
            <v>FR0000038465</v>
          </cell>
          <cell r="E4845">
            <v>4.5999999999999996</v>
          </cell>
        </row>
        <row r="4846">
          <cell r="A4846" t="str">
            <v>US59100U1088</v>
          </cell>
          <cell r="E4846">
            <v>62.076271075199998</v>
          </cell>
        </row>
        <row r="4847">
          <cell r="A4847" t="str">
            <v>US7033431039</v>
          </cell>
          <cell r="E4847">
            <v>70.338982924800007</v>
          </cell>
        </row>
        <row r="4848">
          <cell r="A4848" t="str">
            <v>FR0011027135</v>
          </cell>
          <cell r="E4848">
            <v>22.91</v>
          </cell>
        </row>
        <row r="4849">
          <cell r="A4849" t="str">
            <v>IT0005378143</v>
          </cell>
          <cell r="E4849">
            <v>5.24</v>
          </cell>
        </row>
        <row r="4850">
          <cell r="A4850" t="str">
            <v>US7033951036</v>
          </cell>
          <cell r="E4850">
            <v>27.6483050352</v>
          </cell>
        </row>
        <row r="4851">
          <cell r="A4851" t="str">
            <v>US7034811015</v>
          </cell>
          <cell r="E4851">
            <v>5.1112288043999996</v>
          </cell>
        </row>
        <row r="4852">
          <cell r="A4852" t="str">
            <v>FR0013479730</v>
          </cell>
          <cell r="E4852">
            <v>0.878</v>
          </cell>
        </row>
        <row r="4853">
          <cell r="A4853" t="str">
            <v>BMG6955J1036</v>
          </cell>
          <cell r="E4853">
            <v>0.50191206659999998</v>
          </cell>
        </row>
        <row r="4854">
          <cell r="A4854" t="str">
            <v>US7043261079</v>
          </cell>
          <cell r="E4854">
            <v>130.31426530319999</v>
          </cell>
        </row>
        <row r="4855">
          <cell r="A4855" t="str">
            <v>US70432V1026</v>
          </cell>
          <cell r="E4855">
            <v>193.58227366439999</v>
          </cell>
        </row>
        <row r="4856">
          <cell r="A4856" t="str">
            <v>US70435P1021</v>
          </cell>
          <cell r="E4856">
            <v>19.818149682000001</v>
          </cell>
        </row>
        <row r="4857">
          <cell r="A4857" t="str">
            <v>US70438V1061</v>
          </cell>
          <cell r="E4857">
            <v>164.85699123000001</v>
          </cell>
        </row>
        <row r="4858">
          <cell r="A4858" t="str">
            <v>US70451X1046</v>
          </cell>
          <cell r="E4858">
            <v>5.6762005548000003</v>
          </cell>
        </row>
        <row r="4859">
          <cell r="A4859" t="str">
            <v>US70450Y1038</v>
          </cell>
          <cell r="E4859">
            <v>54.731638320000002</v>
          </cell>
        </row>
        <row r="4860">
          <cell r="A4860" t="str">
            <v>GB00B02QND93</v>
          </cell>
          <cell r="E4860">
            <v>7.4948860899999996</v>
          </cell>
        </row>
        <row r="4861">
          <cell r="A4861" t="str">
            <v>IL0010830391</v>
          </cell>
          <cell r="E4861">
            <v>6.6</v>
          </cell>
        </row>
        <row r="4862">
          <cell r="A4862" t="str">
            <v>IL0011000077</v>
          </cell>
          <cell r="E4862">
            <v>121.4746281</v>
          </cell>
        </row>
        <row r="4863">
          <cell r="A4863" t="str">
            <v>NL0000336303</v>
          </cell>
          <cell r="E4863">
            <v>3</v>
          </cell>
        </row>
        <row r="4864">
          <cell r="A4864" t="str">
            <v>US69318G1067</v>
          </cell>
          <cell r="E4864">
            <v>12.7383474348</v>
          </cell>
        </row>
        <row r="4865">
          <cell r="A4865" t="str">
            <v>KYG6956A1013</v>
          </cell>
          <cell r="E4865">
            <v>0.79327145219999995</v>
          </cell>
        </row>
        <row r="4866">
          <cell r="A4866" t="str">
            <v>HK0008011667</v>
          </cell>
          <cell r="E4866">
            <v>0.55312758360000003</v>
          </cell>
        </row>
        <row r="4867">
          <cell r="A4867" t="str">
            <v>NO0010405640</v>
          </cell>
          <cell r="E4867">
            <v>0.10629428925000001</v>
          </cell>
        </row>
        <row r="4868">
          <cell r="A4868" t="str">
            <v>SE0000106205</v>
          </cell>
          <cell r="E4868">
            <v>6.585694932</v>
          </cell>
        </row>
        <row r="4869">
          <cell r="A4869" t="str">
            <v>US7045511000</v>
          </cell>
          <cell r="E4869">
            <v>10.9198446132</v>
          </cell>
        </row>
        <row r="4870">
          <cell r="A4870" t="str">
            <v>GB0006776081</v>
          </cell>
          <cell r="E4870">
            <v>13.77375322</v>
          </cell>
        </row>
        <row r="4871">
          <cell r="A4871" t="str">
            <v>US70509V1008</v>
          </cell>
          <cell r="E4871">
            <v>7.4770480092000007</v>
          </cell>
        </row>
        <row r="4872">
          <cell r="A4872" t="str">
            <v>US58502B1061</v>
          </cell>
          <cell r="E4872">
            <v>11.776129922399999</v>
          </cell>
        </row>
        <row r="4873">
          <cell r="A4873" t="str">
            <v>AU000000PPC5</v>
          </cell>
          <cell r="E4873">
            <v>0.80175541650000004</v>
          </cell>
        </row>
        <row r="4874">
          <cell r="A4874" t="str">
            <v>US7055731035</v>
          </cell>
          <cell r="E4874">
            <v>61.4936439576</v>
          </cell>
        </row>
        <row r="4875">
          <cell r="A4875" t="str">
            <v>US70614W1009</v>
          </cell>
          <cell r="E4875">
            <v>5.0582627027999996</v>
          </cell>
        </row>
        <row r="4876">
          <cell r="A4876" t="str">
            <v>CA7063271034</v>
          </cell>
          <cell r="E4876">
            <v>32.814979538000003</v>
          </cell>
        </row>
        <row r="4877">
          <cell r="A4877" t="str">
            <v>KYG8232Y1017</v>
          </cell>
          <cell r="E4877">
            <v>15.0688559052</v>
          </cell>
        </row>
        <row r="4878">
          <cell r="A4878" t="str">
            <v>US7075691094</v>
          </cell>
          <cell r="E4878">
            <v>12.5971044972</v>
          </cell>
        </row>
        <row r="4879">
          <cell r="A4879" t="str">
            <v>GB00BNNTLN49</v>
          </cell>
          <cell r="E4879">
            <v>5.6451341719999997</v>
          </cell>
        </row>
        <row r="4880">
          <cell r="A4880" t="str">
            <v>US70932M1071</v>
          </cell>
          <cell r="E4880">
            <v>85.143008322</v>
          </cell>
        </row>
        <row r="4881">
          <cell r="A4881" t="str">
            <v>US70931T1034</v>
          </cell>
          <cell r="E4881">
            <v>11.25529659</v>
          </cell>
        </row>
        <row r="4882">
          <cell r="A4882" t="str">
            <v>US70959W1036</v>
          </cell>
          <cell r="E4882">
            <v>133.03319185199999</v>
          </cell>
        </row>
        <row r="4883">
          <cell r="A4883" t="str">
            <v>IE00BLS09M33</v>
          </cell>
          <cell r="E4883">
            <v>72.660663711600009</v>
          </cell>
        </row>
        <row r="4884">
          <cell r="A4884" t="str">
            <v>JP3309000002</v>
          </cell>
          <cell r="E4884">
            <v>4.5118699600000003</v>
          </cell>
        </row>
        <row r="4885">
          <cell r="A4885" t="str">
            <v>US70975L1070</v>
          </cell>
          <cell r="E4885">
            <v>240.34251369360001</v>
          </cell>
        </row>
        <row r="4886">
          <cell r="A4886" t="str">
            <v>US7097891011</v>
          </cell>
          <cell r="E4886">
            <v>24.284957583600001</v>
          </cell>
        </row>
        <row r="4887">
          <cell r="A4887" t="str">
            <v>US7134481081</v>
          </cell>
          <cell r="E4887">
            <v>126.09463254240001</v>
          </cell>
        </row>
        <row r="4888">
          <cell r="A4888" t="str">
            <v>JP3836750004</v>
          </cell>
          <cell r="E4888">
            <v>11.64612904</v>
          </cell>
        </row>
        <row r="4889">
          <cell r="A4889" t="str">
            <v>DK0060700516</v>
          </cell>
          <cell r="E4889">
            <v>66.910912109999998</v>
          </cell>
        </row>
        <row r="4890">
          <cell r="A4890" t="str">
            <v>US71363P1066</v>
          </cell>
          <cell r="E4890">
            <v>22.890183574800002</v>
          </cell>
        </row>
        <row r="4891">
          <cell r="A4891" t="str">
            <v>US71367G1022</v>
          </cell>
          <cell r="E4891">
            <v>14.1507768108</v>
          </cell>
        </row>
        <row r="4892">
          <cell r="A4892" t="str">
            <v>AU0000061897</v>
          </cell>
          <cell r="E4892">
            <v>0.7257996402000001</v>
          </cell>
        </row>
        <row r="4893">
          <cell r="A4893" t="str">
            <v>US71377A1034</v>
          </cell>
          <cell r="E4893">
            <v>66.905014004400002</v>
          </cell>
        </row>
        <row r="4894">
          <cell r="A4894" t="str">
            <v>US71385M1071</v>
          </cell>
          <cell r="E4894">
            <v>8.7570621311999997</v>
          </cell>
        </row>
        <row r="4895">
          <cell r="A4895" t="str">
            <v>IE00BWB8X525</v>
          </cell>
          <cell r="E4895">
            <v>1.52</v>
          </cell>
        </row>
        <row r="4896">
          <cell r="A4896" t="str">
            <v>US71424F1057</v>
          </cell>
          <cell r="E4896">
            <v>9.7281073272</v>
          </cell>
        </row>
        <row r="4897">
          <cell r="A4897" t="str">
            <v>FR0000120693</v>
          </cell>
          <cell r="E4897">
            <v>91.32</v>
          </cell>
        </row>
        <row r="4898">
          <cell r="A4898" t="str">
            <v>AU000000PPT9</v>
          </cell>
          <cell r="E4898">
            <v>9.6717021822000007</v>
          </cell>
        </row>
        <row r="4899">
          <cell r="A4899" t="str">
            <v>FR0000061459</v>
          </cell>
          <cell r="E4899">
            <v>76.599999999999994</v>
          </cell>
        </row>
        <row r="4900">
          <cell r="A4900" t="str">
            <v>IE00BGH1M568</v>
          </cell>
          <cell r="E4900">
            <v>22.1221751016</v>
          </cell>
        </row>
        <row r="4901">
          <cell r="A4901" t="str">
            <v>AU000000PRU3</v>
          </cell>
          <cell r="E4901">
            <v>1.941092061</v>
          </cell>
        </row>
        <row r="4902">
          <cell r="A4902" t="str">
            <v>GB0006825383</v>
          </cell>
          <cell r="E4902">
            <v>13.75036824</v>
          </cell>
        </row>
        <row r="4903">
          <cell r="A4903" t="str">
            <v>JP3547670004</v>
          </cell>
          <cell r="E4903">
            <v>1.4862266639999999</v>
          </cell>
        </row>
        <row r="4904">
          <cell r="A4904" t="str">
            <v>CA71584R1055</v>
          </cell>
          <cell r="E4904">
            <v>16.4328785346</v>
          </cell>
        </row>
        <row r="4905">
          <cell r="A4905" t="str">
            <v>GB00BL9ZF303</v>
          </cell>
          <cell r="E4905">
            <v>2.4554228999999999</v>
          </cell>
        </row>
        <row r="4906">
          <cell r="A4906" t="str">
            <v>GB00B0H2K534</v>
          </cell>
          <cell r="E4906">
            <v>7.0154939999999999E-2</v>
          </cell>
        </row>
        <row r="4907">
          <cell r="A4907" t="str">
            <v>CY0102630916</v>
          </cell>
          <cell r="E4907">
            <v>0.31667361389499998</v>
          </cell>
        </row>
        <row r="4908">
          <cell r="A4908" t="str">
            <v>NO0012942525</v>
          </cell>
          <cell r="E4908">
            <v>0.87036265079999997</v>
          </cell>
        </row>
        <row r="4909">
          <cell r="A4909" t="str">
            <v>GB00BJ62K685</v>
          </cell>
          <cell r="E4909">
            <v>2.733704162</v>
          </cell>
        </row>
        <row r="4910">
          <cell r="A4910" t="str">
            <v>FR0000064784</v>
          </cell>
          <cell r="E4910">
            <v>67.8</v>
          </cell>
        </row>
        <row r="4911">
          <cell r="A4911" t="str">
            <v>AU0000158594</v>
          </cell>
          <cell r="E4911">
            <v>6.3971642705999994</v>
          </cell>
        </row>
        <row r="4912">
          <cell r="A4912" t="str">
            <v>NO0010840507</v>
          </cell>
          <cell r="E4912">
            <v>3.2930387649999999</v>
          </cell>
        </row>
        <row r="4913">
          <cell r="A4913" t="str">
            <v>CA7170461064</v>
          </cell>
          <cell r="E4913">
            <v>10.752142231600001</v>
          </cell>
        </row>
        <row r="4914">
          <cell r="A4914" t="str">
            <v>US7170811035</v>
          </cell>
          <cell r="E4914">
            <v>19.809321998400002</v>
          </cell>
        </row>
        <row r="4915">
          <cell r="A4915" t="str">
            <v>US69331C1080</v>
          </cell>
          <cell r="E4915">
            <v>15.1483050576</v>
          </cell>
        </row>
        <row r="4916">
          <cell r="A4916" t="str">
            <v>ES0169501022</v>
          </cell>
          <cell r="E4916">
            <v>76.349999999999994</v>
          </cell>
        </row>
        <row r="4917">
          <cell r="A4917" t="str">
            <v>NL0010391025</v>
          </cell>
          <cell r="E4917">
            <v>0.72099999999999997</v>
          </cell>
        </row>
        <row r="4918">
          <cell r="A4918" t="str">
            <v>PTPTC0AM0009</v>
          </cell>
          <cell r="E4918">
            <v>0.05</v>
          </cell>
        </row>
        <row r="4919">
          <cell r="A4919" t="str">
            <v>FR001400K4B1</v>
          </cell>
          <cell r="E4919">
            <v>0.69</v>
          </cell>
        </row>
        <row r="4920">
          <cell r="A4920" t="str">
            <v>JP3801300009</v>
          </cell>
          <cell r="E4920">
            <v>5.7952325600000014</v>
          </cell>
        </row>
        <row r="4921">
          <cell r="A4921" t="str">
            <v>US7181721090</v>
          </cell>
          <cell r="E4921">
            <v>141.32238675240001</v>
          </cell>
        </row>
        <row r="4922">
          <cell r="A4922" t="str">
            <v>NL0000009538</v>
          </cell>
          <cell r="E4922">
            <v>21.25</v>
          </cell>
        </row>
        <row r="4923">
          <cell r="A4923" t="str">
            <v>US7185461040</v>
          </cell>
          <cell r="E4923">
            <v>84.931143915600003</v>
          </cell>
        </row>
        <row r="4924">
          <cell r="A4924" t="str">
            <v>US71844V2016</v>
          </cell>
          <cell r="E4924">
            <v>31.214689209599999</v>
          </cell>
        </row>
        <row r="4925">
          <cell r="A4925" t="str">
            <v>NO0010395577</v>
          </cell>
          <cell r="E4925">
            <v>0.90037515600000007</v>
          </cell>
        </row>
        <row r="4926">
          <cell r="A4926" t="str">
            <v>IT0005373789</v>
          </cell>
          <cell r="E4926">
            <v>20.7</v>
          </cell>
        </row>
        <row r="4927">
          <cell r="A4927" t="str">
            <v>US71880K1016</v>
          </cell>
          <cell r="E4927">
            <v>34.834039485600002</v>
          </cell>
        </row>
        <row r="4928">
          <cell r="A4928" t="str">
            <v>GB00BGXQNP29</v>
          </cell>
          <cell r="E4928">
            <v>6.6881042800000001</v>
          </cell>
        </row>
        <row r="4929">
          <cell r="A4929" t="str">
            <v>IL0007670123</v>
          </cell>
          <cell r="E4929">
            <v>16.758266219999999</v>
          </cell>
        </row>
        <row r="4930">
          <cell r="A4930" t="str">
            <v>NO0010000045</v>
          </cell>
          <cell r="E4930">
            <v>4.535223008</v>
          </cell>
        </row>
        <row r="4931">
          <cell r="A4931" t="str">
            <v>US7194051022</v>
          </cell>
          <cell r="E4931">
            <v>15.881002796400001</v>
          </cell>
        </row>
        <row r="4932">
          <cell r="A4932" t="str">
            <v>US71944F1066</v>
          </cell>
          <cell r="E4932">
            <v>21.151129905600001</v>
          </cell>
        </row>
        <row r="4933">
          <cell r="A4933" t="str">
            <v>IT0003073266</v>
          </cell>
          <cell r="E4933">
            <v>1.827</v>
          </cell>
        </row>
        <row r="4934">
          <cell r="A4934" t="str">
            <v>GB00B0LCW208</v>
          </cell>
          <cell r="E4934">
            <v>0.83016679000000004</v>
          </cell>
        </row>
        <row r="4935">
          <cell r="A4935" t="str">
            <v>FR0000073041</v>
          </cell>
          <cell r="E4935">
            <v>1.36</v>
          </cell>
        </row>
        <row r="4936">
          <cell r="A4936" t="str">
            <v>JP3801600002</v>
          </cell>
          <cell r="E4936">
            <v>10.860649280000001</v>
          </cell>
        </row>
        <row r="4937">
          <cell r="A4937" t="str">
            <v>AU000000PLS0</v>
          </cell>
          <cell r="E4937">
            <v>0.79050270890000007</v>
          </cell>
        </row>
        <row r="4938">
          <cell r="A4938" t="str">
            <v>US72147K1088</v>
          </cell>
          <cell r="E4938">
            <v>47.042725904400001</v>
          </cell>
        </row>
        <row r="4939">
          <cell r="A4939" t="str">
            <v>JP3780610006</v>
          </cell>
          <cell r="E4939">
            <v>24.121032</v>
          </cell>
        </row>
        <row r="4940">
          <cell r="A4940" t="str">
            <v>US72346Q1040</v>
          </cell>
          <cell r="E4940">
            <v>83.298022449599998</v>
          </cell>
        </row>
        <row r="4941">
          <cell r="A4941" t="str">
            <v>AU000000PNI7</v>
          </cell>
          <cell r="E4941">
            <v>9.0077924338000006</v>
          </cell>
        </row>
        <row r="4942">
          <cell r="A4942" t="str">
            <v>US7234841010</v>
          </cell>
          <cell r="E4942">
            <v>83.218573297199995</v>
          </cell>
        </row>
        <row r="4943">
          <cell r="A4943" t="str">
            <v>US72352L1061</v>
          </cell>
          <cell r="E4943">
            <v>22.943149676400001</v>
          </cell>
        </row>
        <row r="4944">
          <cell r="A4944" t="str">
            <v>JP3780400002</v>
          </cell>
          <cell r="E4944">
            <v>12.815071359999999</v>
          </cell>
        </row>
        <row r="4945">
          <cell r="A4945" t="str">
            <v>NO0010735681</v>
          </cell>
          <cell r="E4945">
            <v>7.9699874919999996</v>
          </cell>
        </row>
        <row r="4946">
          <cell r="A4946" t="str">
            <v>US7240781002</v>
          </cell>
          <cell r="E4946">
            <v>198.1550137692</v>
          </cell>
        </row>
        <row r="4947">
          <cell r="A4947" t="str">
            <v>IT0005278236</v>
          </cell>
          <cell r="E4947">
            <v>5.0579999999999998</v>
          </cell>
        </row>
        <row r="4948">
          <cell r="A4948" t="str">
            <v>FR0000061608</v>
          </cell>
          <cell r="E4948">
            <v>13.15</v>
          </cell>
        </row>
        <row r="4949">
          <cell r="A4949" t="str">
            <v>US7244791007</v>
          </cell>
          <cell r="E4949">
            <v>7.2387005519999992</v>
          </cell>
        </row>
        <row r="4950">
          <cell r="A4950" t="str">
            <v>US69343T1079</v>
          </cell>
          <cell r="E4950">
            <v>116.7284602428</v>
          </cell>
        </row>
        <row r="4951">
          <cell r="A4951" t="str">
            <v>JP3780050005</v>
          </cell>
          <cell r="E4951">
            <v>18.02274032</v>
          </cell>
        </row>
        <row r="4952">
          <cell r="A4952" t="str">
            <v>JP3833270006</v>
          </cell>
          <cell r="E4952">
            <v>6.8590319200000014</v>
          </cell>
        </row>
        <row r="4953">
          <cell r="A4953" t="str">
            <v>US72703H1014</v>
          </cell>
          <cell r="E4953">
            <v>84.887005497600001</v>
          </cell>
        </row>
        <row r="4954">
          <cell r="A4954" t="str">
            <v>US72703X1063</v>
          </cell>
          <cell r="E4954">
            <v>2.8954802208000001</v>
          </cell>
        </row>
        <row r="4955">
          <cell r="A4955" t="str">
            <v>IT0005430951</v>
          </cell>
          <cell r="E4955">
            <v>4.32</v>
          </cell>
        </row>
        <row r="4956">
          <cell r="A4956" t="str">
            <v>FR001400PFU4</v>
          </cell>
          <cell r="E4956">
            <v>23.5</v>
          </cell>
        </row>
        <row r="4957">
          <cell r="A4957" t="str">
            <v>FR0010785790</v>
          </cell>
          <cell r="E4957">
            <v>10.497999999999999</v>
          </cell>
        </row>
        <row r="4958">
          <cell r="A4958" t="str">
            <v>IL0010816036</v>
          </cell>
          <cell r="E4958">
            <v>45.964021499999987</v>
          </cell>
        </row>
        <row r="4959">
          <cell r="A4959" t="str">
            <v>FR0013252186</v>
          </cell>
          <cell r="E4959">
            <v>1.0900000000000001</v>
          </cell>
        </row>
        <row r="4960">
          <cell r="A4960" t="str">
            <v>AU000000PTM6</v>
          </cell>
          <cell r="E4960">
            <v>0.30944945899999998</v>
          </cell>
        </row>
        <row r="4961">
          <cell r="A4961" t="str">
            <v>SE0004977692</v>
          </cell>
          <cell r="E4961">
            <v>6.7386413989999996</v>
          </cell>
        </row>
        <row r="4962">
          <cell r="A4962" t="str">
            <v>IM00B7S9G985</v>
          </cell>
          <cell r="E4962">
            <v>8.6875200699999997</v>
          </cell>
        </row>
        <row r="4963">
          <cell r="A4963" t="str">
            <v>US7291321005</v>
          </cell>
          <cell r="E4963">
            <v>107.85663822479999</v>
          </cell>
        </row>
        <row r="4964">
          <cell r="A4964" t="str">
            <v>KYG713321035</v>
          </cell>
          <cell r="E4964">
            <v>0.58385689379999994</v>
          </cell>
        </row>
        <row r="4965">
          <cell r="A4965" t="str">
            <v>US72919P2020</v>
          </cell>
          <cell r="E4965">
            <v>0.88276836000000003</v>
          </cell>
        </row>
        <row r="4966">
          <cell r="A4966" t="str">
            <v>JP3832700003</v>
          </cell>
          <cell r="E4966">
            <v>9.3948327200000001</v>
          </cell>
        </row>
        <row r="4967">
          <cell r="A4967" t="str">
            <v>IL0011284465</v>
          </cell>
          <cell r="E4967">
            <v>34.796850239999998</v>
          </cell>
        </row>
        <row r="4968">
          <cell r="A4968" t="str">
            <v>NL0015001W49</v>
          </cell>
          <cell r="E4968">
            <v>18.850000000000001</v>
          </cell>
        </row>
        <row r="4969">
          <cell r="A4969" t="str">
            <v>US6934751057</v>
          </cell>
          <cell r="E4969">
            <v>137.1733754604</v>
          </cell>
        </row>
        <row r="4970">
          <cell r="A4970" t="str">
            <v>JP3855900001</v>
          </cell>
          <cell r="E4970">
            <v>7.9723103200000001</v>
          </cell>
        </row>
        <row r="4971">
          <cell r="A4971" t="str">
            <v>GB00B1GCLT25</v>
          </cell>
          <cell r="E4971">
            <v>4.3145288099999997</v>
          </cell>
        </row>
        <row r="4972">
          <cell r="A4972" t="str">
            <v>US7310681025</v>
          </cell>
          <cell r="E4972">
            <v>29.087217462000009</v>
          </cell>
        </row>
        <row r="4973">
          <cell r="A4973" t="str">
            <v>NO0010466022</v>
          </cell>
          <cell r="E4973">
            <v>6.8778657750000001</v>
          </cell>
        </row>
        <row r="4974">
          <cell r="A4974" t="str">
            <v>NO0012535832</v>
          </cell>
          <cell r="E4974">
            <v>0.22134222584999999</v>
          </cell>
        </row>
        <row r="4975">
          <cell r="A4975" t="str">
            <v>IT0004587470</v>
          </cell>
          <cell r="E4975">
            <v>0.33</v>
          </cell>
        </row>
        <row r="4976">
          <cell r="A4976" t="str">
            <v>AU000000PNV0</v>
          </cell>
          <cell r="E4976">
            <v>0.61889891800000008</v>
          </cell>
        </row>
        <row r="4977">
          <cell r="A4977" t="str">
            <v>CH1110760852</v>
          </cell>
          <cell r="E4977">
            <v>16.650469739999998</v>
          </cell>
        </row>
        <row r="4978">
          <cell r="A4978" t="str">
            <v>US73278L1052</v>
          </cell>
          <cell r="E4978">
            <v>270.9745757856</v>
          </cell>
        </row>
        <row r="4979">
          <cell r="A4979" t="str">
            <v>PR7331747001</v>
          </cell>
          <cell r="E4979">
            <v>74.549788002</v>
          </cell>
        </row>
        <row r="4980">
          <cell r="A4980" t="str">
            <v>NL0000378669</v>
          </cell>
          <cell r="E4980">
            <v>10.9</v>
          </cell>
        </row>
        <row r="4981">
          <cell r="A4981" t="str">
            <v>AT0000609607</v>
          </cell>
          <cell r="E4981">
            <v>28.3</v>
          </cell>
        </row>
        <row r="4982">
          <cell r="A4982" t="str">
            <v>DE000PAG9113</v>
          </cell>
          <cell r="E4982">
            <v>44.02</v>
          </cell>
        </row>
        <row r="4983">
          <cell r="A4983" t="str">
            <v>DE000PAH0038</v>
          </cell>
          <cell r="E4983">
            <v>33.61</v>
          </cell>
        </row>
        <row r="4984">
          <cell r="A4984" t="str">
            <v>NZPOTE0003S0</v>
          </cell>
          <cell r="E4984">
            <v>3.2196424650000002</v>
          </cell>
        </row>
        <row r="4985">
          <cell r="A4985" t="str">
            <v>US7365088472</v>
          </cell>
          <cell r="E4985">
            <v>38.135593152000013</v>
          </cell>
        </row>
        <row r="4986">
          <cell r="A4986" t="str">
            <v>IT0005545238</v>
          </cell>
          <cell r="E4986">
            <v>3.76</v>
          </cell>
        </row>
        <row r="4987">
          <cell r="A4987" t="str">
            <v>IT0005337495</v>
          </cell>
          <cell r="E4987">
            <v>1.07</v>
          </cell>
        </row>
        <row r="4988">
          <cell r="A4988" t="str">
            <v>US7374461041</v>
          </cell>
          <cell r="E4988">
            <v>103.37217495599999</v>
          </cell>
        </row>
        <row r="4989">
          <cell r="A4989" t="str">
            <v>IT0003796171</v>
          </cell>
          <cell r="E4989">
            <v>16.495000000000001</v>
          </cell>
        </row>
        <row r="4990">
          <cell r="A4990" t="str">
            <v>NL0009739416</v>
          </cell>
          <cell r="E4990">
            <v>0.98</v>
          </cell>
        </row>
        <row r="4991">
          <cell r="A4991" t="str">
            <v>US7376301039</v>
          </cell>
          <cell r="E4991">
            <v>34.604519712000013</v>
          </cell>
        </row>
        <row r="4992">
          <cell r="A4992" t="str">
            <v>FR0000066441</v>
          </cell>
          <cell r="E4992">
            <v>9.24</v>
          </cell>
        </row>
        <row r="4993">
          <cell r="A4993" t="str">
            <v>FR0013015583</v>
          </cell>
          <cell r="E4993">
            <v>5.3</v>
          </cell>
        </row>
        <row r="4994">
          <cell r="A4994" t="str">
            <v>US7391281067</v>
          </cell>
          <cell r="E4994">
            <v>152.9925844716</v>
          </cell>
        </row>
        <row r="4995">
          <cell r="A4995" t="str">
            <v>HK0006000050</v>
          </cell>
          <cell r="E4995">
            <v>5.4516072539999998</v>
          </cell>
        </row>
        <row r="4996">
          <cell r="A4996" t="str">
            <v>CA7392391016</v>
          </cell>
          <cell r="E4996">
            <v>31.405903047199999</v>
          </cell>
        </row>
        <row r="4997">
          <cell r="A4997" t="str">
            <v>US7392761034</v>
          </cell>
          <cell r="E4997">
            <v>40.2189264816</v>
          </cell>
        </row>
        <row r="4998">
          <cell r="A4998" t="str">
            <v>IT0005353815</v>
          </cell>
          <cell r="E4998">
            <v>15.55</v>
          </cell>
        </row>
        <row r="4999">
          <cell r="A4999" t="str">
            <v>FR0012432516</v>
          </cell>
          <cell r="E4999">
            <v>0.433</v>
          </cell>
        </row>
        <row r="5000">
          <cell r="A5000" t="str">
            <v>IT0005499949</v>
          </cell>
          <cell r="E5000">
            <v>0.46400000000000002</v>
          </cell>
        </row>
        <row r="5001">
          <cell r="A5001" t="str">
            <v>US6935061076</v>
          </cell>
          <cell r="E5001">
            <v>87.932556339599998</v>
          </cell>
        </row>
        <row r="5002">
          <cell r="A5002" t="str">
            <v>US69351T1060</v>
          </cell>
          <cell r="E5002">
            <v>31.223516893199999</v>
          </cell>
        </row>
        <row r="5003">
          <cell r="A5003" t="str">
            <v>IT0003874101</v>
          </cell>
          <cell r="E5003">
            <v>5.3434856069999999</v>
          </cell>
        </row>
        <row r="5004">
          <cell r="A5004" t="str">
            <v>AU000000PPS1</v>
          </cell>
          <cell r="E5004">
            <v>0.37696570460000012</v>
          </cell>
        </row>
        <row r="5005">
          <cell r="A5005" t="str">
            <v>CA7397211086</v>
          </cell>
          <cell r="E5005">
            <v>14.979371704</v>
          </cell>
        </row>
        <row r="5006">
          <cell r="A5006" t="str">
            <v>IL0011021289</v>
          </cell>
          <cell r="E5006">
            <v>22.415561189999998</v>
          </cell>
        </row>
        <row r="5007">
          <cell r="A5007" t="str">
            <v>US74006W2070</v>
          </cell>
          <cell r="E5007">
            <v>26.191737241199998</v>
          </cell>
        </row>
        <row r="5008">
          <cell r="A5008" t="str">
            <v>FR0014004EC4</v>
          </cell>
          <cell r="E5008">
            <v>25.5</v>
          </cell>
        </row>
        <row r="5009">
          <cell r="A5009" t="str">
            <v>NZAPTE0001S3</v>
          </cell>
          <cell r="E5009">
            <v>0.56801822349999997</v>
          </cell>
        </row>
        <row r="5010">
          <cell r="A5010" t="str">
            <v>CA74022D4075</v>
          </cell>
          <cell r="E5010">
            <v>37.289749475000001</v>
          </cell>
        </row>
        <row r="5011">
          <cell r="A5011" t="str">
            <v>IT0005611071</v>
          </cell>
          <cell r="E5011">
            <v>0.74</v>
          </cell>
        </row>
        <row r="5012">
          <cell r="A5012" t="str">
            <v>AU000000PDI8</v>
          </cell>
          <cell r="E5012">
            <v>0.21380144440000001</v>
          </cell>
        </row>
        <row r="5013">
          <cell r="A5013" t="str">
            <v>FR0010169920</v>
          </cell>
          <cell r="E5013">
            <v>3.7690000000000001</v>
          </cell>
        </row>
        <row r="5014">
          <cell r="A5014" t="str">
            <v>US7403674044</v>
          </cell>
          <cell r="E5014">
            <v>69.774011174400002</v>
          </cell>
        </row>
        <row r="5015">
          <cell r="A5015" t="str">
            <v>IT0005442154</v>
          </cell>
          <cell r="E5015">
            <v>0.55500000000000005</v>
          </cell>
        </row>
        <row r="5016">
          <cell r="A5016" t="str">
            <v>GB00B7N0K053</v>
          </cell>
          <cell r="E5016">
            <v>2.28003555</v>
          </cell>
        </row>
        <row r="5017">
          <cell r="A5017" t="str">
            <v>US74051N1028</v>
          </cell>
          <cell r="E5017">
            <v>17.169844602000001</v>
          </cell>
        </row>
        <row r="5018">
          <cell r="A5018" t="str">
            <v>AU000000PMV2</v>
          </cell>
          <cell r="E5018">
            <v>11.2470812462</v>
          </cell>
        </row>
        <row r="5019">
          <cell r="A5019" t="str">
            <v>CA74061A1084</v>
          </cell>
          <cell r="E5019">
            <v>48.206918682999998</v>
          </cell>
        </row>
        <row r="5020">
          <cell r="A5020" t="str">
            <v>JP3833710001</v>
          </cell>
          <cell r="E5020">
            <v>12.0295916</v>
          </cell>
        </row>
        <row r="5021">
          <cell r="A5021" t="str">
            <v>JP3833600004</v>
          </cell>
          <cell r="E5021">
            <v>3.2223224799999999</v>
          </cell>
        </row>
        <row r="5022">
          <cell r="A5022" t="str">
            <v>US74112D1019</v>
          </cell>
          <cell r="E5022">
            <v>71.451271058399996</v>
          </cell>
        </row>
        <row r="5023">
          <cell r="A5023" t="str">
            <v>JP3833620002</v>
          </cell>
          <cell r="E5023">
            <v>3.9273988000000002</v>
          </cell>
        </row>
        <row r="5024">
          <cell r="A5024" t="str">
            <v>US7415111092</v>
          </cell>
          <cell r="E5024">
            <v>80.852754092400005</v>
          </cell>
        </row>
        <row r="5025">
          <cell r="A5025" t="str">
            <v>JP3833200003</v>
          </cell>
          <cell r="E5025">
            <v>13.656215039999999</v>
          </cell>
        </row>
        <row r="5026">
          <cell r="A5026" t="str">
            <v>CA74167K1093</v>
          </cell>
          <cell r="E5026">
            <v>8.9812758309999996</v>
          </cell>
        </row>
        <row r="5027">
          <cell r="A5027" t="str">
            <v>GB00BYRJ5J14</v>
          </cell>
          <cell r="E5027">
            <v>1.1534641385</v>
          </cell>
        </row>
        <row r="5028">
          <cell r="A5028" t="str">
            <v>IL0011744575</v>
          </cell>
          <cell r="E5028">
            <v>3.2738864400000001</v>
          </cell>
        </row>
        <row r="5029">
          <cell r="A5029" t="str">
            <v>US74164M1080</v>
          </cell>
          <cell r="E5029">
            <v>227.7277538292</v>
          </cell>
        </row>
        <row r="5030">
          <cell r="A5030" t="str">
            <v>US7416231022</v>
          </cell>
          <cell r="E5030">
            <v>29.881708986</v>
          </cell>
        </row>
        <row r="5031">
          <cell r="A5031" t="str">
            <v>US74164F1030</v>
          </cell>
          <cell r="E5031">
            <v>51.015183524400001</v>
          </cell>
        </row>
        <row r="5032">
          <cell r="A5032" t="str">
            <v>US74251V1026</v>
          </cell>
          <cell r="E5032">
            <v>64.521539432400004</v>
          </cell>
        </row>
        <row r="5033">
          <cell r="A5033" t="str">
            <v>IL0003280133</v>
          </cell>
          <cell r="E5033">
            <v>34.707036600000002</v>
          </cell>
        </row>
        <row r="5034">
          <cell r="A5034" t="str">
            <v>FR0004044600</v>
          </cell>
          <cell r="E5034">
            <v>5.8479999999999999</v>
          </cell>
        </row>
        <row r="5035">
          <cell r="A5035" t="str">
            <v>US74276R1023</v>
          </cell>
          <cell r="E5035">
            <v>21.354166628400002</v>
          </cell>
        </row>
        <row r="5036">
          <cell r="A5036" t="str">
            <v>AU000000PME8</v>
          </cell>
          <cell r="E5036">
            <v>117.8833648176</v>
          </cell>
        </row>
        <row r="5037">
          <cell r="A5037" t="str">
            <v>SE0015961222</v>
          </cell>
          <cell r="E5037">
            <v>10.724246392</v>
          </cell>
        </row>
        <row r="5038">
          <cell r="A5038" t="str">
            <v>FR0004052561</v>
          </cell>
          <cell r="E5038">
            <v>6.6900000000000001E-2</v>
          </cell>
        </row>
        <row r="5039">
          <cell r="A5039" t="str">
            <v>US74276L1052</v>
          </cell>
          <cell r="E5039">
            <v>46.716101611200003</v>
          </cell>
        </row>
        <row r="5040">
          <cell r="A5040" t="str">
            <v>US74275K1088</v>
          </cell>
          <cell r="E5040">
            <v>53.495762616</v>
          </cell>
        </row>
        <row r="5041">
          <cell r="A5041" t="str">
            <v>JP3833850005</v>
          </cell>
          <cell r="E5041">
            <v>9.1659921600000001</v>
          </cell>
        </row>
        <row r="5042">
          <cell r="A5042" t="str">
            <v>US7427181091</v>
          </cell>
          <cell r="E5042">
            <v>148.71998560919999</v>
          </cell>
        </row>
        <row r="5043">
          <cell r="A5043" t="str">
            <v>FR0010313486</v>
          </cell>
          <cell r="E5043">
            <v>10.59</v>
          </cell>
        </row>
        <row r="5044">
          <cell r="A5044" t="str">
            <v>FR0012613610</v>
          </cell>
          <cell r="E5044">
            <v>0.61399999999999999</v>
          </cell>
        </row>
        <row r="5045">
          <cell r="A5045" t="str">
            <v>US74319R1014</v>
          </cell>
          <cell r="E5045">
            <v>22.678319168400002</v>
          </cell>
        </row>
        <row r="5046">
          <cell r="A5046" t="str">
            <v>US7433121008</v>
          </cell>
          <cell r="E5046">
            <v>50.388417988800001</v>
          </cell>
        </row>
        <row r="5047">
          <cell r="A5047" t="str">
            <v>US7433151039</v>
          </cell>
          <cell r="E5047">
            <v>243.74117187959999</v>
          </cell>
        </row>
        <row r="5048">
          <cell r="A5048" t="str">
            <v>US74340E1038</v>
          </cell>
          <cell r="E5048">
            <v>19.2531779316</v>
          </cell>
        </row>
        <row r="5049">
          <cell r="A5049" t="str">
            <v>US74340W1036</v>
          </cell>
          <cell r="E5049">
            <v>86.93502809280001</v>
          </cell>
        </row>
        <row r="5050">
          <cell r="A5050" t="str">
            <v>FR0010380626</v>
          </cell>
          <cell r="E5050">
            <v>0.25600000000000001</v>
          </cell>
        </row>
        <row r="5051">
          <cell r="A5051" t="str">
            <v>IT0005425365</v>
          </cell>
          <cell r="E5051">
            <v>1.94</v>
          </cell>
        </row>
        <row r="5052">
          <cell r="A5052" t="str">
            <v>JP3119000002</v>
          </cell>
          <cell r="E5052">
            <v>7.3661920800000003</v>
          </cell>
        </row>
        <row r="5053">
          <cell r="A5053" t="str">
            <v>AU000000PFP8</v>
          </cell>
          <cell r="E5053">
            <v>2.9200776222</v>
          </cell>
        </row>
        <row r="5054">
          <cell r="A5054" t="str">
            <v>IL0006990175</v>
          </cell>
          <cell r="E5054">
            <v>55.324840499999993</v>
          </cell>
        </row>
        <row r="5055">
          <cell r="A5055" t="str">
            <v>NZPFIE0001S5</v>
          </cell>
          <cell r="E5055">
            <v>1.0993901100000001</v>
          </cell>
        </row>
        <row r="5056">
          <cell r="A5056" t="str">
            <v>US74346Y1038</v>
          </cell>
          <cell r="E5056">
            <v>14.5038841548</v>
          </cell>
        </row>
        <row r="5057">
          <cell r="A5057" t="str">
            <v>NO0010861990</v>
          </cell>
          <cell r="E5057">
            <v>0.65694039160000006</v>
          </cell>
        </row>
        <row r="5058">
          <cell r="A5058" t="str">
            <v>DE000PSM7770</v>
          </cell>
          <cell r="E5058">
            <v>6.0350000000000001</v>
          </cell>
        </row>
        <row r="5059">
          <cell r="A5059" t="str">
            <v>US7436061052</v>
          </cell>
          <cell r="E5059">
            <v>58.192090291200003</v>
          </cell>
        </row>
        <row r="5060">
          <cell r="A5060" t="str">
            <v>HK0808032913</v>
          </cell>
          <cell r="E5060">
            <v>0.12746973119999999</v>
          </cell>
        </row>
        <row r="5061">
          <cell r="A5061" t="str">
            <v>NL0013654783</v>
          </cell>
          <cell r="E5061">
            <v>38.1</v>
          </cell>
        </row>
        <row r="5062">
          <cell r="A5062" t="str">
            <v>US74366E1029</v>
          </cell>
          <cell r="E5062">
            <v>41.445974502000013</v>
          </cell>
        </row>
        <row r="5063">
          <cell r="A5063" t="str">
            <v>NO0010209331</v>
          </cell>
          <cell r="E5063">
            <v>27.844935379999999</v>
          </cell>
        </row>
        <row r="5064">
          <cell r="A5064" t="str">
            <v>JP3833740008</v>
          </cell>
          <cell r="E5064">
            <v>12.926399200000001</v>
          </cell>
        </row>
        <row r="5065">
          <cell r="A5065" t="str">
            <v>US7437131094</v>
          </cell>
          <cell r="E5065">
            <v>30.190677912000009</v>
          </cell>
        </row>
        <row r="5066">
          <cell r="A5066" t="str">
            <v>US74386T1051</v>
          </cell>
          <cell r="E5066">
            <v>13.550494326000001</v>
          </cell>
        </row>
        <row r="5067">
          <cell r="A5067" t="str">
            <v>NO0010893902</v>
          </cell>
          <cell r="E5067">
            <v>0.29595664849999997</v>
          </cell>
        </row>
        <row r="5068">
          <cell r="A5068" t="str">
            <v>BE0003810273</v>
          </cell>
          <cell r="E5068">
            <v>6.59</v>
          </cell>
        </row>
        <row r="5069">
          <cell r="A5069" t="str">
            <v>GB00BF01NH51</v>
          </cell>
          <cell r="E5069">
            <v>1.3212513699999999</v>
          </cell>
        </row>
        <row r="5070">
          <cell r="A5070" t="str">
            <v>US7443201022</v>
          </cell>
          <cell r="E5070">
            <v>88.47987272280001</v>
          </cell>
        </row>
        <row r="5071">
          <cell r="A5071" t="str">
            <v>GB0007099541</v>
          </cell>
          <cell r="E5071">
            <v>8.9213698699999995</v>
          </cell>
        </row>
        <row r="5072">
          <cell r="A5072" t="str">
            <v>NL0015002E73</v>
          </cell>
          <cell r="E5072">
            <v>1.91371404685</v>
          </cell>
        </row>
        <row r="5073">
          <cell r="A5073" t="str">
            <v>IT0004176001</v>
          </cell>
          <cell r="E5073">
            <v>45.73</v>
          </cell>
        </row>
        <row r="5074">
          <cell r="A5074" t="str">
            <v>JP3801400007</v>
          </cell>
          <cell r="E5074">
            <v>8.6588320000000003</v>
          </cell>
        </row>
        <row r="5075">
          <cell r="A5075" t="str">
            <v>CH0018294154</v>
          </cell>
          <cell r="E5075">
            <v>151.7114785</v>
          </cell>
        </row>
        <row r="5076">
          <cell r="A5076" t="str">
            <v>US69370C1009</v>
          </cell>
          <cell r="E5076">
            <v>129.8199150216</v>
          </cell>
        </row>
        <row r="5077">
          <cell r="A5077" t="str">
            <v>US69366J2006</v>
          </cell>
          <cell r="E5077">
            <v>41.437146818400002</v>
          </cell>
        </row>
        <row r="5078">
          <cell r="A5078" t="str">
            <v>NO0013178616</v>
          </cell>
          <cell r="E5078">
            <v>1.5606502704</v>
          </cell>
        </row>
        <row r="5079">
          <cell r="A5079" t="str">
            <v>US7445731067</v>
          </cell>
          <cell r="E5079">
            <v>73.737641110799999</v>
          </cell>
        </row>
        <row r="5080">
          <cell r="A5080" t="str">
            <v>US74460D1090</v>
          </cell>
          <cell r="E5080">
            <v>255.04060688760001</v>
          </cell>
        </row>
        <row r="5081">
          <cell r="A5081" t="str">
            <v>FR0000130577</v>
          </cell>
          <cell r="E5081">
            <v>87.3</v>
          </cell>
        </row>
        <row r="5082">
          <cell r="A5082" t="str">
            <v>ES0105777017</v>
          </cell>
          <cell r="E5082">
            <v>14.96</v>
          </cell>
        </row>
        <row r="5083">
          <cell r="A5083" t="str">
            <v>FR0012419307</v>
          </cell>
          <cell r="E5083">
            <v>18.100000000000001</v>
          </cell>
        </row>
        <row r="5084">
          <cell r="A5084" t="str">
            <v>US7458671010</v>
          </cell>
          <cell r="E5084">
            <v>83.677612844400002</v>
          </cell>
        </row>
        <row r="5085">
          <cell r="A5085" t="str">
            <v>DE0006969603</v>
          </cell>
          <cell r="E5085">
            <v>19.844999999999999</v>
          </cell>
        </row>
        <row r="5086">
          <cell r="A5086" t="str">
            <v>US74624M1027</v>
          </cell>
          <cell r="E5086">
            <v>37.032132702000013</v>
          </cell>
        </row>
        <row r="5087">
          <cell r="A5087" t="str">
            <v>US74623V1035</v>
          </cell>
          <cell r="E5087">
            <v>5.6144067696000004</v>
          </cell>
        </row>
        <row r="5088">
          <cell r="A5088" t="str">
            <v>FI4000507124</v>
          </cell>
          <cell r="E5088">
            <v>12.04</v>
          </cell>
        </row>
        <row r="5089">
          <cell r="A5089" t="str">
            <v>US6936561009</v>
          </cell>
          <cell r="E5089">
            <v>60.478460343600013</v>
          </cell>
        </row>
        <row r="5090">
          <cell r="A5090" t="str">
            <v>AU000000PWH0</v>
          </cell>
          <cell r="E5090">
            <v>3.882184122</v>
          </cell>
        </row>
        <row r="5091">
          <cell r="A5091" t="str">
            <v>AU000000PYC7</v>
          </cell>
          <cell r="E5091">
            <v>0.60764621040000011</v>
          </cell>
        </row>
        <row r="5092">
          <cell r="A5092" t="str">
            <v>DE000A2G8ZX8</v>
          </cell>
          <cell r="E5092">
            <v>27.094622749999999</v>
          </cell>
        </row>
        <row r="5093">
          <cell r="A5093" t="str">
            <v>US74736L1098</v>
          </cell>
          <cell r="E5093">
            <v>67.867231516800004</v>
          </cell>
        </row>
        <row r="5094">
          <cell r="A5094" t="str">
            <v>AU000000QAN2</v>
          </cell>
          <cell r="E5094">
            <v>4.7936534375999997</v>
          </cell>
        </row>
        <row r="5095">
          <cell r="A5095" t="str">
            <v>AU000000QBE9</v>
          </cell>
          <cell r="E5095">
            <v>11.787211211000001</v>
          </cell>
        </row>
        <row r="5096">
          <cell r="A5096" t="str">
            <v>US74727A1043</v>
          </cell>
          <cell r="E5096">
            <v>58.024364302800002</v>
          </cell>
        </row>
        <row r="5097">
          <cell r="A5097" t="str">
            <v>NL0015000NM7</v>
          </cell>
          <cell r="E5097">
            <v>9</v>
          </cell>
        </row>
        <row r="5098">
          <cell r="A5098" t="str">
            <v>NL0015002CX3</v>
          </cell>
          <cell r="E5098">
            <v>37.174999999999997</v>
          </cell>
        </row>
        <row r="5099">
          <cell r="A5099" t="str">
            <v>GB00B0WMWD03</v>
          </cell>
          <cell r="E5099">
            <v>4.6746575019999996</v>
          </cell>
        </row>
        <row r="5100">
          <cell r="A5100" t="str">
            <v>JP3266160005</v>
          </cell>
          <cell r="E5100">
            <v>13.210903679999999</v>
          </cell>
        </row>
        <row r="5101">
          <cell r="A5101" t="str">
            <v>AU0000278491</v>
          </cell>
          <cell r="E5101">
            <v>0.19692238300000001</v>
          </cell>
        </row>
        <row r="5102">
          <cell r="A5102" t="str">
            <v>US74736K1016</v>
          </cell>
          <cell r="E5102">
            <v>51.032838891600001</v>
          </cell>
        </row>
        <row r="5103">
          <cell r="A5103" t="str">
            <v>BE0974272040</v>
          </cell>
          <cell r="E5103">
            <v>10.1</v>
          </cell>
        </row>
        <row r="5104">
          <cell r="A5104" t="str">
            <v>FI4000198031</v>
          </cell>
          <cell r="E5104">
            <v>70.25</v>
          </cell>
        </row>
        <row r="5105">
          <cell r="A5105" t="str">
            <v>FR0000120560</v>
          </cell>
          <cell r="E5105">
            <v>16.16</v>
          </cell>
        </row>
        <row r="5106">
          <cell r="A5106" t="str">
            <v>US7473161070</v>
          </cell>
          <cell r="E5106">
            <v>90.757415091600009</v>
          </cell>
        </row>
        <row r="5107">
          <cell r="A5107" t="str">
            <v>US7475251036</v>
          </cell>
          <cell r="E5107">
            <v>122.351694696</v>
          </cell>
        </row>
        <row r="5108">
          <cell r="A5108" t="str">
            <v>AU0000195265</v>
          </cell>
          <cell r="E5108">
            <v>1.322193143</v>
          </cell>
        </row>
        <row r="5109">
          <cell r="A5109" t="str">
            <v>IL0010839558</v>
          </cell>
          <cell r="E5109">
            <v>48.220218899999999</v>
          </cell>
        </row>
        <row r="5110">
          <cell r="A5110" t="str">
            <v>US74758T3032</v>
          </cell>
          <cell r="E5110">
            <v>109.43679358919999</v>
          </cell>
        </row>
        <row r="5111">
          <cell r="A5111" t="str">
            <v>US74762E1029</v>
          </cell>
          <cell r="E5111">
            <v>241.02224533079999</v>
          </cell>
        </row>
        <row r="5112">
          <cell r="A5112" t="str">
            <v>FR0011648971</v>
          </cell>
          <cell r="E5112">
            <v>7.2099999999999997E-2</v>
          </cell>
        </row>
        <row r="5113">
          <cell r="A5113" t="str">
            <v>US74767V1098</v>
          </cell>
          <cell r="E5113">
            <v>3.3456920844</v>
          </cell>
        </row>
        <row r="5114">
          <cell r="A5114" t="str">
            <v>AU000000QUB5</v>
          </cell>
          <cell r="E5114">
            <v>2.1830252743999998</v>
          </cell>
        </row>
        <row r="5115">
          <cell r="A5115" t="str">
            <v>CA7481932084</v>
          </cell>
          <cell r="E5115">
            <v>22.373849685</v>
          </cell>
        </row>
        <row r="5116">
          <cell r="A5116" t="str">
            <v>US74834L1008</v>
          </cell>
          <cell r="E5116">
            <v>147.6253528428</v>
          </cell>
        </row>
        <row r="5117">
          <cell r="A5117" t="str">
            <v>CA74836K1003</v>
          </cell>
          <cell r="E5117">
            <v>0.16423509789999999</v>
          </cell>
        </row>
        <row r="5118">
          <cell r="A5118" t="str">
            <v>BE0003730448</v>
          </cell>
          <cell r="E5118">
            <v>3.95</v>
          </cell>
        </row>
        <row r="5119">
          <cell r="A5119" t="str">
            <v>JP3266000003</v>
          </cell>
          <cell r="E5119">
            <v>11.54098608</v>
          </cell>
        </row>
        <row r="5120">
          <cell r="A5120" t="str">
            <v>US2197981051</v>
          </cell>
          <cell r="E5120">
            <v>23.4463276416</v>
          </cell>
        </row>
        <row r="5121">
          <cell r="A5121" t="str">
            <v>GB00BNHSJN34</v>
          </cell>
          <cell r="E5121">
            <v>1.5445779289999999</v>
          </cell>
        </row>
        <row r="5122">
          <cell r="A5122" t="str">
            <v>FR0010889386</v>
          </cell>
          <cell r="E5122">
            <v>2.42</v>
          </cell>
        </row>
        <row r="5123">
          <cell r="A5123" t="str">
            <v>US82846H4056</v>
          </cell>
          <cell r="E5123">
            <v>12.8177965872</v>
          </cell>
        </row>
        <row r="5124">
          <cell r="A5124" t="str">
            <v>IT0005466963</v>
          </cell>
          <cell r="E5124">
            <v>4.03</v>
          </cell>
        </row>
        <row r="5125">
          <cell r="A5125" t="str">
            <v>US7502361014</v>
          </cell>
          <cell r="E5125">
            <v>28.575211813199999</v>
          </cell>
        </row>
        <row r="5126">
          <cell r="A5126" t="str">
            <v>IT0005379737</v>
          </cell>
          <cell r="E5126">
            <v>1.04</v>
          </cell>
        </row>
        <row r="5127">
          <cell r="A5127" t="str">
            <v>US7504911022</v>
          </cell>
          <cell r="E5127">
            <v>46.8573445488</v>
          </cell>
        </row>
        <row r="5128">
          <cell r="A5128" t="str">
            <v>SG1CH4000003</v>
          </cell>
          <cell r="E5128">
            <v>0.66413980709999998</v>
          </cell>
        </row>
        <row r="5129">
          <cell r="A5129" t="str">
            <v>IT0005054967</v>
          </cell>
          <cell r="E5129">
            <v>5.54</v>
          </cell>
        </row>
        <row r="5130">
          <cell r="A5130" t="str">
            <v>AT0000606306</v>
          </cell>
          <cell r="E5130">
            <v>22</v>
          </cell>
        </row>
        <row r="5131">
          <cell r="A5131" t="str">
            <v>FI0009002943</v>
          </cell>
          <cell r="E5131">
            <v>2.5</v>
          </cell>
        </row>
        <row r="5132">
          <cell r="A5132" t="str">
            <v>JP3965800000</v>
          </cell>
          <cell r="E5132">
            <v>15.338502399999999</v>
          </cell>
        </row>
        <row r="5133">
          <cell r="A5133" t="str">
            <v>JP3331600001</v>
          </cell>
          <cell r="E5133">
            <v>8.9557062399999996</v>
          </cell>
        </row>
        <row r="5134">
          <cell r="A5134" t="str">
            <v>JP3967180005</v>
          </cell>
          <cell r="E5134">
            <v>6.5312332800000004</v>
          </cell>
        </row>
        <row r="5135">
          <cell r="A5135" t="str">
            <v>JP3967170006</v>
          </cell>
          <cell r="E5135">
            <v>13.03772704</v>
          </cell>
        </row>
        <row r="5136">
          <cell r="A5136" t="str">
            <v>JP3967220009</v>
          </cell>
          <cell r="E5136">
            <v>36.373279279999998</v>
          </cell>
        </row>
        <row r="5137">
          <cell r="A5137" t="str">
            <v>JP3967200001</v>
          </cell>
          <cell r="E5137">
            <v>4.7710164319999997</v>
          </cell>
        </row>
        <row r="5138">
          <cell r="A5138" t="str">
            <v>FR0000060618</v>
          </cell>
          <cell r="E5138">
            <v>4.41E-2</v>
          </cell>
        </row>
        <row r="5139">
          <cell r="A5139" t="str">
            <v>US7512121010</v>
          </cell>
          <cell r="E5139">
            <v>179.43149685360001</v>
          </cell>
        </row>
        <row r="5140">
          <cell r="A5140" t="str">
            <v>PTFRV0AE0004</v>
          </cell>
          <cell r="E5140">
            <v>7.2</v>
          </cell>
        </row>
        <row r="5141">
          <cell r="A5141" t="str">
            <v>US7509171069</v>
          </cell>
          <cell r="E5141">
            <v>41.905014049199998</v>
          </cell>
        </row>
        <row r="5142">
          <cell r="A5142" t="str">
            <v>AU000000RMS4</v>
          </cell>
          <cell r="E5142">
            <v>1.4966101108000001</v>
          </cell>
        </row>
        <row r="5143">
          <cell r="A5143" t="str">
            <v>IL0011042491</v>
          </cell>
          <cell r="E5143">
            <v>66.02977709999999</v>
          </cell>
        </row>
        <row r="5144">
          <cell r="A5144" t="str">
            <v>FR0000044471</v>
          </cell>
          <cell r="E5144">
            <v>9.64</v>
          </cell>
        </row>
        <row r="5145">
          <cell r="A5145" t="str">
            <v>AU000000RHC8</v>
          </cell>
          <cell r="E5145">
            <v>18.347539741799999</v>
          </cell>
        </row>
        <row r="5146">
          <cell r="A5146" t="str">
            <v>NO0010907389</v>
          </cell>
          <cell r="E5146">
            <v>5.7357232160000002</v>
          </cell>
        </row>
        <row r="5147">
          <cell r="A5147" t="str">
            <v>NL0000379121</v>
          </cell>
          <cell r="E5147">
            <v>34.43</v>
          </cell>
        </row>
        <row r="5148">
          <cell r="A5148" t="str">
            <v>US75281A1097</v>
          </cell>
          <cell r="E5148">
            <v>29.4314971224</v>
          </cell>
        </row>
        <row r="5149">
          <cell r="A5149" t="str">
            <v>GB00BM9PTW47</v>
          </cell>
          <cell r="E5149">
            <v>6.7999999999999996E-3</v>
          </cell>
        </row>
        <row r="5150">
          <cell r="A5150" t="str">
            <v>US7534221046</v>
          </cell>
          <cell r="E5150">
            <v>20.3654660652</v>
          </cell>
        </row>
        <row r="5151">
          <cell r="A5151" t="str">
            <v>GB00BS3DYQ52</v>
          </cell>
          <cell r="E5151">
            <v>5.1891270619999998</v>
          </cell>
        </row>
        <row r="5152">
          <cell r="A5152" t="str">
            <v>GB0002148343</v>
          </cell>
          <cell r="E5152">
            <v>17.93627966</v>
          </cell>
        </row>
        <row r="5153">
          <cell r="A5153" t="str">
            <v>DE0007010803</v>
          </cell>
          <cell r="E5153">
            <v>727.5</v>
          </cell>
        </row>
        <row r="5154">
          <cell r="A5154" t="str">
            <v>SE0000111940</v>
          </cell>
          <cell r="E5154">
            <v>2.7314439635999999</v>
          </cell>
        </row>
        <row r="5155">
          <cell r="A5155" t="str">
            <v>US7547301090</v>
          </cell>
          <cell r="E5155">
            <v>120.2418783156</v>
          </cell>
        </row>
        <row r="5156">
          <cell r="A5156" t="str">
            <v>US7549071030</v>
          </cell>
          <cell r="E5156">
            <v>22.033898265600001</v>
          </cell>
        </row>
        <row r="5157">
          <cell r="A5157" t="str">
            <v>SE0000135485</v>
          </cell>
          <cell r="E5157">
            <v>21.232568359999998</v>
          </cell>
        </row>
        <row r="5158">
          <cell r="A5158" t="str">
            <v>CA74935Q1072</v>
          </cell>
          <cell r="E5158">
            <v>86.562996313199989</v>
          </cell>
        </row>
        <row r="5159">
          <cell r="A5159" t="str">
            <v>CA74935Q1072</v>
          </cell>
          <cell r="E5159">
            <v>86.149364252400005</v>
          </cell>
        </row>
        <row r="5160">
          <cell r="A5160" t="str">
            <v>US75524B1044</v>
          </cell>
          <cell r="E5160">
            <v>293.61758421960002</v>
          </cell>
        </row>
        <row r="5161">
          <cell r="A5161" t="str">
            <v>AU000000REA9</v>
          </cell>
          <cell r="E5161">
            <v>132.6525435426</v>
          </cell>
        </row>
        <row r="5162">
          <cell r="A5162" t="str">
            <v>NO0003117202</v>
          </cell>
          <cell r="E5162">
            <v>0.56606919529999999</v>
          </cell>
        </row>
        <row r="5163">
          <cell r="A5163" t="str">
            <v>US75574U1016</v>
          </cell>
          <cell r="E5163">
            <v>3.928319202</v>
          </cell>
        </row>
        <row r="5164">
          <cell r="A5164" t="str">
            <v>FR0011858190</v>
          </cell>
          <cell r="E5164">
            <v>1.2050000000000001</v>
          </cell>
        </row>
        <row r="5165">
          <cell r="A5165" t="str">
            <v>US7561091049</v>
          </cell>
          <cell r="E5165">
            <v>50.326624203599998</v>
          </cell>
        </row>
        <row r="5166">
          <cell r="A5166" t="str">
            <v>IT0005460081</v>
          </cell>
          <cell r="E5166">
            <v>2.2999999999999998</v>
          </cell>
        </row>
        <row r="5167">
          <cell r="A5167" t="str">
            <v>NO0010112675</v>
          </cell>
          <cell r="E5167">
            <v>0.141725719</v>
          </cell>
        </row>
        <row r="5168">
          <cell r="A5168" t="str">
            <v>GB00B24CGK77</v>
          </cell>
          <cell r="E5168">
            <v>57.49197333</v>
          </cell>
        </row>
        <row r="5169">
          <cell r="A5169" t="str">
            <v>IT0003828271</v>
          </cell>
          <cell r="E5169">
            <v>48.36</v>
          </cell>
        </row>
        <row r="5170">
          <cell r="A5170" t="str">
            <v>JP3970300004</v>
          </cell>
          <cell r="E5170">
            <v>46.974163599999997</v>
          </cell>
        </row>
        <row r="5171">
          <cell r="A5171" t="str">
            <v>BE0003656676</v>
          </cell>
          <cell r="E5171">
            <v>10.38</v>
          </cell>
        </row>
        <row r="5172">
          <cell r="A5172" t="str">
            <v>US75629V1044</v>
          </cell>
          <cell r="E5172">
            <v>4.9788135504</v>
          </cell>
        </row>
        <row r="5173">
          <cell r="A5173" t="str">
            <v>US75700L1089</v>
          </cell>
          <cell r="E5173">
            <v>36.387711799199998</v>
          </cell>
        </row>
        <row r="5174">
          <cell r="A5174" t="str">
            <v>NL0012044747</v>
          </cell>
          <cell r="E5174">
            <v>128.30000000000001</v>
          </cell>
        </row>
        <row r="5175">
          <cell r="A5175" t="str">
            <v>US75734B1008</v>
          </cell>
          <cell r="E5175">
            <v>85.151836005600003</v>
          </cell>
        </row>
        <row r="5176">
          <cell r="A5176" t="str">
            <v>ES0173093024</v>
          </cell>
          <cell r="E5176">
            <v>19.079999999999998</v>
          </cell>
        </row>
        <row r="5177">
          <cell r="A5177" t="str">
            <v>IT0005496101</v>
          </cell>
          <cell r="E5177">
            <v>7.8</v>
          </cell>
        </row>
        <row r="5178">
          <cell r="A5178" t="str">
            <v>IT0005549354</v>
          </cell>
          <cell r="E5178">
            <v>1.2</v>
          </cell>
        </row>
        <row r="5179">
          <cell r="A5179" t="str">
            <v>AU0000284895</v>
          </cell>
          <cell r="E5179">
            <v>1.5922581253999999</v>
          </cell>
        </row>
        <row r="5180">
          <cell r="A5180" t="str">
            <v>US75776W1036</v>
          </cell>
          <cell r="E5180">
            <v>8.9865819047999995</v>
          </cell>
        </row>
        <row r="5181">
          <cell r="A5181" t="str">
            <v>AU000000REH4</v>
          </cell>
          <cell r="E5181">
            <v>8.8896390040000011</v>
          </cell>
        </row>
        <row r="5182">
          <cell r="A5182" t="str">
            <v>NL0015001BF4</v>
          </cell>
          <cell r="E5182">
            <v>1.258857857</v>
          </cell>
        </row>
        <row r="5183">
          <cell r="A5183" t="str">
            <v>AU0000253510</v>
          </cell>
          <cell r="E5183">
            <v>0.94804061530000006</v>
          </cell>
        </row>
        <row r="5184">
          <cell r="A5184" t="str">
            <v>AU0000226300</v>
          </cell>
          <cell r="E5184">
            <v>1.0577545144</v>
          </cell>
        </row>
        <row r="5185">
          <cell r="A5185" t="str">
            <v>US7587501039</v>
          </cell>
          <cell r="E5185">
            <v>87.358756905600004</v>
          </cell>
        </row>
        <row r="5186">
          <cell r="A5186" t="str">
            <v>US7588491032</v>
          </cell>
          <cell r="E5186">
            <v>62.111581809599997</v>
          </cell>
        </row>
        <row r="5187">
          <cell r="A5187" t="str">
            <v>US75886F1075</v>
          </cell>
          <cell r="E5187">
            <v>492.50529572760001</v>
          </cell>
        </row>
        <row r="5188">
          <cell r="A5188" t="str">
            <v>AU0000253502</v>
          </cell>
          <cell r="E5188">
            <v>1.2434241898</v>
          </cell>
        </row>
        <row r="5189">
          <cell r="A5189" t="str">
            <v>US7591EP1005</v>
          </cell>
          <cell r="E5189">
            <v>17.152189234800002</v>
          </cell>
        </row>
        <row r="5190">
          <cell r="A5190" t="str">
            <v>AU000000REG6</v>
          </cell>
          <cell r="E5190">
            <v>3.7865361073999999</v>
          </cell>
        </row>
        <row r="5191">
          <cell r="A5191" t="str">
            <v>AU000000RRL8</v>
          </cell>
          <cell r="E5191">
            <v>2.5262328562</v>
          </cell>
        </row>
        <row r="5192">
          <cell r="A5192" t="str">
            <v>US7593516047</v>
          </cell>
          <cell r="E5192">
            <v>161.04343191480001</v>
          </cell>
        </row>
        <row r="5193">
          <cell r="A5193" t="str">
            <v>IL0010989205</v>
          </cell>
          <cell r="E5193">
            <v>4.6324052999999994</v>
          </cell>
        </row>
        <row r="5194">
          <cell r="A5194" t="str">
            <v>SE0000123671</v>
          </cell>
          <cell r="E5194">
            <v>16.410256224000001</v>
          </cell>
        </row>
        <row r="5195">
          <cell r="A5195" t="str">
            <v>US7595091023</v>
          </cell>
          <cell r="E5195">
            <v>244.26200521199999</v>
          </cell>
        </row>
        <row r="5196">
          <cell r="A5196" t="str">
            <v>AU000000RWC7</v>
          </cell>
          <cell r="E5196">
            <v>2.2336624586</v>
          </cell>
        </row>
        <row r="5197">
          <cell r="A5197" t="str">
            <v>JP3755200007</v>
          </cell>
          <cell r="E5197">
            <v>11.06165788</v>
          </cell>
        </row>
        <row r="5198">
          <cell r="A5198" t="str">
            <v>GB00B2B0DG97</v>
          </cell>
          <cell r="E5198">
            <v>45.6</v>
          </cell>
        </row>
        <row r="5199">
          <cell r="A5199" t="str">
            <v>GB00B2B0DG97</v>
          </cell>
          <cell r="E5199">
            <v>45.553941039999998</v>
          </cell>
        </row>
        <row r="5200">
          <cell r="A5200" t="str">
            <v>US75960P1049</v>
          </cell>
          <cell r="E5200">
            <v>17.823093188400001</v>
          </cell>
        </row>
        <row r="5201">
          <cell r="A5201" t="str">
            <v>JP3974900007</v>
          </cell>
          <cell r="E5201">
            <v>2.2018172800000002</v>
          </cell>
        </row>
        <row r="5202">
          <cell r="A5202" t="str">
            <v>FR0000130395</v>
          </cell>
          <cell r="E5202">
            <v>43.3</v>
          </cell>
        </row>
        <row r="5203">
          <cell r="A5203" t="str">
            <v>PTREL0AM0008</v>
          </cell>
          <cell r="E5203">
            <v>2.79</v>
          </cell>
        </row>
        <row r="5204">
          <cell r="A5204" t="str">
            <v>BMG7496G1033</v>
          </cell>
          <cell r="E5204">
            <v>210.451977024</v>
          </cell>
        </row>
        <row r="5205">
          <cell r="A5205" t="str">
            <v>US75970E1073</v>
          </cell>
          <cell r="E5205">
            <v>24.646892611199998</v>
          </cell>
        </row>
        <row r="5206">
          <cell r="A5206" t="str">
            <v>FR0000131906</v>
          </cell>
          <cell r="E5206">
            <v>44.56</v>
          </cell>
        </row>
        <row r="5207">
          <cell r="A5207" t="str">
            <v>JP3164720009</v>
          </cell>
          <cell r="E5207">
            <v>10.33184204</v>
          </cell>
        </row>
        <row r="5208">
          <cell r="A5208" t="str">
            <v>GB00BNQMPN80</v>
          </cell>
          <cell r="E5208">
            <v>5.4201977304</v>
          </cell>
        </row>
        <row r="5209">
          <cell r="A5209" t="str">
            <v>GB0005359004</v>
          </cell>
          <cell r="E5209">
            <v>8.1964354900000007</v>
          </cell>
        </row>
        <row r="5210">
          <cell r="A5210" t="str">
            <v>GB00BNR4T868</v>
          </cell>
          <cell r="E5210">
            <v>10.002000000000001</v>
          </cell>
        </row>
        <row r="5211">
          <cell r="A5211" t="str">
            <v>GB00BNR4T868</v>
          </cell>
          <cell r="E5211">
            <v>10.00877144</v>
          </cell>
        </row>
        <row r="5212">
          <cell r="A5212" t="str">
            <v>JP3981400009</v>
          </cell>
          <cell r="E5212">
            <v>4.5990767680000006</v>
          </cell>
        </row>
        <row r="5213">
          <cell r="A5213" t="str">
            <v>GB0007323586</v>
          </cell>
          <cell r="E5213">
            <v>26.7758021</v>
          </cell>
        </row>
        <row r="5214">
          <cell r="A5214" t="str">
            <v>DE000RENK730</v>
          </cell>
          <cell r="E5214">
            <v>51.89</v>
          </cell>
        </row>
        <row r="5215">
          <cell r="A5215" t="str">
            <v>JP3981200003</v>
          </cell>
          <cell r="E5215">
            <v>3.6243396799999998</v>
          </cell>
        </row>
        <row r="5216">
          <cell r="A5216" t="str">
            <v>IT0005500571</v>
          </cell>
          <cell r="E5216">
            <v>2.0099999999999998</v>
          </cell>
        </row>
        <row r="5217">
          <cell r="A5217" t="str">
            <v>GB00B082RF11</v>
          </cell>
          <cell r="E5217">
            <v>3.9076301579999999</v>
          </cell>
        </row>
        <row r="5218">
          <cell r="A5218" t="str">
            <v>US7599161095</v>
          </cell>
          <cell r="E5218">
            <v>111.7761297432</v>
          </cell>
        </row>
        <row r="5219">
          <cell r="A5219" t="str">
            <v>IT0005282865</v>
          </cell>
          <cell r="E5219">
            <v>149</v>
          </cell>
        </row>
        <row r="5220">
          <cell r="A5220" t="str">
            <v>ES0173516115</v>
          </cell>
          <cell r="E5220">
            <v>9.98</v>
          </cell>
        </row>
        <row r="5221">
          <cell r="A5221" t="str">
            <v>US7607591002</v>
          </cell>
          <cell r="E5221">
            <v>216.27824820000001</v>
          </cell>
        </row>
        <row r="5222">
          <cell r="A5222" t="str">
            <v>IT0005543613</v>
          </cell>
          <cell r="E5222">
            <v>6.7</v>
          </cell>
        </row>
        <row r="5223">
          <cell r="A5223" t="str">
            <v>US76118Y1047</v>
          </cell>
          <cell r="E5223">
            <v>13.7005649472</v>
          </cell>
        </row>
        <row r="5224">
          <cell r="A5224" t="str">
            <v>US7611521078</v>
          </cell>
          <cell r="E5224">
            <v>188.8859459892</v>
          </cell>
        </row>
        <row r="5225">
          <cell r="A5225" t="str">
            <v>AU000000RSG6</v>
          </cell>
          <cell r="E5225">
            <v>0.25599909790000003</v>
          </cell>
        </row>
        <row r="5226">
          <cell r="A5226" t="str">
            <v>JP3500610005</v>
          </cell>
          <cell r="E5226">
            <v>6.5899896400000006</v>
          </cell>
        </row>
        <row r="5227">
          <cell r="A5227" t="str">
            <v>JP3974450003</v>
          </cell>
          <cell r="E5227">
            <v>8.8783952399999997</v>
          </cell>
        </row>
        <row r="5228">
          <cell r="A5228" t="str">
            <v>JP3944360001</v>
          </cell>
          <cell r="E5228">
            <v>12.99443288</v>
          </cell>
        </row>
        <row r="5229">
          <cell r="A5229" t="str">
            <v>CA76131D1033</v>
          </cell>
          <cell r="E5229">
            <v>55.3284674338</v>
          </cell>
        </row>
        <row r="5230">
          <cell r="A5230" t="str">
            <v>BE0003720340</v>
          </cell>
          <cell r="E5230">
            <v>60.2</v>
          </cell>
        </row>
        <row r="5231">
          <cell r="A5231" t="str">
            <v>JP3873200004</v>
          </cell>
          <cell r="E5231">
            <v>8.6279076000000003</v>
          </cell>
        </row>
        <row r="5232">
          <cell r="A5232" t="str">
            <v>IL0011754889</v>
          </cell>
          <cell r="E5232">
            <v>19.352893229999999</v>
          </cell>
        </row>
        <row r="5233">
          <cell r="A5233" t="str">
            <v>IT0005418204</v>
          </cell>
          <cell r="E5233">
            <v>1.63</v>
          </cell>
        </row>
        <row r="5234">
          <cell r="A5234" t="str">
            <v>US7495271071</v>
          </cell>
          <cell r="E5234">
            <v>28.0808615316</v>
          </cell>
        </row>
        <row r="5235">
          <cell r="A5235" t="str">
            <v>FI0009010912</v>
          </cell>
          <cell r="E5235">
            <v>24.65</v>
          </cell>
        </row>
        <row r="5236">
          <cell r="A5236" t="str">
            <v>US76155X1000</v>
          </cell>
          <cell r="E5236">
            <v>32.062146835199997</v>
          </cell>
        </row>
        <row r="5237">
          <cell r="A5237" t="str">
            <v>US76156B1070</v>
          </cell>
          <cell r="E5237">
            <v>17.761299403199999</v>
          </cell>
        </row>
        <row r="5238">
          <cell r="A5238" t="str">
            <v>US7140461093</v>
          </cell>
          <cell r="E5238">
            <v>84.339689114400002</v>
          </cell>
        </row>
        <row r="5239">
          <cell r="A5239" t="str">
            <v>IT0005528069</v>
          </cell>
          <cell r="E5239">
            <v>6.9</v>
          </cell>
        </row>
        <row r="5240">
          <cell r="A5240" t="str">
            <v>FR0010820274</v>
          </cell>
          <cell r="E5240">
            <v>1.482</v>
          </cell>
        </row>
        <row r="5241">
          <cell r="A5241" t="str">
            <v>FR0010451203</v>
          </cell>
          <cell r="E5241">
            <v>22.46</v>
          </cell>
        </row>
        <row r="5242">
          <cell r="A5242" t="str">
            <v>US76169C1009</v>
          </cell>
          <cell r="E5242">
            <v>28.7429378016</v>
          </cell>
        </row>
        <row r="5243">
          <cell r="A5243" t="str">
            <v>US76171L1061</v>
          </cell>
          <cell r="E5243">
            <v>20.833333295999999</v>
          </cell>
        </row>
        <row r="5244">
          <cell r="A5244" t="str">
            <v>US74967X1037</v>
          </cell>
          <cell r="E5244">
            <v>140.81920878720001</v>
          </cell>
        </row>
        <row r="5245">
          <cell r="A5245" t="str">
            <v>DE0007030009</v>
          </cell>
          <cell r="E5245">
            <v>1494</v>
          </cell>
        </row>
        <row r="5246">
          <cell r="A5246" t="str">
            <v>JP3979400003</v>
          </cell>
          <cell r="E5246">
            <v>6.8281075200000014</v>
          </cell>
        </row>
        <row r="5247">
          <cell r="A5247" t="str">
            <v>NL0012650360</v>
          </cell>
          <cell r="E5247">
            <v>36.305181449999999</v>
          </cell>
        </row>
        <row r="5248">
          <cell r="A5248" t="str">
            <v>JP3974200002</v>
          </cell>
          <cell r="E5248">
            <v>21.0904408</v>
          </cell>
        </row>
        <row r="5249">
          <cell r="A5249" t="str">
            <v>US76243J1051</v>
          </cell>
          <cell r="E5249">
            <v>54.811087472399997</v>
          </cell>
        </row>
        <row r="5250">
          <cell r="A5250" t="str">
            <v>ES0105724001</v>
          </cell>
          <cell r="E5250">
            <v>2.4</v>
          </cell>
        </row>
        <row r="5251">
          <cell r="A5251" t="str">
            <v>FR0000075954</v>
          </cell>
          <cell r="E5251">
            <v>2.41</v>
          </cell>
        </row>
        <row r="5252">
          <cell r="A5252" t="str">
            <v>CA76329W1032</v>
          </cell>
          <cell r="E5252">
            <v>20.8695653232</v>
          </cell>
        </row>
        <row r="5253">
          <cell r="A5253" t="str">
            <v>JP3973400009</v>
          </cell>
          <cell r="E5253">
            <v>9.0206474800000009</v>
          </cell>
        </row>
        <row r="5254">
          <cell r="A5254" t="str">
            <v>JP3974100004</v>
          </cell>
          <cell r="E5254">
            <v>32.408771199999997</v>
          </cell>
        </row>
        <row r="5255">
          <cell r="A5255" t="str">
            <v>AU000000RIC6</v>
          </cell>
          <cell r="E5255">
            <v>1.4065884500000001</v>
          </cell>
        </row>
        <row r="5256">
          <cell r="A5256" t="str">
            <v>JP3969750003</v>
          </cell>
          <cell r="E5256">
            <v>4.9850132800000004</v>
          </cell>
        </row>
        <row r="5257">
          <cell r="A5257" t="str">
            <v>US76655K1034</v>
          </cell>
          <cell r="E5257">
            <v>7.6094632631999994</v>
          </cell>
        </row>
        <row r="5258">
          <cell r="A5258" t="str">
            <v>GB00BGDT3G23</v>
          </cell>
          <cell r="E5258">
            <v>8.7062280540000003</v>
          </cell>
        </row>
        <row r="5259">
          <cell r="A5259" t="str">
            <v>JP3971000009</v>
          </cell>
          <cell r="E5259">
            <v>15.42509072</v>
          </cell>
        </row>
        <row r="5260">
          <cell r="A5260" t="str">
            <v>JP3973000007</v>
          </cell>
          <cell r="E5260">
            <v>5.9374848</v>
          </cell>
        </row>
        <row r="5261">
          <cell r="A5261" t="str">
            <v>JP3972600005</v>
          </cell>
          <cell r="E5261">
            <v>15.08492232</v>
          </cell>
        </row>
        <row r="5262">
          <cell r="A5262" t="str">
            <v>US76680R2067</v>
          </cell>
          <cell r="E5262">
            <v>19.9240818852</v>
          </cell>
        </row>
        <row r="5263">
          <cell r="A5263" t="str">
            <v>JP3977000003</v>
          </cell>
          <cell r="E5263">
            <v>14.113896159999999</v>
          </cell>
        </row>
        <row r="5264">
          <cell r="A5264" t="str">
            <v>DK0060854669</v>
          </cell>
          <cell r="E5264">
            <v>155.65661635999999</v>
          </cell>
        </row>
        <row r="5265">
          <cell r="A5265" t="str">
            <v>JP3977400005</v>
          </cell>
          <cell r="E5265">
            <v>19.420523200000002</v>
          </cell>
        </row>
        <row r="5266">
          <cell r="A5266" t="str">
            <v>AU000000RIO1</v>
          </cell>
          <cell r="E5266">
            <v>62.677581332000003</v>
          </cell>
        </row>
        <row r="5267">
          <cell r="A5267" t="str">
            <v>GB0007188757</v>
          </cell>
          <cell r="E5267">
            <v>50.891562725</v>
          </cell>
        </row>
        <row r="5268">
          <cell r="A5268" t="str">
            <v>CA7669101031</v>
          </cell>
          <cell r="E5268">
            <v>10.6823231262</v>
          </cell>
        </row>
        <row r="5269">
          <cell r="A5269" t="str">
            <v>JP3969700008</v>
          </cell>
          <cell r="E5269">
            <v>13.92834976</v>
          </cell>
        </row>
        <row r="5270">
          <cell r="A5270" t="str">
            <v>US7672921050</v>
          </cell>
          <cell r="E5270">
            <v>5.7821327580000004</v>
          </cell>
        </row>
        <row r="5271">
          <cell r="A5271" t="str">
            <v>JP3974400008</v>
          </cell>
          <cell r="E5271">
            <v>7.0322085599999999</v>
          </cell>
        </row>
        <row r="5272">
          <cell r="A5272" t="str">
            <v>US64828T2015</v>
          </cell>
          <cell r="E5272">
            <v>8.9424434868000002</v>
          </cell>
        </row>
        <row r="5273">
          <cell r="A5273" t="str">
            <v>MT0001710103</v>
          </cell>
          <cell r="E5273">
            <v>1.4672780320000001</v>
          </cell>
        </row>
        <row r="5274">
          <cell r="A5274" t="str">
            <v>SG1U22933048</v>
          </cell>
          <cell r="E5274">
            <v>0.59034649520000004</v>
          </cell>
        </row>
        <row r="5275">
          <cell r="A5275" t="str">
            <v>US76954A1034</v>
          </cell>
          <cell r="E5275">
            <v>10.5137711676</v>
          </cell>
        </row>
        <row r="5276">
          <cell r="A5276" t="str">
            <v>US7496071074</v>
          </cell>
          <cell r="E5276">
            <v>68.529307786800004</v>
          </cell>
        </row>
        <row r="5277">
          <cell r="A5277" t="str">
            <v>US74965L1017</v>
          </cell>
          <cell r="E5277">
            <v>6.0822740004</v>
          </cell>
        </row>
        <row r="5278">
          <cell r="A5278" t="str">
            <v>US7703231032</v>
          </cell>
          <cell r="E5278">
            <v>42.673022522399997</v>
          </cell>
        </row>
        <row r="5279">
          <cell r="A5279" t="str">
            <v>FR0000039091</v>
          </cell>
          <cell r="E5279">
            <v>817</v>
          </cell>
        </row>
        <row r="5280">
          <cell r="A5280" t="str">
            <v>US7707001027</v>
          </cell>
          <cell r="E5280">
            <v>38.9124293088</v>
          </cell>
        </row>
        <row r="5281">
          <cell r="A5281" t="str">
            <v>US7710491033</v>
          </cell>
          <cell r="E5281">
            <v>51.977401036800003</v>
          </cell>
        </row>
        <row r="5282">
          <cell r="A5282" t="str">
            <v>FR0013344173</v>
          </cell>
          <cell r="E5282">
            <v>36.5</v>
          </cell>
        </row>
        <row r="5283">
          <cell r="A5283" t="str">
            <v>CH0012032048</v>
          </cell>
          <cell r="E5283">
            <v>275.78015379999999</v>
          </cell>
        </row>
        <row r="5284">
          <cell r="A5284" t="str">
            <v>CH0012032113</v>
          </cell>
          <cell r="E5284">
            <v>291.76114940000002</v>
          </cell>
        </row>
        <row r="5285">
          <cell r="A5285" t="str">
            <v>JP3984200000</v>
          </cell>
          <cell r="E5285">
            <v>9.7411860000000008</v>
          </cell>
        </row>
        <row r="5286">
          <cell r="A5286" t="str">
            <v>US77311W1018</v>
          </cell>
          <cell r="E5286">
            <v>11.0346045</v>
          </cell>
        </row>
        <row r="5287">
          <cell r="A5287" t="str">
            <v>US7731221062</v>
          </cell>
          <cell r="E5287">
            <v>18.5999293452</v>
          </cell>
        </row>
        <row r="5288">
          <cell r="A5288" t="str">
            <v>US77313F1066</v>
          </cell>
          <cell r="E5288">
            <v>5.7644773908000007</v>
          </cell>
        </row>
        <row r="5289">
          <cell r="A5289" t="str">
            <v>IT0005481830</v>
          </cell>
          <cell r="E5289">
            <v>0.3</v>
          </cell>
        </row>
        <row r="5290">
          <cell r="A5290" t="str">
            <v>US7739031091</v>
          </cell>
          <cell r="E5290">
            <v>205.729166298</v>
          </cell>
        </row>
        <row r="5291">
          <cell r="A5291" t="str">
            <v>DK0063855085</v>
          </cell>
          <cell r="E5291">
            <v>37.788925538000001</v>
          </cell>
        </row>
        <row r="5292">
          <cell r="A5292" t="str">
            <v>DK0063855168</v>
          </cell>
          <cell r="E5292">
            <v>37.802321115999987</v>
          </cell>
        </row>
        <row r="5293">
          <cell r="A5293" t="str">
            <v>FR0010523167</v>
          </cell>
          <cell r="E5293">
            <v>0.34989999999999999</v>
          </cell>
        </row>
        <row r="5294">
          <cell r="A5294" t="str">
            <v>NO0006001007</v>
          </cell>
          <cell r="E5294">
            <v>10.629428924999999</v>
          </cell>
        </row>
        <row r="5295">
          <cell r="A5295" t="str">
            <v>CA7751092007</v>
          </cell>
          <cell r="E5295">
            <v>22.1136148376</v>
          </cell>
        </row>
        <row r="5296">
          <cell r="A5296" t="str">
            <v>US7751331015</v>
          </cell>
          <cell r="E5296">
            <v>47.846045112000013</v>
          </cell>
        </row>
        <row r="5297">
          <cell r="A5297" t="str">
            <v>JP3982800009</v>
          </cell>
          <cell r="E5297">
            <v>7.9630330000000002</v>
          </cell>
        </row>
        <row r="5298">
          <cell r="A5298" t="str">
            <v>JP3982400008</v>
          </cell>
          <cell r="E5298">
            <v>14.67981268</v>
          </cell>
        </row>
        <row r="5299">
          <cell r="A5299" t="str">
            <v>BMG762791017</v>
          </cell>
          <cell r="E5299">
            <v>8.8806497016000012</v>
          </cell>
        </row>
        <row r="5300">
          <cell r="A5300" t="str">
            <v>US77543R1023</v>
          </cell>
          <cell r="E5300">
            <v>52.4276129004</v>
          </cell>
        </row>
        <row r="5301">
          <cell r="A5301" t="str">
            <v>JP3983400007</v>
          </cell>
          <cell r="E5301">
            <v>19.111279199999998</v>
          </cell>
        </row>
        <row r="5302">
          <cell r="A5302" t="str">
            <v>US7757111049</v>
          </cell>
          <cell r="E5302">
            <v>48.870056409599997</v>
          </cell>
        </row>
        <row r="5303">
          <cell r="A5303" t="str">
            <v>GB00B63H8491</v>
          </cell>
          <cell r="E5303">
            <v>8.5565641819999989</v>
          </cell>
        </row>
        <row r="5304">
          <cell r="A5304" t="str">
            <v>BMG763301022</v>
          </cell>
          <cell r="E5304">
            <v>0.20842017500000001</v>
          </cell>
        </row>
        <row r="5305">
          <cell r="A5305" t="str">
            <v>US7766961061</v>
          </cell>
          <cell r="E5305">
            <v>500.60028158879999</v>
          </cell>
        </row>
        <row r="5306">
          <cell r="A5306" t="str">
            <v>JP3982200002</v>
          </cell>
          <cell r="E5306">
            <v>9.2587653599999999</v>
          </cell>
        </row>
        <row r="5307">
          <cell r="A5307" t="str">
            <v>IT0001017851</v>
          </cell>
          <cell r="E5307">
            <v>45.8</v>
          </cell>
        </row>
        <row r="5308">
          <cell r="A5308" t="str">
            <v>US7782961038</v>
          </cell>
          <cell r="E5308">
            <v>124.4968218108</v>
          </cell>
        </row>
        <row r="5309">
          <cell r="A5309" t="str">
            <v>GB00BVFNZH21</v>
          </cell>
          <cell r="E5309">
            <v>3.5054085019999999</v>
          </cell>
        </row>
        <row r="5310">
          <cell r="A5310" t="str">
            <v>IL0005390153</v>
          </cell>
          <cell r="E5310">
            <v>17.634342870000001</v>
          </cell>
        </row>
        <row r="5311">
          <cell r="A5311" t="str">
            <v>FR0000037640</v>
          </cell>
          <cell r="E5311">
            <v>17</v>
          </cell>
        </row>
        <row r="5312">
          <cell r="A5312" t="str">
            <v>BE0003741551</v>
          </cell>
          <cell r="E5312">
            <v>15.2</v>
          </cell>
        </row>
        <row r="5313">
          <cell r="A5313" t="str">
            <v>JP3966800009</v>
          </cell>
          <cell r="E5313">
            <v>5.4055851199999996</v>
          </cell>
        </row>
        <row r="5314">
          <cell r="A5314" t="str">
            <v>DK0061152170</v>
          </cell>
          <cell r="E5314">
            <v>5.8940543200000004</v>
          </cell>
        </row>
        <row r="5315">
          <cell r="A5315" t="str">
            <v>CA7800871021</v>
          </cell>
          <cell r="E5315">
            <v>102.062837712</v>
          </cell>
        </row>
        <row r="5316">
          <cell r="A5316" t="str">
            <v>LR0008862868</v>
          </cell>
          <cell r="E5316">
            <v>170.70091777319999</v>
          </cell>
        </row>
        <row r="5317">
          <cell r="A5317" t="str">
            <v>US7802871084</v>
          </cell>
          <cell r="E5317">
            <v>163.31214660000001</v>
          </cell>
        </row>
        <row r="5318">
          <cell r="A5318" t="str">
            <v>JP3983600002</v>
          </cell>
          <cell r="E5318">
            <v>16.25386464</v>
          </cell>
        </row>
        <row r="5319">
          <cell r="A5319" t="str">
            <v>DK0060634707</v>
          </cell>
          <cell r="E5319">
            <v>75.350126250000002</v>
          </cell>
        </row>
        <row r="5320">
          <cell r="A5320" t="str">
            <v>GB00BMVP7Y09</v>
          </cell>
          <cell r="E5320">
            <v>28.645833282000009</v>
          </cell>
        </row>
        <row r="5321">
          <cell r="A5321" t="str">
            <v>US7496851038</v>
          </cell>
          <cell r="E5321">
            <v>92.637711698399997</v>
          </cell>
        </row>
        <row r="5322">
          <cell r="A5322" t="str">
            <v>AU000000RUL2</v>
          </cell>
          <cell r="E5322">
            <v>1.4234675113999999</v>
          </cell>
        </row>
        <row r="5323">
          <cell r="A5323" t="str">
            <v>GB0003096442</v>
          </cell>
          <cell r="E5323">
            <v>6.0859410450000002</v>
          </cell>
        </row>
        <row r="5324">
          <cell r="A5324" t="str">
            <v>JP3100350002</v>
          </cell>
          <cell r="E5324">
            <v>15.2148048</v>
          </cell>
        </row>
        <row r="5325">
          <cell r="A5325" t="str">
            <v>LU0061462528</v>
          </cell>
          <cell r="E5325">
            <v>35.1</v>
          </cell>
        </row>
        <row r="5326">
          <cell r="A5326" t="str">
            <v>US75513E1010</v>
          </cell>
          <cell r="E5326">
            <v>113.55932183039999</v>
          </cell>
        </row>
        <row r="5327">
          <cell r="A5327" t="str">
            <v>FR0013269123</v>
          </cell>
          <cell r="E5327">
            <v>27.54</v>
          </cell>
        </row>
        <row r="5328">
          <cell r="A5328" t="str">
            <v>US7811541090</v>
          </cell>
          <cell r="E5328">
            <v>55.888064871600001</v>
          </cell>
        </row>
        <row r="5329">
          <cell r="A5329" t="str">
            <v>TW0009945006</v>
          </cell>
          <cell r="E5329">
            <v>0.893935441</v>
          </cell>
        </row>
        <row r="5330">
          <cell r="A5330" t="str">
            <v>US78137L1052</v>
          </cell>
          <cell r="E5330">
            <v>6.3382768248000003</v>
          </cell>
        </row>
        <row r="5331">
          <cell r="A5331" t="str">
            <v>AU000000RFF5</v>
          </cell>
          <cell r="E5331">
            <v>0.9705460305000001</v>
          </cell>
        </row>
        <row r="5332">
          <cell r="A5332" t="str">
            <v>US7818462092</v>
          </cell>
          <cell r="E5332">
            <v>46.539547939199998</v>
          </cell>
        </row>
        <row r="5333">
          <cell r="A5333" t="str">
            <v>US7820111000</v>
          </cell>
          <cell r="E5333">
            <v>10.460805066000001</v>
          </cell>
        </row>
        <row r="5334">
          <cell r="A5334" t="str">
            <v>CA7819036046</v>
          </cell>
          <cell r="E5334">
            <v>24.557283526599999</v>
          </cell>
        </row>
        <row r="5335">
          <cell r="A5335" t="str">
            <v>SE0020848356</v>
          </cell>
          <cell r="E5335">
            <v>6.4822311455000001</v>
          </cell>
        </row>
        <row r="5336">
          <cell r="A5336" t="str">
            <v>SE0015962485</v>
          </cell>
          <cell r="E5336">
            <v>4.2177237488000001</v>
          </cell>
        </row>
        <row r="5337">
          <cell r="A5337" t="str">
            <v>DE0007037129</v>
          </cell>
          <cell r="E5337">
            <v>33.67</v>
          </cell>
        </row>
        <row r="5338">
          <cell r="A5338" t="str">
            <v>GB00BVFCZV34</v>
          </cell>
          <cell r="E5338">
            <v>1.34463635</v>
          </cell>
        </row>
        <row r="5339">
          <cell r="A5339" t="str">
            <v>US74982T1034</v>
          </cell>
          <cell r="E5339">
            <v>11.9438559108</v>
          </cell>
        </row>
        <row r="5340">
          <cell r="A5340" t="str">
            <v>US78349D1072</v>
          </cell>
          <cell r="E5340">
            <v>12.906073423200001</v>
          </cell>
        </row>
        <row r="5341">
          <cell r="A5341" t="str">
            <v>US78351F1075</v>
          </cell>
          <cell r="E5341">
            <v>64.521539432400004</v>
          </cell>
        </row>
        <row r="5342">
          <cell r="A5342" t="str">
            <v>IE00BYTBXV33</v>
          </cell>
          <cell r="E5342">
            <v>19.844999999999999</v>
          </cell>
        </row>
        <row r="5343">
          <cell r="A5343" t="str">
            <v>US7835491082</v>
          </cell>
          <cell r="E5343">
            <v>124.18785288479999</v>
          </cell>
        </row>
        <row r="5344">
          <cell r="A5344" t="str">
            <v>NZRYME0001S4</v>
          </cell>
          <cell r="E5344">
            <v>1.3245033230000001</v>
          </cell>
        </row>
        <row r="5345">
          <cell r="A5345" t="str">
            <v>US78377T1079</v>
          </cell>
          <cell r="E5345">
            <v>75.035310600000003</v>
          </cell>
        </row>
        <row r="5346">
          <cell r="A5346" t="str">
            <v>JP3975800008</v>
          </cell>
          <cell r="E5346">
            <v>12.140919439999999</v>
          </cell>
        </row>
        <row r="5347">
          <cell r="A5347" t="str">
            <v>JP3976200000</v>
          </cell>
          <cell r="E5347">
            <v>14.32418208</v>
          </cell>
        </row>
        <row r="5348">
          <cell r="A5348" t="str">
            <v>JP3976300008</v>
          </cell>
          <cell r="E5348">
            <v>27.986581999999999</v>
          </cell>
        </row>
        <row r="5349">
          <cell r="A5349" t="str">
            <v>JP3975410006</v>
          </cell>
          <cell r="E5349">
            <v>14.13863568</v>
          </cell>
        </row>
        <row r="5350">
          <cell r="A5350" t="str">
            <v>JP3163500006</v>
          </cell>
          <cell r="E5350">
            <v>17.466101120000001</v>
          </cell>
        </row>
        <row r="5351">
          <cell r="A5351" t="str">
            <v>JP3399300007</v>
          </cell>
          <cell r="E5351">
            <v>16.142536799999998</v>
          </cell>
        </row>
        <row r="5352">
          <cell r="A5352" t="str">
            <v>JP3163600004</v>
          </cell>
          <cell r="E5352">
            <v>16.513629600000002</v>
          </cell>
        </row>
        <row r="5353">
          <cell r="A5353" t="str">
            <v>US78409V1044</v>
          </cell>
          <cell r="E5353">
            <v>415.5278947356</v>
          </cell>
        </row>
        <row r="5354">
          <cell r="A5354" t="str">
            <v>US7838591011</v>
          </cell>
          <cell r="E5354">
            <v>29.996468872800001</v>
          </cell>
        </row>
        <row r="5355">
          <cell r="A5355" t="str">
            <v>CY0101550917</v>
          </cell>
          <cell r="E5355">
            <v>0.15673197159999999</v>
          </cell>
        </row>
        <row r="5356">
          <cell r="A5356" t="str">
            <v>FR0000121709</v>
          </cell>
          <cell r="E5356">
            <v>77.400000000000006</v>
          </cell>
        </row>
        <row r="5357">
          <cell r="A5357" t="str">
            <v>JP3162800001</v>
          </cell>
          <cell r="E5357">
            <v>9.1536223999999997</v>
          </cell>
        </row>
        <row r="5358">
          <cell r="A5358" t="str">
            <v>SE0021921269</v>
          </cell>
          <cell r="E5358">
            <v>40.116958609000001</v>
          </cell>
        </row>
        <row r="5359">
          <cell r="A5359" t="str">
            <v>US7856881021</v>
          </cell>
          <cell r="E5359">
            <v>57.29166656400001</v>
          </cell>
        </row>
        <row r="5360">
          <cell r="A5360" t="str">
            <v>US78574H1041</v>
          </cell>
          <cell r="E5360">
            <v>17.4523304772</v>
          </cell>
        </row>
        <row r="5361">
          <cell r="A5361" t="str">
            <v>US78573L1061</v>
          </cell>
          <cell r="E5361">
            <v>15.863347429199999</v>
          </cell>
        </row>
        <row r="5362">
          <cell r="A5362" t="str">
            <v>US78573M1045</v>
          </cell>
          <cell r="E5362">
            <v>1.8802966068</v>
          </cell>
        </row>
        <row r="5363">
          <cell r="A5363" t="str">
            <v>IT0005521551</v>
          </cell>
          <cell r="E5363">
            <v>1.06</v>
          </cell>
        </row>
        <row r="5364">
          <cell r="A5364" t="str">
            <v>ES0182870214</v>
          </cell>
          <cell r="E5364">
            <v>3.07</v>
          </cell>
        </row>
        <row r="5365">
          <cell r="A5365" t="str">
            <v>FR001400RKU0</v>
          </cell>
          <cell r="E5365">
            <v>4.1999999999999997E-3</v>
          </cell>
        </row>
        <row r="5366">
          <cell r="A5366" t="str">
            <v>GB00B1N7Z094</v>
          </cell>
          <cell r="E5366">
            <v>6.8459528949999999</v>
          </cell>
        </row>
        <row r="5367">
          <cell r="A5367" t="str">
            <v>US78648T1007</v>
          </cell>
          <cell r="E5367">
            <v>68.132062024800007</v>
          </cell>
        </row>
        <row r="5368">
          <cell r="A5368" t="str">
            <v>DE000SAFH001</v>
          </cell>
          <cell r="E5368">
            <v>15.28</v>
          </cell>
        </row>
        <row r="5369">
          <cell r="A5369" t="str">
            <v>FR0000073272</v>
          </cell>
          <cell r="E5369">
            <v>215.5</v>
          </cell>
        </row>
        <row r="5370">
          <cell r="A5370" t="str">
            <v>NO0010572589</v>
          </cell>
          <cell r="E5370">
            <v>0.10962901205</v>
          </cell>
        </row>
        <row r="5371">
          <cell r="A5371" t="str">
            <v>JP3316200009</v>
          </cell>
          <cell r="E5371">
            <v>10.458632079999999</v>
          </cell>
        </row>
        <row r="5372">
          <cell r="A5372" t="str">
            <v>GB00B8C3BL03</v>
          </cell>
          <cell r="E5372">
            <v>13.802984445</v>
          </cell>
        </row>
        <row r="5373">
          <cell r="A5373" t="str">
            <v>US78709Y1055</v>
          </cell>
          <cell r="E5373">
            <v>291.94915201920003</v>
          </cell>
        </row>
        <row r="5374">
          <cell r="A5374" t="str">
            <v>JP3311600005</v>
          </cell>
          <cell r="E5374">
            <v>10.4524472</v>
          </cell>
        </row>
        <row r="5375">
          <cell r="A5375" t="str">
            <v>FR0000125007</v>
          </cell>
          <cell r="E5375">
            <v>90.18</v>
          </cell>
        </row>
        <row r="5376">
          <cell r="A5376" t="str">
            <v>FR0000060121</v>
          </cell>
          <cell r="E5376">
            <v>20.399999999999999</v>
          </cell>
        </row>
        <row r="5377">
          <cell r="A5377" t="str">
            <v>JP3337070001</v>
          </cell>
          <cell r="E5377">
            <v>14.88700616</v>
          </cell>
        </row>
        <row r="5378">
          <cell r="A5378" t="str">
            <v>IT0005495657</v>
          </cell>
          <cell r="E5378">
            <v>1.8009999999999999</v>
          </cell>
        </row>
        <row r="5379">
          <cell r="A5379" t="str">
            <v>JP3310500008</v>
          </cell>
          <cell r="E5379">
            <v>24.801368799999999</v>
          </cell>
        </row>
        <row r="5380">
          <cell r="A5380" t="str">
            <v>JP3312800000</v>
          </cell>
          <cell r="E5380">
            <v>15.128216480000001</v>
          </cell>
        </row>
        <row r="5381">
          <cell r="A5381" t="str">
            <v>JP3313200002</v>
          </cell>
          <cell r="E5381">
            <v>11.70797784</v>
          </cell>
        </row>
        <row r="5382">
          <cell r="A5382" t="str">
            <v>JP3314200001</v>
          </cell>
          <cell r="E5382">
            <v>15.36324192</v>
          </cell>
        </row>
        <row r="5383">
          <cell r="A5383" t="str">
            <v>JP3314800008</v>
          </cell>
          <cell r="E5383">
            <v>10.613254080000001</v>
          </cell>
        </row>
        <row r="5384">
          <cell r="A5384" t="str">
            <v>JP3315000004</v>
          </cell>
          <cell r="E5384">
            <v>20.286406400000001</v>
          </cell>
        </row>
        <row r="5385">
          <cell r="A5385" t="str">
            <v>JP3317300006</v>
          </cell>
          <cell r="E5385">
            <v>21.863550799999999</v>
          </cell>
        </row>
        <row r="5386">
          <cell r="A5386" t="str">
            <v>JP3310350008</v>
          </cell>
          <cell r="E5386">
            <v>5.35610608</v>
          </cell>
        </row>
        <row r="5387">
          <cell r="A5387" t="str">
            <v>US79466L3024</v>
          </cell>
          <cell r="E5387">
            <v>225.04413801480001</v>
          </cell>
        </row>
        <row r="5388">
          <cell r="A5388" t="str">
            <v>NO0010310956</v>
          </cell>
          <cell r="E5388">
            <v>41.283868263999999</v>
          </cell>
        </row>
        <row r="5389">
          <cell r="A5389" t="str">
            <v>NO0010892094</v>
          </cell>
          <cell r="E5389">
            <v>0.50104210069999999</v>
          </cell>
        </row>
        <row r="5390">
          <cell r="A5390" t="str">
            <v>IT0004712375</v>
          </cell>
          <cell r="E5390">
            <v>4.9400000000000004</v>
          </cell>
        </row>
        <row r="5391">
          <cell r="A5391" t="str">
            <v>PTDGL0AM0003</v>
          </cell>
          <cell r="E5391">
            <v>14</v>
          </cell>
        </row>
        <row r="5392">
          <cell r="A5392" t="str">
            <v>JP3322950001</v>
          </cell>
          <cell r="E5392">
            <v>13.841761440000001</v>
          </cell>
        </row>
        <row r="5393">
          <cell r="A5393" t="str">
            <v>FI4000552500</v>
          </cell>
          <cell r="E5393">
            <v>8.7620000000000005</v>
          </cell>
        </row>
        <row r="5394">
          <cell r="A5394" t="str">
            <v>US79589L1061</v>
          </cell>
          <cell r="E5394">
            <v>34.145480164799999</v>
          </cell>
        </row>
        <row r="5395">
          <cell r="A5395" t="str">
            <v>FR0000060071</v>
          </cell>
          <cell r="E5395">
            <v>136.5</v>
          </cell>
        </row>
        <row r="5396">
          <cell r="A5396" t="str">
            <v>LU0633102719</v>
          </cell>
          <cell r="E5396">
            <v>1.5728854332</v>
          </cell>
        </row>
        <row r="5397">
          <cell r="A5397" t="str">
            <v>JP3047960004</v>
          </cell>
          <cell r="E5397">
            <v>574.57535200000007</v>
          </cell>
        </row>
        <row r="5398">
          <cell r="A5398" t="str">
            <v>JP3286300003</v>
          </cell>
          <cell r="E5398">
            <v>7.0878724800000006</v>
          </cell>
        </row>
        <row r="5399">
          <cell r="A5399" t="str">
            <v>JP3333500001</v>
          </cell>
          <cell r="E5399">
            <v>13.000617760000001</v>
          </cell>
        </row>
        <row r="5400">
          <cell r="A5400" t="str">
            <v>JP3324500002</v>
          </cell>
          <cell r="E5400">
            <v>17.342403520000001</v>
          </cell>
        </row>
        <row r="5401">
          <cell r="A5401" t="str">
            <v>JP3323600001</v>
          </cell>
          <cell r="E5401">
            <v>9.9823963200000012</v>
          </cell>
        </row>
        <row r="5402">
          <cell r="A5402" t="str">
            <v>JP3336750009</v>
          </cell>
          <cell r="E5402">
            <v>13.2356432</v>
          </cell>
        </row>
        <row r="5403">
          <cell r="A5403" t="str">
            <v>AU000000SFR8</v>
          </cell>
          <cell r="E5403">
            <v>5.3675415252000001</v>
          </cell>
        </row>
        <row r="5404">
          <cell r="A5404" t="str">
            <v>US80004C2008</v>
          </cell>
          <cell r="E5404">
            <v>29.334392602800001</v>
          </cell>
        </row>
        <row r="5405">
          <cell r="A5405" t="str">
            <v>CH1243598427</v>
          </cell>
          <cell r="E5405">
            <v>36.097613709999997</v>
          </cell>
        </row>
        <row r="5406">
          <cell r="A5406" t="str">
            <v>KYG7800X1079</v>
          </cell>
          <cell r="E5406">
            <v>1.4977693416</v>
          </cell>
        </row>
        <row r="5407">
          <cell r="A5407" t="str">
            <v>CA80013R2063</v>
          </cell>
          <cell r="E5407">
            <v>7.4064265404000009</v>
          </cell>
        </row>
        <row r="5408">
          <cell r="A5408" t="str">
            <v>SE0000667891</v>
          </cell>
          <cell r="E5408">
            <v>17.031038942999999</v>
          </cell>
        </row>
        <row r="5409">
          <cell r="A5409" t="str">
            <v>KYG7802A1058</v>
          </cell>
          <cell r="E5409">
            <v>2.025858228E-2</v>
          </cell>
        </row>
        <row r="5410">
          <cell r="A5410" t="str">
            <v>JP3330000005</v>
          </cell>
          <cell r="E5410">
            <v>17.546504559999999</v>
          </cell>
        </row>
        <row r="5411">
          <cell r="A5411" t="str">
            <v>JP3324000003</v>
          </cell>
          <cell r="E5411">
            <v>7.0074690400000001</v>
          </cell>
        </row>
        <row r="5412">
          <cell r="A5412" t="str">
            <v>JP3048880003</v>
          </cell>
          <cell r="E5412">
            <v>536.84758399999998</v>
          </cell>
        </row>
        <row r="5413">
          <cell r="A5413" t="str">
            <v>JP3329600005</v>
          </cell>
          <cell r="E5413">
            <v>39.490458799999999</v>
          </cell>
        </row>
        <row r="5414">
          <cell r="A5414" t="str">
            <v>JP3325600009</v>
          </cell>
          <cell r="E5414">
            <v>20.162708800000001</v>
          </cell>
        </row>
        <row r="5415">
          <cell r="A5415" t="str">
            <v>JP3326410002</v>
          </cell>
          <cell r="E5415">
            <v>12.47490296</v>
          </cell>
        </row>
        <row r="5416">
          <cell r="A5416" t="str">
            <v>JP3326800004</v>
          </cell>
          <cell r="E5416">
            <v>3.7047431199999998</v>
          </cell>
        </row>
        <row r="5417">
          <cell r="A5417" t="str">
            <v>JP3326000001</v>
          </cell>
          <cell r="E5417">
            <v>36.967027760000001</v>
          </cell>
        </row>
        <row r="5418">
          <cell r="A5418" t="str">
            <v>IT0003549422</v>
          </cell>
          <cell r="E5418">
            <v>28.5</v>
          </cell>
        </row>
        <row r="5419">
          <cell r="A5419" t="str">
            <v>US8010561020</v>
          </cell>
          <cell r="E5419">
            <v>67.575917958000005</v>
          </cell>
        </row>
        <row r="5420">
          <cell r="A5420" t="str">
            <v>FR0000120578</v>
          </cell>
          <cell r="E5420">
            <v>91.62</v>
          </cell>
        </row>
        <row r="5421">
          <cell r="A5421" t="str">
            <v>JP3343200006</v>
          </cell>
          <cell r="E5421">
            <v>38.117415440000002</v>
          </cell>
        </row>
        <row r="5422">
          <cell r="A5422" t="str">
            <v>JP3332540008</v>
          </cell>
          <cell r="E5422">
            <v>12.11617992</v>
          </cell>
        </row>
        <row r="5423">
          <cell r="A5423" t="str">
            <v>AU000000SMI3</v>
          </cell>
          <cell r="E5423">
            <v>0.28975722069999998</v>
          </cell>
        </row>
        <row r="5424">
          <cell r="A5424" t="str">
            <v>JP3335410001</v>
          </cell>
          <cell r="E5424">
            <v>24.863217599999999</v>
          </cell>
        </row>
        <row r="5425">
          <cell r="A5425" t="str">
            <v>JP3336000009</v>
          </cell>
          <cell r="E5425">
            <v>8.3001089600000011</v>
          </cell>
        </row>
        <row r="5426">
          <cell r="A5426" t="str">
            <v>AU000000STO6</v>
          </cell>
          <cell r="E5426">
            <v>3.1620108355999998</v>
          </cell>
        </row>
        <row r="5427">
          <cell r="A5427" t="str">
            <v>JP3344400001</v>
          </cell>
          <cell r="E5427">
            <v>27.88143904</v>
          </cell>
        </row>
        <row r="5428">
          <cell r="A5428" t="str">
            <v>JP3337600005</v>
          </cell>
          <cell r="E5428">
            <v>21.770777599999999</v>
          </cell>
        </row>
        <row r="5429">
          <cell r="A5429" t="str">
            <v>JP3340800006</v>
          </cell>
          <cell r="E5429">
            <v>52.695177600000001</v>
          </cell>
        </row>
        <row r="5430">
          <cell r="A5430" t="str">
            <v>JP3341600009</v>
          </cell>
          <cell r="E5430">
            <v>12.35120536</v>
          </cell>
        </row>
        <row r="5431">
          <cell r="A5431" t="str">
            <v>JP3339400008</v>
          </cell>
          <cell r="E5431">
            <v>17.175411759999999</v>
          </cell>
        </row>
        <row r="5432">
          <cell r="A5432" t="str">
            <v>JP3342500000</v>
          </cell>
          <cell r="E5432">
            <v>8.35577288</v>
          </cell>
        </row>
        <row r="5433">
          <cell r="A5433" t="str">
            <v>DE0007164600</v>
          </cell>
          <cell r="E5433">
            <v>232.65</v>
          </cell>
        </row>
        <row r="5434">
          <cell r="A5434" t="str">
            <v>KYG7T16G1039</v>
          </cell>
          <cell r="E5434">
            <v>22.890802770000001</v>
          </cell>
        </row>
        <row r="5435">
          <cell r="A5435" t="str">
            <v>FR0010776617</v>
          </cell>
          <cell r="E5435">
            <v>7.15</v>
          </cell>
        </row>
        <row r="5436">
          <cell r="A5436" t="str">
            <v>JP3320800000</v>
          </cell>
          <cell r="E5436">
            <v>49.732620079999997</v>
          </cell>
        </row>
        <row r="5437">
          <cell r="A5437" t="str">
            <v>CA8029121057</v>
          </cell>
          <cell r="E5437">
            <v>16.248809984000001</v>
          </cell>
        </row>
        <row r="5438">
          <cell r="A5438" t="str">
            <v>US8036071004</v>
          </cell>
          <cell r="E5438">
            <v>48.040254151200003</v>
          </cell>
        </row>
        <row r="5439">
          <cell r="A5439" t="str">
            <v>DE0007165631</v>
          </cell>
          <cell r="E5439">
            <v>194.15</v>
          </cell>
        </row>
        <row r="5440">
          <cell r="A5440" t="str">
            <v>DE0007165607</v>
          </cell>
          <cell r="E5440">
            <v>161.4</v>
          </cell>
        </row>
        <row r="5441">
          <cell r="A5441" t="str">
            <v>FR0013154002</v>
          </cell>
          <cell r="E5441">
            <v>172.9</v>
          </cell>
        </row>
        <row r="5442">
          <cell r="A5442" t="str">
            <v>SG1ED2000000</v>
          </cell>
          <cell r="E5442">
            <v>0.40586321544999998</v>
          </cell>
        </row>
        <row r="5443">
          <cell r="A5443" t="str">
            <v>JP3321400008</v>
          </cell>
          <cell r="E5443">
            <v>12.314096080000001</v>
          </cell>
        </row>
        <row r="5444">
          <cell r="A5444" t="str">
            <v>JP3322000005</v>
          </cell>
          <cell r="E5444">
            <v>8.361957760000001</v>
          </cell>
        </row>
        <row r="5445">
          <cell r="A5445" t="str">
            <v>JP3322300009</v>
          </cell>
          <cell r="E5445">
            <v>9.51853032</v>
          </cell>
        </row>
        <row r="5446">
          <cell r="A5446" t="str">
            <v>NO0010863285</v>
          </cell>
          <cell r="E5446">
            <v>2.8887036254999998</v>
          </cell>
        </row>
        <row r="5447">
          <cell r="A5447" t="str">
            <v>SG1I52882764</v>
          </cell>
          <cell r="E5447">
            <v>1.7911649343</v>
          </cell>
        </row>
        <row r="5448">
          <cell r="A5448" t="str">
            <v>CA8051121090</v>
          </cell>
          <cell r="E5448">
            <v>10.2253253454</v>
          </cell>
        </row>
        <row r="5449">
          <cell r="A5449" t="str">
            <v>FR0000120107</v>
          </cell>
          <cell r="E5449">
            <v>58.8</v>
          </cell>
        </row>
        <row r="5450">
          <cell r="A5450" t="str">
            <v>GB00B135BJ46</v>
          </cell>
          <cell r="E5450">
            <v>10.745398310000001</v>
          </cell>
        </row>
        <row r="5451">
          <cell r="A5451" t="str">
            <v>JP3323040000</v>
          </cell>
          <cell r="E5451">
            <v>11.7821964</v>
          </cell>
        </row>
        <row r="5452">
          <cell r="A5452" t="str">
            <v>US78410G1040</v>
          </cell>
          <cell r="E5452">
            <v>198.50812111319999</v>
          </cell>
        </row>
        <row r="5453">
          <cell r="A5453" t="str">
            <v>SE0009554454</v>
          </cell>
          <cell r="E5453">
            <v>0.33549257379000003</v>
          </cell>
        </row>
        <row r="5454">
          <cell r="A5454" t="str">
            <v>IT0005568461</v>
          </cell>
          <cell r="E5454">
            <v>7.6</v>
          </cell>
        </row>
        <row r="5455">
          <cell r="A5455" t="str">
            <v>JP3922100007</v>
          </cell>
          <cell r="E5455">
            <v>3.8964743999999998</v>
          </cell>
        </row>
        <row r="5456">
          <cell r="A5456" t="str">
            <v>JP3436120004</v>
          </cell>
          <cell r="E5456">
            <v>21.418239440000001</v>
          </cell>
        </row>
        <row r="5457">
          <cell r="A5457" t="str">
            <v>JP3400650002</v>
          </cell>
          <cell r="E5457">
            <v>23.4716196</v>
          </cell>
        </row>
        <row r="5458">
          <cell r="A5458" t="str">
            <v>NL0000360618</v>
          </cell>
          <cell r="E5458">
            <v>16.829999999999998</v>
          </cell>
        </row>
        <row r="5459">
          <cell r="A5459" t="str">
            <v>NZSCLE0002S8</v>
          </cell>
          <cell r="E5459">
            <v>2.125487546</v>
          </cell>
        </row>
        <row r="5460">
          <cell r="A5460" t="str">
            <v>NO0003053308</v>
          </cell>
          <cell r="E5460">
            <v>0.16471863270600001</v>
          </cell>
        </row>
        <row r="5461">
          <cell r="A5461" t="str">
            <v>SE0005999760</v>
          </cell>
          <cell r="E5461">
            <v>7.4673863300000001</v>
          </cell>
        </row>
        <row r="5462">
          <cell r="A5462" t="str">
            <v>SE0007640156</v>
          </cell>
          <cell r="E5462">
            <v>6.4327484650000004</v>
          </cell>
        </row>
        <row r="5463">
          <cell r="A5463" t="str">
            <v>SE0005877560</v>
          </cell>
          <cell r="E5463">
            <v>8.4030588340000004E-2</v>
          </cell>
        </row>
        <row r="5464">
          <cell r="A5464" t="str">
            <v>DK0060696300</v>
          </cell>
          <cell r="E5464">
            <v>12.122998089999999</v>
          </cell>
        </row>
        <row r="5465">
          <cell r="A5465" t="str">
            <v>NO0010715139</v>
          </cell>
          <cell r="E5465">
            <v>6.2942892850000014</v>
          </cell>
        </row>
        <row r="5466">
          <cell r="A5466" t="str">
            <v>FR0006239109</v>
          </cell>
          <cell r="E5466">
            <v>8.6999999999999993</v>
          </cell>
        </row>
        <row r="5467">
          <cell r="A5467" t="str">
            <v>AU000000SCG8</v>
          </cell>
          <cell r="E5467">
            <v>1.8904548768</v>
          </cell>
        </row>
        <row r="5468">
          <cell r="A5468" t="str">
            <v>DE000SHA0019</v>
          </cell>
          <cell r="E5468">
            <v>3.6080000000000001</v>
          </cell>
        </row>
        <row r="5469">
          <cell r="A5469" t="str">
            <v>NO0003028904</v>
          </cell>
          <cell r="E5469">
            <v>25.910796156</v>
          </cell>
        </row>
        <row r="5470">
          <cell r="A5470" t="str">
            <v>NO0010736879</v>
          </cell>
          <cell r="E5470">
            <v>24.560233422</v>
          </cell>
        </row>
        <row r="5471">
          <cell r="A5471" t="str">
            <v>CH0024638196</v>
          </cell>
          <cell r="E5471">
            <v>295.86437799999999</v>
          </cell>
        </row>
        <row r="5472">
          <cell r="A5472" t="str">
            <v>AN8068571086</v>
          </cell>
          <cell r="E5472">
            <v>29.802259833600001</v>
          </cell>
        </row>
        <row r="5473">
          <cell r="A5473" t="str">
            <v>FR0000121972</v>
          </cell>
          <cell r="E5473">
            <v>208.7</v>
          </cell>
        </row>
        <row r="5474">
          <cell r="A5474" t="str">
            <v>US80689H1023</v>
          </cell>
          <cell r="E5474">
            <v>19.597457592000001</v>
          </cell>
        </row>
        <row r="5475">
          <cell r="A5475" t="str">
            <v>AT0000946652</v>
          </cell>
          <cell r="E5475">
            <v>31.45</v>
          </cell>
        </row>
        <row r="5476">
          <cell r="A5476" t="str">
            <v>US80706P1030</v>
          </cell>
          <cell r="E5476">
            <v>26.677259839200001</v>
          </cell>
        </row>
        <row r="5477">
          <cell r="A5477" t="str">
            <v>DE000A3ENQ51</v>
          </cell>
          <cell r="E5477">
            <v>22.85</v>
          </cell>
        </row>
        <row r="5478">
          <cell r="A5478" t="str">
            <v>DK0010253921</v>
          </cell>
          <cell r="E5478">
            <v>77.426440839999998</v>
          </cell>
        </row>
        <row r="5479">
          <cell r="A5479" t="str">
            <v>GB00BP9LHF23</v>
          </cell>
          <cell r="E5479">
            <v>3.7205503179999999</v>
          </cell>
        </row>
        <row r="5480">
          <cell r="A5480" t="str">
            <v>US80810D1037</v>
          </cell>
          <cell r="E5480">
            <v>22.594456174200001</v>
          </cell>
        </row>
        <row r="5481">
          <cell r="A5481" t="str">
            <v>US8086251076</v>
          </cell>
          <cell r="E5481">
            <v>103.44279642479999</v>
          </cell>
        </row>
        <row r="5482">
          <cell r="A5482" t="str">
            <v>IT0005340051</v>
          </cell>
          <cell r="E5482">
            <v>0.78600000000000003</v>
          </cell>
        </row>
        <row r="5483">
          <cell r="A5483" t="str">
            <v>IL0002880198</v>
          </cell>
          <cell r="E5483">
            <v>29.954620800000001</v>
          </cell>
        </row>
        <row r="5484">
          <cell r="A5484" t="str">
            <v>FR0010411983</v>
          </cell>
          <cell r="E5484">
            <v>25.32</v>
          </cell>
        </row>
        <row r="5485">
          <cell r="A5485" t="str">
            <v>MHY7542C1306</v>
          </cell>
          <cell r="E5485">
            <v>29.6521892124</v>
          </cell>
        </row>
        <row r="5486">
          <cell r="A5486" t="str">
            <v>US8101861065</v>
          </cell>
          <cell r="E5486">
            <v>45.082980145199997</v>
          </cell>
        </row>
        <row r="5487">
          <cell r="A5487" t="str">
            <v>DE000A12DM80</v>
          </cell>
          <cell r="E5487">
            <v>101.6</v>
          </cell>
        </row>
        <row r="5488">
          <cell r="A5488" t="str">
            <v>JP3494600004</v>
          </cell>
          <cell r="E5488">
            <v>58.001804640000003</v>
          </cell>
        </row>
        <row r="5489">
          <cell r="A5489" t="str">
            <v>JP3913600007</v>
          </cell>
          <cell r="E5489">
            <v>6.0859219200000014</v>
          </cell>
        </row>
        <row r="5490">
          <cell r="A5490" t="str">
            <v>JP3400400002</v>
          </cell>
          <cell r="E5490">
            <v>22.383080719999999</v>
          </cell>
        </row>
        <row r="5491">
          <cell r="A5491" t="str">
            <v>SE0003756758</v>
          </cell>
          <cell r="E5491">
            <v>16.64417435</v>
          </cell>
        </row>
        <row r="5492">
          <cell r="A5492" t="str">
            <v>KYG812291253</v>
          </cell>
          <cell r="E5492">
            <v>1.4772822003999999</v>
          </cell>
        </row>
        <row r="5493">
          <cell r="A5493" t="str">
            <v>CY0101162119</v>
          </cell>
          <cell r="E5493">
            <v>0.44685285520000012</v>
          </cell>
        </row>
        <row r="5494">
          <cell r="A5494" t="str">
            <v>CA8119161054</v>
          </cell>
          <cell r="E5494">
            <v>10.999293765599999</v>
          </cell>
        </row>
        <row r="5495">
          <cell r="A5495" t="str">
            <v>US8117078019</v>
          </cell>
          <cell r="E5495">
            <v>19.8887711508</v>
          </cell>
        </row>
        <row r="5496">
          <cell r="A5496" t="str">
            <v>BMG7947V2045</v>
          </cell>
          <cell r="E5496">
            <v>5.2188411820000002E-3</v>
          </cell>
        </row>
        <row r="5497">
          <cell r="A5497" t="str">
            <v>IE00BKVD2N49</v>
          </cell>
          <cell r="E5497">
            <v>63.559321920000002</v>
          </cell>
        </row>
        <row r="5498">
          <cell r="A5498" t="str">
            <v>US81211K1007</v>
          </cell>
          <cell r="E5498">
            <v>23.075564930399999</v>
          </cell>
        </row>
        <row r="5499">
          <cell r="A5499" t="str">
            <v>SGXE34184239</v>
          </cell>
          <cell r="E5499">
            <v>1.207526922</v>
          </cell>
        </row>
        <row r="5500">
          <cell r="A5500" t="str">
            <v>SE0000120784</v>
          </cell>
          <cell r="E5500">
            <v>13.945119050000001</v>
          </cell>
        </row>
        <row r="5501">
          <cell r="A5501" t="str">
            <v>JP3161600006</v>
          </cell>
          <cell r="E5501">
            <v>11.79456616</v>
          </cell>
        </row>
        <row r="5502">
          <cell r="A5502" t="str">
            <v>FR0000039109</v>
          </cell>
          <cell r="E5502">
            <v>76</v>
          </cell>
        </row>
        <row r="5503">
          <cell r="A5503" t="str">
            <v>IT0005438046</v>
          </cell>
          <cell r="E5503">
            <v>1.8779999999999999</v>
          </cell>
        </row>
        <row r="5504">
          <cell r="A5504" t="str">
            <v>JP3421800008</v>
          </cell>
          <cell r="E5504">
            <v>31.413005519999999</v>
          </cell>
        </row>
        <row r="5505">
          <cell r="A5505" t="str">
            <v>SE0022419784</v>
          </cell>
          <cell r="E5505">
            <v>23.877642554000001</v>
          </cell>
        </row>
        <row r="5506">
          <cell r="A5506" t="str">
            <v>CA8139211038</v>
          </cell>
          <cell r="E5506">
            <v>7.9847667811999994</v>
          </cell>
        </row>
        <row r="5507">
          <cell r="A5507" t="str">
            <v>SE0000163594</v>
          </cell>
          <cell r="E5507">
            <v>13.0769229285</v>
          </cell>
        </row>
        <row r="5508">
          <cell r="A5508" t="str">
            <v>AU000000SEK6</v>
          </cell>
          <cell r="E5508">
            <v>11.7365740268</v>
          </cell>
        </row>
        <row r="5509">
          <cell r="A5509" t="str">
            <v>JP3419050004</v>
          </cell>
          <cell r="E5509">
            <v>17.425899399999999</v>
          </cell>
        </row>
        <row r="5510">
          <cell r="A5510" t="str">
            <v>GB00B5ZN1N88</v>
          </cell>
          <cell r="E5510">
            <v>7.8316298019999993</v>
          </cell>
        </row>
        <row r="5511">
          <cell r="A5511" t="str">
            <v>US7841171033</v>
          </cell>
          <cell r="E5511">
            <v>64.671610053600006</v>
          </cell>
        </row>
        <row r="5512">
          <cell r="A5512" t="str">
            <v>JP3417200007</v>
          </cell>
          <cell r="E5512">
            <v>20.527616720000001</v>
          </cell>
        </row>
        <row r="5513">
          <cell r="A5513" t="str">
            <v>IT0005353484</v>
          </cell>
          <cell r="E5513">
            <v>0.25</v>
          </cell>
        </row>
        <row r="5514">
          <cell r="A5514" t="str">
            <v>JP3414200000</v>
          </cell>
          <cell r="E5514">
            <v>25.760025200000001</v>
          </cell>
        </row>
        <row r="5515">
          <cell r="A5515" t="str">
            <v>JP3414000004</v>
          </cell>
          <cell r="E5515">
            <v>4.1562393599999998</v>
          </cell>
        </row>
        <row r="5516">
          <cell r="A5516" t="str">
            <v>JP3414600001</v>
          </cell>
          <cell r="E5516">
            <v>9.1288828800000008</v>
          </cell>
        </row>
        <row r="5517">
          <cell r="A5517" t="str">
            <v>JP3414750004</v>
          </cell>
          <cell r="E5517">
            <v>11.59974244</v>
          </cell>
        </row>
        <row r="5518">
          <cell r="A5518" t="str">
            <v>JP3414700009</v>
          </cell>
          <cell r="E5518">
            <v>22.018172799999999</v>
          </cell>
        </row>
        <row r="5519">
          <cell r="A5519" t="str">
            <v>JP3414870000</v>
          </cell>
          <cell r="E5519">
            <v>19.358674400000002</v>
          </cell>
        </row>
        <row r="5520">
          <cell r="A5520" t="str">
            <v>JP3415400005</v>
          </cell>
          <cell r="E5520">
            <v>13.93762708</v>
          </cell>
        </row>
        <row r="5521">
          <cell r="A5521" t="str">
            <v>JP3413800008</v>
          </cell>
          <cell r="E5521">
            <v>13.538702320000001</v>
          </cell>
        </row>
        <row r="5522">
          <cell r="A5522" t="str">
            <v>JP3419400001</v>
          </cell>
          <cell r="E5522">
            <v>14.9364852</v>
          </cell>
        </row>
        <row r="5523">
          <cell r="A5523" t="str">
            <v>JP3420600003</v>
          </cell>
          <cell r="E5523">
            <v>19.661733519999999</v>
          </cell>
        </row>
        <row r="5524">
          <cell r="A5524" t="str">
            <v>JP3047820000</v>
          </cell>
          <cell r="E5524">
            <v>488.60552000000001</v>
          </cell>
        </row>
        <row r="5525">
          <cell r="A5525" t="str">
            <v>JP3420200002</v>
          </cell>
          <cell r="E5525">
            <v>10.860649280000001</v>
          </cell>
        </row>
        <row r="5526">
          <cell r="A5526" t="str">
            <v>FR0000065492</v>
          </cell>
          <cell r="E5526">
            <v>0.28999999999999998</v>
          </cell>
        </row>
        <row r="5527">
          <cell r="A5527" t="str">
            <v>AU000000SHV6</v>
          </cell>
          <cell r="E5527">
            <v>3.0438574057999999</v>
          </cell>
        </row>
        <row r="5528">
          <cell r="A5528" t="str">
            <v>US81619Q1058</v>
          </cell>
          <cell r="E5528">
            <v>14.389124268</v>
          </cell>
        </row>
        <row r="5529">
          <cell r="A5529" t="str">
            <v>US81617J3014</v>
          </cell>
          <cell r="E5529">
            <v>7.2916666536000001</v>
          </cell>
        </row>
        <row r="5530">
          <cell r="A5530" t="str">
            <v>FR0004175842</v>
          </cell>
          <cell r="E5530">
            <v>81</v>
          </cell>
        </row>
        <row r="5531">
          <cell r="A5531" t="str">
            <v>US8163001071</v>
          </cell>
          <cell r="E5531">
            <v>77.895480086399999</v>
          </cell>
        </row>
        <row r="5532">
          <cell r="A5532" t="str">
            <v>IL0011096448</v>
          </cell>
          <cell r="E5532">
            <v>2.0279374290000001</v>
          </cell>
        </row>
        <row r="5533">
          <cell r="A5533" t="str">
            <v>NO0010612450</v>
          </cell>
          <cell r="E5533">
            <v>2.9345560640000001</v>
          </cell>
        </row>
        <row r="5534">
          <cell r="A5534" t="str">
            <v>PTSEM0AM0004</v>
          </cell>
          <cell r="E5534">
            <v>15.568</v>
          </cell>
        </row>
        <row r="5535">
          <cell r="A5535" t="str">
            <v>SG1R50925390</v>
          </cell>
          <cell r="E5535">
            <v>4.1391339492999997</v>
          </cell>
        </row>
        <row r="5536">
          <cell r="A5536" t="str">
            <v>US8168511090</v>
          </cell>
          <cell r="E5536">
            <v>61.987994239199999</v>
          </cell>
        </row>
        <row r="5537">
          <cell r="A5537" t="str">
            <v>US8168501018</v>
          </cell>
          <cell r="E5537">
            <v>24.099576228</v>
          </cell>
        </row>
        <row r="5538">
          <cell r="A5538" t="str">
            <v>GB0007958233</v>
          </cell>
          <cell r="E5538">
            <v>1.5200237000000001</v>
          </cell>
        </row>
        <row r="5539">
          <cell r="A5539" t="str">
            <v>JP3423800006</v>
          </cell>
          <cell r="E5539">
            <v>9.1659921600000001</v>
          </cell>
        </row>
        <row r="5540">
          <cell r="A5540" t="str">
            <v>GB00BFMBMT84</v>
          </cell>
          <cell r="E5540">
            <v>17.434675110000001</v>
          </cell>
        </row>
        <row r="5541">
          <cell r="A5541" t="str">
            <v>JP3424400004</v>
          </cell>
          <cell r="E5541">
            <v>25.017839599999999</v>
          </cell>
        </row>
        <row r="5542">
          <cell r="A5542" t="str">
            <v>JP3132600002</v>
          </cell>
          <cell r="E5542">
            <v>2.4925066400000002</v>
          </cell>
        </row>
        <row r="5543">
          <cell r="A5543" t="str">
            <v>US81725T1007</v>
          </cell>
          <cell r="E5543">
            <v>65.960451859200006</v>
          </cell>
        </row>
        <row r="5544">
          <cell r="A5544" t="str">
            <v>CH0406705126</v>
          </cell>
          <cell r="E5544">
            <v>66.299535799999987</v>
          </cell>
        </row>
        <row r="5545">
          <cell r="A5545" t="str">
            <v>FR0012596468</v>
          </cell>
          <cell r="E5545">
            <v>0.29799999999999999</v>
          </cell>
        </row>
        <row r="5546">
          <cell r="A5546" t="str">
            <v>US81730H1095</v>
          </cell>
          <cell r="E5546">
            <v>15.333686413200001</v>
          </cell>
        </row>
        <row r="5547">
          <cell r="A5547" t="str">
            <v>NGSEPLAT0008</v>
          </cell>
          <cell r="E5547">
            <v>2.2964050359999999</v>
          </cell>
        </row>
        <row r="5548">
          <cell r="A5548" t="str">
            <v>JP3423300007</v>
          </cell>
          <cell r="E5548">
            <v>2.0843045600000001</v>
          </cell>
        </row>
        <row r="5549">
          <cell r="A5549" t="str">
            <v>BE0974340722</v>
          </cell>
          <cell r="E5549">
            <v>1.1100000000000001</v>
          </cell>
        </row>
        <row r="5550">
          <cell r="A5550" t="str">
            <v>GB0007973794</v>
          </cell>
          <cell r="E5550">
            <v>1.881321641</v>
          </cell>
        </row>
        <row r="5551">
          <cell r="A5551" t="str">
            <v>FR0011950682</v>
          </cell>
          <cell r="E5551">
            <v>5.0999999999999996</v>
          </cell>
        </row>
        <row r="5552">
          <cell r="A5552" t="str">
            <v>JP3423520000</v>
          </cell>
          <cell r="E5552">
            <v>18.016555440000001</v>
          </cell>
        </row>
        <row r="5553">
          <cell r="A5553" t="str">
            <v>GB00B0CY5V57</v>
          </cell>
          <cell r="E5553">
            <v>1.44986876</v>
          </cell>
        </row>
        <row r="5554">
          <cell r="A5554" t="str">
            <v>US8175651046</v>
          </cell>
          <cell r="E5554">
            <v>68.882415130799998</v>
          </cell>
        </row>
        <row r="5555">
          <cell r="A5555" t="str">
            <v>US81761L1026</v>
          </cell>
          <cell r="E5555">
            <v>1.6507768331999999</v>
          </cell>
        </row>
        <row r="5556">
          <cell r="A5556" t="str">
            <v>AU000000SSM2</v>
          </cell>
          <cell r="E5556">
            <v>0.97617238430000008</v>
          </cell>
        </row>
        <row r="5557">
          <cell r="A5557" t="str">
            <v>US81762P1021</v>
          </cell>
          <cell r="E5557">
            <v>720.78036594000002</v>
          </cell>
        </row>
        <row r="5558">
          <cell r="A5558" t="str">
            <v>US81764X1037</v>
          </cell>
          <cell r="E5558">
            <v>102.03919473240001</v>
          </cell>
        </row>
        <row r="5559">
          <cell r="A5559" t="str">
            <v>US81768T1088</v>
          </cell>
          <cell r="E5559">
            <v>61.228813449599997</v>
          </cell>
        </row>
        <row r="5560">
          <cell r="A5560" t="str">
            <v>LU0088087324</v>
          </cell>
          <cell r="E5560">
            <v>5.0250000000000004</v>
          </cell>
        </row>
        <row r="5561">
          <cell r="A5561" t="str">
            <v>IT0004729759</v>
          </cell>
          <cell r="E5561">
            <v>64.849999999999994</v>
          </cell>
        </row>
        <row r="5562">
          <cell r="A5562" t="str">
            <v>JP3422950000</v>
          </cell>
          <cell r="E5562">
            <v>12.1223648</v>
          </cell>
        </row>
        <row r="5563">
          <cell r="A5563" t="str">
            <v>JP3105220002</v>
          </cell>
          <cell r="E5563">
            <v>1.5425090720000001</v>
          </cell>
        </row>
        <row r="5564">
          <cell r="A5564" t="str">
            <v>GB00B1FH8J72</v>
          </cell>
          <cell r="E5564">
            <v>31.558030509999998</v>
          </cell>
        </row>
        <row r="5565">
          <cell r="A5565" t="str">
            <v>CH0239229302</v>
          </cell>
          <cell r="E5565">
            <v>113.8106038</v>
          </cell>
        </row>
        <row r="5566">
          <cell r="A5566" t="str">
            <v>IT0005337172</v>
          </cell>
          <cell r="E5566">
            <v>0.27400000000000002</v>
          </cell>
        </row>
        <row r="5567">
          <cell r="A5567" t="str">
            <v>AU000000SGF1</v>
          </cell>
          <cell r="E5567">
            <v>1.96922383</v>
          </cell>
        </row>
        <row r="5568">
          <cell r="A5568" t="str">
            <v>JP3162770006</v>
          </cell>
          <cell r="E5568">
            <v>9.0175550399999995</v>
          </cell>
        </row>
        <row r="5569">
          <cell r="A5569" t="str">
            <v>AU0000364754</v>
          </cell>
          <cell r="E5569">
            <v>27.231552392000001</v>
          </cell>
        </row>
        <row r="5570">
          <cell r="A5570" t="str">
            <v>CH1256740924</v>
          </cell>
          <cell r="E5570">
            <v>82.388511099999988</v>
          </cell>
        </row>
        <row r="5571">
          <cell r="A5571" t="str">
            <v>GB00B62G9D36</v>
          </cell>
          <cell r="E5571">
            <v>1.488453977</v>
          </cell>
        </row>
        <row r="5572">
          <cell r="A5572" t="str">
            <v>US8190471016</v>
          </cell>
          <cell r="E5572">
            <v>72.881355801600009</v>
          </cell>
        </row>
        <row r="5573">
          <cell r="A5573" t="str">
            <v>CA8193201024</v>
          </cell>
          <cell r="E5573">
            <v>0.12379666976000001</v>
          </cell>
        </row>
        <row r="5574">
          <cell r="A5574" t="str">
            <v>IL0011338758</v>
          </cell>
          <cell r="E5574">
            <v>6.0629304599999996</v>
          </cell>
        </row>
        <row r="5575">
          <cell r="A5575" t="str">
            <v>KYG8068L1086</v>
          </cell>
          <cell r="E5575">
            <v>65.925141124800007</v>
          </cell>
        </row>
        <row r="5576">
          <cell r="A5576" t="str">
            <v>JP3359600008</v>
          </cell>
          <cell r="E5576">
            <v>5.206431984</v>
          </cell>
        </row>
        <row r="5577">
          <cell r="A5577" t="str">
            <v>KYG236271055</v>
          </cell>
          <cell r="E5577">
            <v>0.51271363050000007</v>
          </cell>
        </row>
        <row r="5578">
          <cell r="A5578" t="str">
            <v>BMG236541170</v>
          </cell>
          <cell r="E5578">
            <v>2.4176740300000001</v>
          </cell>
        </row>
        <row r="5579">
          <cell r="A5579" t="str">
            <v>GB00BP6MXD84</v>
          </cell>
          <cell r="E5579">
            <v>27.97</v>
          </cell>
        </row>
        <row r="5580">
          <cell r="A5580" t="str">
            <v>SG2D54973185</v>
          </cell>
          <cell r="E5580">
            <v>1.1136081614</v>
          </cell>
        </row>
        <row r="5581">
          <cell r="A5581" t="str">
            <v>KYG8087W1015</v>
          </cell>
          <cell r="E5581">
            <v>5.7816628079999992</v>
          </cell>
        </row>
        <row r="5582">
          <cell r="A5582" t="str">
            <v>US8243481061</v>
          </cell>
          <cell r="E5582">
            <v>297.38700511680003</v>
          </cell>
        </row>
        <row r="5583">
          <cell r="A5583" t="str">
            <v>JP3354800009</v>
          </cell>
          <cell r="E5583">
            <v>28.976162800000001</v>
          </cell>
        </row>
        <row r="5584">
          <cell r="A5584" t="str">
            <v>JP3592600005</v>
          </cell>
          <cell r="E5584">
            <v>21.0904408</v>
          </cell>
        </row>
        <row r="5585">
          <cell r="A5585" t="str">
            <v>JP3355000005</v>
          </cell>
          <cell r="E5585">
            <v>40.634661600000001</v>
          </cell>
        </row>
        <row r="5586">
          <cell r="A5586" t="str">
            <v>JP3355600002</v>
          </cell>
          <cell r="E5586">
            <v>18.771110799999999</v>
          </cell>
        </row>
        <row r="5587">
          <cell r="A5587" t="str">
            <v>JP3356000004</v>
          </cell>
          <cell r="E5587">
            <v>18.307244799999999</v>
          </cell>
        </row>
        <row r="5588">
          <cell r="A5588" t="str">
            <v>JP3355400007</v>
          </cell>
          <cell r="E5588">
            <v>7.3909316</v>
          </cell>
        </row>
        <row r="5589">
          <cell r="A5589" t="str">
            <v>US82452J1097</v>
          </cell>
          <cell r="E5589">
            <v>68.917725865199998</v>
          </cell>
        </row>
        <row r="5590">
          <cell r="A5590" t="str">
            <v>JP3347600003</v>
          </cell>
          <cell r="E5590">
            <v>31.790283200000001</v>
          </cell>
        </row>
        <row r="5591">
          <cell r="A5591" t="str">
            <v>JP3350000000</v>
          </cell>
          <cell r="E5591">
            <v>6.9085109600000001</v>
          </cell>
        </row>
        <row r="5592">
          <cell r="A5592" t="str">
            <v>JP3350800003</v>
          </cell>
          <cell r="E5592">
            <v>6.6889477199999998</v>
          </cell>
        </row>
        <row r="5593">
          <cell r="A5593" t="str">
            <v>JP3349600001</v>
          </cell>
          <cell r="E5593">
            <v>10.613254080000001</v>
          </cell>
        </row>
        <row r="5594">
          <cell r="A5594" t="str">
            <v>IL0010819428</v>
          </cell>
          <cell r="E5594">
            <v>2.7050366700000001</v>
          </cell>
        </row>
        <row r="5595">
          <cell r="A5595" t="str">
            <v>IL0011882425</v>
          </cell>
          <cell r="E5595">
            <v>0.55972897199999994</v>
          </cell>
        </row>
        <row r="5596">
          <cell r="A5596" t="str">
            <v>JP3356500003</v>
          </cell>
          <cell r="E5596">
            <v>4.7932819999999996</v>
          </cell>
        </row>
        <row r="5597">
          <cell r="A5597" t="str">
            <v>JP3357200009</v>
          </cell>
          <cell r="E5597">
            <v>22.364526080000001</v>
          </cell>
        </row>
        <row r="5598">
          <cell r="A5598" t="str">
            <v>JP3358200008</v>
          </cell>
          <cell r="E5598">
            <v>57.154476080000002</v>
          </cell>
        </row>
        <row r="5599">
          <cell r="A5599" t="str">
            <v>JP3358000002</v>
          </cell>
          <cell r="E5599">
            <v>122.3369264</v>
          </cell>
        </row>
        <row r="5600">
          <cell r="A5600" t="str">
            <v>KYG810431042</v>
          </cell>
          <cell r="E5600">
            <v>8.6497317599999998E-2</v>
          </cell>
        </row>
        <row r="5601">
          <cell r="A5601" t="str">
            <v>JP3358800005</v>
          </cell>
          <cell r="E5601">
            <v>8.2444450400000004</v>
          </cell>
        </row>
        <row r="5602">
          <cell r="A5602" t="str">
            <v>JP3380250005</v>
          </cell>
          <cell r="E5602">
            <v>10.86683416</v>
          </cell>
        </row>
        <row r="5603">
          <cell r="A5603" t="str">
            <v>JP3379950003</v>
          </cell>
          <cell r="E5603">
            <v>7.7929487999999996</v>
          </cell>
        </row>
        <row r="5604">
          <cell r="A5604" t="str">
            <v>JP3353200003</v>
          </cell>
          <cell r="E5604">
            <v>9.5618244800000003</v>
          </cell>
        </row>
        <row r="5605">
          <cell r="A5605" t="str">
            <v>JP3377800002</v>
          </cell>
          <cell r="E5605">
            <v>11.86259984</v>
          </cell>
        </row>
        <row r="5606">
          <cell r="A5606" t="str">
            <v>JP3371200001</v>
          </cell>
          <cell r="E5606">
            <v>24.281838879999999</v>
          </cell>
        </row>
        <row r="5607">
          <cell r="A5607" t="str">
            <v>JP3371600002</v>
          </cell>
          <cell r="E5607">
            <v>8.4361763199999995</v>
          </cell>
        </row>
        <row r="5608">
          <cell r="A5608" t="str">
            <v>JP3375800004</v>
          </cell>
          <cell r="E5608">
            <v>36.626859359999997</v>
          </cell>
        </row>
        <row r="5609">
          <cell r="A5609" t="str">
            <v>JP3374200008</v>
          </cell>
          <cell r="E5609">
            <v>4.7005088000000006</v>
          </cell>
        </row>
        <row r="5610">
          <cell r="A5610" t="str">
            <v>JP3384600007</v>
          </cell>
          <cell r="E5610">
            <v>7.9784952000000002</v>
          </cell>
        </row>
        <row r="5611">
          <cell r="A5611" t="str">
            <v>JP3380300008</v>
          </cell>
          <cell r="E5611">
            <v>9.6113035199999999</v>
          </cell>
        </row>
        <row r="5612">
          <cell r="A5612" t="str">
            <v>JP3374000002</v>
          </cell>
          <cell r="E5612">
            <v>10.706027280000001</v>
          </cell>
        </row>
        <row r="5613">
          <cell r="A5613" t="str">
            <v>JP3384710004</v>
          </cell>
          <cell r="E5613">
            <v>17.824824159999999</v>
          </cell>
        </row>
        <row r="5614">
          <cell r="A5614" t="str">
            <v>JP3347200002</v>
          </cell>
          <cell r="E5614">
            <v>14.135543240000001</v>
          </cell>
        </row>
        <row r="5615">
          <cell r="A5615" t="str">
            <v>JP3274150006</v>
          </cell>
          <cell r="E5615">
            <v>11.99557476</v>
          </cell>
        </row>
        <row r="5616">
          <cell r="A5616" t="str">
            <v>JP3351600006</v>
          </cell>
          <cell r="E5616">
            <v>14.6581656</v>
          </cell>
        </row>
        <row r="5617">
          <cell r="A5617" t="str">
            <v>JP3351500008</v>
          </cell>
          <cell r="E5617">
            <v>8.9680759999999999</v>
          </cell>
        </row>
        <row r="5618">
          <cell r="A5618" t="str">
            <v>JP3351150002</v>
          </cell>
          <cell r="E5618">
            <v>7.0631329599999999</v>
          </cell>
        </row>
        <row r="5619">
          <cell r="A5619" t="str">
            <v>JP3360250009</v>
          </cell>
          <cell r="E5619">
            <v>30.033777279999999</v>
          </cell>
        </row>
        <row r="5620">
          <cell r="A5620" t="str">
            <v>US82489W1071</v>
          </cell>
          <cell r="E5620">
            <v>2.9043079044</v>
          </cell>
        </row>
        <row r="5621">
          <cell r="A5621" t="str">
            <v>JP3362800009</v>
          </cell>
          <cell r="E5621">
            <v>85.784285600000004</v>
          </cell>
        </row>
        <row r="5622">
          <cell r="A5622" t="str">
            <v>JP3360900009</v>
          </cell>
          <cell r="E5622">
            <v>9.877253360000001</v>
          </cell>
        </row>
        <row r="5623">
          <cell r="A5623" t="str">
            <v>JP3361200003</v>
          </cell>
          <cell r="E5623">
            <v>25.667252000000001</v>
          </cell>
        </row>
        <row r="5624">
          <cell r="A5624" t="str">
            <v>JP3363600002</v>
          </cell>
          <cell r="E5624">
            <v>13.0191724</v>
          </cell>
        </row>
        <row r="5625">
          <cell r="A5625" t="str">
            <v>CA82509L1076</v>
          </cell>
          <cell r="E5625">
            <v>74.0730930876</v>
          </cell>
        </row>
        <row r="5626">
          <cell r="A5626" t="str">
            <v>JP3368000000</v>
          </cell>
          <cell r="E5626">
            <v>15.709595200000001</v>
          </cell>
        </row>
        <row r="5627">
          <cell r="A5627" t="str">
            <v>JP3366400004</v>
          </cell>
          <cell r="E5627">
            <v>17.8743032</v>
          </cell>
        </row>
        <row r="5628">
          <cell r="A5628" t="str">
            <v>FR0013006558</v>
          </cell>
          <cell r="E5628">
            <v>0.67800000000000005</v>
          </cell>
        </row>
        <row r="5629">
          <cell r="A5629" t="str">
            <v>IL0007770378</v>
          </cell>
          <cell r="E5629">
            <v>8.4319377299999996</v>
          </cell>
        </row>
        <row r="5630">
          <cell r="A5630" t="str">
            <v>GG00BQZCBZ44</v>
          </cell>
          <cell r="E5630">
            <v>33.950000000000003</v>
          </cell>
        </row>
        <row r="5631">
          <cell r="A5631" t="str">
            <v>IT0005504128</v>
          </cell>
          <cell r="E5631">
            <v>1.88</v>
          </cell>
        </row>
        <row r="5632">
          <cell r="A5632" t="str">
            <v>IT0005556581</v>
          </cell>
          <cell r="E5632">
            <v>3.55</v>
          </cell>
        </row>
        <row r="5633">
          <cell r="A5633" t="str">
            <v>FR0010202606</v>
          </cell>
          <cell r="E5633">
            <v>235</v>
          </cell>
        </row>
        <row r="5634">
          <cell r="A5634" t="str">
            <v>CH0014284498</v>
          </cell>
          <cell r="E5634">
            <v>955.62034499999993</v>
          </cell>
        </row>
        <row r="5635">
          <cell r="A5635" t="str">
            <v>DE0007236101</v>
          </cell>
          <cell r="E5635">
            <v>185.3</v>
          </cell>
        </row>
        <row r="5636">
          <cell r="A5636" t="str">
            <v>DE000ENER6Y0</v>
          </cell>
          <cell r="E5636">
            <v>58.28</v>
          </cell>
        </row>
        <row r="5637">
          <cell r="A5637" t="str">
            <v>DE000SHL1006</v>
          </cell>
          <cell r="E5637">
            <v>44.83</v>
          </cell>
        </row>
        <row r="5638">
          <cell r="A5638" t="str">
            <v>CA82621K1021</v>
          </cell>
          <cell r="E5638">
            <v>10.3966995132</v>
          </cell>
        </row>
        <row r="5639">
          <cell r="A5639" t="str">
            <v>NL0011660485</v>
          </cell>
          <cell r="E5639">
            <v>9.85</v>
          </cell>
        </row>
        <row r="5640">
          <cell r="A5640" t="str">
            <v>CH0435377954</v>
          </cell>
          <cell r="E5640">
            <v>16.60727786</v>
          </cell>
        </row>
        <row r="5641">
          <cell r="A5641" t="str">
            <v>AU000000SIG5</v>
          </cell>
          <cell r="E5641">
            <v>1.6822797862000001</v>
          </cell>
        </row>
        <row r="5642">
          <cell r="A5642" t="str">
            <v>GB00BYX5K988</v>
          </cell>
          <cell r="E5642">
            <v>1.0230928749999999</v>
          </cell>
        </row>
        <row r="5643">
          <cell r="A5643" t="str">
            <v>JP3348950001</v>
          </cell>
          <cell r="E5643">
            <v>6.0117033600000003</v>
          </cell>
        </row>
        <row r="5644">
          <cell r="A5644" t="str">
            <v>FR0000060790</v>
          </cell>
          <cell r="E5644">
            <v>15.4</v>
          </cell>
        </row>
        <row r="5645">
          <cell r="A5645" t="str">
            <v>BMG812761002</v>
          </cell>
          <cell r="E5645">
            <v>48.887711776800003</v>
          </cell>
        </row>
        <row r="5646">
          <cell r="A5646" t="str">
            <v>NL0011821392</v>
          </cell>
          <cell r="E5646">
            <v>18.27</v>
          </cell>
        </row>
        <row r="5647">
          <cell r="A5647" t="str">
            <v>JP3346700002</v>
          </cell>
          <cell r="E5647">
            <v>6.0735521600000002</v>
          </cell>
        </row>
        <row r="5648">
          <cell r="A5648" t="str">
            <v>CH0418792922</v>
          </cell>
          <cell r="E5648">
            <v>214.39369435</v>
          </cell>
        </row>
        <row r="5649">
          <cell r="A5649" t="str">
            <v>AU000000SLX4</v>
          </cell>
          <cell r="E5649">
            <v>1.5866317716</v>
          </cell>
        </row>
        <row r="5650">
          <cell r="A5650" t="str">
            <v>US8270481091</v>
          </cell>
          <cell r="E5650">
            <v>43.264477323599998</v>
          </cell>
        </row>
        <row r="5651">
          <cell r="A5651" t="str">
            <v>US8269191024</v>
          </cell>
          <cell r="E5651">
            <v>80.861581775999994</v>
          </cell>
        </row>
        <row r="5652">
          <cell r="A5652" t="str">
            <v>DE000WAF3001</v>
          </cell>
          <cell r="E5652">
            <v>34.86</v>
          </cell>
        </row>
        <row r="5653">
          <cell r="A5653" t="str">
            <v>CA82835P1036</v>
          </cell>
          <cell r="E5653">
            <v>3.3703586334</v>
          </cell>
        </row>
        <row r="5654">
          <cell r="A5654" t="str">
            <v>US8287302009</v>
          </cell>
          <cell r="E5654">
            <v>16.1370056208</v>
          </cell>
        </row>
        <row r="5655">
          <cell r="A5655" t="str">
            <v>US8288061091</v>
          </cell>
          <cell r="E5655">
            <v>131.85910993319999</v>
          </cell>
        </row>
        <row r="5656">
          <cell r="A5656" t="str">
            <v>IT0005573123</v>
          </cell>
          <cell r="E5656">
            <v>1.56</v>
          </cell>
        </row>
        <row r="5657">
          <cell r="A5657" t="str">
            <v>JP3383270000</v>
          </cell>
          <cell r="E5657">
            <v>17.626908</v>
          </cell>
        </row>
        <row r="5658">
          <cell r="A5658" t="str">
            <v>US82900L1026</v>
          </cell>
          <cell r="E5658">
            <v>33.271539488400002</v>
          </cell>
        </row>
        <row r="5659">
          <cell r="A5659" t="str">
            <v>US8290731053</v>
          </cell>
          <cell r="E5659">
            <v>132.44173705079999</v>
          </cell>
        </row>
        <row r="5660">
          <cell r="A5660" t="str">
            <v>AU000000SGM7</v>
          </cell>
          <cell r="E5660">
            <v>7.8093790744000007</v>
          </cell>
        </row>
        <row r="5661">
          <cell r="A5661" t="str">
            <v>JP3354000006</v>
          </cell>
          <cell r="E5661">
            <v>41.129452000000001</v>
          </cell>
        </row>
        <row r="5662">
          <cell r="A5662" t="str">
            <v>SE0016101844</v>
          </cell>
          <cell r="E5662">
            <v>1.8830409143</v>
          </cell>
        </row>
        <row r="5663">
          <cell r="A5663" t="str">
            <v>JP3375400003</v>
          </cell>
          <cell r="E5663">
            <v>34.635328000000001</v>
          </cell>
        </row>
        <row r="5664">
          <cell r="A5664" t="str">
            <v>SG1F60858221</v>
          </cell>
          <cell r="E5664">
            <v>4.5416429233000004</v>
          </cell>
        </row>
        <row r="5665">
          <cell r="A5665" t="str">
            <v>SG1V61937297</v>
          </cell>
          <cell r="E5665">
            <v>4.2263442270000002</v>
          </cell>
        </row>
        <row r="5666">
          <cell r="A5666" t="str">
            <v>SG1J26887955</v>
          </cell>
          <cell r="E5666">
            <v>8.9558246715000003</v>
          </cell>
        </row>
        <row r="5667">
          <cell r="A5667" t="str">
            <v>SG1N89910219</v>
          </cell>
          <cell r="E5667">
            <v>0.3555495937</v>
          </cell>
        </row>
        <row r="5668">
          <cell r="A5668" t="str">
            <v>SG1T75931496</v>
          </cell>
          <cell r="E5668">
            <v>2.3949283953</v>
          </cell>
        </row>
        <row r="5669">
          <cell r="A5669" t="str">
            <v>JP3372800007</v>
          </cell>
          <cell r="E5669">
            <v>7.2115700800000004</v>
          </cell>
        </row>
        <row r="5670">
          <cell r="A5670" t="str">
            <v>HK0083000502</v>
          </cell>
          <cell r="E5670">
            <v>0.86838754379999994</v>
          </cell>
        </row>
        <row r="5671">
          <cell r="A5671" t="str">
            <v>JP3378200004</v>
          </cell>
          <cell r="E5671">
            <v>4.7932819999999996</v>
          </cell>
        </row>
        <row r="5672">
          <cell r="A5672" t="str">
            <v>IT0005380602</v>
          </cell>
          <cell r="E5672">
            <v>0.46500000000000002</v>
          </cell>
        </row>
        <row r="5673">
          <cell r="A5673" t="str">
            <v>BE0003898187</v>
          </cell>
          <cell r="E5673">
            <v>62.8</v>
          </cell>
        </row>
        <row r="5674">
          <cell r="A5674" t="str">
            <v>FR0010812230</v>
          </cell>
          <cell r="E5674">
            <v>5.7000000000000002E-3</v>
          </cell>
        </row>
        <row r="5675">
          <cell r="A5675" t="str">
            <v>GG00B1W3VF54</v>
          </cell>
          <cell r="E5675">
            <v>1.0236774995</v>
          </cell>
        </row>
        <row r="5676">
          <cell r="A5676" t="str">
            <v>BMG8192H1060</v>
          </cell>
          <cell r="E5676">
            <v>14.415607318799999</v>
          </cell>
        </row>
        <row r="5677">
          <cell r="A5677" t="str">
            <v>US8299331004</v>
          </cell>
          <cell r="E5677">
            <v>18.026129911200002</v>
          </cell>
        </row>
        <row r="5678">
          <cell r="A5678" t="str">
            <v>KYG8187G1055</v>
          </cell>
          <cell r="E5678">
            <v>2.2238915603999998</v>
          </cell>
        </row>
        <row r="5679">
          <cell r="A5679" t="str">
            <v>AU0000183543</v>
          </cell>
          <cell r="E5679">
            <v>2.2224097509999998</v>
          </cell>
        </row>
        <row r="5680">
          <cell r="A5680" t="str">
            <v>US82982L1035</v>
          </cell>
          <cell r="E5680">
            <v>100.5649715712</v>
          </cell>
        </row>
        <row r="5681">
          <cell r="A5681" t="str">
            <v>US82982T1060</v>
          </cell>
          <cell r="E5681">
            <v>122.0338980864</v>
          </cell>
        </row>
        <row r="5682">
          <cell r="A5682" t="str">
            <v>US82983N1081</v>
          </cell>
          <cell r="E5682">
            <v>13.727047998</v>
          </cell>
        </row>
        <row r="5683">
          <cell r="A5683" t="str">
            <v>US83001C1080</v>
          </cell>
          <cell r="E5683">
            <v>28.019067746400001</v>
          </cell>
        </row>
        <row r="5684">
          <cell r="A5684" t="str">
            <v>DE0007231326</v>
          </cell>
          <cell r="E5684">
            <v>76.599999999999994</v>
          </cell>
        </row>
        <row r="5685">
          <cell r="A5685" t="str">
            <v>DE0007231334</v>
          </cell>
          <cell r="E5685">
            <v>53.6</v>
          </cell>
        </row>
        <row r="5686">
          <cell r="A5686" t="str">
            <v>HK0880043028</v>
          </cell>
          <cell r="E5686">
            <v>0.2401438686</v>
          </cell>
        </row>
        <row r="5687">
          <cell r="A5687" t="str">
            <v>US7843051043</v>
          </cell>
          <cell r="E5687">
            <v>48.759710364599997</v>
          </cell>
        </row>
        <row r="5688">
          <cell r="A5688" t="str">
            <v>SE0000148884</v>
          </cell>
          <cell r="E5688">
            <v>13.1668914385</v>
          </cell>
        </row>
        <row r="5689">
          <cell r="A5689" t="str">
            <v>CH0013396012</v>
          </cell>
          <cell r="E5689">
            <v>68.351150099999984</v>
          </cell>
        </row>
        <row r="5690">
          <cell r="A5690" t="str">
            <v>NO0010931207</v>
          </cell>
          <cell r="E5690">
            <v>0.10879533135</v>
          </cell>
        </row>
        <row r="5691">
          <cell r="A5691" t="str">
            <v>SE0000113250</v>
          </cell>
          <cell r="E5691">
            <v>18.668465824999998</v>
          </cell>
        </row>
        <row r="5692">
          <cell r="A5692" t="str">
            <v>US8305661055</v>
          </cell>
          <cell r="E5692">
            <v>42.178672240799997</v>
          </cell>
        </row>
        <row r="5693">
          <cell r="A5693" t="str">
            <v>CA83056P7157</v>
          </cell>
          <cell r="E5693">
            <v>10.783878188599999</v>
          </cell>
        </row>
        <row r="5694">
          <cell r="A5694" t="str">
            <v>JP3162640001</v>
          </cell>
          <cell r="E5694">
            <v>13.1737944</v>
          </cell>
        </row>
        <row r="5695">
          <cell r="A5695" t="str">
            <v>NZSKXE0001S8</v>
          </cell>
          <cell r="E5695">
            <v>2.1621338830000001</v>
          </cell>
        </row>
        <row r="5696">
          <cell r="A5696" t="str">
            <v>SE0000108227</v>
          </cell>
          <cell r="E5696">
            <v>16.099864864499999</v>
          </cell>
        </row>
        <row r="5697">
          <cell r="A5697" t="str">
            <v>SE0012141687</v>
          </cell>
          <cell r="E5697">
            <v>15.213675041</v>
          </cell>
        </row>
        <row r="5698">
          <cell r="A5698" t="str">
            <v>NO0006001809</v>
          </cell>
          <cell r="E5698">
            <v>25.760733630000001</v>
          </cell>
        </row>
        <row r="5699">
          <cell r="A5699" t="str">
            <v>JP3396350005</v>
          </cell>
          <cell r="E5699">
            <v>6.6734855199999998</v>
          </cell>
        </row>
        <row r="5700">
          <cell r="A5700" t="str">
            <v>NZSKCE0001S2</v>
          </cell>
          <cell r="E5700">
            <v>0.59681177399999996</v>
          </cell>
        </row>
        <row r="5701">
          <cell r="A5701" t="str">
            <v>JP3396210001</v>
          </cell>
          <cell r="E5701">
            <v>18.205194280000001</v>
          </cell>
        </row>
        <row r="5702">
          <cell r="A5702" t="str">
            <v>US8309401029</v>
          </cell>
          <cell r="E5702">
            <v>47.590042287599999</v>
          </cell>
        </row>
        <row r="5703">
          <cell r="A5703" t="str">
            <v>US83088M1027</v>
          </cell>
          <cell r="E5703">
            <v>50.670903864000003</v>
          </cell>
        </row>
        <row r="5704">
          <cell r="A5704" t="str">
            <v>US78440X8873</v>
          </cell>
          <cell r="E5704">
            <v>46.0098869232</v>
          </cell>
        </row>
        <row r="5705">
          <cell r="A5705" t="str">
            <v>NL0000817179</v>
          </cell>
          <cell r="E5705">
            <v>11.6</v>
          </cell>
        </row>
        <row r="5706">
          <cell r="A5706" t="str">
            <v>US78442P1066</v>
          </cell>
          <cell r="E5706">
            <v>23.525776793999999</v>
          </cell>
        </row>
        <row r="5707">
          <cell r="A5707" t="str">
            <v>US78454L1008</v>
          </cell>
          <cell r="E5707">
            <v>19.173728779200001</v>
          </cell>
        </row>
        <row r="5708">
          <cell r="A5708" t="str">
            <v>DE000A0DJ6J9</v>
          </cell>
          <cell r="E5708">
            <v>14.23</v>
          </cell>
        </row>
        <row r="5709">
          <cell r="A5709" t="str">
            <v>FR0014005I80</v>
          </cell>
          <cell r="E5709">
            <v>3.54</v>
          </cell>
        </row>
        <row r="5710">
          <cell r="A5710" t="str">
            <v>IT0005621070</v>
          </cell>
          <cell r="E5710">
            <v>1.55</v>
          </cell>
        </row>
        <row r="5711">
          <cell r="A5711" t="str">
            <v>SE0009268279</v>
          </cell>
          <cell r="E5711">
            <v>4.6603688180000002</v>
          </cell>
        </row>
        <row r="5712">
          <cell r="A5712" t="str">
            <v>CA83179X1087</v>
          </cell>
          <cell r="E5712">
            <v>15.829895351599999</v>
          </cell>
        </row>
        <row r="5713">
          <cell r="A5713" t="str">
            <v>NO0011008971</v>
          </cell>
          <cell r="E5713">
            <v>2.200917048</v>
          </cell>
        </row>
        <row r="5714">
          <cell r="A5714" t="str">
            <v>AU000000SIQ4</v>
          </cell>
          <cell r="E5714">
            <v>4.2647761804000002</v>
          </cell>
        </row>
        <row r="5715">
          <cell r="A5715" t="str">
            <v>NO0011012502</v>
          </cell>
          <cell r="E5715">
            <v>1.550646102</v>
          </cell>
        </row>
        <row r="5716">
          <cell r="A5716" t="str">
            <v>BE0974323553</v>
          </cell>
          <cell r="E5716">
            <v>28.2</v>
          </cell>
        </row>
        <row r="5717">
          <cell r="A5717" t="str">
            <v>JP3162600005</v>
          </cell>
          <cell r="E5717">
            <v>278.31959999999998</v>
          </cell>
        </row>
        <row r="5718">
          <cell r="A5718" t="str">
            <v>FR0013214145</v>
          </cell>
          <cell r="E5718">
            <v>2.915</v>
          </cell>
        </row>
        <row r="5719">
          <cell r="A5719" t="str">
            <v>JP3890350006</v>
          </cell>
          <cell r="E5719">
            <v>19.92768336</v>
          </cell>
        </row>
        <row r="5720">
          <cell r="A5720" t="str">
            <v>GB0009223206</v>
          </cell>
          <cell r="E5720">
            <v>11.612981068</v>
          </cell>
        </row>
        <row r="5721">
          <cell r="A5721" t="str">
            <v>GB00B1WY2338</v>
          </cell>
          <cell r="E5721">
            <v>21.467411640000002</v>
          </cell>
        </row>
        <row r="5722">
          <cell r="A5722" t="str">
            <v>KYG8245V1023</v>
          </cell>
          <cell r="E5722">
            <v>1.3702996104</v>
          </cell>
        </row>
        <row r="5723">
          <cell r="A5723" t="str">
            <v>JP3162350007</v>
          </cell>
          <cell r="E5723">
            <v>6.7105948</v>
          </cell>
        </row>
        <row r="5724">
          <cell r="A5724" t="str">
            <v>FR0004016699</v>
          </cell>
          <cell r="E5724">
            <v>28.25</v>
          </cell>
        </row>
        <row r="5725">
          <cell r="A5725" t="str">
            <v>IE00028FXN24</v>
          </cell>
          <cell r="E5725">
            <v>36.290607279600003</v>
          </cell>
        </row>
        <row r="5726">
          <cell r="A5726" t="str">
            <v>IT0003153415</v>
          </cell>
          <cell r="E5726">
            <v>4.7370000000000001</v>
          </cell>
        </row>
        <row r="5727">
          <cell r="A5727" t="str">
            <v>US83304A1060</v>
          </cell>
          <cell r="E5727">
            <v>6.9473869932000003</v>
          </cell>
        </row>
        <row r="5728">
          <cell r="A5728" t="str">
            <v>US8330341012</v>
          </cell>
          <cell r="E5728">
            <v>297.55473110520001</v>
          </cell>
        </row>
        <row r="5729">
          <cell r="A5729" t="str">
            <v>US8334451098</v>
          </cell>
          <cell r="E5729">
            <v>129.36087547439999</v>
          </cell>
        </row>
        <row r="5730">
          <cell r="A5730" t="str">
            <v>FR0010209809</v>
          </cell>
          <cell r="E5730">
            <v>1.84</v>
          </cell>
        </row>
        <row r="5731">
          <cell r="A5731" t="str">
            <v>FR0000130809</v>
          </cell>
          <cell r="E5731">
            <v>40.28</v>
          </cell>
        </row>
        <row r="5732">
          <cell r="A5732" t="str">
            <v>JP3433500000</v>
          </cell>
          <cell r="E5732">
            <v>9.4133873599999998</v>
          </cell>
        </row>
        <row r="5733">
          <cell r="A5733" t="str">
            <v>JP3431400005</v>
          </cell>
          <cell r="E5733">
            <v>6.06736728</v>
          </cell>
        </row>
        <row r="5734">
          <cell r="A5734" t="str">
            <v>FR0000121220</v>
          </cell>
          <cell r="E5734">
            <v>56.25</v>
          </cell>
        </row>
        <row r="5735">
          <cell r="A5735" t="str">
            <v>JP3434200006</v>
          </cell>
          <cell r="E5735">
            <v>4.4160043199999999</v>
          </cell>
        </row>
        <row r="5736">
          <cell r="A5736" t="str">
            <v>FR0000078321</v>
          </cell>
          <cell r="E5736">
            <v>1.36</v>
          </cell>
        </row>
        <row r="5737">
          <cell r="A5737" t="str">
            <v>US83406F1021</v>
          </cell>
          <cell r="E5737">
            <v>9.6574858583999994</v>
          </cell>
        </row>
        <row r="5738">
          <cell r="A5738" t="str">
            <v>BE0003717312</v>
          </cell>
          <cell r="E5738">
            <v>235.4</v>
          </cell>
        </row>
        <row r="5739">
          <cell r="A5739" t="str">
            <v>JP3732000009</v>
          </cell>
          <cell r="E5739">
            <v>1.3272752480000001</v>
          </cell>
        </row>
        <row r="5740">
          <cell r="A5740" t="str">
            <v>JP3436100006</v>
          </cell>
          <cell r="E5740">
            <v>42.756075439999996</v>
          </cell>
        </row>
        <row r="5741">
          <cell r="A5741" t="str">
            <v>GB00BYZDVK82</v>
          </cell>
          <cell r="E5741">
            <v>18.520904160000001</v>
          </cell>
        </row>
        <row r="5742">
          <cell r="A5742" t="str">
            <v>JP3436040004</v>
          </cell>
          <cell r="E5742">
            <v>11.806935920000001</v>
          </cell>
        </row>
        <row r="5743">
          <cell r="A5743" t="str">
            <v>BE0003773877</v>
          </cell>
          <cell r="E5743">
            <v>0.96499999999999997</v>
          </cell>
        </row>
        <row r="5744">
          <cell r="A5744" t="str">
            <v>NO0010811961</v>
          </cell>
          <cell r="E5744">
            <v>5.2021675680000001E-3</v>
          </cell>
        </row>
        <row r="5745">
          <cell r="A5745" t="str">
            <v>JP3436020006</v>
          </cell>
          <cell r="E5745">
            <v>68.961411999999996</v>
          </cell>
        </row>
        <row r="5746">
          <cell r="A5746" t="str">
            <v>CH0496451508</v>
          </cell>
          <cell r="E5746">
            <v>5.6959291749999998</v>
          </cell>
        </row>
        <row r="5747">
          <cell r="A5747" t="str">
            <v>FR0000065864</v>
          </cell>
          <cell r="E5747">
            <v>20.8</v>
          </cell>
        </row>
        <row r="5748">
          <cell r="A5748" t="str">
            <v>IT0005597411</v>
          </cell>
          <cell r="E5748">
            <v>2.06</v>
          </cell>
        </row>
        <row r="5749">
          <cell r="A5749" t="str">
            <v>NO0006000603</v>
          </cell>
          <cell r="E5749">
            <v>20.166736133000001</v>
          </cell>
        </row>
        <row r="5750">
          <cell r="A5750" t="str">
            <v>JP3431900004</v>
          </cell>
          <cell r="E5750">
            <v>6.8126453200000006</v>
          </cell>
        </row>
        <row r="5751">
          <cell r="A5751" t="str">
            <v>NO0010713571</v>
          </cell>
          <cell r="E5751">
            <v>4.0850354299999996</v>
          </cell>
        </row>
        <row r="5752">
          <cell r="A5752" t="str">
            <v>FR0013227113</v>
          </cell>
          <cell r="E5752">
            <v>46.5</v>
          </cell>
        </row>
        <row r="5753">
          <cell r="A5753" t="str">
            <v>JP3663900003</v>
          </cell>
          <cell r="E5753">
            <v>19.31538024</v>
          </cell>
        </row>
        <row r="5754">
          <cell r="A5754" t="str">
            <v>JP3431550007</v>
          </cell>
          <cell r="E5754">
            <v>8.8196388800000012</v>
          </cell>
        </row>
        <row r="5755">
          <cell r="A5755" t="str">
            <v>IT0005200248</v>
          </cell>
          <cell r="E5755">
            <v>3.3</v>
          </cell>
        </row>
        <row r="5756">
          <cell r="A5756" t="str">
            <v>US83417M1045</v>
          </cell>
          <cell r="E5756">
            <v>11.1979166466</v>
          </cell>
        </row>
        <row r="5757">
          <cell r="A5757" t="str">
            <v>ES0165386014</v>
          </cell>
          <cell r="E5757">
            <v>6.6820000000000004</v>
          </cell>
        </row>
        <row r="5758">
          <cell r="A5758" t="str">
            <v>US83417Q2049</v>
          </cell>
          <cell r="E5758">
            <v>16.322386976400001</v>
          </cell>
        </row>
        <row r="5759">
          <cell r="A5759" t="str">
            <v>JP3436250009</v>
          </cell>
          <cell r="E5759">
            <v>2.7213471999999999</v>
          </cell>
        </row>
        <row r="5760">
          <cell r="A5760" t="str">
            <v>US8342033094</v>
          </cell>
          <cell r="E5760">
            <v>62.014477290000002</v>
          </cell>
        </row>
        <row r="5761">
          <cell r="A5761" t="str">
            <v>IT0005497893</v>
          </cell>
          <cell r="E5761">
            <v>1.18</v>
          </cell>
        </row>
        <row r="5762">
          <cell r="A5762" t="str">
            <v>FR001400SA10</v>
          </cell>
          <cell r="E5762">
            <v>2.645</v>
          </cell>
        </row>
        <row r="5763">
          <cell r="A5763" t="str">
            <v>NO0003080608</v>
          </cell>
          <cell r="E5763">
            <v>3.1596498529999999</v>
          </cell>
        </row>
        <row r="5764">
          <cell r="A5764" t="str">
            <v>FR0013379484</v>
          </cell>
          <cell r="E5764">
            <v>1.631</v>
          </cell>
        </row>
        <row r="5765">
          <cell r="A5765" t="str">
            <v>BE0003545531</v>
          </cell>
          <cell r="E5765">
            <v>86.6</v>
          </cell>
        </row>
        <row r="5766">
          <cell r="A5766" t="str">
            <v>BE0003470755</v>
          </cell>
          <cell r="E5766">
            <v>31.74</v>
          </cell>
        </row>
        <row r="5767">
          <cell r="A5767" t="str">
            <v>US83444M1018</v>
          </cell>
          <cell r="E5767">
            <v>58.200917974800007</v>
          </cell>
        </row>
        <row r="5768">
          <cell r="A5768" t="str">
            <v>US88023U1016</v>
          </cell>
          <cell r="E5768">
            <v>52.224576177599999</v>
          </cell>
        </row>
        <row r="5769">
          <cell r="A5769" t="str">
            <v>JP3165000005</v>
          </cell>
          <cell r="E5769">
            <v>26.619723520000001</v>
          </cell>
        </row>
        <row r="5770">
          <cell r="A5770" t="str">
            <v>PTSON0AM0001</v>
          </cell>
          <cell r="E5770">
            <v>1.02</v>
          </cell>
        </row>
        <row r="5771">
          <cell r="A5771" t="str">
            <v>PTSNC0AM0006</v>
          </cell>
          <cell r="E5771">
            <v>2.38</v>
          </cell>
        </row>
        <row r="5772">
          <cell r="A5772" t="str">
            <v>AU000000SHL7</v>
          </cell>
          <cell r="E5772">
            <v>14.189664283600001</v>
          </cell>
        </row>
        <row r="5773">
          <cell r="A5773" t="str">
            <v>US8354951027</v>
          </cell>
          <cell r="E5773">
            <v>38.868290890799997</v>
          </cell>
        </row>
        <row r="5774">
          <cell r="A5774" t="str">
            <v>US83570H1086</v>
          </cell>
          <cell r="E5774">
            <v>6.9518008350000002</v>
          </cell>
        </row>
        <row r="5775">
          <cell r="A5775" t="str">
            <v>CH0012549785</v>
          </cell>
          <cell r="E5775">
            <v>252.67249799999999</v>
          </cell>
        </row>
        <row r="5776">
          <cell r="A5776" t="str">
            <v>JP3435000009</v>
          </cell>
          <cell r="E5776">
            <v>20.818306079999999</v>
          </cell>
        </row>
        <row r="5777">
          <cell r="A5777" t="str">
            <v>FR0000050809</v>
          </cell>
          <cell r="E5777">
            <v>173.3</v>
          </cell>
        </row>
        <row r="5778">
          <cell r="A5778" t="str">
            <v>JP3431300007</v>
          </cell>
          <cell r="E5778">
            <v>5.0283074399999999</v>
          </cell>
        </row>
        <row r="5779">
          <cell r="A5779" t="str">
            <v>JP3048960003</v>
          </cell>
          <cell r="E5779">
            <v>673.53343200000006</v>
          </cell>
        </row>
        <row r="5780">
          <cell r="A5780" t="str">
            <v>IT0005338675</v>
          </cell>
          <cell r="E5780">
            <v>0.54800000000000004</v>
          </cell>
        </row>
        <row r="5781">
          <cell r="A5781" t="str">
            <v>US83601L1026</v>
          </cell>
          <cell r="E5781">
            <v>9.2690677800000003</v>
          </cell>
        </row>
        <row r="5782">
          <cell r="A5782" t="str">
            <v>JP3316400005</v>
          </cell>
          <cell r="E5782">
            <v>13.77063532</v>
          </cell>
        </row>
        <row r="5783">
          <cell r="A5783" t="str">
            <v>US8361001071</v>
          </cell>
          <cell r="E5783">
            <v>7.2651836028000014</v>
          </cell>
        </row>
        <row r="5784">
          <cell r="A5784" t="str">
            <v>CA83671M1059</v>
          </cell>
          <cell r="E5784">
            <v>21.561409185799999</v>
          </cell>
        </row>
        <row r="5785">
          <cell r="A5785" t="str">
            <v>AU000000S320</v>
          </cell>
          <cell r="E5785">
            <v>1.5697527102</v>
          </cell>
        </row>
        <row r="5786">
          <cell r="A5786" t="str">
            <v>US8425871071</v>
          </cell>
          <cell r="E5786">
            <v>80.349576127199995</v>
          </cell>
        </row>
        <row r="5787">
          <cell r="A5787" t="str">
            <v>US84265V1052</v>
          </cell>
          <cell r="E5787">
            <v>76.650776698800001</v>
          </cell>
        </row>
        <row r="5788">
          <cell r="A5788" t="str">
            <v>AU000000SXE9</v>
          </cell>
          <cell r="E5788">
            <v>0.97617238430000008</v>
          </cell>
        </row>
        <row r="5789">
          <cell r="A5789" t="str">
            <v>US8404411097</v>
          </cell>
          <cell r="E5789">
            <v>74.0730930876</v>
          </cell>
        </row>
        <row r="5790">
          <cell r="A5790" t="str">
            <v>US8447411088</v>
          </cell>
          <cell r="E5790">
            <v>22.7842513716</v>
          </cell>
        </row>
        <row r="5791">
          <cell r="A5791" t="str">
            <v>US8448951025</v>
          </cell>
          <cell r="E5791">
            <v>64.283191975199998</v>
          </cell>
        </row>
        <row r="5792">
          <cell r="A5792" t="str">
            <v>AU000000SVM6</v>
          </cell>
          <cell r="E5792">
            <v>0.40509747359999998</v>
          </cell>
        </row>
        <row r="5793">
          <cell r="A5793" t="str">
            <v>BE0003798155</v>
          </cell>
          <cell r="E5793">
            <v>192</v>
          </cell>
        </row>
        <row r="5794">
          <cell r="A5794" t="str">
            <v>DK0060036564</v>
          </cell>
          <cell r="E5794">
            <v>28.023549176</v>
          </cell>
        </row>
        <row r="5795">
          <cell r="A5795" t="str">
            <v>NO0010887110</v>
          </cell>
          <cell r="E5795">
            <v>14.589412250000001</v>
          </cell>
        </row>
        <row r="5796">
          <cell r="A5796" t="str">
            <v>NO0006390301</v>
          </cell>
          <cell r="E5796">
            <v>14.8095039548</v>
          </cell>
        </row>
        <row r="5797">
          <cell r="A5797" t="str">
            <v>NO0010631567</v>
          </cell>
          <cell r="E5797">
            <v>13.488953726</v>
          </cell>
        </row>
        <row r="5798">
          <cell r="A5798" t="str">
            <v>NO0012483207</v>
          </cell>
          <cell r="E5798">
            <v>8.1217173793999997</v>
          </cell>
        </row>
        <row r="5799">
          <cell r="A5799" t="str">
            <v>NO0006222009</v>
          </cell>
          <cell r="E5799">
            <v>6.2526052500000002</v>
          </cell>
        </row>
        <row r="5800">
          <cell r="A5800" t="str">
            <v>NO0006001502</v>
          </cell>
          <cell r="E5800">
            <v>16.340141719999998</v>
          </cell>
        </row>
        <row r="5801">
          <cell r="A5801" t="str">
            <v>NO0006000900</v>
          </cell>
          <cell r="E5801">
            <v>11.3647353024</v>
          </cell>
        </row>
        <row r="5802">
          <cell r="A5802" t="str">
            <v>DK0060670776</v>
          </cell>
          <cell r="E5802">
            <v>36.235038490000001</v>
          </cell>
        </row>
        <row r="5803">
          <cell r="A5803" t="str">
            <v>NZTELE0001S4</v>
          </cell>
          <cell r="E5803">
            <v>1.0705965595</v>
          </cell>
        </row>
        <row r="5804">
          <cell r="A5804" t="str">
            <v>AU0000294233</v>
          </cell>
          <cell r="E5804">
            <v>1.1646552366</v>
          </cell>
        </row>
        <row r="5805">
          <cell r="A5805" t="str">
            <v>FR00140043Y1</v>
          </cell>
          <cell r="E5805">
            <v>0.32400000000000001</v>
          </cell>
        </row>
        <row r="5806">
          <cell r="A5806" t="str">
            <v>JP3399900004</v>
          </cell>
          <cell r="E5806">
            <v>8.3805124000000006</v>
          </cell>
        </row>
        <row r="5807">
          <cell r="A5807" t="str">
            <v>NO0010691660</v>
          </cell>
          <cell r="E5807">
            <v>13.003751558599999</v>
          </cell>
        </row>
        <row r="5808">
          <cell r="A5808" t="str">
            <v>NO0010751910</v>
          </cell>
          <cell r="E5808">
            <v>13.7023759852</v>
          </cell>
        </row>
        <row r="5809">
          <cell r="A5809" t="str">
            <v>NO0010029804</v>
          </cell>
          <cell r="E5809">
            <v>13.17215506</v>
          </cell>
        </row>
        <row r="5810">
          <cell r="A5810" t="str">
            <v>NO0006000801</v>
          </cell>
          <cell r="E5810">
            <v>10.8645268824</v>
          </cell>
        </row>
        <row r="5811">
          <cell r="A5811" t="str">
            <v>NO0010285562</v>
          </cell>
          <cell r="E5811">
            <v>33.597332209999998</v>
          </cell>
        </row>
        <row r="5812">
          <cell r="A5812" t="str">
            <v>NO0006390400</v>
          </cell>
          <cell r="E5812">
            <v>29.345560639999999</v>
          </cell>
        </row>
        <row r="5813">
          <cell r="A5813" t="str">
            <v>SE0007158118</v>
          </cell>
          <cell r="E5813">
            <v>0.15726495548</v>
          </cell>
        </row>
        <row r="5814">
          <cell r="A5814" t="str">
            <v>GB0003308607</v>
          </cell>
          <cell r="E5814">
            <v>24.133299359999999</v>
          </cell>
        </row>
        <row r="5815">
          <cell r="A5815" t="str">
            <v>US84790A1051</v>
          </cell>
          <cell r="E5815">
            <v>53.345691994799999</v>
          </cell>
        </row>
        <row r="5816">
          <cell r="A5816" t="str">
            <v>US55826T1025</v>
          </cell>
          <cell r="E5816">
            <v>23.260946285999999</v>
          </cell>
        </row>
        <row r="5817">
          <cell r="A5817" t="str">
            <v>FR0012757854</v>
          </cell>
          <cell r="E5817">
            <v>39.979999999999997</v>
          </cell>
        </row>
        <row r="5818">
          <cell r="A5818" t="str">
            <v>CA8485101031</v>
          </cell>
          <cell r="E5818">
            <v>14.1351952478</v>
          </cell>
        </row>
        <row r="5819">
          <cell r="A5819" t="str">
            <v>IT0005449522</v>
          </cell>
          <cell r="E5819">
            <v>9.1999999999999993</v>
          </cell>
        </row>
        <row r="5820">
          <cell r="A5820" t="str">
            <v>FR0011464452</v>
          </cell>
          <cell r="E5820">
            <v>0.1104</v>
          </cell>
        </row>
        <row r="5821">
          <cell r="A5821" t="str">
            <v>FR001400N2P2</v>
          </cell>
          <cell r="E5821">
            <v>0.1201</v>
          </cell>
        </row>
        <row r="5822">
          <cell r="A5822" t="str">
            <v>NO0012548819</v>
          </cell>
          <cell r="E5822">
            <v>0.73363901600000003</v>
          </cell>
        </row>
        <row r="5823">
          <cell r="A5823" t="str">
            <v>GB00BWFGQN14</v>
          </cell>
          <cell r="E5823">
            <v>70.213402450000004</v>
          </cell>
        </row>
        <row r="5824">
          <cell r="A5824" t="str">
            <v>US84857L1017</v>
          </cell>
          <cell r="E5824">
            <v>67.770126997199995</v>
          </cell>
        </row>
        <row r="5825">
          <cell r="A5825" t="str">
            <v>GB00BNLPYF73</v>
          </cell>
          <cell r="E5825">
            <v>2.1981881200000002</v>
          </cell>
        </row>
        <row r="5826">
          <cell r="A5826" t="str">
            <v>GB0004726096</v>
          </cell>
          <cell r="E5826">
            <v>2.078924722</v>
          </cell>
        </row>
        <row r="5827">
          <cell r="A5827" t="str">
            <v>US8485741099</v>
          </cell>
          <cell r="E5827">
            <v>29.263771133999999</v>
          </cell>
        </row>
        <row r="5828">
          <cell r="A5828" t="str">
            <v>PTSCP0AM0001</v>
          </cell>
          <cell r="E5828">
            <v>0.99</v>
          </cell>
        </row>
        <row r="5829">
          <cell r="A5829" t="str">
            <v>CH1134239669</v>
          </cell>
          <cell r="E5829">
            <v>20.5861581552</v>
          </cell>
        </row>
        <row r="5830">
          <cell r="A5830" t="str">
            <v>LU1778762911</v>
          </cell>
          <cell r="E5830">
            <v>505.28778158040001</v>
          </cell>
        </row>
        <row r="5831">
          <cell r="A5831" t="str">
            <v>NO0010781560</v>
          </cell>
          <cell r="E5831">
            <v>2.33430596E-2</v>
          </cell>
        </row>
        <row r="5832">
          <cell r="A5832" t="str">
            <v>US85205L1070</v>
          </cell>
          <cell r="E5832">
            <v>33.183262652400003</v>
          </cell>
        </row>
        <row r="5833">
          <cell r="A5833" t="str">
            <v>US85208T1079</v>
          </cell>
          <cell r="E5833">
            <v>6.355932192</v>
          </cell>
        </row>
        <row r="5834">
          <cell r="A5834" t="str">
            <v>CA8520662088</v>
          </cell>
          <cell r="E5834">
            <v>43.446525133000002</v>
          </cell>
        </row>
        <row r="5835">
          <cell r="A5835" t="str">
            <v>US85209W1099</v>
          </cell>
          <cell r="E5835">
            <v>16.975635562800001</v>
          </cell>
        </row>
        <row r="5836">
          <cell r="A5836" t="str">
            <v>US85208M1027</v>
          </cell>
          <cell r="E5836">
            <v>141.41066358840001</v>
          </cell>
        </row>
        <row r="5837">
          <cell r="A5837" t="str">
            <v>US78463M1071</v>
          </cell>
          <cell r="E5837">
            <v>115.42196307</v>
          </cell>
        </row>
        <row r="5838">
          <cell r="A5838" t="str">
            <v>US78473E1038</v>
          </cell>
          <cell r="E5838">
            <v>115.6073444256</v>
          </cell>
        </row>
        <row r="5839">
          <cell r="A5839" t="str">
            <v>US00773J2024</v>
          </cell>
          <cell r="E5839">
            <v>11.219985855599999</v>
          </cell>
        </row>
        <row r="5840">
          <cell r="A5840" t="str">
            <v>JP3164630000</v>
          </cell>
          <cell r="E5840">
            <v>44.432177920000001</v>
          </cell>
        </row>
        <row r="5841">
          <cell r="A5841" t="str">
            <v>JP3161450006</v>
          </cell>
          <cell r="E5841">
            <v>26.069269200000001</v>
          </cell>
        </row>
        <row r="5842">
          <cell r="A5842" t="str">
            <v>JP3161320001</v>
          </cell>
          <cell r="E5842">
            <v>20.9048944</v>
          </cell>
        </row>
        <row r="5843">
          <cell r="A5843" t="str">
            <v>AU0000032914</v>
          </cell>
          <cell r="E5843">
            <v>0.70329422500000005</v>
          </cell>
        </row>
        <row r="5844">
          <cell r="A5844" t="str">
            <v>JP3322350004</v>
          </cell>
          <cell r="E5844">
            <v>7.2981584000000002</v>
          </cell>
        </row>
        <row r="5845">
          <cell r="A5845" t="str">
            <v>US78467J1007</v>
          </cell>
          <cell r="E5845">
            <v>67.849576149599997</v>
          </cell>
        </row>
        <row r="5846">
          <cell r="A5846" t="str">
            <v>SE0000171100</v>
          </cell>
          <cell r="E5846">
            <v>5.2937471284000006</v>
          </cell>
        </row>
        <row r="5847">
          <cell r="A5847" t="str">
            <v>SE0000120669</v>
          </cell>
          <cell r="E5847">
            <v>5.2595590946000002</v>
          </cell>
        </row>
        <row r="5848">
          <cell r="A5848" t="str">
            <v>SE0000120669</v>
          </cell>
          <cell r="E5848">
            <v>5.2539999999999996</v>
          </cell>
        </row>
        <row r="5849">
          <cell r="A5849" t="str">
            <v>GB0007908733</v>
          </cell>
          <cell r="E5849">
            <v>18.772292695000001</v>
          </cell>
        </row>
        <row r="5850">
          <cell r="A5850" t="str">
            <v>GB00BGBN7C04</v>
          </cell>
          <cell r="E5850">
            <v>1.6661798249999999</v>
          </cell>
        </row>
        <row r="5851">
          <cell r="A5851" t="str">
            <v>CA7847301032</v>
          </cell>
          <cell r="E5851">
            <v>9.5842590139999988</v>
          </cell>
        </row>
        <row r="5852">
          <cell r="A5852" t="str">
            <v>FR0000054199</v>
          </cell>
          <cell r="E5852">
            <v>0.1012</v>
          </cell>
        </row>
        <row r="5853">
          <cell r="A5853" t="str">
            <v>GB0007669376</v>
          </cell>
          <cell r="E5853">
            <v>10.527917995999999</v>
          </cell>
        </row>
        <row r="5854">
          <cell r="A5854" t="str">
            <v>US7901481009</v>
          </cell>
          <cell r="E5854">
            <v>37.5706214016</v>
          </cell>
        </row>
        <row r="5855">
          <cell r="A5855" t="str">
            <v>CH0011484067</v>
          </cell>
          <cell r="E5855">
            <v>531.26012399999991</v>
          </cell>
        </row>
        <row r="5856">
          <cell r="A5856" t="str">
            <v>DE000STAB1L8</v>
          </cell>
          <cell r="E5856">
            <v>22.45</v>
          </cell>
        </row>
        <row r="5857">
          <cell r="A5857" t="str">
            <v>CH0002178181</v>
          </cell>
          <cell r="E5857">
            <v>21.94147504</v>
          </cell>
        </row>
        <row r="5858">
          <cell r="A5858" t="str">
            <v>US85254J1025</v>
          </cell>
          <cell r="E5858">
            <v>28.575211813199999</v>
          </cell>
        </row>
        <row r="5859">
          <cell r="A5859" t="str">
            <v>NO0012780958</v>
          </cell>
          <cell r="E5859">
            <v>4.4852021659999997</v>
          </cell>
        </row>
        <row r="5860">
          <cell r="A5860" t="str">
            <v>GB0004082847</v>
          </cell>
          <cell r="E5860">
            <v>11.98480225</v>
          </cell>
        </row>
        <row r="5861">
          <cell r="A5861" t="str">
            <v>NO0013384651</v>
          </cell>
          <cell r="E5861">
            <v>1.850771154</v>
          </cell>
        </row>
        <row r="5862">
          <cell r="A5862" t="str">
            <v>US85423L1035</v>
          </cell>
          <cell r="E5862">
            <v>22.616525383199999</v>
          </cell>
        </row>
        <row r="5863">
          <cell r="A5863" t="str">
            <v>US8542311076</v>
          </cell>
          <cell r="E5863">
            <v>123.1814969544</v>
          </cell>
        </row>
        <row r="5864">
          <cell r="A5864" t="str">
            <v>US8545021011</v>
          </cell>
          <cell r="E5864">
            <v>51.959745669599997</v>
          </cell>
        </row>
        <row r="5865">
          <cell r="A5865" t="str">
            <v>JP3399400005</v>
          </cell>
          <cell r="E5865">
            <v>16.324990759999999</v>
          </cell>
        </row>
        <row r="5866">
          <cell r="A5866" t="str">
            <v>AU000000SMR4</v>
          </cell>
          <cell r="E5866">
            <v>1.0071173302</v>
          </cell>
        </row>
        <row r="5867">
          <cell r="A5867" t="str">
            <v>CA85472N1096</v>
          </cell>
          <cell r="E5867">
            <v>76.864487853999989</v>
          </cell>
        </row>
        <row r="5868">
          <cell r="A5868" t="str">
            <v>JP3048200004</v>
          </cell>
          <cell r="E5868">
            <v>333.36503199999999</v>
          </cell>
        </row>
        <row r="5869">
          <cell r="A5869" t="str">
            <v>MHY8162K2046</v>
          </cell>
          <cell r="E5869">
            <v>11.987994328799999</v>
          </cell>
        </row>
        <row r="5870">
          <cell r="A5870" t="str">
            <v>AU000000SGR6</v>
          </cell>
          <cell r="E5870">
            <v>6.1889891799999999E-2</v>
          </cell>
        </row>
        <row r="5871">
          <cell r="A5871" t="str">
            <v>JP3399000003</v>
          </cell>
          <cell r="E5871">
            <v>9.6422279199999998</v>
          </cell>
        </row>
        <row r="5872">
          <cell r="A5872" t="str">
            <v>IT0005466195</v>
          </cell>
          <cell r="E5872">
            <v>6.3</v>
          </cell>
        </row>
        <row r="5873">
          <cell r="A5873" t="str">
            <v>US8552441094</v>
          </cell>
          <cell r="E5873">
            <v>73.896539415600003</v>
          </cell>
        </row>
        <row r="5874">
          <cell r="A5874" t="str">
            <v>SG1S18926810</v>
          </cell>
          <cell r="E5874">
            <v>0.32536142065000001</v>
          </cell>
        </row>
        <row r="5875">
          <cell r="A5875" t="str">
            <v>SG1V12936232</v>
          </cell>
          <cell r="E5875">
            <v>0.7983094651</v>
          </cell>
        </row>
        <row r="5876">
          <cell r="A5876" t="str">
            <v>JP3399200009</v>
          </cell>
          <cell r="E5876">
            <v>23.6880904</v>
          </cell>
        </row>
        <row r="5877">
          <cell r="A5877" t="str">
            <v>JP3046340000</v>
          </cell>
          <cell r="E5877">
            <v>1077.4060959999999</v>
          </cell>
        </row>
        <row r="5878">
          <cell r="A5878" t="str">
            <v>US85571B1052</v>
          </cell>
          <cell r="E5878">
            <v>16.260593191200002</v>
          </cell>
        </row>
        <row r="5879">
          <cell r="A5879" t="str">
            <v>JP3399100001</v>
          </cell>
          <cell r="E5879">
            <v>7.13116664</v>
          </cell>
        </row>
        <row r="5880">
          <cell r="A5880" t="str">
            <v>US8574771031</v>
          </cell>
          <cell r="E5880">
            <v>71.857344504000011</v>
          </cell>
        </row>
        <row r="5881">
          <cell r="A5881" t="str">
            <v>AU000000SDF8</v>
          </cell>
          <cell r="E5881">
            <v>3.1788898969999999</v>
          </cell>
        </row>
        <row r="5882">
          <cell r="A5882" t="str">
            <v>US8581191009</v>
          </cell>
          <cell r="E5882">
            <v>104.3785308864</v>
          </cell>
        </row>
        <row r="5883">
          <cell r="A5883" t="str">
            <v>US8581552036</v>
          </cell>
          <cell r="E5883">
            <v>8.7835451819999992</v>
          </cell>
        </row>
        <row r="5884">
          <cell r="A5884" t="str">
            <v>FR0000064271</v>
          </cell>
          <cell r="E5884">
            <v>124</v>
          </cell>
        </row>
        <row r="5885">
          <cell r="A5885" t="str">
            <v>JP3399720006</v>
          </cell>
          <cell r="E5885">
            <v>22.080021599999998</v>
          </cell>
        </row>
        <row r="5886">
          <cell r="A5886" t="str">
            <v>KYG846981028</v>
          </cell>
          <cell r="E5886">
            <v>1.6206865824000001</v>
          </cell>
        </row>
        <row r="5887">
          <cell r="A5887" t="str">
            <v>CA85853F1053</v>
          </cell>
          <cell r="E5887">
            <v>41.764519411999999</v>
          </cell>
        </row>
        <row r="5888">
          <cell r="A5888" t="str">
            <v>NL00150001Q9</v>
          </cell>
          <cell r="E5888">
            <v>8.3190000000000008</v>
          </cell>
        </row>
        <row r="5889">
          <cell r="A5889" t="str">
            <v>NL00150001Q9</v>
          </cell>
          <cell r="E5889">
            <v>8.3260000000000005</v>
          </cell>
        </row>
        <row r="5890">
          <cell r="A5890" t="str">
            <v>US8589271068</v>
          </cell>
          <cell r="E5890">
            <v>22.519420863600001</v>
          </cell>
        </row>
        <row r="5891">
          <cell r="A5891" t="str">
            <v>SE0006543344</v>
          </cell>
          <cell r="E5891">
            <v>17.27395392</v>
          </cell>
        </row>
        <row r="5892">
          <cell r="A5892" t="str">
            <v>US8585861003</v>
          </cell>
          <cell r="E5892">
            <v>42.019773936</v>
          </cell>
        </row>
        <row r="5893">
          <cell r="A5893" t="str">
            <v>US85914M1071</v>
          </cell>
          <cell r="E5893">
            <v>42.205155291600001</v>
          </cell>
        </row>
        <row r="5894">
          <cell r="A5894" t="str">
            <v>IE00BFY8C754</v>
          </cell>
          <cell r="E5894">
            <v>195.12711829439999</v>
          </cell>
        </row>
        <row r="5895">
          <cell r="A5895" t="str">
            <v>US8592411016</v>
          </cell>
          <cell r="E5895">
            <v>124.47033876</v>
          </cell>
        </row>
        <row r="5896">
          <cell r="A5896" t="str">
            <v>IT0005452658</v>
          </cell>
          <cell r="E5896">
            <v>19.985875670399999</v>
          </cell>
        </row>
        <row r="5897">
          <cell r="A5897" t="str">
            <v>US5562691080</v>
          </cell>
          <cell r="E5897">
            <v>17.876059290000001</v>
          </cell>
        </row>
        <row r="5898">
          <cell r="A5898" t="str">
            <v>US8603721015</v>
          </cell>
          <cell r="E5898">
            <v>58.492231533600012</v>
          </cell>
        </row>
        <row r="5899">
          <cell r="A5899" t="str">
            <v>GB00B0KM9T71</v>
          </cell>
          <cell r="E5899">
            <v>2.8295825799999998</v>
          </cell>
        </row>
        <row r="5900">
          <cell r="A5900" t="str">
            <v>FR001400MDW2</v>
          </cell>
          <cell r="E5900">
            <v>39</v>
          </cell>
        </row>
        <row r="5901">
          <cell r="A5901" t="str">
            <v>US8606301021</v>
          </cell>
          <cell r="E5901">
            <v>75.653248452</v>
          </cell>
        </row>
        <row r="5902">
          <cell r="A5902" t="str">
            <v>SE0015346135</v>
          </cell>
          <cell r="E5902">
            <v>0.40125955460000001</v>
          </cell>
        </row>
        <row r="5903">
          <cell r="A5903" t="str">
            <v>NL0000226223</v>
          </cell>
          <cell r="E5903">
            <v>18.302</v>
          </cell>
        </row>
        <row r="5904">
          <cell r="A5904" t="str">
            <v>NL0000226223</v>
          </cell>
          <cell r="E5904">
            <v>18.303999999999998</v>
          </cell>
        </row>
        <row r="5905">
          <cell r="A5905" t="str">
            <v>US8610251048</v>
          </cell>
          <cell r="E5905">
            <v>58.633474471200003</v>
          </cell>
        </row>
        <row r="5906">
          <cell r="A5906" t="str">
            <v>AU000000SGP0</v>
          </cell>
          <cell r="E5906">
            <v>2.8806931456</v>
          </cell>
        </row>
        <row r="5907">
          <cell r="A5907" t="str">
            <v>FI0009000251</v>
          </cell>
          <cell r="E5907">
            <v>2.96</v>
          </cell>
        </row>
        <row r="5908">
          <cell r="A5908" t="str">
            <v>BMG850801025</v>
          </cell>
          <cell r="E5908">
            <v>18.841183820000001</v>
          </cell>
        </row>
        <row r="5909">
          <cell r="A5909" t="str">
            <v>KYG851581069</v>
          </cell>
          <cell r="E5909">
            <v>10.549081901999999</v>
          </cell>
        </row>
        <row r="5910">
          <cell r="A5910" t="str">
            <v>SGXC37098255</v>
          </cell>
          <cell r="E5910">
            <v>1.43</v>
          </cell>
        </row>
        <row r="5911">
          <cell r="A5911" t="str">
            <v>US8618961085</v>
          </cell>
          <cell r="E5911">
            <v>69.871115694000011</v>
          </cell>
        </row>
        <row r="5912">
          <cell r="A5912" t="str">
            <v>FI0009005961</v>
          </cell>
          <cell r="E5912">
            <v>7.6779999999999999</v>
          </cell>
        </row>
        <row r="5913">
          <cell r="A5913" t="str">
            <v>CA86212H1055</v>
          </cell>
          <cell r="E5913">
            <v>2.3357664352</v>
          </cell>
        </row>
        <row r="5914">
          <cell r="A5914" t="str">
            <v>NO0003053605</v>
          </cell>
          <cell r="E5914">
            <v>10.08753647</v>
          </cell>
        </row>
        <row r="5915">
          <cell r="A5915" t="str">
            <v>SE0016797732</v>
          </cell>
          <cell r="E5915">
            <v>1.1470985025</v>
          </cell>
        </row>
        <row r="5916">
          <cell r="A5916" t="str">
            <v>SE0007439443</v>
          </cell>
          <cell r="E5916">
            <v>8.7944218524999993</v>
          </cell>
        </row>
        <row r="5917">
          <cell r="A5917" t="str">
            <v>NXTENX127</v>
          </cell>
          <cell r="E5917">
            <v>25.26</v>
          </cell>
        </row>
        <row r="5918">
          <cell r="A5918" t="str">
            <v>AT000000STR1</v>
          </cell>
          <cell r="E5918">
            <v>70.3</v>
          </cell>
        </row>
        <row r="5919">
          <cell r="A5919" t="str">
            <v>FR0000074775</v>
          </cell>
          <cell r="E5919">
            <v>5</v>
          </cell>
        </row>
        <row r="5920">
          <cell r="A5920" t="str">
            <v>US86272C1036</v>
          </cell>
          <cell r="E5920">
            <v>69.350282361600009</v>
          </cell>
        </row>
        <row r="5921">
          <cell r="A5921" t="str">
            <v>CH1175448666</v>
          </cell>
          <cell r="E5921">
            <v>106.0360654</v>
          </cell>
        </row>
        <row r="5922">
          <cell r="A5922" t="str">
            <v>IL0007460160</v>
          </cell>
          <cell r="E5922">
            <v>19.525708349999999</v>
          </cell>
        </row>
        <row r="5923">
          <cell r="A5923" t="str">
            <v>FR0010528059</v>
          </cell>
          <cell r="E5923">
            <v>33.200000000000003</v>
          </cell>
        </row>
        <row r="5924">
          <cell r="A5924" t="str">
            <v>US86333M1080</v>
          </cell>
          <cell r="E5924">
            <v>121.4777540196</v>
          </cell>
        </row>
        <row r="5925">
          <cell r="A5925" t="str">
            <v>NZSPGE0001S2</v>
          </cell>
          <cell r="E5925">
            <v>0.58634139200000013</v>
          </cell>
        </row>
        <row r="5926">
          <cell r="A5926" t="str">
            <v>JP3399780000</v>
          </cell>
          <cell r="E5926">
            <v>17.589798720000001</v>
          </cell>
        </row>
        <row r="5927">
          <cell r="A5927" t="str">
            <v>AU000000STX7</v>
          </cell>
          <cell r="E5927">
            <v>9.2834837700000006E-2</v>
          </cell>
        </row>
        <row r="5928">
          <cell r="A5928" t="str">
            <v>DE0007493991</v>
          </cell>
          <cell r="E5928">
            <v>50.6</v>
          </cell>
        </row>
        <row r="5929">
          <cell r="A5929" t="str">
            <v>NO0010098247</v>
          </cell>
          <cell r="E5929">
            <v>0.77032096680000006</v>
          </cell>
        </row>
        <row r="5930">
          <cell r="A5930" t="str">
            <v>US8636671013</v>
          </cell>
          <cell r="E5930">
            <v>306.144067248</v>
          </cell>
        </row>
        <row r="5931">
          <cell r="A5931" t="str">
            <v>JP3814800003</v>
          </cell>
          <cell r="E5931">
            <v>15.08801476</v>
          </cell>
        </row>
        <row r="5932">
          <cell r="A5932" t="str">
            <v>LU0075646355</v>
          </cell>
          <cell r="E5932">
            <v>12.163401413000001</v>
          </cell>
        </row>
        <row r="5933">
          <cell r="A5933" t="str">
            <v>DE0007297004</v>
          </cell>
          <cell r="E5933">
            <v>11.31</v>
          </cell>
        </row>
        <row r="5934">
          <cell r="A5934" t="str">
            <v>JP3397060009</v>
          </cell>
          <cell r="E5934">
            <v>18.653598079999998</v>
          </cell>
        </row>
        <row r="5935">
          <cell r="A5935" t="str">
            <v>JP3397050000</v>
          </cell>
          <cell r="E5935">
            <v>7.2177549600000006</v>
          </cell>
        </row>
        <row r="5936">
          <cell r="A5936" t="str">
            <v>CH0038388911</v>
          </cell>
          <cell r="E5936">
            <v>146.4204732</v>
          </cell>
        </row>
        <row r="5937">
          <cell r="A5937" t="str">
            <v>JP3322930003</v>
          </cell>
          <cell r="E5937">
            <v>5.6307147520000003</v>
          </cell>
        </row>
        <row r="5938">
          <cell r="A5938" t="str">
            <v>JP3400800003</v>
          </cell>
          <cell r="E5938">
            <v>5.2880723999999999</v>
          </cell>
        </row>
        <row r="5939">
          <cell r="A5939" t="str">
            <v>JP3400750000</v>
          </cell>
          <cell r="E5939">
            <v>4.2180881599999998</v>
          </cell>
        </row>
        <row r="5940">
          <cell r="A5940" t="str">
            <v>JP3409400003</v>
          </cell>
          <cell r="E5940">
            <v>19.575145200000001</v>
          </cell>
        </row>
        <row r="5941">
          <cell r="A5941" t="str">
            <v>JP3401400001</v>
          </cell>
          <cell r="E5941">
            <v>1.935248952</v>
          </cell>
        </row>
        <row r="5942">
          <cell r="A5942" t="str">
            <v>JP3404600003</v>
          </cell>
          <cell r="E5942">
            <v>20.01427168</v>
          </cell>
        </row>
        <row r="5943">
          <cell r="A5943" t="str">
            <v>JP3407800006</v>
          </cell>
          <cell r="E5943">
            <v>28.821540800000001</v>
          </cell>
        </row>
        <row r="5944">
          <cell r="A5944" t="str">
            <v>JP3407400005</v>
          </cell>
          <cell r="E5944">
            <v>13.28512224</v>
          </cell>
        </row>
        <row r="5945">
          <cell r="A5945" t="str">
            <v>JP3409800004</v>
          </cell>
          <cell r="E5945">
            <v>25.011654719999999</v>
          </cell>
        </row>
        <row r="5946">
          <cell r="A5946" t="str">
            <v>JP3405400007</v>
          </cell>
          <cell r="E5946">
            <v>18.08458912</v>
          </cell>
        </row>
        <row r="5947">
          <cell r="A5947" t="str">
            <v>JP3402600005</v>
          </cell>
          <cell r="E5947">
            <v>17.481563319999999</v>
          </cell>
        </row>
        <row r="5948">
          <cell r="A5948" t="str">
            <v>JP3889200006</v>
          </cell>
          <cell r="E5948">
            <v>2.6656832800000001</v>
          </cell>
        </row>
        <row r="5949">
          <cell r="A5949" t="str">
            <v>JP3892100003</v>
          </cell>
          <cell r="E5949">
            <v>20.459583039999998</v>
          </cell>
        </row>
        <row r="5950">
          <cell r="A5950" t="str">
            <v>JP3400900001</v>
          </cell>
          <cell r="E5950">
            <v>21.962508880000001</v>
          </cell>
        </row>
        <row r="5951">
          <cell r="A5951" t="str">
            <v>JP3495000006</v>
          </cell>
          <cell r="E5951">
            <v>3.2346922400000002</v>
          </cell>
        </row>
        <row r="5952">
          <cell r="A5952" t="str">
            <v>JP3409000001</v>
          </cell>
          <cell r="E5952">
            <v>32.779864000000003</v>
          </cell>
        </row>
        <row r="5953">
          <cell r="A5953" t="str">
            <v>JP3564200008</v>
          </cell>
          <cell r="E5953">
            <v>8.6031680799999997</v>
          </cell>
        </row>
        <row r="5954">
          <cell r="A5954" t="str">
            <v>JP3404200002</v>
          </cell>
          <cell r="E5954">
            <v>9.9112702000000006</v>
          </cell>
        </row>
        <row r="5955">
          <cell r="A5955" t="str">
            <v>JP3405600002</v>
          </cell>
          <cell r="E5955">
            <v>28.790616400000001</v>
          </cell>
        </row>
        <row r="5956">
          <cell r="A5956" t="str">
            <v>JP3407000003</v>
          </cell>
          <cell r="E5956">
            <v>16.754839919999998</v>
          </cell>
        </row>
        <row r="5957">
          <cell r="A5957" t="str">
            <v>NZSUME0001S0</v>
          </cell>
          <cell r="E5957">
            <v>5.8895898750000004</v>
          </cell>
        </row>
        <row r="5958">
          <cell r="A5958" t="str">
            <v>IL0010816861</v>
          </cell>
          <cell r="E5958">
            <v>13.013938619999999</v>
          </cell>
        </row>
        <row r="5959">
          <cell r="A5959" t="str">
            <v>US86627T1088</v>
          </cell>
          <cell r="E5959">
            <v>21.733757023199999</v>
          </cell>
        </row>
        <row r="5960">
          <cell r="A5960" t="str">
            <v>US8666741041</v>
          </cell>
          <cell r="E5960">
            <v>108.1214687328</v>
          </cell>
        </row>
        <row r="5961">
          <cell r="A5961" t="str">
            <v>JP3336950005</v>
          </cell>
          <cell r="E5961">
            <v>11.701792960000001</v>
          </cell>
        </row>
        <row r="5962">
          <cell r="A5962" t="str">
            <v>HK0016000132</v>
          </cell>
          <cell r="E5962">
            <v>7.8985708440000009</v>
          </cell>
        </row>
        <row r="5963">
          <cell r="A5963" t="str">
            <v>CA8667961053</v>
          </cell>
          <cell r="E5963">
            <v>50.123770485799987</v>
          </cell>
        </row>
        <row r="5964">
          <cell r="A5964" t="str">
            <v>CA8672241079</v>
          </cell>
          <cell r="E5964">
            <v>29.514440010000001</v>
          </cell>
        </row>
        <row r="5965">
          <cell r="A5965" t="str">
            <v>JP3336450006</v>
          </cell>
          <cell r="E5965">
            <v>45.273321600000003</v>
          </cell>
        </row>
        <row r="5966">
          <cell r="A5966" t="str">
            <v>AU000000SUN6</v>
          </cell>
          <cell r="E5966">
            <v>10.718203988999999</v>
          </cell>
        </row>
        <row r="5967">
          <cell r="A5967" t="str">
            <v>JP3336600006</v>
          </cell>
          <cell r="E5967">
            <v>27.825775119999999</v>
          </cell>
        </row>
        <row r="5968">
          <cell r="A5968" t="str">
            <v>KYG857001054</v>
          </cell>
          <cell r="E5968">
            <v>0.69539290860000003</v>
          </cell>
        </row>
        <row r="5969">
          <cell r="A5969" t="str">
            <v>HK0435036626</v>
          </cell>
          <cell r="E5969">
            <v>0.20486206800000001</v>
          </cell>
        </row>
        <row r="5970">
          <cell r="A5970" t="str">
            <v>US86745K1043</v>
          </cell>
          <cell r="E5970">
            <v>0.200035310376</v>
          </cell>
        </row>
        <row r="5971">
          <cell r="A5971" t="str">
            <v>CH1386220409</v>
          </cell>
          <cell r="E5971">
            <v>45.956160320000002</v>
          </cell>
        </row>
        <row r="5972">
          <cell r="A5972" t="str">
            <v>US86771W1053</v>
          </cell>
          <cell r="E5972">
            <v>5.9233756955999999</v>
          </cell>
        </row>
        <row r="5973">
          <cell r="A5973" t="str">
            <v>US8678921011</v>
          </cell>
          <cell r="E5973">
            <v>7.2740112864000004</v>
          </cell>
        </row>
        <row r="5974">
          <cell r="A5974" t="str">
            <v>SG1Q52922370</v>
          </cell>
          <cell r="E5974">
            <v>0.75805856769999991</v>
          </cell>
        </row>
        <row r="5975">
          <cell r="A5975" t="str">
            <v>JP3336560002</v>
          </cell>
          <cell r="E5975">
            <v>29.693608879999999</v>
          </cell>
        </row>
        <row r="5976">
          <cell r="A5976" t="str">
            <v>JP3345400000</v>
          </cell>
          <cell r="E5976">
            <v>12.58004592</v>
          </cell>
        </row>
        <row r="5977">
          <cell r="A5977" t="str">
            <v>GG00BMG42V42</v>
          </cell>
          <cell r="E5977">
            <v>6.4530367116000003</v>
          </cell>
        </row>
        <row r="5978">
          <cell r="A5978" t="str">
            <v>KYG8588S1049</v>
          </cell>
          <cell r="E5978">
            <v>1.7549850492000001</v>
          </cell>
        </row>
        <row r="5979">
          <cell r="A5979" t="str">
            <v>US86800U3023</v>
          </cell>
          <cell r="E5979">
            <v>29.555084692800001</v>
          </cell>
        </row>
        <row r="5980">
          <cell r="A5980" t="str">
            <v>AU000000SUL0</v>
          </cell>
          <cell r="E5980">
            <v>7.1567220336000004</v>
          </cell>
        </row>
        <row r="5981">
          <cell r="A5981" t="str">
            <v>CA86828P1036</v>
          </cell>
          <cell r="E5981">
            <v>4.1193272185999996</v>
          </cell>
        </row>
        <row r="5982">
          <cell r="A5982" t="str">
            <v>AU000000SLC8</v>
          </cell>
          <cell r="E5982">
            <v>1.2490505435999999</v>
          </cell>
        </row>
        <row r="5983">
          <cell r="A5983" t="str">
            <v>GB00BF345X11</v>
          </cell>
          <cell r="E5983">
            <v>0.91669121600000003</v>
          </cell>
        </row>
        <row r="5984">
          <cell r="A5984" t="str">
            <v>US8684591089</v>
          </cell>
          <cell r="E5984">
            <v>27.771892605600002</v>
          </cell>
        </row>
        <row r="5985">
          <cell r="A5985" t="str">
            <v>AU000000SNL5</v>
          </cell>
          <cell r="E5985">
            <v>21.380144439999999</v>
          </cell>
        </row>
        <row r="5986">
          <cell r="A5986" t="str">
            <v>US86881A1007</v>
          </cell>
          <cell r="E5986">
            <v>18.5999293452</v>
          </cell>
        </row>
        <row r="5987">
          <cell r="A5987" t="str">
            <v>SE0014428512</v>
          </cell>
          <cell r="E5987">
            <v>11.767881107999999</v>
          </cell>
        </row>
        <row r="5988">
          <cell r="A5988" t="str">
            <v>JP3411000007</v>
          </cell>
          <cell r="E5988">
            <v>7.2734188800000004</v>
          </cell>
        </row>
        <row r="5989">
          <cell r="A5989" t="str">
            <v>JP3397150008</v>
          </cell>
          <cell r="E5989">
            <v>29.99048312</v>
          </cell>
        </row>
        <row r="5990">
          <cell r="A5990" t="str">
            <v>DE000A1K0235</v>
          </cell>
          <cell r="E5990">
            <v>31.98</v>
          </cell>
        </row>
        <row r="5991">
          <cell r="A5991" t="str">
            <v>JP3398400006</v>
          </cell>
          <cell r="E5991">
            <v>11.38636408</v>
          </cell>
        </row>
        <row r="5992">
          <cell r="A5992" t="str">
            <v>JP3398000004</v>
          </cell>
          <cell r="E5992">
            <v>30.02140752</v>
          </cell>
        </row>
        <row r="5993">
          <cell r="A5993" t="str">
            <v>JP3397200001</v>
          </cell>
          <cell r="E5993">
            <v>10.1741276</v>
          </cell>
        </row>
        <row r="5994">
          <cell r="A5994" t="str">
            <v>IT0005469264</v>
          </cell>
          <cell r="E5994">
            <v>7.32</v>
          </cell>
        </row>
        <row r="5995">
          <cell r="A5995" t="str">
            <v>SE0022243812</v>
          </cell>
          <cell r="E5995">
            <v>2.8969860220000001</v>
          </cell>
        </row>
        <row r="5996">
          <cell r="A5996" t="str">
            <v>SE0000112724</v>
          </cell>
          <cell r="E5996">
            <v>11.560953534999999</v>
          </cell>
        </row>
        <row r="5997">
          <cell r="A5997" t="str">
            <v>SE0007100607</v>
          </cell>
          <cell r="E5997">
            <v>15.150697084000001</v>
          </cell>
        </row>
        <row r="5998">
          <cell r="A5998" t="str">
            <v>SE0007100599</v>
          </cell>
          <cell r="E5998">
            <v>10.25641014</v>
          </cell>
        </row>
        <row r="5999">
          <cell r="A5999" t="str">
            <v>CH0012255144</v>
          </cell>
          <cell r="E5999">
            <v>29.54324592</v>
          </cell>
        </row>
        <row r="6000">
          <cell r="A6000" t="str">
            <v>CH0012255151</v>
          </cell>
          <cell r="E6000">
            <v>144.63880814999999</v>
          </cell>
        </row>
        <row r="6001">
          <cell r="A6001" t="str">
            <v>JP3368400002</v>
          </cell>
          <cell r="E6001">
            <v>37.109279999999998</v>
          </cell>
        </row>
        <row r="6002">
          <cell r="A6002" t="str">
            <v>SE0014960373</v>
          </cell>
          <cell r="E6002">
            <v>15.834457759999999</v>
          </cell>
        </row>
        <row r="6003">
          <cell r="A6003" t="str">
            <v>SE0000242455</v>
          </cell>
          <cell r="E6003">
            <v>19.946018667000001</v>
          </cell>
        </row>
        <row r="6004">
          <cell r="A6004" t="str">
            <v>SE0015988167</v>
          </cell>
          <cell r="E6004">
            <v>3.2973458915</v>
          </cell>
        </row>
        <row r="6005">
          <cell r="A6005" t="str">
            <v>SE0017565476</v>
          </cell>
          <cell r="E6005">
            <v>3.3378317210000001</v>
          </cell>
        </row>
        <row r="6006">
          <cell r="A6006" t="str">
            <v>SE0000872095</v>
          </cell>
          <cell r="E6006">
            <v>23.967611064</v>
          </cell>
        </row>
        <row r="6007">
          <cell r="A6007" t="str">
            <v>US87043Q1085</v>
          </cell>
          <cell r="E6007">
            <v>18.087923696400001</v>
          </cell>
        </row>
        <row r="6008">
          <cell r="A6008" t="str">
            <v>HK0019000162</v>
          </cell>
          <cell r="E6008">
            <v>7.2726034139999998</v>
          </cell>
        </row>
        <row r="6009">
          <cell r="A6009" t="str">
            <v>HK0000063609</v>
          </cell>
          <cell r="E6009">
            <v>1.8141674243999999</v>
          </cell>
        </row>
        <row r="6010">
          <cell r="A6010" t="str">
            <v>CH0014852781</v>
          </cell>
          <cell r="E6010">
            <v>837.70651259999988</v>
          </cell>
        </row>
        <row r="6011">
          <cell r="A6011" t="str">
            <v>CH0008038389</v>
          </cell>
          <cell r="E6011">
            <v>120.7213046</v>
          </cell>
        </row>
        <row r="6012">
          <cell r="A6012" t="str">
            <v>CH0126881561</v>
          </cell>
          <cell r="E6012">
            <v>150.9556206</v>
          </cell>
        </row>
        <row r="6013">
          <cell r="A6013" t="str">
            <v>CH0008742519</v>
          </cell>
          <cell r="E6013">
            <v>569.5929175</v>
          </cell>
        </row>
        <row r="6014">
          <cell r="A6014" t="str">
            <v>CH0010675863</v>
          </cell>
          <cell r="E6014">
            <v>424.14426159999999</v>
          </cell>
        </row>
        <row r="6015">
          <cell r="A6015" t="str">
            <v>FR0004180578</v>
          </cell>
          <cell r="E6015">
            <v>32.5</v>
          </cell>
        </row>
        <row r="6016">
          <cell r="A6016" t="str">
            <v>DK0010311471</v>
          </cell>
          <cell r="E6016">
            <v>54.680749396000003</v>
          </cell>
        </row>
        <row r="6017">
          <cell r="A6017" t="str">
            <v>BE0974464977</v>
          </cell>
          <cell r="E6017">
            <v>58.44</v>
          </cell>
        </row>
        <row r="6018">
          <cell r="A6018" t="str">
            <v>US8713321029</v>
          </cell>
          <cell r="E6018">
            <v>52.833686346</v>
          </cell>
        </row>
        <row r="6019">
          <cell r="A6019" t="str">
            <v>US87151X1019</v>
          </cell>
          <cell r="E6019">
            <v>18.3262711536</v>
          </cell>
        </row>
        <row r="6020">
          <cell r="A6020" t="str">
            <v>DE000SYM9999</v>
          </cell>
          <cell r="E6020">
            <v>95.88</v>
          </cell>
        </row>
        <row r="6021">
          <cell r="A6021" t="str">
            <v>US87157D1090</v>
          </cell>
          <cell r="E6021">
            <v>43.5822739332</v>
          </cell>
        </row>
        <row r="6022">
          <cell r="A6022" t="str">
            <v>US87165B1035</v>
          </cell>
          <cell r="E6022">
            <v>41.940324783599998</v>
          </cell>
        </row>
        <row r="6023">
          <cell r="A6023" t="str">
            <v>US87164F1057</v>
          </cell>
          <cell r="E6023">
            <v>10.001765518799999</v>
          </cell>
        </row>
        <row r="6024">
          <cell r="A6024" t="str">
            <v>FR0000032658</v>
          </cell>
          <cell r="E6024">
            <v>30.4</v>
          </cell>
        </row>
        <row r="6025">
          <cell r="A6025" t="str">
            <v>NZSMLE0001S9</v>
          </cell>
          <cell r="E6025">
            <v>0.38216894299999998</v>
          </cell>
        </row>
        <row r="6026">
          <cell r="A6026" t="str">
            <v>US8716071076</v>
          </cell>
          <cell r="E6026">
            <v>375.75035243399998</v>
          </cell>
        </row>
        <row r="6027">
          <cell r="A6027" t="str">
            <v>US87161C5013</v>
          </cell>
          <cell r="E6027">
            <v>36.158192025600002</v>
          </cell>
        </row>
        <row r="6028">
          <cell r="A6028" t="str">
            <v>SE0016829709</v>
          </cell>
          <cell r="E6028">
            <v>4.1115609070000003</v>
          </cell>
        </row>
        <row r="6029">
          <cell r="A6029" t="str">
            <v>JP3376720003</v>
          </cell>
          <cell r="E6029">
            <v>7.3414525599999996</v>
          </cell>
        </row>
        <row r="6030">
          <cell r="A6030" t="str">
            <v>GB00BNTVWJ75</v>
          </cell>
          <cell r="E6030">
            <v>0.992692401</v>
          </cell>
        </row>
        <row r="6031">
          <cell r="A6031" t="str">
            <v>US8718291078</v>
          </cell>
          <cell r="E6031">
            <v>62.923728700800012</v>
          </cell>
        </row>
        <row r="6032">
          <cell r="A6032" t="str">
            <v>JP3351100007</v>
          </cell>
          <cell r="E6032">
            <v>16.813596279999999</v>
          </cell>
        </row>
        <row r="6033">
          <cell r="A6033" t="str">
            <v>SE0016609499</v>
          </cell>
          <cell r="E6033">
            <v>6.9365721209999993</v>
          </cell>
        </row>
        <row r="6034">
          <cell r="A6034" t="str">
            <v>JP3351050004</v>
          </cell>
          <cell r="E6034">
            <v>2.17707776</v>
          </cell>
        </row>
        <row r="6035">
          <cell r="A6035" t="str">
            <v>JP3768500005</v>
          </cell>
          <cell r="E6035">
            <v>17.38569768</v>
          </cell>
        </row>
        <row r="6036">
          <cell r="A6036" t="str">
            <v>JP3539220008</v>
          </cell>
          <cell r="E6036">
            <v>16.95275608</v>
          </cell>
        </row>
        <row r="6037">
          <cell r="A6037" t="str">
            <v>US74144T1088</v>
          </cell>
          <cell r="E6037">
            <v>77.312852968800001</v>
          </cell>
        </row>
        <row r="6038">
          <cell r="A6038" t="str">
            <v>AU000000TAH8</v>
          </cell>
          <cell r="E6038">
            <v>0.30944945899999998</v>
          </cell>
        </row>
        <row r="6039">
          <cell r="A6039" t="str">
            <v>JP3466600008</v>
          </cell>
          <cell r="E6039">
            <v>13.687139439999999</v>
          </cell>
        </row>
        <row r="6040">
          <cell r="A6040" t="str">
            <v>JP3465400004</v>
          </cell>
          <cell r="E6040">
            <v>9.4133873599999998</v>
          </cell>
        </row>
        <row r="6041">
          <cell r="A6041" t="str">
            <v>JP3465000002</v>
          </cell>
          <cell r="E6041">
            <v>5.7624526960000004</v>
          </cell>
        </row>
        <row r="6042">
          <cell r="A6042" t="str">
            <v>IL0002580129</v>
          </cell>
          <cell r="E6042">
            <v>48.508244099999999</v>
          </cell>
        </row>
        <row r="6043">
          <cell r="A6043" t="str">
            <v>DE0008303504</v>
          </cell>
          <cell r="E6043">
            <v>13.96</v>
          </cell>
        </row>
        <row r="6044">
          <cell r="A6044" t="str">
            <v>JP3447200001</v>
          </cell>
          <cell r="E6044">
            <v>28.172128399999998</v>
          </cell>
        </row>
        <row r="6045">
          <cell r="A6045" t="str">
            <v>JP3449020001</v>
          </cell>
          <cell r="E6045">
            <v>23.347922000000001</v>
          </cell>
        </row>
        <row r="6046">
          <cell r="A6046" t="str">
            <v>JP3441200007</v>
          </cell>
          <cell r="E6046">
            <v>13.5139628</v>
          </cell>
        </row>
        <row r="6047">
          <cell r="A6047" t="str">
            <v>JP3443600006</v>
          </cell>
          <cell r="E6047">
            <v>40.733619679999997</v>
          </cell>
        </row>
        <row r="6048">
          <cell r="A6048" t="str">
            <v>JP3449100001</v>
          </cell>
          <cell r="E6048">
            <v>28.388599200000002</v>
          </cell>
        </row>
        <row r="6049">
          <cell r="A6049" t="str">
            <v>JP3711600001</v>
          </cell>
          <cell r="E6049">
            <v>28.227792319999999</v>
          </cell>
        </row>
        <row r="6050">
          <cell r="A6050" t="str">
            <v>JP3452000007</v>
          </cell>
          <cell r="E6050">
            <v>13.183071719999999</v>
          </cell>
        </row>
        <row r="6051">
          <cell r="A6051" t="str">
            <v>JP3457710006</v>
          </cell>
          <cell r="E6051">
            <v>22.945904800000001</v>
          </cell>
        </row>
        <row r="6052">
          <cell r="A6052" t="str">
            <v>JP3457900003</v>
          </cell>
          <cell r="E6052">
            <v>16.55692376</v>
          </cell>
        </row>
        <row r="6053">
          <cell r="A6053" t="str">
            <v>JP3459000000</v>
          </cell>
          <cell r="E6053">
            <v>20.069935600000001</v>
          </cell>
        </row>
        <row r="6054">
          <cell r="A6054" t="str">
            <v>JP3460200003</v>
          </cell>
          <cell r="E6054">
            <v>4.8303912800000006</v>
          </cell>
        </row>
        <row r="6055">
          <cell r="A6055" t="str">
            <v>JP3459600007</v>
          </cell>
          <cell r="E6055">
            <v>7.1713683600000007</v>
          </cell>
        </row>
        <row r="6056">
          <cell r="A6056" t="str">
            <v>JP3048750008</v>
          </cell>
          <cell r="E6056">
            <v>528.80723999999998</v>
          </cell>
        </row>
        <row r="6057">
          <cell r="A6057" t="str">
            <v>JP3460000007</v>
          </cell>
          <cell r="E6057">
            <v>10.75550632</v>
          </cell>
        </row>
        <row r="6058">
          <cell r="A6058" t="str">
            <v>JP3454400007</v>
          </cell>
          <cell r="E6058">
            <v>37.789616799999997</v>
          </cell>
        </row>
        <row r="6059">
          <cell r="A6059" t="str">
            <v>JP3455200000</v>
          </cell>
          <cell r="E6059">
            <v>34.387932800000002</v>
          </cell>
        </row>
        <row r="6060">
          <cell r="A6060" t="str">
            <v>JP3456000003</v>
          </cell>
          <cell r="E6060">
            <v>6.7817209200000006</v>
          </cell>
        </row>
        <row r="6061">
          <cell r="A6061" t="str">
            <v>JP3463000004</v>
          </cell>
          <cell r="E6061">
            <v>25.729100800000001</v>
          </cell>
        </row>
        <row r="6062">
          <cell r="A6062" t="str">
            <v>US8740541094</v>
          </cell>
          <cell r="E6062">
            <v>189.44209005600001</v>
          </cell>
        </row>
        <row r="6063">
          <cell r="A6063" t="str">
            <v>JP3462660006</v>
          </cell>
          <cell r="E6063">
            <v>27.1516232</v>
          </cell>
        </row>
        <row r="6064">
          <cell r="A6064" t="str">
            <v>JP3461000006</v>
          </cell>
          <cell r="E6064">
            <v>18.740186399999999</v>
          </cell>
        </row>
        <row r="6065">
          <cell r="A6065" t="str">
            <v>JP3462600002</v>
          </cell>
          <cell r="E6065">
            <v>10.885388799999999</v>
          </cell>
        </row>
        <row r="6066">
          <cell r="A6066" t="str">
            <v>DE000TLX1005</v>
          </cell>
          <cell r="E6066">
            <v>95.65</v>
          </cell>
        </row>
        <row r="6067">
          <cell r="A6067" t="str">
            <v>IT0005378333</v>
          </cell>
          <cell r="E6067">
            <v>4.45</v>
          </cell>
        </row>
        <row r="6068">
          <cell r="A6068" t="str">
            <v>US87422Q1094</v>
          </cell>
          <cell r="E6068">
            <v>179.14018329480001</v>
          </cell>
        </row>
        <row r="6069">
          <cell r="A6069" t="str">
            <v>US87484T1088</v>
          </cell>
          <cell r="E6069">
            <v>6.0999293676000006</v>
          </cell>
        </row>
        <row r="6070">
          <cell r="A6070" t="str">
            <v>JP3470900006</v>
          </cell>
          <cell r="E6070">
            <v>23.502544</v>
          </cell>
        </row>
        <row r="6071">
          <cell r="A6071" t="str">
            <v>IL0011413577</v>
          </cell>
          <cell r="E6071">
            <v>8.2591226099999986</v>
          </cell>
        </row>
        <row r="6072">
          <cell r="A6072" t="str">
            <v>CA87505Y4094</v>
          </cell>
          <cell r="E6072">
            <v>2.2976832867999999</v>
          </cell>
        </row>
        <row r="6073">
          <cell r="A6073" t="str">
            <v>IT0003153621</v>
          </cell>
          <cell r="E6073">
            <v>7.45</v>
          </cell>
        </row>
        <row r="6074">
          <cell r="A6074" t="str">
            <v>JP3471800007</v>
          </cell>
          <cell r="E6074">
            <v>19.018505999999999</v>
          </cell>
        </row>
        <row r="6075">
          <cell r="A6075" t="str">
            <v>JP3471000004</v>
          </cell>
          <cell r="E6075">
            <v>2.7213471999999999</v>
          </cell>
        </row>
        <row r="6076">
          <cell r="A6076" t="str">
            <v>US8753722037</v>
          </cell>
          <cell r="E6076">
            <v>15.633827655599999</v>
          </cell>
        </row>
        <row r="6077">
          <cell r="A6077" t="str">
            <v>US8754651060</v>
          </cell>
          <cell r="E6077">
            <v>28.3015536216</v>
          </cell>
        </row>
        <row r="6078">
          <cell r="A6078" t="str">
            <v>JP3472200009</v>
          </cell>
          <cell r="E6078">
            <v>6.3704264000000004</v>
          </cell>
        </row>
        <row r="6079">
          <cell r="A6079" t="str">
            <v>US8760301072</v>
          </cell>
          <cell r="E6079">
            <v>56.444208938400003</v>
          </cell>
        </row>
        <row r="6080">
          <cell r="A6080" t="str">
            <v>US87612G1013</v>
          </cell>
          <cell r="E6080">
            <v>148.34039521439999</v>
          </cell>
        </row>
        <row r="6081">
          <cell r="A6081" t="str">
            <v>US87612E1064</v>
          </cell>
          <cell r="E6081">
            <v>81.285310588800002</v>
          </cell>
        </row>
        <row r="6082">
          <cell r="A6082" t="str">
            <v>FR0004188670</v>
          </cell>
          <cell r="E6082">
            <v>16.55</v>
          </cell>
        </row>
        <row r="6083">
          <cell r="A6083" t="str">
            <v>US87650L1035</v>
          </cell>
          <cell r="E6083">
            <v>43.3615818432</v>
          </cell>
        </row>
        <row r="6084">
          <cell r="A6084" t="str">
            <v>CA8765111064</v>
          </cell>
          <cell r="E6084">
            <v>1.8533798887999999</v>
          </cell>
        </row>
        <row r="6085">
          <cell r="A6085" t="str">
            <v>AU0000326191</v>
          </cell>
          <cell r="E6085">
            <v>1.4966101108000001</v>
          </cell>
        </row>
        <row r="6086">
          <cell r="A6086" t="str">
            <v>JP3464310006</v>
          </cell>
          <cell r="E6086">
            <v>3.9830627199999999</v>
          </cell>
        </row>
        <row r="6087">
          <cell r="A6087" t="str">
            <v>IL0010827264</v>
          </cell>
          <cell r="E6087">
            <v>25.562236500000001</v>
          </cell>
        </row>
        <row r="6088">
          <cell r="A6088" t="str">
            <v>IT0005507857</v>
          </cell>
          <cell r="E6088">
            <v>5.45</v>
          </cell>
        </row>
        <row r="6089">
          <cell r="A6089" t="str">
            <v>GB00BP92CJ43</v>
          </cell>
          <cell r="E6089">
            <v>6.2496359049999999</v>
          </cell>
        </row>
        <row r="6090">
          <cell r="A6090" t="str">
            <v>GB00BYX1P358</v>
          </cell>
          <cell r="E6090">
            <v>6.8985690999999996</v>
          </cell>
        </row>
        <row r="6091">
          <cell r="A6091" t="str">
            <v>JP3539300008</v>
          </cell>
          <cell r="E6091">
            <v>7.5084443200000006</v>
          </cell>
        </row>
        <row r="6092">
          <cell r="A6092" t="str">
            <v>US87724P1066</v>
          </cell>
          <cell r="E6092">
            <v>49.064265448800001</v>
          </cell>
        </row>
        <row r="6093">
          <cell r="A6093" t="str">
            <v>GB0008782301</v>
          </cell>
          <cell r="E6093">
            <v>1.2744814099999999</v>
          </cell>
        </row>
        <row r="6094">
          <cell r="A6094" t="str">
            <v>FR0000063307</v>
          </cell>
          <cell r="E6094">
            <v>1.21</v>
          </cell>
        </row>
        <row r="6095">
          <cell r="A6095" t="str">
            <v>JP3468000009</v>
          </cell>
          <cell r="E6095">
            <v>10.34111936</v>
          </cell>
        </row>
        <row r="6096">
          <cell r="A6096" t="str">
            <v>GB00BYT18307</v>
          </cell>
          <cell r="E6096">
            <v>50.745406600000003</v>
          </cell>
        </row>
        <row r="6097">
          <cell r="A6097" t="str">
            <v>JP3588600001</v>
          </cell>
          <cell r="E6097">
            <v>26.823824559999998</v>
          </cell>
        </row>
        <row r="6098">
          <cell r="A6098" t="str">
            <v>CA87807B1076</v>
          </cell>
          <cell r="E6098">
            <v>43.052999266199997</v>
          </cell>
        </row>
        <row r="6099">
          <cell r="A6099" t="str">
            <v>US87162W1009</v>
          </cell>
          <cell r="E6099">
            <v>91.075211701200004</v>
          </cell>
        </row>
        <row r="6100">
          <cell r="A6100" t="str">
            <v>JP3539000004</v>
          </cell>
          <cell r="E6100">
            <v>7.2981584000000002</v>
          </cell>
        </row>
        <row r="6101">
          <cell r="A6101" t="str">
            <v>JP3538800008</v>
          </cell>
          <cell r="E6101">
            <v>8.4361763199999995</v>
          </cell>
        </row>
        <row r="6102">
          <cell r="A6102" t="str">
            <v>IE000IVNQZ81</v>
          </cell>
          <cell r="E6102">
            <v>114.3538133544</v>
          </cell>
        </row>
        <row r="6103">
          <cell r="A6103" t="str">
            <v>DE000A2YN900</v>
          </cell>
          <cell r="E6103">
            <v>12.34</v>
          </cell>
        </row>
        <row r="6104">
          <cell r="A6104" t="str">
            <v>CH0012100191</v>
          </cell>
          <cell r="E6104">
            <v>158.4062199</v>
          </cell>
        </row>
        <row r="6105">
          <cell r="A6105" t="str">
            <v>JP3545130001</v>
          </cell>
          <cell r="E6105">
            <v>11.8749696</v>
          </cell>
        </row>
        <row r="6106">
          <cell r="A6106" t="str">
            <v>NL0014559478</v>
          </cell>
          <cell r="E6106">
            <v>29.4</v>
          </cell>
        </row>
        <row r="6107">
          <cell r="A6107" t="str">
            <v>GB00BDSFG982</v>
          </cell>
          <cell r="E6107">
            <v>22.1398304688</v>
          </cell>
        </row>
        <row r="6108">
          <cell r="A6108" t="str">
            <v>JP3545040002</v>
          </cell>
          <cell r="E6108">
            <v>15.40653608</v>
          </cell>
        </row>
        <row r="6109">
          <cell r="A6109" t="str">
            <v>IT0005162406</v>
          </cell>
          <cell r="E6109">
            <v>10.7</v>
          </cell>
        </row>
        <row r="6110">
          <cell r="A6110" t="str">
            <v>AU000000TNE8</v>
          </cell>
          <cell r="E6110">
            <v>15.7144061634</v>
          </cell>
        </row>
        <row r="6111">
          <cell r="A6111" t="str">
            <v>JP3545240008</v>
          </cell>
          <cell r="E6111">
            <v>18.969026960000001</v>
          </cell>
        </row>
        <row r="6112">
          <cell r="A6112" t="str">
            <v>IT0005482333</v>
          </cell>
          <cell r="E6112">
            <v>5.7050000000000001</v>
          </cell>
        </row>
        <row r="6113">
          <cell r="A6113" t="str">
            <v>NO0012916131</v>
          </cell>
          <cell r="E6113">
            <v>0.90871196300000001</v>
          </cell>
        </row>
        <row r="6114">
          <cell r="A6114" t="str">
            <v>HK0669013440</v>
          </cell>
          <cell r="E6114">
            <v>8.5928256300000001</v>
          </cell>
        </row>
        <row r="6115">
          <cell r="A6115" t="str">
            <v>CA8787422044</v>
          </cell>
          <cell r="E6115">
            <v>30.009520939200002</v>
          </cell>
        </row>
        <row r="6116">
          <cell r="A6116" t="str">
            <v>IT0005425050</v>
          </cell>
          <cell r="E6116">
            <v>1.64</v>
          </cell>
        </row>
        <row r="6117">
          <cell r="A6117" t="str">
            <v>ES0178165017</v>
          </cell>
          <cell r="E6117">
            <v>14.16</v>
          </cell>
        </row>
        <row r="6118">
          <cell r="A6118" t="str">
            <v>KYG872641009</v>
          </cell>
          <cell r="E6118">
            <v>60.487288027200002</v>
          </cell>
        </row>
        <row r="6119">
          <cell r="A6119" t="str">
            <v>US87901J1051</v>
          </cell>
          <cell r="E6119">
            <v>14.256709014</v>
          </cell>
        </row>
        <row r="6120">
          <cell r="A6120" t="str">
            <v>JP3544000007</v>
          </cell>
          <cell r="E6120">
            <v>7.1218893200000002</v>
          </cell>
        </row>
        <row r="6121">
          <cell r="A6121" t="str">
            <v>JP3541800003</v>
          </cell>
          <cell r="E6121">
            <v>16.699176000000001</v>
          </cell>
        </row>
        <row r="6122">
          <cell r="A6122" t="str">
            <v>JP3540800004</v>
          </cell>
          <cell r="E6122">
            <v>14.639610960000001</v>
          </cell>
        </row>
        <row r="6123">
          <cell r="A6123" t="str">
            <v>PTTD10AM0000</v>
          </cell>
          <cell r="E6123">
            <v>0.14499999999999999</v>
          </cell>
        </row>
        <row r="6124">
          <cell r="A6124" t="str">
            <v>JP3545600003</v>
          </cell>
          <cell r="E6124">
            <v>15.08492232</v>
          </cell>
        </row>
        <row r="6125">
          <cell r="A6125" t="str">
            <v>NO0010951577</v>
          </cell>
          <cell r="E6125">
            <v>0.48686952880000001</v>
          </cell>
        </row>
        <row r="6126">
          <cell r="A6126" t="str">
            <v>IL0011590291</v>
          </cell>
          <cell r="E6126">
            <v>11.15377587</v>
          </cell>
        </row>
        <row r="6127">
          <cell r="A6127" t="str">
            <v>US87918A1051</v>
          </cell>
          <cell r="E6127">
            <v>6.3029660904</v>
          </cell>
        </row>
        <row r="6128">
          <cell r="A6128" t="str">
            <v>SE0005190238</v>
          </cell>
          <cell r="E6128">
            <v>12.190733105</v>
          </cell>
        </row>
        <row r="6129">
          <cell r="A6129" t="str">
            <v>IT0003497168</v>
          </cell>
          <cell r="E6129">
            <v>0.31690000000000002</v>
          </cell>
        </row>
        <row r="6130">
          <cell r="A6130" t="str">
            <v>IT0003497176</v>
          </cell>
          <cell r="E6130">
            <v>0.3614</v>
          </cell>
        </row>
        <row r="6131">
          <cell r="A6131" t="str">
            <v>GB0008794710</v>
          </cell>
          <cell r="E6131">
            <v>20.18123774</v>
          </cell>
        </row>
        <row r="6132">
          <cell r="A6132" t="str">
            <v>US8793601050</v>
          </cell>
          <cell r="E6132">
            <v>413.6829088632</v>
          </cell>
        </row>
        <row r="6133">
          <cell r="A6133" t="str">
            <v>US8793691069</v>
          </cell>
          <cell r="E6133">
            <v>113.44456194359999</v>
          </cell>
        </row>
        <row r="6134">
          <cell r="A6134" t="str">
            <v>ES0178430E18</v>
          </cell>
          <cell r="E6134">
            <v>4.1660000000000004</v>
          </cell>
        </row>
        <row r="6135">
          <cell r="A6135" t="str">
            <v>AT0000720008</v>
          </cell>
          <cell r="E6135">
            <v>8.25</v>
          </cell>
        </row>
        <row r="6136">
          <cell r="A6136" t="str">
            <v>NO0010063308</v>
          </cell>
          <cell r="E6136">
            <v>12.230095868999999</v>
          </cell>
        </row>
        <row r="6137">
          <cell r="A6137" t="str">
            <v>FR0000051807</v>
          </cell>
          <cell r="E6137">
            <v>91.62</v>
          </cell>
        </row>
        <row r="6138">
          <cell r="A6138" t="str">
            <v>US8794338298</v>
          </cell>
          <cell r="E6138">
            <v>32.600635534799999</v>
          </cell>
        </row>
        <row r="6139">
          <cell r="A6139" t="str">
            <v>IT0005240046</v>
          </cell>
          <cell r="E6139">
            <v>1.4</v>
          </cell>
        </row>
        <row r="6140">
          <cell r="A6140" t="str">
            <v>CH0008175645</v>
          </cell>
          <cell r="E6140">
            <v>60</v>
          </cell>
        </row>
        <row r="6141">
          <cell r="A6141" t="str">
            <v>SE0000667925</v>
          </cell>
          <cell r="E6141">
            <v>3.2019792708999999</v>
          </cell>
        </row>
        <row r="6142">
          <cell r="A6142" t="str">
            <v>AU000000TLX2</v>
          </cell>
          <cell r="E6142">
            <v>14.8085632016</v>
          </cell>
        </row>
        <row r="6143">
          <cell r="A6143" t="str">
            <v>AU000000TLS2</v>
          </cell>
          <cell r="E6143">
            <v>2.4924747333999999</v>
          </cell>
        </row>
        <row r="6144">
          <cell r="A6144" t="str">
            <v>IL0003540197</v>
          </cell>
          <cell r="E6144">
            <v>40.827572099999998</v>
          </cell>
        </row>
        <row r="6145">
          <cell r="A6145" t="str">
            <v>CA87971M1032</v>
          </cell>
          <cell r="E6145">
            <v>12.9863536044</v>
          </cell>
        </row>
        <row r="6146">
          <cell r="A6146" t="str">
            <v>CH0012453913</v>
          </cell>
          <cell r="E6146">
            <v>69.754886199999987</v>
          </cell>
        </row>
        <row r="6147">
          <cell r="A6147" t="str">
            <v>AU000000TPW5</v>
          </cell>
          <cell r="E6147">
            <v>9.3172418928000003</v>
          </cell>
        </row>
        <row r="6148">
          <cell r="A6148" t="str">
            <v>US88023B1035</v>
          </cell>
          <cell r="E6148">
            <v>37.897245694799999</v>
          </cell>
        </row>
        <row r="6149">
          <cell r="A6149" t="str">
            <v>US88025T1025</v>
          </cell>
          <cell r="E6149">
            <v>29.087217462000009</v>
          </cell>
        </row>
        <row r="6150">
          <cell r="A6150" t="str">
            <v>LU2598331598</v>
          </cell>
          <cell r="E6150">
            <v>14.34</v>
          </cell>
        </row>
        <row r="6151">
          <cell r="A6151" t="str">
            <v>IT0005428898</v>
          </cell>
          <cell r="E6151">
            <v>1.82</v>
          </cell>
        </row>
        <row r="6152">
          <cell r="A6152" t="str">
            <v>US88033G4073</v>
          </cell>
          <cell r="E6152">
            <v>106.7355224076</v>
          </cell>
        </row>
        <row r="6153">
          <cell r="A6153" t="str">
            <v>JP3547800007</v>
          </cell>
          <cell r="E6153">
            <v>22.110945999999998</v>
          </cell>
        </row>
        <row r="6154">
          <cell r="A6154" t="str">
            <v>US8803451033</v>
          </cell>
          <cell r="E6154">
            <v>62.738347345199998</v>
          </cell>
        </row>
        <row r="6155">
          <cell r="A6155" t="str">
            <v>FR001400BMH7</v>
          </cell>
          <cell r="E6155">
            <v>0.77</v>
          </cell>
        </row>
        <row r="6156">
          <cell r="A6156" t="str">
            <v>US88076W1036</v>
          </cell>
          <cell r="E6156">
            <v>18.1232344308</v>
          </cell>
        </row>
        <row r="6157">
          <cell r="A6157" t="str">
            <v>US8807701029</v>
          </cell>
          <cell r="E6157">
            <v>65.377824741600008</v>
          </cell>
        </row>
        <row r="6158">
          <cell r="A6158" t="str">
            <v>US88080T1043</v>
          </cell>
          <cell r="E6158">
            <v>2.0215395443999999</v>
          </cell>
        </row>
        <row r="6159">
          <cell r="A6159" t="str">
            <v>US8807791038</v>
          </cell>
          <cell r="E6159">
            <v>30.5261298888</v>
          </cell>
        </row>
        <row r="6160">
          <cell r="A6160" t="str">
            <v>IT0003242622</v>
          </cell>
          <cell r="E6160">
            <v>8.3360000000000003</v>
          </cell>
        </row>
        <row r="6161">
          <cell r="A6161" t="str">
            <v>JP3546450002</v>
          </cell>
          <cell r="E6161">
            <v>50.777864800000003</v>
          </cell>
        </row>
        <row r="6162">
          <cell r="A6162" t="str">
            <v>CA88105G1037</v>
          </cell>
          <cell r="E6162">
            <v>88.371945862199993</v>
          </cell>
        </row>
        <row r="6163">
          <cell r="A6163" t="str">
            <v>US88146M1018</v>
          </cell>
          <cell r="E6163">
            <v>49.284957538800001</v>
          </cell>
        </row>
        <row r="6164">
          <cell r="A6164" t="str">
            <v>JP3546800008</v>
          </cell>
          <cell r="E6164">
            <v>16.779579439999999</v>
          </cell>
        </row>
        <row r="6165">
          <cell r="A6165" t="str">
            <v>FI4000252127</v>
          </cell>
          <cell r="E6165">
            <v>11.66</v>
          </cell>
        </row>
        <row r="6166">
          <cell r="A6166" t="str">
            <v>GB00BLGZ9862</v>
          </cell>
          <cell r="E6166">
            <v>4.039755295</v>
          </cell>
        </row>
        <row r="6167">
          <cell r="A6167" t="str">
            <v>US88160R1014</v>
          </cell>
          <cell r="E6167">
            <v>224.32026795959999</v>
          </cell>
        </row>
        <row r="6168">
          <cell r="A6168" t="str">
            <v>BE0003555639</v>
          </cell>
          <cell r="E6168">
            <v>24.5</v>
          </cell>
        </row>
        <row r="6169">
          <cell r="A6169" t="str">
            <v>US88162G1031</v>
          </cell>
          <cell r="E6169">
            <v>26.465395432800001</v>
          </cell>
        </row>
        <row r="6170">
          <cell r="A6170" t="str">
            <v>GG00B1RMC548</v>
          </cell>
          <cell r="E6170">
            <v>12.005649696000001</v>
          </cell>
        </row>
        <row r="6171">
          <cell r="A6171" t="str">
            <v>IL0006290147</v>
          </cell>
          <cell r="E6171">
            <v>12.05625483</v>
          </cell>
        </row>
        <row r="6172">
          <cell r="A6172" t="str">
            <v>BE0974263924</v>
          </cell>
          <cell r="E6172">
            <v>31.8</v>
          </cell>
        </row>
        <row r="6173">
          <cell r="A6173" t="str">
            <v>US88224Q1076</v>
          </cell>
          <cell r="E6173">
            <v>56.682556395600002</v>
          </cell>
        </row>
        <row r="6174">
          <cell r="A6174" t="str">
            <v>US8825081040</v>
          </cell>
          <cell r="E6174">
            <v>133.45692066480001</v>
          </cell>
        </row>
        <row r="6175">
          <cell r="A6175" t="str">
            <v>US88262P1021</v>
          </cell>
          <cell r="E6175">
            <v>1116.0575544972</v>
          </cell>
        </row>
        <row r="6176">
          <cell r="A6176" t="str">
            <v>US8826811098</v>
          </cell>
          <cell r="E6176">
            <v>143.90007036360001</v>
          </cell>
        </row>
        <row r="6177">
          <cell r="A6177" t="str">
            <v>US8832031012</v>
          </cell>
          <cell r="E6177">
            <v>57.750706111200003</v>
          </cell>
        </row>
        <row r="6178">
          <cell r="A6178" t="str">
            <v>SE0007331608</v>
          </cell>
          <cell r="E6178">
            <v>33.333332955000003</v>
          </cell>
        </row>
        <row r="6179">
          <cell r="A6179" t="str">
            <v>FR0000054900</v>
          </cell>
          <cell r="E6179">
            <v>8.7100000000000009</v>
          </cell>
        </row>
        <row r="6180">
          <cell r="A6180" t="str">
            <v>FR0013295789</v>
          </cell>
          <cell r="E6180">
            <v>20.9</v>
          </cell>
        </row>
        <row r="6181">
          <cell r="A6181" t="str">
            <v>CA87241L1094</v>
          </cell>
          <cell r="E6181">
            <v>68.397334526400002</v>
          </cell>
        </row>
        <row r="6182">
          <cell r="A6182" t="str">
            <v>US88322Q1085</v>
          </cell>
          <cell r="E6182">
            <v>34.454449090799997</v>
          </cell>
        </row>
        <row r="6183">
          <cell r="A6183" t="str">
            <v>NO0003078800</v>
          </cell>
          <cell r="E6183">
            <v>6.3943309690000003</v>
          </cell>
        </row>
        <row r="6184">
          <cell r="A6184" t="str">
            <v>TH0902010014</v>
          </cell>
          <cell r="E6184">
            <v>0.33206990354999999</v>
          </cell>
        </row>
        <row r="6185">
          <cell r="A6185" t="str">
            <v>FR0000121329</v>
          </cell>
          <cell r="E6185">
            <v>259.7</v>
          </cell>
        </row>
        <row r="6186">
          <cell r="A6186" t="str">
            <v>FR0011053636</v>
          </cell>
          <cell r="E6186">
            <v>0.53500000000000003</v>
          </cell>
        </row>
        <row r="6187">
          <cell r="A6187" t="str">
            <v>US1344291091</v>
          </cell>
          <cell r="E6187">
            <v>33.298022539199998</v>
          </cell>
        </row>
        <row r="6188">
          <cell r="A6188" t="str">
            <v>NL00150001S5</v>
          </cell>
          <cell r="E6188">
            <v>0.50020841999999999</v>
          </cell>
        </row>
        <row r="6189">
          <cell r="A6189" t="str">
            <v>GB00BS28ZN53</v>
          </cell>
          <cell r="E6189">
            <v>2.525577321600001</v>
          </cell>
        </row>
        <row r="6190">
          <cell r="A6190" t="str">
            <v>PTPTI0AM0006</v>
          </cell>
          <cell r="E6190">
            <v>3.2440000000000002</v>
          </cell>
        </row>
        <row r="6191">
          <cell r="A6191" t="str">
            <v>US2546871060</v>
          </cell>
          <cell r="E6191">
            <v>75.044138283600006</v>
          </cell>
        </row>
        <row r="6192">
          <cell r="A6192" t="str">
            <v>BMG8800F1876</v>
          </cell>
          <cell r="E6192">
            <v>4.0403352300000001E-2</v>
          </cell>
        </row>
        <row r="6193">
          <cell r="A6193" t="str">
            <v>CY0200751713</v>
          </cell>
          <cell r="E6193">
            <v>25.3</v>
          </cell>
        </row>
        <row r="6194">
          <cell r="A6194" t="str">
            <v>FR0010120402</v>
          </cell>
          <cell r="E6194">
            <v>0.14399999999999999</v>
          </cell>
        </row>
        <row r="6195">
          <cell r="A6195" t="str">
            <v>FR0013286259</v>
          </cell>
          <cell r="E6195">
            <v>0.39350000000000002</v>
          </cell>
        </row>
        <row r="6196">
          <cell r="A6196" t="str">
            <v>BE0974387194</v>
          </cell>
          <cell r="E6196">
            <v>8.2000000000000003E-2</v>
          </cell>
        </row>
        <row r="6197">
          <cell r="A6197" t="str">
            <v>FR0013333432</v>
          </cell>
          <cell r="E6197">
            <v>66</v>
          </cell>
        </row>
        <row r="6198">
          <cell r="A6198" t="str">
            <v>US8835561023</v>
          </cell>
          <cell r="E6198">
            <v>389.30084676000001</v>
          </cell>
        </row>
        <row r="6199">
          <cell r="A6199" t="str">
            <v>JP3539250005</v>
          </cell>
          <cell r="E6199">
            <v>21.05333152</v>
          </cell>
        </row>
        <row r="6200">
          <cell r="A6200" t="str">
            <v>CA8849038085</v>
          </cell>
          <cell r="E6200">
            <v>161.05998177500001</v>
          </cell>
        </row>
        <row r="6201">
          <cell r="A6201" t="str">
            <v>US8851601018</v>
          </cell>
          <cell r="E6201">
            <v>60.284251304400009</v>
          </cell>
        </row>
        <row r="6202">
          <cell r="A6202" t="str">
            <v>NO0010597883</v>
          </cell>
          <cell r="E6202">
            <v>0.20800333465000001</v>
          </cell>
        </row>
        <row r="6203">
          <cell r="A6203" t="str">
            <v>SE0006422390</v>
          </cell>
          <cell r="E6203">
            <v>23.301844089999999</v>
          </cell>
        </row>
        <row r="6204">
          <cell r="A6204" t="str">
            <v>ZAE000296554</v>
          </cell>
          <cell r="E6204">
            <v>4.6068410599999998</v>
          </cell>
        </row>
        <row r="6205">
          <cell r="A6205" t="str">
            <v>DE0007500001</v>
          </cell>
          <cell r="E6205">
            <v>9.44</v>
          </cell>
        </row>
        <row r="6206">
          <cell r="A6206" t="str">
            <v>DE000NCA0001</v>
          </cell>
          <cell r="E6206">
            <v>8.8949999999999996</v>
          </cell>
        </row>
        <row r="6207">
          <cell r="A6207" t="str">
            <v>GB00BYQB9V88</v>
          </cell>
          <cell r="E6207">
            <v>2.3338210039999998</v>
          </cell>
        </row>
        <row r="6208">
          <cell r="A6208" t="str">
            <v>US88642R1095</v>
          </cell>
          <cell r="E6208">
            <v>28.5222457116</v>
          </cell>
        </row>
        <row r="6209">
          <cell r="A6209" t="str">
            <v>FI0009000277</v>
          </cell>
          <cell r="E6209">
            <v>15.65</v>
          </cell>
        </row>
        <row r="6210">
          <cell r="A6210" t="str">
            <v>FI0009000277</v>
          </cell>
          <cell r="E6210">
            <v>15.706544387999999</v>
          </cell>
        </row>
        <row r="6211">
          <cell r="A6211" t="str">
            <v>FR0013230612</v>
          </cell>
          <cell r="E6211">
            <v>18.32</v>
          </cell>
        </row>
        <row r="6212">
          <cell r="A6212" t="str">
            <v>JP3449040009</v>
          </cell>
          <cell r="E6212">
            <v>10.106093919999999</v>
          </cell>
        </row>
        <row r="6213">
          <cell r="A6213" t="str">
            <v>US8873891043</v>
          </cell>
          <cell r="E6213">
            <v>54.775776737999998</v>
          </cell>
        </row>
        <row r="6214">
          <cell r="A6214" t="str">
            <v>BE0974282148</v>
          </cell>
          <cell r="E6214">
            <v>10.54</v>
          </cell>
        </row>
        <row r="6215">
          <cell r="A6215" t="str">
            <v>IT0005037210</v>
          </cell>
          <cell r="E6215">
            <v>8.6999999999999993</v>
          </cell>
        </row>
        <row r="6216">
          <cell r="A6216" t="str">
            <v>JP3104890003</v>
          </cell>
          <cell r="E6216">
            <v>24.67148632</v>
          </cell>
        </row>
        <row r="6217">
          <cell r="A6217" t="str">
            <v>NL0010389508</v>
          </cell>
          <cell r="E6217">
            <v>1.05</v>
          </cell>
        </row>
        <row r="6218">
          <cell r="A6218" t="str">
            <v>BE0974338700</v>
          </cell>
          <cell r="E6218">
            <v>40.549999999999997</v>
          </cell>
        </row>
        <row r="6219">
          <cell r="A6219" t="str">
            <v>AU000000TTT3</v>
          </cell>
          <cell r="E6219">
            <v>0.140658845</v>
          </cell>
        </row>
        <row r="6220">
          <cell r="A6220" t="str">
            <v>IL0001030100</v>
          </cell>
          <cell r="E6220">
            <v>1.739672208</v>
          </cell>
        </row>
        <row r="6221">
          <cell r="A6221" t="str">
            <v>US8725401090</v>
          </cell>
          <cell r="E6221">
            <v>113.43573426</v>
          </cell>
        </row>
        <row r="6222">
          <cell r="A6222" t="str">
            <v>JP3539400006</v>
          </cell>
          <cell r="E6222">
            <v>23.5643928</v>
          </cell>
        </row>
        <row r="6223">
          <cell r="A6223" t="str">
            <v>NL0000852523</v>
          </cell>
          <cell r="E6223">
            <v>34.799999999999997</v>
          </cell>
        </row>
        <row r="6224">
          <cell r="A6224" t="str">
            <v>US87256C1018</v>
          </cell>
          <cell r="E6224">
            <v>132.106285074</v>
          </cell>
        </row>
        <row r="6225">
          <cell r="A6225" t="str">
            <v>JP3538710009</v>
          </cell>
          <cell r="E6225">
            <v>10.94105272</v>
          </cell>
        </row>
        <row r="6226">
          <cell r="A6226" t="str">
            <v>NL0015000YE1</v>
          </cell>
          <cell r="E6226">
            <v>6.3399999999999998E-2</v>
          </cell>
        </row>
        <row r="6227">
          <cell r="A6227" t="str">
            <v>US8725901040</v>
          </cell>
          <cell r="E6227">
            <v>235.44314929559999</v>
          </cell>
        </row>
        <row r="6228">
          <cell r="A6228" t="str">
            <v>IT0005531238</v>
          </cell>
          <cell r="E6228">
            <v>1.44</v>
          </cell>
        </row>
        <row r="6229">
          <cell r="A6229" t="str">
            <v>CA87262K1057</v>
          </cell>
          <cell r="E6229">
            <v>32.554744690600003</v>
          </cell>
        </row>
        <row r="6230">
          <cell r="A6230" t="str">
            <v>JP3538600002</v>
          </cell>
          <cell r="E6230">
            <v>5.35610608</v>
          </cell>
        </row>
        <row r="6231">
          <cell r="A6231" t="str">
            <v>JP3556000002</v>
          </cell>
          <cell r="E6231">
            <v>7.8176883200000002</v>
          </cell>
        </row>
        <row r="6232">
          <cell r="A6232" t="str">
            <v>JP3558000000</v>
          </cell>
          <cell r="E6232">
            <v>8.8814876800000011</v>
          </cell>
        </row>
        <row r="6233">
          <cell r="A6233" t="str">
            <v>JP3556400004</v>
          </cell>
          <cell r="E6233">
            <v>8.1918735599999994</v>
          </cell>
        </row>
        <row r="6234">
          <cell r="A6234" t="str">
            <v>US8887871080</v>
          </cell>
          <cell r="E6234">
            <v>30.764477346</v>
          </cell>
        </row>
        <row r="6235">
          <cell r="A6235" t="str">
            <v>JP3629810007</v>
          </cell>
          <cell r="E6235">
            <v>9.9700265600000009</v>
          </cell>
        </row>
        <row r="6236">
          <cell r="A6236" t="str">
            <v>JP3597800006</v>
          </cell>
          <cell r="E6236">
            <v>15.864217200000001</v>
          </cell>
        </row>
        <row r="6237">
          <cell r="A6237" t="str">
            <v>JP3538400007</v>
          </cell>
          <cell r="E6237">
            <v>3.8098860800000001</v>
          </cell>
        </row>
        <row r="6238">
          <cell r="A6238" t="str">
            <v>JP3552290003</v>
          </cell>
          <cell r="E6238">
            <v>9.7721104000000008</v>
          </cell>
        </row>
        <row r="6239">
          <cell r="A6239" t="str">
            <v>JP3627800000</v>
          </cell>
          <cell r="E6239">
            <v>1.6699176</v>
          </cell>
        </row>
        <row r="6240">
          <cell r="A6240" t="str">
            <v>JP3627000007</v>
          </cell>
          <cell r="E6240">
            <v>5.1241730800000003</v>
          </cell>
        </row>
        <row r="6241">
          <cell r="A6241" t="str">
            <v>JP3560200002</v>
          </cell>
          <cell r="E6241">
            <v>19.760691600000001</v>
          </cell>
        </row>
        <row r="6242">
          <cell r="A6242" t="str">
            <v>JP3560000006</v>
          </cell>
          <cell r="E6242">
            <v>30.182214399999999</v>
          </cell>
        </row>
        <row r="6243">
          <cell r="A6243" t="str">
            <v>JP3552230009</v>
          </cell>
          <cell r="E6243">
            <v>5.6344256800000014</v>
          </cell>
        </row>
        <row r="6244">
          <cell r="A6244" t="str">
            <v>JP3601000007</v>
          </cell>
          <cell r="E6244">
            <v>2.01627088</v>
          </cell>
        </row>
        <row r="6245">
          <cell r="A6245" t="str">
            <v>JP3598600009</v>
          </cell>
          <cell r="E6245">
            <v>47.227743680000003</v>
          </cell>
        </row>
        <row r="6246">
          <cell r="A6246" t="str">
            <v>JP3600200004</v>
          </cell>
          <cell r="E6246">
            <v>24.949805919999999</v>
          </cell>
        </row>
        <row r="6247">
          <cell r="A6247" t="str">
            <v>JP3602600003</v>
          </cell>
          <cell r="E6247">
            <v>30.070886560000002</v>
          </cell>
        </row>
        <row r="6248">
          <cell r="A6248" t="str">
            <v>JP3601800000</v>
          </cell>
          <cell r="E6248">
            <v>5.9869638399999996</v>
          </cell>
        </row>
        <row r="6249">
          <cell r="A6249" t="str">
            <v>JP3605400005</v>
          </cell>
          <cell r="E6249">
            <v>6.0352059039999997</v>
          </cell>
        </row>
        <row r="6250">
          <cell r="A6250" t="str">
            <v>JP3560800009</v>
          </cell>
          <cell r="E6250">
            <v>5.3857935039999996</v>
          </cell>
        </row>
        <row r="6251">
          <cell r="A6251" t="str">
            <v>JP3552250007</v>
          </cell>
          <cell r="E6251">
            <v>12.65426448</v>
          </cell>
        </row>
        <row r="6252">
          <cell r="A6252" t="str">
            <v>JP3552260006</v>
          </cell>
          <cell r="E6252">
            <v>5.9869638399999996</v>
          </cell>
        </row>
        <row r="6253">
          <cell r="A6253" t="str">
            <v>JP3566600007</v>
          </cell>
          <cell r="E6253">
            <v>12.66663424</v>
          </cell>
        </row>
        <row r="6254">
          <cell r="A6254" t="str">
            <v>JP3577600004</v>
          </cell>
          <cell r="E6254">
            <v>2.7460867200000001</v>
          </cell>
        </row>
        <row r="6255">
          <cell r="A6255" t="str">
            <v>JP3049110004</v>
          </cell>
          <cell r="E6255">
            <v>635.80566399999998</v>
          </cell>
        </row>
        <row r="6256">
          <cell r="A6256" t="str">
            <v>JP3590900001</v>
          </cell>
          <cell r="E6256">
            <v>79.290161600000005</v>
          </cell>
        </row>
        <row r="6257">
          <cell r="A6257" t="str">
            <v>JP3910660004</v>
          </cell>
          <cell r="E6257">
            <v>31.165610319999999</v>
          </cell>
        </row>
        <row r="6258">
          <cell r="A6258" t="str">
            <v>FI4000197934</v>
          </cell>
          <cell r="E6258">
            <v>12.651999999999999</v>
          </cell>
        </row>
        <row r="6259">
          <cell r="A6259" t="str">
            <v>JP3624900001</v>
          </cell>
          <cell r="E6259">
            <v>21.461533599999999</v>
          </cell>
        </row>
        <row r="6260">
          <cell r="A6260" t="str">
            <v>JP3625000009</v>
          </cell>
          <cell r="E6260">
            <v>15.66939348</v>
          </cell>
        </row>
        <row r="6261">
          <cell r="A6261" t="str">
            <v>JP3424950008</v>
          </cell>
          <cell r="E6261">
            <v>8.6804790799999996</v>
          </cell>
        </row>
        <row r="6262">
          <cell r="A6262" t="str">
            <v>JP3585800000</v>
          </cell>
          <cell r="E6262">
            <v>2.542604168</v>
          </cell>
        </row>
        <row r="6263">
          <cell r="A6263" t="str">
            <v>JP3571400005</v>
          </cell>
          <cell r="E6263">
            <v>123.6357512</v>
          </cell>
        </row>
        <row r="6264">
          <cell r="A6264" t="str">
            <v>JP3571600000</v>
          </cell>
          <cell r="E6264">
            <v>17.8743032</v>
          </cell>
        </row>
        <row r="6265">
          <cell r="A6265" t="str">
            <v>JP3585400009</v>
          </cell>
          <cell r="E6265">
            <v>6.2219892799999998</v>
          </cell>
        </row>
        <row r="6266">
          <cell r="A6266" t="str">
            <v>JP3573000001</v>
          </cell>
          <cell r="E6266">
            <v>28.635994400000001</v>
          </cell>
        </row>
        <row r="6267">
          <cell r="A6267" t="str">
            <v>JP3624000000</v>
          </cell>
          <cell r="E6267">
            <v>19.420523200000002</v>
          </cell>
        </row>
        <row r="6268">
          <cell r="A6268" t="str">
            <v>JP3584400000</v>
          </cell>
          <cell r="E6268">
            <v>31.233644000000002</v>
          </cell>
        </row>
        <row r="6269">
          <cell r="A6269" t="str">
            <v>JP3583900000</v>
          </cell>
          <cell r="E6269">
            <v>12.215138</v>
          </cell>
        </row>
        <row r="6270">
          <cell r="A6270" t="str">
            <v>JP3571800006</v>
          </cell>
          <cell r="E6270">
            <v>18.48351388</v>
          </cell>
        </row>
        <row r="6271">
          <cell r="A6271" t="str">
            <v>JP3580200008</v>
          </cell>
          <cell r="E6271">
            <v>47.240113440000002</v>
          </cell>
        </row>
        <row r="6272">
          <cell r="A6272" t="str">
            <v>JP3579800008</v>
          </cell>
          <cell r="E6272">
            <v>9.80921968</v>
          </cell>
        </row>
        <row r="6273">
          <cell r="A6273" t="str">
            <v>JP3582600007</v>
          </cell>
          <cell r="E6273">
            <v>15.30139312</v>
          </cell>
        </row>
        <row r="6274">
          <cell r="A6274" t="str">
            <v>JP3584600005</v>
          </cell>
          <cell r="E6274">
            <v>34.202386400000002</v>
          </cell>
        </row>
        <row r="6275">
          <cell r="A6275" t="str">
            <v>JP3586600003</v>
          </cell>
          <cell r="E6275">
            <v>25.821874000000001</v>
          </cell>
        </row>
        <row r="6276">
          <cell r="A6276" t="str">
            <v>JP3567410000</v>
          </cell>
          <cell r="E6276">
            <v>4.7870971200000003</v>
          </cell>
        </row>
        <row r="6277">
          <cell r="A6277" t="str">
            <v>JP3574200006</v>
          </cell>
          <cell r="E6277">
            <v>10.842094639999999</v>
          </cell>
        </row>
        <row r="6278">
          <cell r="A6278" t="str">
            <v>JP3569200003</v>
          </cell>
          <cell r="E6278">
            <v>6.0481941519999998</v>
          </cell>
        </row>
        <row r="6279">
          <cell r="A6279" t="str">
            <v>JP3044510000</v>
          </cell>
          <cell r="E6279">
            <v>1083.590976</v>
          </cell>
        </row>
        <row r="6280">
          <cell r="A6280" t="str">
            <v>JP3620600001</v>
          </cell>
          <cell r="E6280">
            <v>2.80793552</v>
          </cell>
        </row>
        <row r="6281">
          <cell r="A6281" t="str">
            <v>US8894781033</v>
          </cell>
          <cell r="E6281">
            <v>83.006708890799999</v>
          </cell>
        </row>
        <row r="6282">
          <cell r="A6282" t="str">
            <v>JP3631400003</v>
          </cell>
          <cell r="E6282">
            <v>7.9908649600000006</v>
          </cell>
        </row>
        <row r="6283">
          <cell r="A6283" t="str">
            <v>JP3631600008</v>
          </cell>
          <cell r="E6283">
            <v>25.450781200000002</v>
          </cell>
        </row>
        <row r="6284">
          <cell r="A6284" t="str">
            <v>JP3554000004</v>
          </cell>
          <cell r="E6284">
            <v>14.348921600000001</v>
          </cell>
        </row>
        <row r="6285">
          <cell r="A6285" t="str">
            <v>JP3631700006</v>
          </cell>
          <cell r="E6285">
            <v>3.1171795200000001</v>
          </cell>
        </row>
        <row r="6286">
          <cell r="A6286" t="str">
            <v>NO0012470089</v>
          </cell>
          <cell r="E6286">
            <v>12.705293868</v>
          </cell>
        </row>
        <row r="6287">
          <cell r="A6287" t="str">
            <v>NL0013332471</v>
          </cell>
          <cell r="E6287">
            <v>5.3</v>
          </cell>
        </row>
        <row r="6288">
          <cell r="A6288" t="str">
            <v>JP3630550006</v>
          </cell>
          <cell r="E6288">
            <v>18.415480200000001</v>
          </cell>
        </row>
        <row r="6289">
          <cell r="A6289" t="str">
            <v>JP3629400007</v>
          </cell>
          <cell r="E6289">
            <v>62.776532000000003</v>
          </cell>
        </row>
        <row r="6290">
          <cell r="A6290" t="str">
            <v>FR001400H2X4</v>
          </cell>
          <cell r="E6290">
            <v>1.5699999999999999E-2</v>
          </cell>
        </row>
        <row r="6291">
          <cell r="A6291" t="str">
            <v>FR00140062B9</v>
          </cell>
          <cell r="E6291">
            <v>0.51</v>
          </cell>
        </row>
        <row r="6292">
          <cell r="A6292" t="str">
            <v>CA89055A2039</v>
          </cell>
          <cell r="E6292">
            <v>14.839733493200001</v>
          </cell>
        </row>
        <row r="6293">
          <cell r="A6293" t="str">
            <v>US89055F1030</v>
          </cell>
          <cell r="E6293">
            <v>253.4781068904</v>
          </cell>
        </row>
        <row r="6294">
          <cell r="A6294" t="str">
            <v>JP3630400004</v>
          </cell>
          <cell r="E6294">
            <v>19.674103280000001</v>
          </cell>
        </row>
        <row r="6295">
          <cell r="A6295" t="str">
            <v>US1311931042</v>
          </cell>
          <cell r="E6295">
            <v>5.473163832</v>
          </cell>
        </row>
        <row r="6296">
          <cell r="A6296" t="str">
            <v>JP3629000005</v>
          </cell>
          <cell r="E6296">
            <v>24.57252824</v>
          </cell>
        </row>
        <row r="6297">
          <cell r="A6297" t="str">
            <v>JP3598200008</v>
          </cell>
          <cell r="E6297">
            <v>9.9638416799999998</v>
          </cell>
        </row>
        <row r="6298">
          <cell r="A6298" t="str">
            <v>KYG8924B1041</v>
          </cell>
          <cell r="E6298">
            <v>0.3232268184</v>
          </cell>
        </row>
        <row r="6299">
          <cell r="A6299" t="str">
            <v>JP3630200008</v>
          </cell>
          <cell r="E6299">
            <v>12.1532892</v>
          </cell>
        </row>
        <row r="6300">
          <cell r="A6300" t="str">
            <v>JP3621000003</v>
          </cell>
          <cell r="E6300">
            <v>5.7117366799999996</v>
          </cell>
        </row>
        <row r="6301">
          <cell r="A6301" t="str">
            <v>CA8910546032</v>
          </cell>
          <cell r="E6301">
            <v>27.8705174374</v>
          </cell>
        </row>
        <row r="6302">
          <cell r="A6302" t="str">
            <v>JP3636650008</v>
          </cell>
          <cell r="E6302">
            <v>26.217706320000001</v>
          </cell>
        </row>
        <row r="6303">
          <cell r="A6303" t="str">
            <v>JP3635800000</v>
          </cell>
          <cell r="E6303">
            <v>26.594984</v>
          </cell>
        </row>
        <row r="6304">
          <cell r="A6304" t="str">
            <v>JP3636600003</v>
          </cell>
          <cell r="E6304">
            <v>11.60283488</v>
          </cell>
        </row>
        <row r="6305">
          <cell r="A6305" t="str">
            <v>GB00BZ3CNK81</v>
          </cell>
          <cell r="E6305">
            <v>13.469253678999999</v>
          </cell>
        </row>
        <row r="6306">
          <cell r="A6306" t="str">
            <v>US8910921084</v>
          </cell>
          <cell r="E6306">
            <v>59.551553565600003</v>
          </cell>
        </row>
        <row r="6307">
          <cell r="A6307" t="str">
            <v>CA8911021050</v>
          </cell>
          <cell r="E6307">
            <v>72.161219026599994</v>
          </cell>
        </row>
        <row r="6308">
          <cell r="A6308" t="str">
            <v>CA8911605092</v>
          </cell>
          <cell r="E6308">
            <v>53.037131338399988</v>
          </cell>
        </row>
        <row r="6309">
          <cell r="A6309" t="str">
            <v>JP3595070008</v>
          </cell>
          <cell r="E6309">
            <v>14.608686560000001</v>
          </cell>
        </row>
        <row r="6310">
          <cell r="A6310" t="str">
            <v>JP3047830009</v>
          </cell>
          <cell r="E6310">
            <v>795.37556800000004</v>
          </cell>
        </row>
        <row r="6311">
          <cell r="A6311" t="str">
            <v>JP3594000006</v>
          </cell>
          <cell r="E6311">
            <v>16.148721680000001</v>
          </cell>
        </row>
        <row r="6312">
          <cell r="A6312" t="str">
            <v>JP3595200001</v>
          </cell>
          <cell r="E6312">
            <v>12.10381016</v>
          </cell>
        </row>
        <row r="6313">
          <cell r="A6313" t="str">
            <v>FR0000120271</v>
          </cell>
          <cell r="E6313">
            <v>50.61</v>
          </cell>
        </row>
        <row r="6314">
          <cell r="A6314" t="str">
            <v>GA0000121459</v>
          </cell>
          <cell r="E6314">
            <v>186</v>
          </cell>
        </row>
        <row r="6315">
          <cell r="A6315" t="str">
            <v>JP3595300009</v>
          </cell>
          <cell r="E6315">
            <v>14.9674096</v>
          </cell>
        </row>
        <row r="6316">
          <cell r="A6316" t="str">
            <v>JP3595400007</v>
          </cell>
          <cell r="E6316">
            <v>18.529900479999998</v>
          </cell>
        </row>
        <row r="6317">
          <cell r="A6317" t="str">
            <v>JP3596200000</v>
          </cell>
          <cell r="E6317">
            <v>21.956323999999999</v>
          </cell>
        </row>
        <row r="6318">
          <cell r="A6318" t="str">
            <v>FR0000033003</v>
          </cell>
          <cell r="E6318">
            <v>4.12</v>
          </cell>
        </row>
        <row r="6319">
          <cell r="A6319" t="str">
            <v>JP3590850008</v>
          </cell>
          <cell r="E6319">
            <v>24.832293199999999</v>
          </cell>
        </row>
        <row r="6320">
          <cell r="A6320" t="str">
            <v>FR0000036816</v>
          </cell>
          <cell r="E6320">
            <v>4.8</v>
          </cell>
        </row>
        <row r="6321">
          <cell r="A6321" t="str">
            <v>CA89156V1067</v>
          </cell>
          <cell r="E6321">
            <v>38.533798989399997</v>
          </cell>
        </row>
        <row r="6322">
          <cell r="A6322" t="str">
            <v>JP3555700008</v>
          </cell>
          <cell r="E6322">
            <v>8.5227646400000001</v>
          </cell>
        </row>
        <row r="6323">
          <cell r="A6323" t="str">
            <v>JP3623150004</v>
          </cell>
          <cell r="E6323">
            <v>15.282838480000001</v>
          </cell>
        </row>
        <row r="6324">
          <cell r="A6324" t="str">
            <v>NZTWRE0011S2</v>
          </cell>
          <cell r="E6324">
            <v>0.71722116700000005</v>
          </cell>
        </row>
        <row r="6325">
          <cell r="A6325" t="str">
            <v>IL0010823792</v>
          </cell>
          <cell r="E6325">
            <v>30.5066691</v>
          </cell>
        </row>
        <row r="6326">
          <cell r="A6326" t="str">
            <v>US89214P1093</v>
          </cell>
          <cell r="E6326">
            <v>27.727754187599999</v>
          </cell>
        </row>
        <row r="6327">
          <cell r="A6327" t="str">
            <v>JP3609800002</v>
          </cell>
          <cell r="E6327">
            <v>8.071268400000001</v>
          </cell>
        </row>
        <row r="6328">
          <cell r="A6328" t="str">
            <v>JP3616600007</v>
          </cell>
          <cell r="E6328">
            <v>8.1516718400000006</v>
          </cell>
        </row>
        <row r="6329">
          <cell r="A6329" t="str">
            <v>JP3610400008</v>
          </cell>
          <cell r="E6329">
            <v>29.068936000000001</v>
          </cell>
        </row>
        <row r="6330">
          <cell r="A6330" t="str">
            <v>JP3554400006</v>
          </cell>
          <cell r="E6330">
            <v>20.87397</v>
          </cell>
        </row>
        <row r="6331">
          <cell r="A6331" t="str">
            <v>JP3611800008</v>
          </cell>
          <cell r="E6331">
            <v>2.8945238400000002</v>
          </cell>
        </row>
        <row r="6332">
          <cell r="A6332" t="str">
            <v>JP3613400005</v>
          </cell>
          <cell r="E6332">
            <v>14.7045522</v>
          </cell>
        </row>
        <row r="6333">
          <cell r="A6333" t="str">
            <v>JP3613000003</v>
          </cell>
          <cell r="E6333">
            <v>53.7466072</v>
          </cell>
        </row>
        <row r="6334">
          <cell r="A6334" t="str">
            <v>JP3616000000</v>
          </cell>
          <cell r="E6334">
            <v>23.6262416</v>
          </cell>
        </row>
        <row r="6335">
          <cell r="A6335" t="str">
            <v>JP3610600003</v>
          </cell>
          <cell r="E6335">
            <v>15.202435039999999</v>
          </cell>
        </row>
        <row r="6336">
          <cell r="A6336" t="str">
            <v>JP3619800000</v>
          </cell>
          <cell r="E6336">
            <v>5.2200387199999998</v>
          </cell>
        </row>
        <row r="6337">
          <cell r="A6337" t="str">
            <v>JP3634200004</v>
          </cell>
          <cell r="E6337">
            <v>15.06946012</v>
          </cell>
        </row>
        <row r="6338">
          <cell r="A6338" t="str">
            <v>JP3635400009</v>
          </cell>
          <cell r="E6338">
            <v>11.377086759999999</v>
          </cell>
        </row>
        <row r="6339">
          <cell r="A6339" t="str">
            <v>PTSCT0AP0018</v>
          </cell>
          <cell r="E6339">
            <v>5.15</v>
          </cell>
        </row>
        <row r="6340">
          <cell r="A6340" t="str">
            <v>JP3634600005</v>
          </cell>
          <cell r="E6340">
            <v>77.96041240000001</v>
          </cell>
        </row>
        <row r="6341">
          <cell r="A6341" t="str">
            <v>JP3633400001</v>
          </cell>
          <cell r="E6341">
            <v>15.45601512</v>
          </cell>
        </row>
        <row r="6342">
          <cell r="A6342" t="str">
            <v>JP3635000007</v>
          </cell>
          <cell r="E6342">
            <v>14.6427034</v>
          </cell>
        </row>
        <row r="6343">
          <cell r="A6343" t="str">
            <v>JE00BMDZN391</v>
          </cell>
          <cell r="E6343">
            <v>2.8705062950000002</v>
          </cell>
        </row>
        <row r="6344">
          <cell r="A6344" t="str">
            <v>US8726571016</v>
          </cell>
          <cell r="E6344">
            <v>39.5568502116</v>
          </cell>
        </row>
        <row r="6345">
          <cell r="A6345" t="str">
            <v>AU0000090128</v>
          </cell>
          <cell r="E6345">
            <v>2.7569133620000001</v>
          </cell>
        </row>
        <row r="6346">
          <cell r="A6346" t="str">
            <v>US87266J1043</v>
          </cell>
          <cell r="E6346">
            <v>0.70206567670800002</v>
          </cell>
        </row>
        <row r="6347">
          <cell r="A6347" t="str">
            <v>JP3542400001</v>
          </cell>
          <cell r="E6347">
            <v>12.431608799999999</v>
          </cell>
        </row>
        <row r="6348">
          <cell r="A6348" t="str">
            <v>IT0005246142</v>
          </cell>
          <cell r="E6348">
            <v>7</v>
          </cell>
        </row>
        <row r="6349">
          <cell r="A6349" t="str">
            <v>US8923561067</v>
          </cell>
          <cell r="E6349">
            <v>45.021186360000002</v>
          </cell>
        </row>
        <row r="6350">
          <cell r="A6350" t="str">
            <v>US88339J1051</v>
          </cell>
          <cell r="E6350">
            <v>43.467514046400012</v>
          </cell>
        </row>
        <row r="6351">
          <cell r="A6351" t="str">
            <v>US8926721064</v>
          </cell>
          <cell r="E6351">
            <v>117.9466805796</v>
          </cell>
        </row>
        <row r="6352">
          <cell r="A6352" t="str">
            <v>GB00BKDTK925</v>
          </cell>
          <cell r="E6352">
            <v>3.3767911119999998</v>
          </cell>
        </row>
        <row r="6353">
          <cell r="A6353" t="str">
            <v>IE00BK9ZQ967</v>
          </cell>
          <cell r="E6353">
            <v>303.6370051056</v>
          </cell>
        </row>
        <row r="6354">
          <cell r="A6354" t="str">
            <v>JP3635670007</v>
          </cell>
          <cell r="E6354">
            <v>15.387981440000001</v>
          </cell>
        </row>
        <row r="6355">
          <cell r="A6355" t="str">
            <v>CA89346D1078</v>
          </cell>
          <cell r="E6355">
            <v>7.6166296799999991</v>
          </cell>
        </row>
        <row r="6356">
          <cell r="A6356" t="str">
            <v>CA8935781044</v>
          </cell>
          <cell r="E6356">
            <v>11.0885433758</v>
          </cell>
        </row>
        <row r="6357">
          <cell r="A6357" t="str">
            <v>JP3635700002</v>
          </cell>
          <cell r="E6357">
            <v>18.802035199999999</v>
          </cell>
        </row>
        <row r="6358">
          <cell r="A6358" t="str">
            <v>US8936411003</v>
          </cell>
          <cell r="E6358">
            <v>1201.3771164912</v>
          </cell>
        </row>
        <row r="6359">
          <cell r="A6359" t="str">
            <v>FR0005175080</v>
          </cell>
          <cell r="E6359">
            <v>0.64</v>
          </cell>
        </row>
        <row r="6360">
          <cell r="A6360" t="str">
            <v>US89377M1099</v>
          </cell>
          <cell r="E6360">
            <v>76.959745624800007</v>
          </cell>
        </row>
        <row r="6361">
          <cell r="A6361" t="str">
            <v>CH0048265513</v>
          </cell>
          <cell r="E6361">
            <v>1.9332627084</v>
          </cell>
        </row>
        <row r="6362">
          <cell r="A6362" t="str">
            <v>US89400J1079</v>
          </cell>
          <cell r="E6362">
            <v>66.437146773600006</v>
          </cell>
        </row>
        <row r="6363">
          <cell r="A6363" t="str">
            <v>AU000000TCL6</v>
          </cell>
          <cell r="E6363">
            <v>7.7418628288000004</v>
          </cell>
        </row>
        <row r="6364">
          <cell r="A6364" t="str">
            <v>US8941641024</v>
          </cell>
          <cell r="E6364">
            <v>36.899717447999997</v>
          </cell>
        </row>
        <row r="6365">
          <cell r="A6365" t="str">
            <v>US89417E1091</v>
          </cell>
          <cell r="E6365">
            <v>220.39194875760001</v>
          </cell>
        </row>
        <row r="6366">
          <cell r="A6366" t="str">
            <v>US89422G1076</v>
          </cell>
          <cell r="E6366">
            <v>13.1620762476</v>
          </cell>
        </row>
        <row r="6367">
          <cell r="A6367" t="str">
            <v>GB00BK9RKT01</v>
          </cell>
          <cell r="E6367">
            <v>6.2730208850000002</v>
          </cell>
        </row>
        <row r="6368">
          <cell r="A6368" t="str">
            <v>IT0005378325</v>
          </cell>
          <cell r="E6368">
            <v>6.6</v>
          </cell>
        </row>
        <row r="6369">
          <cell r="A6369" t="str">
            <v>JP3538540000</v>
          </cell>
          <cell r="E6369">
            <v>9.2896897599999999</v>
          </cell>
        </row>
        <row r="6370">
          <cell r="A6370" t="str">
            <v>NO0010763550</v>
          </cell>
          <cell r="E6370">
            <v>2.459358065</v>
          </cell>
        </row>
        <row r="6371">
          <cell r="A6371" t="str">
            <v>JP3637270004</v>
          </cell>
          <cell r="E6371">
            <v>12.1842136</v>
          </cell>
        </row>
        <row r="6372">
          <cell r="A6372" t="str">
            <v>AU000000TWE9</v>
          </cell>
          <cell r="E6372">
            <v>4.6698736540000008</v>
          </cell>
        </row>
        <row r="6373">
          <cell r="A6373" t="str">
            <v>US89469A1043</v>
          </cell>
          <cell r="E6373">
            <v>19.6945621116</v>
          </cell>
        </row>
        <row r="6374">
          <cell r="A6374" t="str">
            <v>SE0000114837</v>
          </cell>
          <cell r="E6374">
            <v>29.374718515000001</v>
          </cell>
        </row>
        <row r="6375">
          <cell r="A6375" t="str">
            <v>JP3637300009</v>
          </cell>
          <cell r="E6375">
            <v>60.209806800000003</v>
          </cell>
        </row>
        <row r="6376">
          <cell r="A6376" t="str">
            <v>IT0005422792</v>
          </cell>
          <cell r="E6376">
            <v>0.12</v>
          </cell>
        </row>
        <row r="6377">
          <cell r="A6377" t="str">
            <v>US89531P1057</v>
          </cell>
          <cell r="E6377">
            <v>48.260946241200003</v>
          </cell>
        </row>
        <row r="6378">
          <cell r="A6378" t="str">
            <v>TRFCACROL</v>
          </cell>
          <cell r="E6378">
            <v>1</v>
          </cell>
        </row>
        <row r="6379">
          <cell r="A6379" t="str">
            <v>JP3636000006</v>
          </cell>
          <cell r="E6379">
            <v>15.40653608</v>
          </cell>
        </row>
        <row r="6380">
          <cell r="A6380" t="str">
            <v>US87265H1095</v>
          </cell>
          <cell r="E6380">
            <v>25.865112948</v>
          </cell>
        </row>
        <row r="6381">
          <cell r="A6381" t="str">
            <v>JP3635490000</v>
          </cell>
          <cell r="E6381">
            <v>14.843712</v>
          </cell>
        </row>
        <row r="6382">
          <cell r="A6382" t="str">
            <v>CA8959451037</v>
          </cell>
          <cell r="E6382">
            <v>2.6658203880000002</v>
          </cell>
        </row>
        <row r="6383">
          <cell r="A6383" t="str">
            <v>US8960951064</v>
          </cell>
          <cell r="E6383">
            <v>32.424081862800001</v>
          </cell>
        </row>
        <row r="6384">
          <cell r="A6384" t="str">
            <v>FR0005691656</v>
          </cell>
          <cell r="E6384">
            <v>101.1</v>
          </cell>
        </row>
        <row r="6385">
          <cell r="A6385" t="str">
            <v>FR0010397901</v>
          </cell>
          <cell r="E6385">
            <v>5.9</v>
          </cell>
        </row>
        <row r="6386">
          <cell r="A6386" t="str">
            <v>US8962391004</v>
          </cell>
          <cell r="E6386">
            <v>52.604166572399997</v>
          </cell>
        </row>
        <row r="6387">
          <cell r="A6387" t="str">
            <v>US8962881079</v>
          </cell>
          <cell r="E6387">
            <v>69.518008350000002</v>
          </cell>
        </row>
        <row r="6388">
          <cell r="A6388" t="str">
            <v>US8965221091</v>
          </cell>
          <cell r="E6388">
            <v>22.3252118244</v>
          </cell>
        </row>
        <row r="6389">
          <cell r="A6389" t="str">
            <v>US8969452015</v>
          </cell>
          <cell r="E6389">
            <v>10.469632749600001</v>
          </cell>
        </row>
        <row r="6390">
          <cell r="A6390" t="str">
            <v>CA89679M1041</v>
          </cell>
          <cell r="E6390">
            <v>19.2066011764</v>
          </cell>
        </row>
        <row r="6391">
          <cell r="A6391" t="str">
            <v>CA89679A2092</v>
          </cell>
          <cell r="E6391">
            <v>21.307521529799999</v>
          </cell>
        </row>
        <row r="6392">
          <cell r="A6392" t="str">
            <v>GB00BG49KP99</v>
          </cell>
          <cell r="E6392">
            <v>1.6065481260000001</v>
          </cell>
        </row>
        <row r="6393">
          <cell r="A6393" t="str">
            <v>US89679E3009</v>
          </cell>
          <cell r="E6393">
            <v>45.197740032000013</v>
          </cell>
        </row>
        <row r="6394">
          <cell r="A6394" t="str">
            <v>US8968181011</v>
          </cell>
          <cell r="E6394">
            <v>21.980932163999999</v>
          </cell>
        </row>
        <row r="6395">
          <cell r="A6395" t="str">
            <v>SE0012729366</v>
          </cell>
          <cell r="E6395">
            <v>14.862797852</v>
          </cell>
        </row>
        <row r="6396">
          <cell r="A6396" t="str">
            <v>NO0010788268</v>
          </cell>
          <cell r="E6396">
            <v>9.0904543528000001</v>
          </cell>
        </row>
        <row r="6397">
          <cell r="A6397" t="str">
            <v>FR0004175099</v>
          </cell>
          <cell r="E6397">
            <v>4.9800000000000004</v>
          </cell>
        </row>
        <row r="6398">
          <cell r="A6398" t="str">
            <v>SE0016787071</v>
          </cell>
          <cell r="E6398">
            <v>6.2078271899999997</v>
          </cell>
        </row>
        <row r="6399">
          <cell r="A6399" t="str">
            <v>US89832Q1094</v>
          </cell>
          <cell r="E6399">
            <v>32.212217456399998</v>
          </cell>
        </row>
        <row r="6400">
          <cell r="A6400" t="str">
            <v>US25400Q1058</v>
          </cell>
          <cell r="E6400">
            <v>17.620056465600001</v>
          </cell>
        </row>
        <row r="6401">
          <cell r="A6401" t="str">
            <v>JP3635500006</v>
          </cell>
          <cell r="E6401">
            <v>11.27503624</v>
          </cell>
        </row>
        <row r="6402">
          <cell r="A6402" t="str">
            <v>US8984021027</v>
          </cell>
          <cell r="E6402">
            <v>28.566384129599999</v>
          </cell>
        </row>
        <row r="6403">
          <cell r="A6403" t="str">
            <v>GB00BNK9TP58</v>
          </cell>
          <cell r="E6403">
            <v>2.5092083540000001</v>
          </cell>
        </row>
        <row r="6404">
          <cell r="A6404" t="str">
            <v>DK0060636678</v>
          </cell>
          <cell r="E6404">
            <v>20.468443184000002</v>
          </cell>
        </row>
        <row r="6405">
          <cell r="A6405" t="str">
            <v>JP3635510005</v>
          </cell>
          <cell r="E6405">
            <v>2.2945904800000001</v>
          </cell>
        </row>
        <row r="6406">
          <cell r="A6406" t="str">
            <v>JP3539230007</v>
          </cell>
          <cell r="E6406">
            <v>9.5463622800000003</v>
          </cell>
        </row>
        <row r="6407">
          <cell r="A6407" t="str">
            <v>JP3538690003</v>
          </cell>
          <cell r="E6407">
            <v>6.0117033600000003</v>
          </cell>
        </row>
        <row r="6408">
          <cell r="A6408" t="str">
            <v>JP3535400000</v>
          </cell>
          <cell r="E6408">
            <v>10.167942719999999</v>
          </cell>
        </row>
        <row r="6409">
          <cell r="A6409" t="str">
            <v>JP3534600006</v>
          </cell>
          <cell r="E6409">
            <v>12.90165968</v>
          </cell>
        </row>
        <row r="6410">
          <cell r="A6410" t="str">
            <v>JP3802680003</v>
          </cell>
          <cell r="E6410">
            <v>10.903943440000001</v>
          </cell>
        </row>
        <row r="6411">
          <cell r="A6411" t="str">
            <v>JP3531800005</v>
          </cell>
          <cell r="E6411">
            <v>9.9576568000000005</v>
          </cell>
        </row>
        <row r="6412">
          <cell r="A6412" t="str">
            <v>JP3532200007</v>
          </cell>
          <cell r="E6412">
            <v>11.20081768</v>
          </cell>
        </row>
        <row r="6413">
          <cell r="A6413" t="str">
            <v>JP3535800001</v>
          </cell>
          <cell r="E6413">
            <v>26.23007608</v>
          </cell>
        </row>
        <row r="6414">
          <cell r="A6414" t="str">
            <v>JP3536150000</v>
          </cell>
          <cell r="E6414">
            <v>69.827295200000009</v>
          </cell>
        </row>
        <row r="6415">
          <cell r="A6415" t="str">
            <v>JP3536200003</v>
          </cell>
          <cell r="E6415">
            <v>19.698842800000001</v>
          </cell>
        </row>
        <row r="6416">
          <cell r="A6416" t="str">
            <v>JP3533800003</v>
          </cell>
          <cell r="E6416">
            <v>13.7304336</v>
          </cell>
        </row>
        <row r="6417">
          <cell r="A6417" t="str">
            <v>US87305R1095</v>
          </cell>
          <cell r="E6417">
            <v>16.6137005352</v>
          </cell>
        </row>
        <row r="6418">
          <cell r="A6418" t="str">
            <v>AU0000089724</v>
          </cell>
          <cell r="E6418">
            <v>3.0044729291999999</v>
          </cell>
        </row>
        <row r="6419">
          <cell r="A6419" t="str">
            <v>BE0003823409</v>
          </cell>
          <cell r="E6419">
            <v>113.8</v>
          </cell>
        </row>
        <row r="6420">
          <cell r="A6420" t="str">
            <v>DE000TUAG505</v>
          </cell>
          <cell r="E6420">
            <v>6.3079999999999998</v>
          </cell>
        </row>
        <row r="6421">
          <cell r="A6421" t="str">
            <v>GB0001500809</v>
          </cell>
          <cell r="E6421">
            <v>0.1620579114</v>
          </cell>
        </row>
        <row r="6422">
          <cell r="A6422" t="str">
            <v>AU0000169039</v>
          </cell>
          <cell r="E6422">
            <v>0.25318592099999998</v>
          </cell>
        </row>
        <row r="6423">
          <cell r="A6423" t="str">
            <v>NZVNLE0001S1</v>
          </cell>
          <cell r="E6423">
            <v>3.0311755890000001</v>
          </cell>
        </row>
        <row r="6424">
          <cell r="A6424" t="str">
            <v>US90041L1052</v>
          </cell>
          <cell r="E6424">
            <v>50.6444208132</v>
          </cell>
        </row>
        <row r="6425">
          <cell r="A6425" t="str">
            <v>IL0011756116</v>
          </cell>
          <cell r="E6425">
            <v>6.3605565000000004</v>
          </cell>
        </row>
        <row r="6426">
          <cell r="A6426" t="str">
            <v>JP3429000007</v>
          </cell>
          <cell r="E6426">
            <v>14.38603088</v>
          </cell>
        </row>
        <row r="6427">
          <cell r="A6427" t="str">
            <v>US90138F1021</v>
          </cell>
          <cell r="E6427">
            <v>77.957273871600009</v>
          </cell>
        </row>
        <row r="6428">
          <cell r="A6428" t="str">
            <v>US90184D1000</v>
          </cell>
          <cell r="E6428">
            <v>34.869350220000001</v>
          </cell>
        </row>
        <row r="6429">
          <cell r="A6429" t="str">
            <v>US90187B8046</v>
          </cell>
          <cell r="E6429">
            <v>9.7192796436000002</v>
          </cell>
        </row>
        <row r="6430">
          <cell r="A6430" t="str">
            <v>CH0011178255</v>
          </cell>
          <cell r="E6430">
            <v>188.10063740000001</v>
          </cell>
        </row>
        <row r="6431">
          <cell r="A6431" t="str">
            <v>FR0010654087</v>
          </cell>
          <cell r="E6431">
            <v>8.4499999999999993</v>
          </cell>
        </row>
        <row r="6432">
          <cell r="A6432" t="str">
            <v>US69349H1077</v>
          </cell>
          <cell r="E6432">
            <v>46.592514040799998</v>
          </cell>
        </row>
        <row r="6433">
          <cell r="A6433" t="str">
            <v>IT0001454435</v>
          </cell>
          <cell r="E6433">
            <v>30.9</v>
          </cell>
        </row>
        <row r="6434">
          <cell r="A6434" t="str">
            <v>US9022521051</v>
          </cell>
          <cell r="E6434">
            <v>510.61970247480002</v>
          </cell>
        </row>
        <row r="6435">
          <cell r="A6435" t="str">
            <v>AU0000066508</v>
          </cell>
          <cell r="E6435">
            <v>0.38259205839999999</v>
          </cell>
        </row>
        <row r="6436">
          <cell r="A6436" t="str">
            <v>US9024941034</v>
          </cell>
          <cell r="E6436">
            <v>53.840042276400013</v>
          </cell>
        </row>
        <row r="6437">
          <cell r="A6437" t="str">
            <v>US9029733048</v>
          </cell>
          <cell r="E6437">
            <v>34.101341746800003</v>
          </cell>
        </row>
        <row r="6438">
          <cell r="A6438" t="str">
            <v>US90337L1089</v>
          </cell>
          <cell r="E6438">
            <v>61.449505539599997</v>
          </cell>
        </row>
        <row r="6439">
          <cell r="A6439" t="str">
            <v>FR0000079147</v>
          </cell>
          <cell r="E6439">
            <v>1.3298000000000001</v>
          </cell>
        </row>
        <row r="6440">
          <cell r="A6440" t="str">
            <v>JP3826900007</v>
          </cell>
          <cell r="E6440">
            <v>27.584564799999999</v>
          </cell>
        </row>
        <row r="6441">
          <cell r="A6441" t="str">
            <v>IT0005628158</v>
          </cell>
          <cell r="E6441">
            <v>2.92</v>
          </cell>
        </row>
        <row r="6442">
          <cell r="A6442" t="str">
            <v>JP3158800007</v>
          </cell>
          <cell r="E6442">
            <v>12.22750776</v>
          </cell>
        </row>
        <row r="6443">
          <cell r="A6443" t="str">
            <v>US90353T1007</v>
          </cell>
          <cell r="E6443">
            <v>65.342514007199995</v>
          </cell>
        </row>
        <row r="6444">
          <cell r="A6444" t="str">
            <v>FR0000054470</v>
          </cell>
          <cell r="E6444">
            <v>9.4420000000000002</v>
          </cell>
        </row>
        <row r="6445">
          <cell r="A6445" t="str">
            <v>CH0244767585</v>
          </cell>
          <cell r="E6445">
            <v>25.051290399999999</v>
          </cell>
        </row>
        <row r="6446">
          <cell r="A6446" t="str">
            <v>IT0005380461</v>
          </cell>
          <cell r="E6446">
            <v>0.58399999999999996</v>
          </cell>
        </row>
        <row r="6447">
          <cell r="A6447" t="str">
            <v>BE0003739530</v>
          </cell>
          <cell r="E6447">
            <v>142.5</v>
          </cell>
        </row>
        <row r="6448">
          <cell r="A6448" t="str">
            <v>JP3157200001</v>
          </cell>
          <cell r="E6448">
            <v>44.407438399999997</v>
          </cell>
        </row>
        <row r="6449">
          <cell r="A6449" t="str">
            <v>US9026531049</v>
          </cell>
          <cell r="E6449">
            <v>36.255296545199997</v>
          </cell>
        </row>
        <row r="6450">
          <cell r="A6450" t="str">
            <v>US90278Q1085</v>
          </cell>
          <cell r="E6450">
            <v>93.167372714400003</v>
          </cell>
        </row>
        <row r="6451">
          <cell r="A6451" t="str">
            <v>US9026731029</v>
          </cell>
          <cell r="E6451">
            <v>180.49081888559999</v>
          </cell>
        </row>
        <row r="6452">
          <cell r="A6452" t="str">
            <v>US9026811052</v>
          </cell>
          <cell r="E6452">
            <v>28.3103813052</v>
          </cell>
        </row>
        <row r="6453">
          <cell r="A6453" t="str">
            <v>US0235865062</v>
          </cell>
          <cell r="E6453">
            <v>48.040254151200003</v>
          </cell>
        </row>
        <row r="6454">
          <cell r="A6454" t="str">
            <v>US90364P1057</v>
          </cell>
          <cell r="E6454">
            <v>9.339689248800001</v>
          </cell>
        </row>
        <row r="6455">
          <cell r="A6455" t="str">
            <v>US9037311076</v>
          </cell>
          <cell r="E6455">
            <v>50.953389739199999</v>
          </cell>
        </row>
        <row r="6456">
          <cell r="A6456" t="str">
            <v>IT0005451213</v>
          </cell>
          <cell r="E6456">
            <v>0.77800000000000002</v>
          </cell>
        </row>
        <row r="6457">
          <cell r="A6457" t="str">
            <v>US90384S3031</v>
          </cell>
          <cell r="E6457">
            <v>316.11052203240001</v>
          </cell>
        </row>
        <row r="6458">
          <cell r="A6458" t="str">
            <v>US90385V1070</v>
          </cell>
          <cell r="E6458">
            <v>17.4435027936</v>
          </cell>
        </row>
        <row r="6459">
          <cell r="A6459" t="str">
            <v>US90400D1081</v>
          </cell>
          <cell r="E6459">
            <v>31.1970338424</v>
          </cell>
        </row>
        <row r="6460">
          <cell r="A6460" t="str">
            <v>JP3126190002</v>
          </cell>
          <cell r="E6460">
            <v>27.720632160000001</v>
          </cell>
        </row>
        <row r="6461">
          <cell r="A6461" t="str">
            <v>US9027881088</v>
          </cell>
          <cell r="E6461">
            <v>79.855225845600003</v>
          </cell>
        </row>
        <row r="6462">
          <cell r="A6462" t="str">
            <v>NL0015000IY2</v>
          </cell>
          <cell r="E6462">
            <v>24.08</v>
          </cell>
        </row>
        <row r="6463">
          <cell r="A6463" t="str">
            <v>US9030021037</v>
          </cell>
          <cell r="E6463">
            <v>15.0423728544</v>
          </cell>
        </row>
        <row r="6464">
          <cell r="A6464" t="str">
            <v>BE0974320526</v>
          </cell>
          <cell r="E6464">
            <v>7.7450000000000001</v>
          </cell>
        </row>
        <row r="6465">
          <cell r="A6465" t="str">
            <v>SG1J94892465</v>
          </cell>
          <cell r="E6465">
            <v>0.67084829000000001</v>
          </cell>
        </row>
        <row r="6466">
          <cell r="A6466" t="str">
            <v>US9043111072</v>
          </cell>
          <cell r="E6466">
            <v>5.0670903864000003</v>
          </cell>
        </row>
        <row r="6467">
          <cell r="A6467" t="str">
            <v>FR0013326246</v>
          </cell>
          <cell r="E6467">
            <v>70.099999999999994</v>
          </cell>
        </row>
        <row r="6468">
          <cell r="A6468" t="str">
            <v>FR0000054215</v>
          </cell>
          <cell r="E6468">
            <v>1170</v>
          </cell>
        </row>
        <row r="6469">
          <cell r="A6469" t="str">
            <v>ES0180907000</v>
          </cell>
          <cell r="E6469">
            <v>1.6679999999999999</v>
          </cell>
        </row>
        <row r="6470">
          <cell r="A6470" t="str">
            <v>JP3951600000</v>
          </cell>
          <cell r="E6470">
            <v>7.7001756000000006</v>
          </cell>
        </row>
        <row r="6471">
          <cell r="A6471" t="str">
            <v>IT0005239360</v>
          </cell>
          <cell r="E6471">
            <v>49.65</v>
          </cell>
        </row>
        <row r="6472">
          <cell r="A6472" t="str">
            <v>BE0974371032</v>
          </cell>
          <cell r="E6472">
            <v>3.65</v>
          </cell>
        </row>
        <row r="6473">
          <cell r="A6473" t="str">
            <v>US9047081040</v>
          </cell>
          <cell r="E6473">
            <v>154.14018333959999</v>
          </cell>
        </row>
        <row r="6474">
          <cell r="A6474" t="str">
            <v>GB00B10RZP78</v>
          </cell>
          <cell r="E6474">
            <v>54.9</v>
          </cell>
        </row>
        <row r="6475">
          <cell r="A6475" t="str">
            <v>GB00B10RZP78</v>
          </cell>
          <cell r="E6475">
            <v>54.802700629999997</v>
          </cell>
        </row>
        <row r="6476">
          <cell r="A6476" t="str">
            <v>US9078181081</v>
          </cell>
          <cell r="E6476">
            <v>194.27966066880001</v>
          </cell>
        </row>
        <row r="6477">
          <cell r="A6477" t="str">
            <v>FR0000074197</v>
          </cell>
          <cell r="E6477">
            <v>0.218</v>
          </cell>
        </row>
        <row r="6478">
          <cell r="A6478" t="str">
            <v>JP3950600001</v>
          </cell>
          <cell r="E6478">
            <v>21.368760399999999</v>
          </cell>
        </row>
        <row r="6479">
          <cell r="A6479" t="str">
            <v>IE00BJ5FQX74</v>
          </cell>
          <cell r="E6479">
            <v>2.75</v>
          </cell>
        </row>
        <row r="6480">
          <cell r="A6480" t="str">
            <v>IT0004810054</v>
          </cell>
          <cell r="E6480">
            <v>14.455</v>
          </cell>
        </row>
        <row r="6481">
          <cell r="A6481" t="str">
            <v>JP3952550006</v>
          </cell>
          <cell r="E6481">
            <v>5.8694511199999999</v>
          </cell>
        </row>
        <row r="6482">
          <cell r="A6482" t="str">
            <v>AT0000821103</v>
          </cell>
          <cell r="E6482">
            <v>9.56</v>
          </cell>
        </row>
        <row r="6483">
          <cell r="A6483" t="str">
            <v>GB0006928617</v>
          </cell>
          <cell r="E6483">
            <v>10.096465115000001</v>
          </cell>
        </row>
        <row r="6484">
          <cell r="A6484" t="str">
            <v>US9100471096</v>
          </cell>
          <cell r="E6484">
            <v>59.145480120000002</v>
          </cell>
        </row>
        <row r="6485">
          <cell r="A6485" t="str">
            <v>JP3949400000</v>
          </cell>
          <cell r="E6485">
            <v>13.14287</v>
          </cell>
        </row>
        <row r="6486">
          <cell r="A6486" t="str">
            <v>US9099071071</v>
          </cell>
          <cell r="E6486">
            <v>28.7517654852</v>
          </cell>
        </row>
        <row r="6487">
          <cell r="A6487" t="str">
            <v>US90984P3038</v>
          </cell>
          <cell r="E6487">
            <v>21.6454801872</v>
          </cell>
        </row>
        <row r="6488">
          <cell r="A6488" t="str">
            <v>BMG9231L1081</v>
          </cell>
          <cell r="E6488">
            <v>4.3817720099999999E-2</v>
          </cell>
        </row>
        <row r="6489">
          <cell r="A6489" t="str">
            <v>SGXC39411175</v>
          </cell>
          <cell r="E6489">
            <v>0.39283192020000002</v>
          </cell>
        </row>
        <row r="6490">
          <cell r="A6490" t="str">
            <v>US91324P1021</v>
          </cell>
          <cell r="E6490">
            <v>515.17478721240002</v>
          </cell>
        </row>
        <row r="6491">
          <cell r="A6491" t="str">
            <v>DE0005089031</v>
          </cell>
          <cell r="E6491">
            <v>18.8</v>
          </cell>
        </row>
        <row r="6492">
          <cell r="A6492" t="str">
            <v>US9111631035</v>
          </cell>
          <cell r="E6492">
            <v>21.230579058</v>
          </cell>
        </row>
        <row r="6493">
          <cell r="A6493" t="str">
            <v>SG1M31001969</v>
          </cell>
          <cell r="E6493">
            <v>22.748465513900001</v>
          </cell>
        </row>
        <row r="6494">
          <cell r="A6494" t="str">
            <v>US81282V1008</v>
          </cell>
          <cell r="E6494">
            <v>37.720692022800002</v>
          </cell>
        </row>
        <row r="6495">
          <cell r="A6495" t="str">
            <v>US9113631090</v>
          </cell>
          <cell r="E6495">
            <v>527.17160922480002</v>
          </cell>
        </row>
        <row r="6496">
          <cell r="A6496" t="str">
            <v>US9129091081</v>
          </cell>
          <cell r="E6496">
            <v>36.537782420399999</v>
          </cell>
        </row>
        <row r="6497">
          <cell r="A6497" t="str">
            <v>JP3949450005</v>
          </cell>
          <cell r="E6497">
            <v>5.7395686399999999</v>
          </cell>
        </row>
        <row r="6498">
          <cell r="A6498" t="str">
            <v>US91307C1027</v>
          </cell>
          <cell r="E6498">
            <v>251.4300842952</v>
          </cell>
        </row>
        <row r="6499">
          <cell r="A6499" t="str">
            <v>JP3045540006</v>
          </cell>
          <cell r="E6499">
            <v>912.26980000000003</v>
          </cell>
        </row>
        <row r="6500">
          <cell r="A6500" t="str">
            <v>FR0012709160</v>
          </cell>
          <cell r="E6500">
            <v>1.44</v>
          </cell>
        </row>
        <row r="6501">
          <cell r="A6501" t="str">
            <v>US91325V1089</v>
          </cell>
          <cell r="E6501">
            <v>4.0783898232000002</v>
          </cell>
        </row>
        <row r="6502">
          <cell r="A6502" t="str">
            <v>US91332U1016</v>
          </cell>
          <cell r="E6502">
            <v>16.6137005352</v>
          </cell>
        </row>
        <row r="6503">
          <cell r="A6503" t="str">
            <v>US9134561094</v>
          </cell>
          <cell r="E6503">
            <v>45.082980145199997</v>
          </cell>
        </row>
        <row r="6504">
          <cell r="A6504" t="str">
            <v>US91347P1057</v>
          </cell>
          <cell r="E6504">
            <v>102.8778246744</v>
          </cell>
        </row>
        <row r="6505">
          <cell r="A6505" t="str">
            <v>JP3126130008</v>
          </cell>
          <cell r="E6505">
            <v>6.0364428800000001</v>
          </cell>
        </row>
        <row r="6506">
          <cell r="A6506" t="str">
            <v>US9139031002</v>
          </cell>
          <cell r="E6506">
            <v>154.92584718000001</v>
          </cell>
        </row>
        <row r="6507">
          <cell r="A6507" t="str">
            <v>AU0000113565</v>
          </cell>
          <cell r="E6507">
            <v>4.1972599347999999</v>
          </cell>
        </row>
        <row r="6508">
          <cell r="A6508" t="str">
            <v>US9139151040</v>
          </cell>
          <cell r="E6508">
            <v>24.814618599599999</v>
          </cell>
        </row>
        <row r="6509">
          <cell r="A6509" t="str">
            <v>GB00B39J2M42</v>
          </cell>
          <cell r="E6509">
            <v>12.885123979999999</v>
          </cell>
        </row>
        <row r="6510">
          <cell r="A6510" t="str">
            <v>US91529Y1064</v>
          </cell>
          <cell r="E6510">
            <v>68.282132645999994</v>
          </cell>
        </row>
        <row r="6511">
          <cell r="A6511" t="str">
            <v>SG1S83002349</v>
          </cell>
          <cell r="E6511">
            <v>3.7366249752999998</v>
          </cell>
        </row>
        <row r="6512">
          <cell r="A6512" t="str">
            <v>US76009N1000</v>
          </cell>
          <cell r="E6512">
            <v>18.079096012800001</v>
          </cell>
        </row>
        <row r="6513">
          <cell r="A6513" t="str">
            <v>FR0010337865</v>
          </cell>
          <cell r="E6513">
            <v>1.82</v>
          </cell>
        </row>
        <row r="6514">
          <cell r="A6514" t="str">
            <v>FI0009005987</v>
          </cell>
          <cell r="E6514">
            <v>23.19</v>
          </cell>
        </row>
        <row r="6515">
          <cell r="A6515" t="str">
            <v>US9113121068</v>
          </cell>
          <cell r="E6515">
            <v>85.187146740000003</v>
          </cell>
        </row>
        <row r="6516">
          <cell r="A6516" t="str">
            <v>US91680M1071</v>
          </cell>
          <cell r="E6516">
            <v>35.707980162000013</v>
          </cell>
        </row>
        <row r="6517">
          <cell r="A6517" t="str">
            <v>US91688F1049</v>
          </cell>
          <cell r="E6517">
            <v>11.299435008</v>
          </cell>
        </row>
        <row r="6518">
          <cell r="A6518" t="str">
            <v>US9168961038</v>
          </cell>
          <cell r="E6518">
            <v>4.0695621396000004</v>
          </cell>
        </row>
        <row r="6519">
          <cell r="A6519" t="str">
            <v>US91704F1049</v>
          </cell>
          <cell r="E6519">
            <v>15.5632061868</v>
          </cell>
        </row>
        <row r="6520">
          <cell r="A6520" t="str">
            <v>GB00BYV8MN78</v>
          </cell>
          <cell r="E6520">
            <v>1.6603335800000001</v>
          </cell>
        </row>
        <row r="6521">
          <cell r="A6521" t="str">
            <v>US9170471026</v>
          </cell>
          <cell r="E6521">
            <v>42.646539471600001</v>
          </cell>
        </row>
        <row r="6522">
          <cell r="A6522" t="str">
            <v>US9120081099</v>
          </cell>
          <cell r="E6522">
            <v>55.729166566799996</v>
          </cell>
        </row>
        <row r="6523">
          <cell r="A6523" t="str">
            <v>US9119221029</v>
          </cell>
          <cell r="E6523">
            <v>81.682556350799999</v>
          </cell>
        </row>
        <row r="6524">
          <cell r="A6524" t="str">
            <v>JP3944640006</v>
          </cell>
          <cell r="E6524">
            <v>11.8131208</v>
          </cell>
        </row>
        <row r="6525">
          <cell r="A6525" t="str">
            <v>JP3156400008</v>
          </cell>
          <cell r="E6525">
            <v>10.062799760000001</v>
          </cell>
        </row>
        <row r="6526">
          <cell r="A6526" t="str">
            <v>JP3944130008</v>
          </cell>
          <cell r="E6526">
            <v>8.4547309600000009</v>
          </cell>
        </row>
        <row r="6527">
          <cell r="A6527" t="str">
            <v>JP3949500007</v>
          </cell>
          <cell r="E6527">
            <v>12.28935656</v>
          </cell>
        </row>
        <row r="6528">
          <cell r="A6528" t="str">
            <v>US9180901012</v>
          </cell>
          <cell r="E6528">
            <v>12.455861559600001</v>
          </cell>
        </row>
        <row r="6529">
          <cell r="A6529" t="str">
            <v>FR0011898584</v>
          </cell>
          <cell r="E6529">
            <v>2.488</v>
          </cell>
        </row>
        <row r="6530">
          <cell r="A6530" t="str">
            <v>NL0000302636</v>
          </cell>
          <cell r="E6530">
            <v>46.875</v>
          </cell>
        </row>
        <row r="6531">
          <cell r="A6531" t="str">
            <v>US9182041080</v>
          </cell>
          <cell r="E6531">
            <v>9.5692090224000008</v>
          </cell>
        </row>
        <row r="6532">
          <cell r="A6532" t="str">
            <v>PTVAA0AM0019</v>
          </cell>
          <cell r="E6532">
            <v>0.99990000000000001</v>
          </cell>
        </row>
        <row r="6533">
          <cell r="A6533" t="str">
            <v>NO0011202772</v>
          </cell>
          <cell r="E6533">
            <v>2.4051688195000001</v>
          </cell>
        </row>
        <row r="6534">
          <cell r="A6534" t="str">
            <v>US91879Q1094</v>
          </cell>
          <cell r="E6534">
            <v>123.73764102120001</v>
          </cell>
        </row>
        <row r="6535">
          <cell r="A6535" t="str">
            <v>FI0009900682</v>
          </cell>
          <cell r="E6535">
            <v>44.25</v>
          </cell>
        </row>
        <row r="6536">
          <cell r="A6536" t="str">
            <v>BMG9460G1015</v>
          </cell>
          <cell r="E6536">
            <v>26.809675093199999</v>
          </cell>
        </row>
        <row r="6537">
          <cell r="A6537" t="str">
            <v>FR0013254851</v>
          </cell>
          <cell r="E6537">
            <v>1.02</v>
          </cell>
        </row>
        <row r="6538">
          <cell r="A6538" t="str">
            <v>FR0013176526</v>
          </cell>
          <cell r="E6538">
            <v>8.1820000000000004</v>
          </cell>
        </row>
        <row r="6539">
          <cell r="A6539" t="str">
            <v>FR0010095596</v>
          </cell>
          <cell r="E6539">
            <v>6.9000000000000006E-2</v>
          </cell>
        </row>
        <row r="6540">
          <cell r="A6540" t="str">
            <v>US91913Y1001</v>
          </cell>
          <cell r="E6540">
            <v>94.941737118000006</v>
          </cell>
        </row>
        <row r="6541">
          <cell r="A6541" t="str">
            <v>CH0014786500</v>
          </cell>
          <cell r="E6541">
            <v>130.4394776</v>
          </cell>
        </row>
        <row r="6542">
          <cell r="A6542" t="str">
            <v>IT0005562514</v>
          </cell>
          <cell r="E6542">
            <v>4.5999999999999996</v>
          </cell>
        </row>
        <row r="6543">
          <cell r="A6543" t="str">
            <v>US9197941076</v>
          </cell>
          <cell r="E6543">
            <v>7.1857344504000009</v>
          </cell>
        </row>
        <row r="6544">
          <cell r="A6544" t="str">
            <v>FR0013506730</v>
          </cell>
          <cell r="E6544">
            <v>15.67</v>
          </cell>
        </row>
        <row r="6545">
          <cell r="A6545" t="str">
            <v>FI4000074984</v>
          </cell>
          <cell r="E6545">
            <v>23.48</v>
          </cell>
        </row>
        <row r="6546">
          <cell r="A6546" t="str">
            <v>US9202531011</v>
          </cell>
          <cell r="E6546">
            <v>249.38206170000001</v>
          </cell>
        </row>
        <row r="6547">
          <cell r="A6547" t="str">
            <v>FR0004056851</v>
          </cell>
          <cell r="E6547">
            <v>3.1880000000000002</v>
          </cell>
        </row>
        <row r="6548">
          <cell r="A6548" t="str">
            <v>JP3778400006</v>
          </cell>
          <cell r="E6548">
            <v>15.1220316</v>
          </cell>
        </row>
        <row r="6549">
          <cell r="A6549" t="str">
            <v>JP3744200001</v>
          </cell>
          <cell r="E6549">
            <v>17.892857840000001</v>
          </cell>
        </row>
        <row r="6550">
          <cell r="A6550" t="str">
            <v>IT0005532525</v>
          </cell>
          <cell r="E6550">
            <v>6.35</v>
          </cell>
        </row>
        <row r="6551">
          <cell r="A6551" t="str">
            <v>KYG931751005</v>
          </cell>
          <cell r="E6551">
            <v>0.15592279619999999</v>
          </cell>
        </row>
        <row r="6552">
          <cell r="A6552" t="str">
            <v>NL0010661864</v>
          </cell>
          <cell r="E6552">
            <v>5.85</v>
          </cell>
        </row>
        <row r="6553">
          <cell r="A6553" t="str">
            <v>BMG9316Y1084</v>
          </cell>
          <cell r="E6553">
            <v>0.40250897400000002</v>
          </cell>
        </row>
        <row r="6554">
          <cell r="A6554" t="str">
            <v>US92047W1018</v>
          </cell>
          <cell r="E6554">
            <v>30.040607290800001</v>
          </cell>
        </row>
        <row r="6555">
          <cell r="A6555" t="str">
            <v>BE0003839561</v>
          </cell>
          <cell r="E6555">
            <v>30.9</v>
          </cell>
        </row>
        <row r="6556">
          <cell r="A6556" t="str">
            <v>BMG9551V1081</v>
          </cell>
          <cell r="E6556">
            <v>21.675698199999999</v>
          </cell>
        </row>
        <row r="6557">
          <cell r="A6557" t="str">
            <v>IT0005433765</v>
          </cell>
          <cell r="E6557">
            <v>0.99399999999999999</v>
          </cell>
        </row>
        <row r="6558">
          <cell r="A6558" t="str">
            <v>FR0013505062</v>
          </cell>
          <cell r="E6558">
            <v>0.1542</v>
          </cell>
        </row>
        <row r="6559">
          <cell r="A6559" t="str">
            <v>US9222801022</v>
          </cell>
          <cell r="E6559">
            <v>36.793785244799999</v>
          </cell>
        </row>
        <row r="6560">
          <cell r="A6560" t="str">
            <v>BE0003754687</v>
          </cell>
          <cell r="E6560">
            <v>27.9</v>
          </cell>
        </row>
        <row r="6561">
          <cell r="A6561" t="str">
            <v>CH0311864901</v>
          </cell>
          <cell r="E6561">
            <v>317.46031799999997</v>
          </cell>
        </row>
        <row r="6562">
          <cell r="A6562" t="str">
            <v>AU0000355588</v>
          </cell>
          <cell r="E6562">
            <v>0.25318592099999998</v>
          </cell>
        </row>
        <row r="6563">
          <cell r="A6563" t="str">
            <v>US92243G1085</v>
          </cell>
          <cell r="E6563">
            <v>26.686087522800001</v>
          </cell>
        </row>
        <row r="6564">
          <cell r="A6564" t="str">
            <v>FR0014007T10</v>
          </cell>
          <cell r="E6564">
            <v>41.6</v>
          </cell>
        </row>
        <row r="6565">
          <cell r="A6565" t="str">
            <v>SE0000115107</v>
          </cell>
          <cell r="E6565">
            <v>25.407107224000001</v>
          </cell>
        </row>
        <row r="6566">
          <cell r="A6566" t="str">
            <v>JP3835500004</v>
          </cell>
          <cell r="E6566">
            <v>5.3128119200000006</v>
          </cell>
        </row>
        <row r="6567">
          <cell r="A6567" t="str">
            <v>US9224171002</v>
          </cell>
          <cell r="E6567">
            <v>17.063912398799999</v>
          </cell>
        </row>
        <row r="6568">
          <cell r="A6568" t="str">
            <v>US9224751084</v>
          </cell>
          <cell r="E6568">
            <v>196.6101691392</v>
          </cell>
        </row>
        <row r="6569">
          <cell r="A6569" t="str">
            <v>NO0005806802</v>
          </cell>
          <cell r="E6569">
            <v>12.455189658</v>
          </cell>
        </row>
        <row r="6570">
          <cell r="A6570" t="str">
            <v>US92276F1003</v>
          </cell>
          <cell r="E6570">
            <v>59.834039440800012</v>
          </cell>
        </row>
        <row r="6571">
          <cell r="A6571" t="str">
            <v>FR0010766667</v>
          </cell>
          <cell r="E6571">
            <v>11.65</v>
          </cell>
        </row>
        <row r="6572">
          <cell r="A6572" t="str">
            <v>AU0000184459</v>
          </cell>
          <cell r="E6572">
            <v>2.3349368269999999</v>
          </cell>
        </row>
        <row r="6573">
          <cell r="A6573" t="str">
            <v>BMG730931091</v>
          </cell>
          <cell r="E6573">
            <v>1.5214672775</v>
          </cell>
        </row>
        <row r="6574">
          <cell r="A6574" t="str">
            <v>BMG730931091</v>
          </cell>
          <cell r="E6574">
            <v>1.5214672775</v>
          </cell>
        </row>
        <row r="6575">
          <cell r="A6575" t="str">
            <v>SG0531000230</v>
          </cell>
          <cell r="E6575">
            <v>7.2719954635999997</v>
          </cell>
        </row>
        <row r="6576">
          <cell r="A6576" t="str">
            <v>FR0000124141</v>
          </cell>
          <cell r="E6576">
            <v>30.9</v>
          </cell>
        </row>
        <row r="6577">
          <cell r="A6577" t="str">
            <v>FR0013530102</v>
          </cell>
          <cell r="E6577">
            <v>0.19989999999999999</v>
          </cell>
        </row>
        <row r="6578">
          <cell r="A6578" t="str">
            <v>US92337R1014</v>
          </cell>
          <cell r="E6578">
            <v>19.058968892399999</v>
          </cell>
        </row>
        <row r="6579">
          <cell r="A6579" t="str">
            <v>US92337F1075</v>
          </cell>
          <cell r="E6579">
            <v>28.036723113600001</v>
          </cell>
        </row>
        <row r="6580">
          <cell r="A6580" t="str">
            <v>FR0013447729</v>
          </cell>
          <cell r="E6580">
            <v>27.4</v>
          </cell>
        </row>
        <row r="6581">
          <cell r="A6581" t="str">
            <v>US92338C1036</v>
          </cell>
          <cell r="E6581">
            <v>79.502118501600009</v>
          </cell>
        </row>
        <row r="6582">
          <cell r="A6582" t="str">
            <v>AT0000746409</v>
          </cell>
          <cell r="E6582">
            <v>65.45</v>
          </cell>
        </row>
        <row r="6583">
          <cell r="A6583" t="str">
            <v>CA92340V1076</v>
          </cell>
          <cell r="E6583">
            <v>5.0841003113999994</v>
          </cell>
        </row>
        <row r="6584">
          <cell r="A6584" t="str">
            <v>FR001400JXA2</v>
          </cell>
          <cell r="E6584">
            <v>8.0000000000000004E-4</v>
          </cell>
        </row>
        <row r="6585">
          <cell r="A6585" t="str">
            <v>US92346J1088</v>
          </cell>
          <cell r="E6585">
            <v>37.089512645399999</v>
          </cell>
        </row>
        <row r="6586">
          <cell r="A6586" t="str">
            <v>FR0010291245</v>
          </cell>
          <cell r="E6586">
            <v>0.27200000000000002</v>
          </cell>
        </row>
        <row r="6587">
          <cell r="A6587" t="str">
            <v>US92343X1000</v>
          </cell>
          <cell r="E6587">
            <v>14.5745056236</v>
          </cell>
        </row>
        <row r="6588">
          <cell r="A6588" t="str">
            <v>US5544891048</v>
          </cell>
          <cell r="E6588">
            <v>13.453389806400001</v>
          </cell>
        </row>
        <row r="6589">
          <cell r="A6589" t="str">
            <v>US92343E1029</v>
          </cell>
          <cell r="E6589">
            <v>220.8951267228</v>
          </cell>
        </row>
        <row r="6590">
          <cell r="A6590" t="str">
            <v>US92345Y1064</v>
          </cell>
          <cell r="E6590">
            <v>260.460804618</v>
          </cell>
        </row>
        <row r="6591">
          <cell r="A6591" t="str">
            <v>US9234511080</v>
          </cell>
          <cell r="E6591">
            <v>19.0324858416</v>
          </cell>
        </row>
        <row r="6592">
          <cell r="A6592" t="str">
            <v>US92343V1044</v>
          </cell>
          <cell r="E6592">
            <v>39.265536652800002</v>
          </cell>
        </row>
        <row r="6593">
          <cell r="A6593" t="str">
            <v>CA9237251058</v>
          </cell>
          <cell r="E6593">
            <v>5.4205014555999993</v>
          </cell>
        </row>
        <row r="6594">
          <cell r="A6594" t="str">
            <v>US92511U1025</v>
          </cell>
          <cell r="E6594">
            <v>18.8206214352</v>
          </cell>
        </row>
        <row r="6595">
          <cell r="A6595" t="str">
            <v>US92538J1060</v>
          </cell>
          <cell r="E6595">
            <v>35.072386942800001</v>
          </cell>
        </row>
        <row r="6596">
          <cell r="A6596" t="str">
            <v>JP3835790001</v>
          </cell>
          <cell r="E6596">
            <v>11.330700159999999</v>
          </cell>
        </row>
        <row r="6597">
          <cell r="A6597" t="str">
            <v>US92532F1003</v>
          </cell>
          <cell r="E6597">
            <v>441.81673649639998</v>
          </cell>
        </row>
        <row r="6598">
          <cell r="A6598" t="str">
            <v>US92537N1081</v>
          </cell>
          <cell r="E6598">
            <v>64.186087455600003</v>
          </cell>
        </row>
        <row r="6599">
          <cell r="A6599" t="str">
            <v>SE0018538068</v>
          </cell>
          <cell r="E6599">
            <v>2.9941520127999999</v>
          </cell>
        </row>
        <row r="6600">
          <cell r="A6600" t="str">
            <v>DK0061539921</v>
          </cell>
          <cell r="E6600">
            <v>12.136393668</v>
          </cell>
        </row>
        <row r="6601">
          <cell r="A6601" t="str">
            <v>US29430C1027</v>
          </cell>
          <cell r="E6601">
            <v>6.8502824736000001</v>
          </cell>
        </row>
        <row r="6602">
          <cell r="A6602" t="str">
            <v>SE0017134125</v>
          </cell>
          <cell r="E6602">
            <v>0.89455689493000001</v>
          </cell>
        </row>
        <row r="6603">
          <cell r="A6603" t="str">
            <v>GB00B82YXW83</v>
          </cell>
          <cell r="E6603">
            <v>4.0245550579999998</v>
          </cell>
        </row>
        <row r="6604">
          <cell r="A6604" t="str">
            <v>FR0004186856</v>
          </cell>
          <cell r="E6604">
            <v>77.099999999999994</v>
          </cell>
        </row>
        <row r="6605">
          <cell r="A6605" t="str">
            <v>AU000000VG15</v>
          </cell>
          <cell r="E6605">
            <v>0.8523926007</v>
          </cell>
        </row>
        <row r="6606">
          <cell r="A6606" t="str">
            <v>BE0003878957</v>
          </cell>
          <cell r="E6606">
            <v>73.8</v>
          </cell>
        </row>
        <row r="6607">
          <cell r="A6607" t="str">
            <v>FR0010326090</v>
          </cell>
          <cell r="E6607">
            <v>15</v>
          </cell>
        </row>
        <row r="6608">
          <cell r="A6608" t="str">
            <v>SE0012116390</v>
          </cell>
          <cell r="E6608">
            <v>6.6576697399999996E-2</v>
          </cell>
        </row>
        <row r="6609">
          <cell r="A6609" t="str">
            <v>US92552V1008</v>
          </cell>
          <cell r="E6609">
            <v>7.5388417943999997</v>
          </cell>
        </row>
        <row r="6610">
          <cell r="A6610" t="str">
            <v>US92556V1061</v>
          </cell>
          <cell r="E6610">
            <v>6.6031073328000014</v>
          </cell>
        </row>
        <row r="6611">
          <cell r="A6611" t="str">
            <v>US9255501051</v>
          </cell>
          <cell r="E6611">
            <v>8.8806497016000012</v>
          </cell>
        </row>
        <row r="6612">
          <cell r="A6612" t="str">
            <v>FR0000031775</v>
          </cell>
          <cell r="E6612">
            <v>51.8</v>
          </cell>
        </row>
        <row r="6613">
          <cell r="A6613" t="str">
            <v>US9256521090</v>
          </cell>
          <cell r="E6613">
            <v>28.292725938</v>
          </cell>
        </row>
        <row r="6614">
          <cell r="A6614" t="str">
            <v>AU000000VCX7</v>
          </cell>
          <cell r="E6614">
            <v>1.2546768974</v>
          </cell>
        </row>
        <row r="6615">
          <cell r="A6615" t="str">
            <v>US9258151029</v>
          </cell>
          <cell r="E6615">
            <v>41.525423654400001</v>
          </cell>
        </row>
        <row r="6616">
          <cell r="A6616" t="str">
            <v>US9264001028</v>
          </cell>
          <cell r="E6616">
            <v>14.0624999748</v>
          </cell>
        </row>
        <row r="6617">
          <cell r="A6617" t="str">
            <v>US92645B1035</v>
          </cell>
          <cell r="E6617">
            <v>50.670903864000003</v>
          </cell>
        </row>
        <row r="6618">
          <cell r="A6618" t="str">
            <v>GB0009292243</v>
          </cell>
          <cell r="E6618">
            <v>9.42414694</v>
          </cell>
        </row>
        <row r="6619">
          <cell r="A6619" t="str">
            <v>ES0183746314</v>
          </cell>
          <cell r="E6619">
            <v>95.4</v>
          </cell>
        </row>
        <row r="6620">
          <cell r="A6620" t="str">
            <v>FR0000050049</v>
          </cell>
          <cell r="E6620">
            <v>13.3</v>
          </cell>
        </row>
        <row r="6621">
          <cell r="A6621" t="str">
            <v>BMG93A5A1010</v>
          </cell>
          <cell r="E6621">
            <v>35.610875642400003</v>
          </cell>
        </row>
        <row r="6622">
          <cell r="A6622" t="str">
            <v>US92686J1060</v>
          </cell>
          <cell r="E6622">
            <v>20.400776799599999</v>
          </cell>
        </row>
        <row r="6623">
          <cell r="A6623" t="str">
            <v>IT0004717200</v>
          </cell>
          <cell r="E6623">
            <v>0.91500000000000004</v>
          </cell>
        </row>
        <row r="6624">
          <cell r="A6624" t="str">
            <v>SE0015961982</v>
          </cell>
          <cell r="E6624">
            <v>3.5141700006000001</v>
          </cell>
        </row>
        <row r="6625">
          <cell r="A6625" t="str">
            <v>FR0000125486</v>
          </cell>
          <cell r="E6625">
            <v>118.15</v>
          </cell>
        </row>
        <row r="6626">
          <cell r="A6626" t="str">
            <v>FR001400AXT1</v>
          </cell>
          <cell r="E6626">
            <v>3.46</v>
          </cell>
        </row>
        <row r="6627">
          <cell r="A6627" t="str">
            <v>BE0974271034</v>
          </cell>
          <cell r="E6627">
            <v>5.2</v>
          </cell>
        </row>
        <row r="6628">
          <cell r="A6628" t="str">
            <v>US9279591062</v>
          </cell>
          <cell r="E6628">
            <v>33.651129883199999</v>
          </cell>
        </row>
        <row r="6629">
          <cell r="A6629" t="str">
            <v>FR0000031577</v>
          </cell>
          <cell r="E6629">
            <v>297.5</v>
          </cell>
        </row>
        <row r="6630">
          <cell r="A6630" t="str">
            <v>US92790C1045</v>
          </cell>
          <cell r="E6630">
            <v>11.299435008</v>
          </cell>
        </row>
        <row r="6631">
          <cell r="A6631" t="str">
            <v>FR001400PVN6</v>
          </cell>
          <cell r="E6631">
            <v>49.895000000000003</v>
          </cell>
        </row>
        <row r="6632">
          <cell r="A6632" t="str">
            <v>US9282541013</v>
          </cell>
          <cell r="E6632">
            <v>34.118997114000003</v>
          </cell>
        </row>
        <row r="6633">
          <cell r="A6633" t="str">
            <v>US92828Q1094</v>
          </cell>
          <cell r="E6633">
            <v>135.91984438919999</v>
          </cell>
        </row>
        <row r="6634">
          <cell r="A6634" t="str">
            <v>US92826C8394</v>
          </cell>
          <cell r="E6634">
            <v>296.44244297159997</v>
          </cell>
        </row>
        <row r="6635">
          <cell r="A6635" t="str">
            <v>ES0184262212</v>
          </cell>
          <cell r="E6635">
            <v>66.599999999999994</v>
          </cell>
        </row>
        <row r="6636">
          <cell r="A6636" t="str">
            <v>US9282981086</v>
          </cell>
          <cell r="E6636">
            <v>10.028248569600001</v>
          </cell>
        </row>
        <row r="6637">
          <cell r="A6637" t="str">
            <v>IT0005433732</v>
          </cell>
          <cell r="E6637">
            <v>2.572727E-2</v>
          </cell>
        </row>
        <row r="6638">
          <cell r="A6638" t="str">
            <v>JP3800330007</v>
          </cell>
          <cell r="E6638">
            <v>7.3352676800000003</v>
          </cell>
        </row>
        <row r="6639">
          <cell r="A6639" t="str">
            <v>JP3800270005</v>
          </cell>
          <cell r="E6639">
            <v>48.341022080000002</v>
          </cell>
        </row>
        <row r="6640">
          <cell r="A6640" t="str">
            <v>NZVGLE0003S1</v>
          </cell>
          <cell r="E6640">
            <v>1.7590241760000001</v>
          </cell>
        </row>
        <row r="6641">
          <cell r="A6641" t="str">
            <v>US92839U2069</v>
          </cell>
          <cell r="E6641">
            <v>61.537782375600003</v>
          </cell>
        </row>
        <row r="6642">
          <cell r="A6642" t="str">
            <v>NO0010734122</v>
          </cell>
          <cell r="E6642">
            <v>1.91746561</v>
          </cell>
        </row>
        <row r="6643">
          <cell r="A6643" t="str">
            <v>US92840M1027</v>
          </cell>
          <cell r="E6643">
            <v>102.18043767</v>
          </cell>
        </row>
        <row r="6644">
          <cell r="A6644" t="str">
            <v>GB0001859296</v>
          </cell>
          <cell r="E6644">
            <v>6.7863211959999994</v>
          </cell>
        </row>
        <row r="6645">
          <cell r="A6645" t="str">
            <v>US92846Q1076</v>
          </cell>
          <cell r="E6645">
            <v>27.701271136799999</v>
          </cell>
        </row>
        <row r="6646">
          <cell r="A6646" t="str">
            <v>US92847W1036</v>
          </cell>
          <cell r="E6646">
            <v>29.793432150000001</v>
          </cell>
        </row>
        <row r="6647">
          <cell r="A6647" t="str">
            <v>NZCHPE0001S4</v>
          </cell>
          <cell r="E6647">
            <v>0.89783525650000007</v>
          </cell>
        </row>
        <row r="6648">
          <cell r="A6648" t="str">
            <v>JP3778280002</v>
          </cell>
          <cell r="E6648">
            <v>7.8919068800000014</v>
          </cell>
        </row>
        <row r="6649">
          <cell r="A6649" t="str">
            <v>HK0345001611</v>
          </cell>
          <cell r="E6649">
            <v>1.1563325616</v>
          </cell>
        </row>
        <row r="6650">
          <cell r="A6650" t="str">
            <v>SE0007871363</v>
          </cell>
          <cell r="E6650">
            <v>48.987853694999998</v>
          </cell>
        </row>
        <row r="6651">
          <cell r="A6651" t="str">
            <v>SE0011205202</v>
          </cell>
          <cell r="E6651">
            <v>14.035087559999999</v>
          </cell>
        </row>
        <row r="6652">
          <cell r="A6652" t="str">
            <v>FR0010309096</v>
          </cell>
          <cell r="E6652">
            <v>8.15</v>
          </cell>
        </row>
        <row r="6653">
          <cell r="A6653" t="str">
            <v>AU0000016875</v>
          </cell>
          <cell r="E6653">
            <v>0.85801895449999999</v>
          </cell>
        </row>
        <row r="6654">
          <cell r="A6654" t="str">
            <v>IT0005622581</v>
          </cell>
          <cell r="E6654">
            <v>0.51600000000000001</v>
          </cell>
        </row>
        <row r="6655">
          <cell r="A6655" t="str">
            <v>FR0000127771</v>
          </cell>
          <cell r="E6655">
            <v>2.4470000000000001</v>
          </cell>
        </row>
        <row r="6656">
          <cell r="A6656" t="str">
            <v>NL00150002Q7</v>
          </cell>
          <cell r="E6656">
            <v>1.718</v>
          </cell>
        </row>
        <row r="6657">
          <cell r="A6657" t="str">
            <v>IT0005556110</v>
          </cell>
          <cell r="E6657">
            <v>1.56</v>
          </cell>
        </row>
        <row r="6658">
          <cell r="A6658" t="str">
            <v>SE0014428835</v>
          </cell>
          <cell r="E6658">
            <v>1.5042734872000001</v>
          </cell>
        </row>
        <row r="6659">
          <cell r="A6659" t="str">
            <v>GB00BH4HKS39</v>
          </cell>
          <cell r="E6659">
            <v>0.80982185740000001</v>
          </cell>
        </row>
        <row r="6660">
          <cell r="A6660" t="str">
            <v>AT0000937503</v>
          </cell>
          <cell r="E6660">
            <v>21.52</v>
          </cell>
        </row>
        <row r="6661">
          <cell r="A6661" t="str">
            <v>FR0011532225</v>
          </cell>
          <cell r="E6661">
            <v>2.42</v>
          </cell>
        </row>
        <row r="6662">
          <cell r="A6662" t="str">
            <v>SE0009143662</v>
          </cell>
          <cell r="E6662">
            <v>9.8065675900000002</v>
          </cell>
        </row>
        <row r="6663">
          <cell r="A6663" t="str">
            <v>GB0009390070</v>
          </cell>
          <cell r="E6663">
            <v>2.7886588649999999</v>
          </cell>
        </row>
        <row r="6664">
          <cell r="A6664" t="str">
            <v>DE0007664039</v>
          </cell>
          <cell r="E6664">
            <v>89.3</v>
          </cell>
        </row>
        <row r="6665">
          <cell r="A6665" t="str">
            <v>GG00B1GHHH78</v>
          </cell>
          <cell r="E6665">
            <v>6.17</v>
          </cell>
        </row>
        <row r="6666">
          <cell r="A6666" t="str">
            <v>FR0011995588</v>
          </cell>
          <cell r="E6666">
            <v>6.7590000000000003</v>
          </cell>
        </row>
        <row r="6667">
          <cell r="A6667" t="str">
            <v>GB00BN3ZZ526</v>
          </cell>
          <cell r="E6667">
            <v>6.2788671300000001</v>
          </cell>
        </row>
        <row r="6668">
          <cell r="A6668" t="str">
            <v>SE0000115446</v>
          </cell>
          <cell r="E6668">
            <v>23.040935411</v>
          </cell>
        </row>
        <row r="6669">
          <cell r="A6669" t="str">
            <v>SE0021628898</v>
          </cell>
          <cell r="E6669">
            <v>1.6009896354499999</v>
          </cell>
        </row>
        <row r="6670">
          <cell r="A6670" t="str">
            <v>DE000A1ML7J1</v>
          </cell>
          <cell r="E6670">
            <v>28.22</v>
          </cell>
        </row>
        <row r="6671">
          <cell r="A6671" t="str">
            <v>US9288811014</v>
          </cell>
          <cell r="E6671">
            <v>26.686087522800001</v>
          </cell>
        </row>
        <row r="6672">
          <cell r="A6672" t="str">
            <v>CH0012335540</v>
          </cell>
          <cell r="E6672">
            <v>62.952165099999988</v>
          </cell>
        </row>
        <row r="6673">
          <cell r="A6673" t="str">
            <v>NL0009432491</v>
          </cell>
          <cell r="E6673">
            <v>38.380000000000003</v>
          </cell>
        </row>
        <row r="6674">
          <cell r="A6674" t="str">
            <v>US9290421091</v>
          </cell>
          <cell r="E6674">
            <v>30.720338928</v>
          </cell>
        </row>
        <row r="6675">
          <cell r="A6675" t="str">
            <v>NO0003025009</v>
          </cell>
          <cell r="E6675">
            <v>30.0125052</v>
          </cell>
        </row>
        <row r="6676">
          <cell r="A6676" t="str">
            <v>DE0007667107</v>
          </cell>
          <cell r="E6676">
            <v>67.8</v>
          </cell>
        </row>
        <row r="6677">
          <cell r="A6677" t="str">
            <v>NO0010708068</v>
          </cell>
          <cell r="E6677">
            <v>0.11254689449999999</v>
          </cell>
        </row>
        <row r="6678">
          <cell r="A6678" t="str">
            <v>NO0011037483</v>
          </cell>
          <cell r="E6678">
            <v>4.9353897440000002E-2</v>
          </cell>
        </row>
        <row r="6679">
          <cell r="A6679" t="str">
            <v>US9290891004</v>
          </cell>
          <cell r="E6679">
            <v>50.935734372000013</v>
          </cell>
        </row>
        <row r="6680">
          <cell r="A6680" t="str">
            <v>FR0004045847</v>
          </cell>
          <cell r="E6680">
            <v>136</v>
          </cell>
        </row>
        <row r="6681">
          <cell r="A6681" t="str">
            <v>FR0000062796</v>
          </cell>
          <cell r="E6681">
            <v>11.8</v>
          </cell>
        </row>
        <row r="6682">
          <cell r="A6682" t="str">
            <v>US9182841000</v>
          </cell>
          <cell r="E6682">
            <v>99.209922138600007</v>
          </cell>
        </row>
        <row r="6683">
          <cell r="A6683" t="str">
            <v>KYG9400C1116</v>
          </cell>
          <cell r="E6683">
            <v>0.64190114639999996</v>
          </cell>
        </row>
        <row r="6684">
          <cell r="A6684" t="str">
            <v>JP3854700006</v>
          </cell>
          <cell r="E6684">
            <v>2.9872970400000001</v>
          </cell>
        </row>
        <row r="6685">
          <cell r="A6685" t="str">
            <v>BMG9400S1329</v>
          </cell>
          <cell r="E6685">
            <v>5.4231541889999999</v>
          </cell>
        </row>
        <row r="6686">
          <cell r="A6686" t="str">
            <v>JP3829900004</v>
          </cell>
          <cell r="E6686">
            <v>11.961557920000001</v>
          </cell>
        </row>
        <row r="6687">
          <cell r="A6687" t="str">
            <v>AU0000066086</v>
          </cell>
          <cell r="E6687">
            <v>2.5431119176000001</v>
          </cell>
        </row>
        <row r="6688">
          <cell r="A6688" t="str">
            <v>US9291601097</v>
          </cell>
          <cell r="E6688">
            <v>215.86334707079999</v>
          </cell>
        </row>
        <row r="6689">
          <cell r="A6689" t="str">
            <v>AU0000181984</v>
          </cell>
          <cell r="E6689">
            <v>4.0903592126000001</v>
          </cell>
        </row>
        <row r="6690">
          <cell r="A6690" t="str">
            <v>FR0010282822</v>
          </cell>
          <cell r="E6690">
            <v>199.5</v>
          </cell>
        </row>
        <row r="6691">
          <cell r="A6691" t="str">
            <v>US0844231029</v>
          </cell>
          <cell r="E6691">
            <v>60.346045089599997</v>
          </cell>
        </row>
        <row r="6692">
          <cell r="A6692" t="str">
            <v>US3848021040</v>
          </cell>
          <cell r="E6692">
            <v>882.53001254280002</v>
          </cell>
        </row>
        <row r="6693">
          <cell r="A6693" t="str">
            <v>AU0000196594</v>
          </cell>
          <cell r="E6693">
            <v>6.4478014548000004</v>
          </cell>
        </row>
        <row r="6694">
          <cell r="A6694" t="str">
            <v>DE000WCH8881</v>
          </cell>
          <cell r="E6694">
            <v>65.900000000000006</v>
          </cell>
        </row>
        <row r="6695">
          <cell r="A6695" t="str">
            <v>JP3992400006</v>
          </cell>
          <cell r="E6695">
            <v>30.23787832</v>
          </cell>
        </row>
        <row r="6696">
          <cell r="A6696" t="str">
            <v>JP3993400005</v>
          </cell>
          <cell r="E6696">
            <v>3.0615155999999999</v>
          </cell>
        </row>
        <row r="6697">
          <cell r="A6697" t="str">
            <v>US9388241096</v>
          </cell>
          <cell r="E6697">
            <v>24.152542329599999</v>
          </cell>
        </row>
        <row r="6698">
          <cell r="A6698" t="str">
            <v>FR0012532810</v>
          </cell>
          <cell r="E6698">
            <v>12.94</v>
          </cell>
        </row>
        <row r="6699">
          <cell r="A6699" t="str">
            <v>JP3990800009</v>
          </cell>
          <cell r="E6699">
            <v>23.4097708</v>
          </cell>
        </row>
        <row r="6700">
          <cell r="A6700" t="str">
            <v>JP3992000004</v>
          </cell>
          <cell r="E6700">
            <v>10.89157368</v>
          </cell>
        </row>
        <row r="6701">
          <cell r="A6701" t="str">
            <v>US9314271084</v>
          </cell>
          <cell r="E6701">
            <v>9.5780367060000007</v>
          </cell>
        </row>
        <row r="6702">
          <cell r="A6702" t="str">
            <v>US93148P1021</v>
          </cell>
          <cell r="E6702">
            <v>65.386652425199998</v>
          </cell>
        </row>
        <row r="6703">
          <cell r="A6703" t="str">
            <v>NO0010571680</v>
          </cell>
          <cell r="E6703">
            <v>6.0025010400000003</v>
          </cell>
        </row>
        <row r="6704">
          <cell r="A6704" t="str">
            <v>SE0017780133</v>
          </cell>
          <cell r="E6704">
            <v>4.1241564984000014</v>
          </cell>
        </row>
        <row r="6705">
          <cell r="A6705" t="str">
            <v>FR0010131409</v>
          </cell>
          <cell r="E6705">
            <v>14.4</v>
          </cell>
        </row>
        <row r="6706">
          <cell r="A6706" t="str">
            <v>US9311421039</v>
          </cell>
          <cell r="E6706">
            <v>82.953742789200007</v>
          </cell>
        </row>
        <row r="6707">
          <cell r="A6707" t="str">
            <v>KYG9430L1077</v>
          </cell>
          <cell r="E6707">
            <v>2.2079578440000001</v>
          </cell>
        </row>
        <row r="6708">
          <cell r="A6708" t="str">
            <v>JP3994400004</v>
          </cell>
          <cell r="E6708">
            <v>14.6272412</v>
          </cell>
        </row>
        <row r="6709">
          <cell r="A6709" t="str">
            <v>US93403J1060</v>
          </cell>
          <cell r="E6709">
            <v>13.0473163608</v>
          </cell>
        </row>
        <row r="6710">
          <cell r="A6710" t="str">
            <v>GB00BD2NCM38</v>
          </cell>
          <cell r="E6710">
            <v>1.2651274180000001</v>
          </cell>
        </row>
        <row r="6711">
          <cell r="A6711" t="str">
            <v>BE0003734481</v>
          </cell>
          <cell r="E6711">
            <v>37.6</v>
          </cell>
        </row>
        <row r="6712">
          <cell r="A6712" t="str">
            <v>US9344231041</v>
          </cell>
          <cell r="E6712">
            <v>7.2828389700000002</v>
          </cell>
        </row>
        <row r="6713">
          <cell r="A6713" t="str">
            <v>US9345502036</v>
          </cell>
          <cell r="E6713">
            <v>25.838629897200001</v>
          </cell>
        </row>
        <row r="6714">
          <cell r="A6714" t="str">
            <v>US93627C1018</v>
          </cell>
          <cell r="E6714">
            <v>41.772598795199997</v>
          </cell>
        </row>
        <row r="6715">
          <cell r="A6715" t="str">
            <v>FI0009003727</v>
          </cell>
          <cell r="E6715">
            <v>15.78</v>
          </cell>
        </row>
        <row r="6716">
          <cell r="A6716" t="str">
            <v>AU000000SOL3</v>
          </cell>
          <cell r="E6716">
            <v>20.254873679999999</v>
          </cell>
        </row>
        <row r="6717">
          <cell r="A6717" t="str">
            <v>CA94106B1013</v>
          </cell>
          <cell r="E6717">
            <v>173.6972398524</v>
          </cell>
        </row>
        <row r="6718">
          <cell r="A6718" t="str">
            <v>US94106L1098</v>
          </cell>
          <cell r="E6718">
            <v>204.3432199728</v>
          </cell>
        </row>
        <row r="6719">
          <cell r="A6719" t="str">
            <v>JP3993830003</v>
          </cell>
          <cell r="E6719">
            <v>9.7164464800000001</v>
          </cell>
        </row>
        <row r="6720">
          <cell r="A6720" t="str">
            <v>GB00BJDQQ870</v>
          </cell>
          <cell r="E6720">
            <v>4.1625264399999997</v>
          </cell>
        </row>
        <row r="6721">
          <cell r="A6721" t="str">
            <v>US9418481035</v>
          </cell>
          <cell r="E6721">
            <v>285.52259835839999</v>
          </cell>
        </row>
        <row r="6722">
          <cell r="A6722" t="str">
            <v>US9426222009</v>
          </cell>
          <cell r="E6722">
            <v>450.52966020960002</v>
          </cell>
        </row>
        <row r="6723">
          <cell r="A6723" t="str">
            <v>US9427491025</v>
          </cell>
          <cell r="E6723">
            <v>175.04413810439999</v>
          </cell>
        </row>
        <row r="6724">
          <cell r="A6724" t="str">
            <v>SG9999014716</v>
          </cell>
          <cell r="E6724">
            <v>5.5437853008000006</v>
          </cell>
        </row>
        <row r="6725">
          <cell r="A6725" t="str">
            <v>FR0013357621</v>
          </cell>
          <cell r="E6725">
            <v>45.85</v>
          </cell>
        </row>
        <row r="6726">
          <cell r="A6726" t="str">
            <v>US94419L1017</v>
          </cell>
          <cell r="E6726">
            <v>23.508121426799999</v>
          </cell>
        </row>
        <row r="6727">
          <cell r="A6727" t="str">
            <v>AU0000088064</v>
          </cell>
          <cell r="E6727">
            <v>1.3840830347999999</v>
          </cell>
        </row>
        <row r="6728">
          <cell r="A6728" t="str">
            <v>US9467841055</v>
          </cell>
          <cell r="E6728">
            <v>32.600635534799999</v>
          </cell>
        </row>
        <row r="6729">
          <cell r="A6729" t="str">
            <v>US9292361071</v>
          </cell>
          <cell r="E6729">
            <v>195.224222814</v>
          </cell>
        </row>
        <row r="6730">
          <cell r="A6730" t="str">
            <v>BE0974349814</v>
          </cell>
          <cell r="E6730">
            <v>21.6</v>
          </cell>
        </row>
        <row r="6731">
          <cell r="A6731" t="str">
            <v>FR0013079092</v>
          </cell>
          <cell r="E6731">
            <v>15.9</v>
          </cell>
        </row>
        <row r="6732">
          <cell r="A6732" t="str">
            <v>IE00BLNN3691</v>
          </cell>
          <cell r="E6732">
            <v>38.382768292800002</v>
          </cell>
        </row>
        <row r="6733">
          <cell r="A6733" t="str">
            <v>JP3154500007</v>
          </cell>
          <cell r="E6733">
            <v>21.925399599999999</v>
          </cell>
        </row>
        <row r="6734">
          <cell r="A6734" t="str">
            <v>AU000000WEB7</v>
          </cell>
          <cell r="E6734">
            <v>2.3855740112000001</v>
          </cell>
        </row>
        <row r="6735">
          <cell r="A6735" t="str">
            <v>IT0005384901</v>
          </cell>
          <cell r="E6735">
            <v>1.25</v>
          </cell>
        </row>
        <row r="6736">
          <cell r="A6736" t="str">
            <v>NO0010609662</v>
          </cell>
          <cell r="E6736">
            <v>2.0508545219999998</v>
          </cell>
        </row>
        <row r="6737">
          <cell r="A6737" t="str">
            <v>US9478901096</v>
          </cell>
          <cell r="E6737">
            <v>39.159604449600003</v>
          </cell>
        </row>
        <row r="6738">
          <cell r="A6738" t="str">
            <v>US94845U1051</v>
          </cell>
          <cell r="E6738">
            <v>7.3181497043999997</v>
          </cell>
        </row>
        <row r="6739">
          <cell r="A6739" t="str">
            <v>IT0003865570</v>
          </cell>
          <cell r="E6739">
            <v>2.9780000000000002</v>
          </cell>
        </row>
        <row r="6740">
          <cell r="A6740" t="str">
            <v>US92939U1060</v>
          </cell>
          <cell r="E6740">
            <v>95.568502653600007</v>
          </cell>
        </row>
        <row r="6741">
          <cell r="A6741" t="str">
            <v>SG1W55939399</v>
          </cell>
          <cell r="E6741">
            <v>0.33206990354999999</v>
          </cell>
        </row>
        <row r="6742">
          <cell r="A6742" t="str">
            <v>AU000000WBT5</v>
          </cell>
          <cell r="E6742">
            <v>0.96210649979999996</v>
          </cell>
        </row>
        <row r="6743">
          <cell r="A6743" t="str">
            <v>GB0009465807</v>
          </cell>
          <cell r="E6743">
            <v>25.700093020000001</v>
          </cell>
        </row>
        <row r="6744">
          <cell r="A6744" t="str">
            <v>US9488491047</v>
          </cell>
          <cell r="E6744">
            <v>70.427259760799998</v>
          </cell>
        </row>
        <row r="6745">
          <cell r="A6745" t="str">
            <v>JP3274280001</v>
          </cell>
          <cell r="E6745">
            <v>15.30448556</v>
          </cell>
        </row>
        <row r="6746">
          <cell r="A6746" t="str">
            <v>CA94947L1022</v>
          </cell>
          <cell r="E6746">
            <v>2.5642653256000001</v>
          </cell>
        </row>
        <row r="6747">
          <cell r="A6747" t="str">
            <v>US9497461015</v>
          </cell>
          <cell r="E6747">
            <v>56.973869954400008</v>
          </cell>
        </row>
        <row r="6748">
          <cell r="A6748" t="str">
            <v>US95040Q1040</v>
          </cell>
          <cell r="E6748">
            <v>129.40501389240001</v>
          </cell>
        </row>
        <row r="6749">
          <cell r="A6749" t="str">
            <v>FR0000121204</v>
          </cell>
          <cell r="E6749">
            <v>84.65</v>
          </cell>
        </row>
        <row r="6750">
          <cell r="A6750" t="str">
            <v>US95058W1009</v>
          </cell>
          <cell r="E6750">
            <v>11.6260593012</v>
          </cell>
        </row>
        <row r="6751">
          <cell r="A6751" t="str">
            <v>NL0000289213</v>
          </cell>
          <cell r="E6751">
            <v>16.04</v>
          </cell>
        </row>
        <row r="6752">
          <cell r="A6752" t="str">
            <v>BE0003724383</v>
          </cell>
          <cell r="E6752">
            <v>49.4</v>
          </cell>
        </row>
        <row r="6753">
          <cell r="A6753" t="str">
            <v>US9507551086</v>
          </cell>
          <cell r="E6753">
            <v>24.5586157752</v>
          </cell>
        </row>
        <row r="6754">
          <cell r="A6754" t="str">
            <v>US9508101014</v>
          </cell>
          <cell r="E6754">
            <v>24.496821990000001</v>
          </cell>
        </row>
        <row r="6755">
          <cell r="A6755" t="str">
            <v>US95082P1057</v>
          </cell>
          <cell r="E6755">
            <v>132.4770477852</v>
          </cell>
        </row>
        <row r="6756">
          <cell r="A6756" t="str">
            <v>CA95083R1001</v>
          </cell>
          <cell r="E6756">
            <v>11.463027668400001</v>
          </cell>
        </row>
        <row r="6757">
          <cell r="A6757" t="str">
            <v>AU000000WES1</v>
          </cell>
          <cell r="E6757">
            <v>41.753171549800001</v>
          </cell>
        </row>
        <row r="6758">
          <cell r="A6758" t="str">
            <v>AU000000WAF6</v>
          </cell>
          <cell r="E6758">
            <v>1.3109404354</v>
          </cell>
        </row>
        <row r="6759">
          <cell r="A6759" t="str">
            <v>CA9528451052</v>
          </cell>
          <cell r="E6759">
            <v>64.963503978999995</v>
          </cell>
        </row>
        <row r="6760">
          <cell r="A6760" t="str">
            <v>JP3154750008</v>
          </cell>
          <cell r="E6760">
            <v>9.0670340800000009</v>
          </cell>
        </row>
        <row r="6761">
          <cell r="A6761" t="str">
            <v>JP3659000008</v>
          </cell>
          <cell r="E6761">
            <v>18.45568192</v>
          </cell>
        </row>
        <row r="6762">
          <cell r="A6762" t="str">
            <v>US9553061055</v>
          </cell>
          <cell r="E6762">
            <v>187.58827650000001</v>
          </cell>
        </row>
        <row r="6763">
          <cell r="A6763" t="str">
            <v>US9570901036</v>
          </cell>
          <cell r="E6763">
            <v>39.724576200000001</v>
          </cell>
        </row>
        <row r="6764">
          <cell r="A6764" t="str">
            <v>US9576381092</v>
          </cell>
          <cell r="E6764">
            <v>58.324505545199997</v>
          </cell>
        </row>
        <row r="6765">
          <cell r="A6765" t="str">
            <v>NO0010768096</v>
          </cell>
          <cell r="E6765">
            <v>1.4422676109999999</v>
          </cell>
        </row>
        <row r="6766">
          <cell r="A6766" t="str">
            <v>US9581021055</v>
          </cell>
          <cell r="E6766">
            <v>31.717867174799999</v>
          </cell>
        </row>
        <row r="6767">
          <cell r="A6767" t="str">
            <v>US9598021098</v>
          </cell>
          <cell r="E6767">
            <v>8.6864406624000008</v>
          </cell>
        </row>
        <row r="6768">
          <cell r="A6768" t="str">
            <v>AU000000WGX6</v>
          </cell>
          <cell r="E6768">
            <v>1.7216642628000001</v>
          </cell>
        </row>
        <row r="6769">
          <cell r="A6769" t="str">
            <v>US9297401088</v>
          </cell>
          <cell r="E6769">
            <v>152.35699125240001</v>
          </cell>
        </row>
        <row r="6770">
          <cell r="A6770" t="str">
            <v>US9604131022</v>
          </cell>
          <cell r="E6770">
            <v>79.493290818000006</v>
          </cell>
        </row>
        <row r="6771">
          <cell r="A6771" t="str">
            <v>AU000000WBC1</v>
          </cell>
          <cell r="E6771">
            <v>17.3066642888</v>
          </cell>
        </row>
        <row r="6772">
          <cell r="A6772" t="str">
            <v>IL0011732281</v>
          </cell>
          <cell r="E6772">
            <v>1.184983677</v>
          </cell>
        </row>
        <row r="6773">
          <cell r="A6773" t="str">
            <v>US96208T1043</v>
          </cell>
          <cell r="E6773">
            <v>112.3234461264</v>
          </cell>
        </row>
        <row r="6774">
          <cell r="A6774" t="str">
            <v>US9621661043</v>
          </cell>
          <cell r="E6774">
            <v>22.819562105999999</v>
          </cell>
        </row>
        <row r="6775">
          <cell r="A6775" t="str">
            <v>KYG960071028</v>
          </cell>
          <cell r="E6775">
            <v>0.7989620651999999</v>
          </cell>
        </row>
        <row r="6776">
          <cell r="A6776" t="str">
            <v>GB00B2PDGW16</v>
          </cell>
          <cell r="E6776">
            <v>11.113711745</v>
          </cell>
        </row>
        <row r="6777">
          <cell r="A6777" t="str">
            <v>HK0004000045</v>
          </cell>
          <cell r="E6777">
            <v>2.0258582280000001</v>
          </cell>
        </row>
        <row r="6778">
          <cell r="A6778" t="str">
            <v>KYG9593A1040</v>
          </cell>
          <cell r="E6778">
            <v>1.9826095692000001</v>
          </cell>
        </row>
        <row r="6779">
          <cell r="A6779" t="str">
            <v>BE0003573814</v>
          </cell>
          <cell r="E6779">
            <v>108.5</v>
          </cell>
        </row>
        <row r="6780">
          <cell r="A6780" t="str">
            <v>CA9628791027</v>
          </cell>
          <cell r="E6780">
            <v>73.906696661599995</v>
          </cell>
        </row>
        <row r="6781">
          <cell r="A6781" t="str">
            <v>US9633201069</v>
          </cell>
          <cell r="E6781">
            <v>70.118290834800007</v>
          </cell>
        </row>
        <row r="6782">
          <cell r="A6782" t="str">
            <v>GB00B1KJJ408</v>
          </cell>
          <cell r="E6782">
            <v>29.511844759999999</v>
          </cell>
        </row>
        <row r="6783">
          <cell r="A6783" t="str">
            <v>BMG9618E1075</v>
          </cell>
          <cell r="E6783">
            <v>1552.8072006072</v>
          </cell>
        </row>
        <row r="6784">
          <cell r="A6784" t="str">
            <v>CA96467A2002</v>
          </cell>
          <cell r="E6784">
            <v>4.9381149091999994</v>
          </cell>
        </row>
        <row r="6785">
          <cell r="A6785" t="str">
            <v>AU000000WHC8</v>
          </cell>
          <cell r="E6785">
            <v>2.8244296075999999</v>
          </cell>
        </row>
        <row r="6786">
          <cell r="A6786" t="str">
            <v>BE0974401334</v>
          </cell>
          <cell r="E6786">
            <v>11.8</v>
          </cell>
        </row>
        <row r="6787">
          <cell r="A6787" t="str">
            <v>GB00BL6C2002</v>
          </cell>
          <cell r="E6787">
            <v>2.1093251959999999</v>
          </cell>
        </row>
        <row r="6788">
          <cell r="A6788" t="str">
            <v>AT0000831706</v>
          </cell>
          <cell r="E6788">
            <v>30.3</v>
          </cell>
        </row>
        <row r="6789">
          <cell r="A6789" t="str">
            <v>SE0018012635</v>
          </cell>
          <cell r="E6789">
            <v>8.9023840644999996</v>
          </cell>
        </row>
        <row r="6790">
          <cell r="A6790" t="str">
            <v>IT0005440893</v>
          </cell>
          <cell r="E6790">
            <v>14.74</v>
          </cell>
        </row>
        <row r="6791">
          <cell r="A6791" t="str">
            <v>NO0010571698</v>
          </cell>
          <cell r="E6791">
            <v>30.929553970000001</v>
          </cell>
        </row>
        <row r="6792">
          <cell r="A6792" t="str">
            <v>NO0010576010</v>
          </cell>
          <cell r="E6792">
            <v>29.76240099</v>
          </cell>
        </row>
        <row r="6793">
          <cell r="A6793" t="str">
            <v>US9694571004</v>
          </cell>
          <cell r="E6793">
            <v>51.677259794400001</v>
          </cell>
        </row>
        <row r="6794">
          <cell r="A6794" t="str">
            <v>US9699041011</v>
          </cell>
          <cell r="E6794">
            <v>126.147598644</v>
          </cell>
        </row>
        <row r="6795">
          <cell r="A6795" t="str">
            <v>IE00BDB6Q211</v>
          </cell>
          <cell r="E6795">
            <v>288.80649665760001</v>
          </cell>
        </row>
        <row r="6796">
          <cell r="A6796" t="str">
            <v>US9713781048</v>
          </cell>
          <cell r="E6796">
            <v>21.389477362800001</v>
          </cell>
        </row>
        <row r="6797">
          <cell r="A6797" t="str">
            <v>SG1T56930848</v>
          </cell>
          <cell r="E6797">
            <v>2.0729212161000001</v>
          </cell>
        </row>
        <row r="6798">
          <cell r="A6798" t="str">
            <v>FR0014000P11</v>
          </cell>
          <cell r="E6798">
            <v>3.53</v>
          </cell>
        </row>
        <row r="6799">
          <cell r="A6799" t="str">
            <v>JP3154360006</v>
          </cell>
          <cell r="E6799">
            <v>22.451114400000002</v>
          </cell>
        </row>
        <row r="6800">
          <cell r="A6800" t="str">
            <v>US9741551033</v>
          </cell>
          <cell r="E6800">
            <v>198.3227397576</v>
          </cell>
        </row>
        <row r="6801">
          <cell r="A6801" t="str">
            <v>US9742501029</v>
          </cell>
          <cell r="E6801">
            <v>287.78248536000001</v>
          </cell>
        </row>
        <row r="6802">
          <cell r="A6802" t="str">
            <v>US9746371007</v>
          </cell>
          <cell r="E6802">
            <v>26.483050800000001</v>
          </cell>
        </row>
        <row r="6803">
          <cell r="A6803" t="str">
            <v>CA97535P1045</v>
          </cell>
          <cell r="E6803">
            <v>26.0361791228</v>
          </cell>
        </row>
        <row r="6804">
          <cell r="A6804" t="str">
            <v>US97650W1080</v>
          </cell>
          <cell r="E6804">
            <v>90.898658029200007</v>
          </cell>
        </row>
        <row r="6805">
          <cell r="A6805" t="str">
            <v>US97717P1049</v>
          </cell>
          <cell r="E6805">
            <v>7.3799434895999996</v>
          </cell>
        </row>
        <row r="6806">
          <cell r="A6806" t="str">
            <v>GB00BL9YR756</v>
          </cell>
          <cell r="E6806">
            <v>11.35340779</v>
          </cell>
        </row>
        <row r="6807">
          <cell r="A6807" t="str">
            <v>AU000000WTC3</v>
          </cell>
          <cell r="E6807">
            <v>47.745238346800001</v>
          </cell>
        </row>
        <row r="6808">
          <cell r="A6808" t="str">
            <v>FR0013143872</v>
          </cell>
          <cell r="E6808">
            <v>1.95</v>
          </cell>
        </row>
        <row r="6809">
          <cell r="A6809" t="str">
            <v>IL0011301780</v>
          </cell>
          <cell r="E6809">
            <v>141.9579799716</v>
          </cell>
        </row>
        <row r="6810">
          <cell r="A6810" t="str">
            <v>JE00BN574F90</v>
          </cell>
          <cell r="E6810">
            <v>17.234730259999999</v>
          </cell>
        </row>
        <row r="6811">
          <cell r="A6811" t="str">
            <v>US92942W1071</v>
          </cell>
          <cell r="E6811">
            <v>16.896186410399999</v>
          </cell>
        </row>
        <row r="6812">
          <cell r="A6812" t="str">
            <v>JE00BQC4YW14</v>
          </cell>
          <cell r="E6812">
            <v>59.410310627999998</v>
          </cell>
        </row>
        <row r="6813">
          <cell r="A6813" t="str">
            <v>US9778521024</v>
          </cell>
          <cell r="E6813">
            <v>2.0038841771999998</v>
          </cell>
        </row>
        <row r="6814">
          <cell r="A6814" t="str">
            <v>NL0000395903</v>
          </cell>
          <cell r="E6814">
            <v>152.30000000000001</v>
          </cell>
        </row>
        <row r="6815">
          <cell r="A6815" t="str">
            <v>US9780971035</v>
          </cell>
          <cell r="E6815">
            <v>9.4897598700000003</v>
          </cell>
        </row>
        <row r="6816">
          <cell r="A6816" t="str">
            <v>AU0000224040</v>
          </cell>
          <cell r="E6816">
            <v>11.123301462600001</v>
          </cell>
        </row>
        <row r="6817">
          <cell r="A6817" t="str">
            <v>US9807451037</v>
          </cell>
          <cell r="E6817">
            <v>150.66207600120001</v>
          </cell>
        </row>
        <row r="6818">
          <cell r="A6818" t="str">
            <v>AU000000WOW2</v>
          </cell>
          <cell r="E6818">
            <v>17.379806888200001</v>
          </cell>
        </row>
        <row r="6819">
          <cell r="A6819" t="str">
            <v>US98138H1014</v>
          </cell>
          <cell r="E6819">
            <v>205.9675137552</v>
          </cell>
        </row>
        <row r="6820">
          <cell r="A6820" t="str">
            <v>US98139A1051</v>
          </cell>
          <cell r="E6820">
            <v>61.281779551200003</v>
          </cell>
        </row>
        <row r="6821">
          <cell r="A6821" t="str">
            <v>JP3990100004</v>
          </cell>
          <cell r="E6821">
            <v>27.677337999999999</v>
          </cell>
        </row>
        <row r="6822">
          <cell r="A6822" t="str">
            <v>GB00B67G5X01</v>
          </cell>
          <cell r="E6822">
            <v>5.0043857200000001</v>
          </cell>
        </row>
        <row r="6823">
          <cell r="A6823" t="str">
            <v>JP3990210001</v>
          </cell>
          <cell r="E6823">
            <v>15.65393128</v>
          </cell>
        </row>
        <row r="6824">
          <cell r="A6824" t="str">
            <v>US9814751064</v>
          </cell>
          <cell r="E6824">
            <v>21.0363700188</v>
          </cell>
        </row>
        <row r="6825">
          <cell r="A6825" t="str">
            <v>FR0011981968</v>
          </cell>
          <cell r="E6825">
            <v>5.6340000000000003</v>
          </cell>
        </row>
        <row r="6826">
          <cell r="A6826" t="str">
            <v>AU000000WOR2</v>
          </cell>
          <cell r="E6826">
            <v>6.7741299752000002</v>
          </cell>
        </row>
        <row r="6827">
          <cell r="A6827" t="str">
            <v>US9818111026</v>
          </cell>
          <cell r="E6827">
            <v>42.010946252399997</v>
          </cell>
        </row>
        <row r="6828">
          <cell r="A6828" t="str">
            <v>US92936U1097</v>
          </cell>
          <cell r="E6828">
            <v>53.460451881600001</v>
          </cell>
        </row>
        <row r="6829">
          <cell r="A6829" t="str">
            <v>JE00B8KF9B49</v>
          </cell>
          <cell r="E6829">
            <v>6.4776394599999998</v>
          </cell>
        </row>
        <row r="6830">
          <cell r="A6830" t="str">
            <v>JP3505970008</v>
          </cell>
          <cell r="E6830">
            <v>1.37922824</v>
          </cell>
        </row>
        <row r="6831">
          <cell r="A6831" t="str">
            <v>US9293281021</v>
          </cell>
          <cell r="E6831">
            <v>41.719632693599998</v>
          </cell>
        </row>
        <row r="6832">
          <cell r="A6832" t="str">
            <v>CA92938W2022</v>
          </cell>
          <cell r="E6832">
            <v>158.04506585999999</v>
          </cell>
        </row>
        <row r="6833">
          <cell r="A6833" t="str">
            <v>KYG970081173</v>
          </cell>
          <cell r="E6833">
            <v>2.4128199119999998</v>
          </cell>
        </row>
        <row r="6834">
          <cell r="A6834" t="str">
            <v>US98311A1051</v>
          </cell>
          <cell r="E6834">
            <v>73.737641110799999</v>
          </cell>
        </row>
        <row r="6835">
          <cell r="A6835" t="str">
            <v>KYG981491007</v>
          </cell>
          <cell r="E6835">
            <v>0.56223256440000002</v>
          </cell>
        </row>
        <row r="6836">
          <cell r="A6836" t="str">
            <v>US9831341071</v>
          </cell>
          <cell r="E6836">
            <v>66.119350164000011</v>
          </cell>
        </row>
        <row r="6837">
          <cell r="A6837" t="str">
            <v>US98389B1008</v>
          </cell>
          <cell r="E6837">
            <v>62.032132657200002</v>
          </cell>
        </row>
        <row r="6838">
          <cell r="A6838" t="str">
            <v>JP3428800001</v>
          </cell>
          <cell r="E6838">
            <v>7.7187302400000002</v>
          </cell>
        </row>
        <row r="6839">
          <cell r="A6839" t="str">
            <v>US98401F1057</v>
          </cell>
          <cell r="E6839">
            <v>8.4216101543999997</v>
          </cell>
        </row>
        <row r="6840">
          <cell r="A6840" t="str">
            <v>IT0005568487</v>
          </cell>
          <cell r="E6840">
            <v>3</v>
          </cell>
        </row>
        <row r="6841">
          <cell r="A6841" t="str">
            <v>US9840171030</v>
          </cell>
          <cell r="E6841">
            <v>8.6334745607999999</v>
          </cell>
        </row>
        <row r="6842">
          <cell r="A6842" t="str">
            <v>CA98420N1050</v>
          </cell>
          <cell r="E6842">
            <v>29.157838930800001</v>
          </cell>
        </row>
        <row r="6843">
          <cell r="A6843" t="str">
            <v>NZXROE0001S2</v>
          </cell>
          <cell r="E6843">
            <v>87.928657186400002</v>
          </cell>
        </row>
        <row r="6844">
          <cell r="A6844" t="str">
            <v>US98421M1062</v>
          </cell>
          <cell r="E6844">
            <v>3.398658186</v>
          </cell>
        </row>
        <row r="6845">
          <cell r="A6845" t="str">
            <v>BE0974310428</v>
          </cell>
          <cell r="E6845">
            <v>4.0460000000000003</v>
          </cell>
        </row>
        <row r="6846">
          <cell r="A6846" t="str">
            <v>KYG9830T1067</v>
          </cell>
          <cell r="E6846">
            <v>4.9053084060000014</v>
          </cell>
        </row>
        <row r="6847">
          <cell r="A6847" t="str">
            <v>FR0004034072</v>
          </cell>
          <cell r="E6847">
            <v>1.95</v>
          </cell>
        </row>
        <row r="6848">
          <cell r="A6848" t="str">
            <v>BE0974288202</v>
          </cell>
          <cell r="E6848">
            <v>27.55</v>
          </cell>
        </row>
        <row r="6849">
          <cell r="A6849" t="str">
            <v>US98423F1093</v>
          </cell>
          <cell r="E6849">
            <v>18.9883474236</v>
          </cell>
        </row>
        <row r="6850">
          <cell r="A6850" t="str">
            <v>KYG982391099</v>
          </cell>
          <cell r="E6850">
            <v>12.120409582800001</v>
          </cell>
        </row>
        <row r="6851">
          <cell r="A6851" t="str">
            <v>NO0010895782</v>
          </cell>
          <cell r="E6851">
            <v>2.33430596</v>
          </cell>
        </row>
        <row r="6852">
          <cell r="A6852" t="str">
            <v>US9837931008</v>
          </cell>
          <cell r="E6852">
            <v>84.551553520799999</v>
          </cell>
        </row>
        <row r="6853">
          <cell r="A6853" t="str">
            <v>GB00BDDN1T20</v>
          </cell>
          <cell r="E6853">
            <v>4.5893023250000002</v>
          </cell>
        </row>
        <row r="6854">
          <cell r="A6854" t="str">
            <v>SE0004840718</v>
          </cell>
          <cell r="E6854">
            <v>25.245163905999998</v>
          </cell>
        </row>
        <row r="6855">
          <cell r="A6855" t="str">
            <v>NO0013293142</v>
          </cell>
          <cell r="E6855">
            <v>0.95039599800000008</v>
          </cell>
        </row>
        <row r="6856">
          <cell r="A6856" t="str">
            <v>US98419M1009</v>
          </cell>
          <cell r="E6856">
            <v>96.345338810400008</v>
          </cell>
        </row>
        <row r="6857">
          <cell r="A6857" t="str">
            <v>JP3048690006</v>
          </cell>
          <cell r="E6857">
            <v>680.33680000000004</v>
          </cell>
        </row>
        <row r="6858">
          <cell r="A6858" t="str">
            <v>JP3933200002</v>
          </cell>
          <cell r="E6858">
            <v>8.4114368000000006</v>
          </cell>
        </row>
        <row r="6859">
          <cell r="A6859" t="str">
            <v>IT0005573966</v>
          </cell>
          <cell r="E6859">
            <v>1</v>
          </cell>
        </row>
        <row r="6860">
          <cell r="A6860" t="str">
            <v>JP3931600005</v>
          </cell>
          <cell r="E6860">
            <v>18.294875040000001</v>
          </cell>
        </row>
        <row r="6861">
          <cell r="A6861" t="str">
            <v>JP3943000004</v>
          </cell>
          <cell r="E6861">
            <v>12.555306399999999</v>
          </cell>
        </row>
        <row r="6862">
          <cell r="A6862" t="str">
            <v>JP3939000000</v>
          </cell>
          <cell r="E6862">
            <v>2.6347588800000001</v>
          </cell>
        </row>
        <row r="6863">
          <cell r="A6863" t="str">
            <v>JP3934350004</v>
          </cell>
          <cell r="E6863">
            <v>14.76949344</v>
          </cell>
        </row>
        <row r="6864">
          <cell r="A6864" t="str">
            <v>JP3934800008</v>
          </cell>
          <cell r="E6864">
            <v>7.4404106400000014</v>
          </cell>
        </row>
        <row r="6865">
          <cell r="A6865" t="str">
            <v>JP3935300008</v>
          </cell>
          <cell r="E6865">
            <v>9.264950240000001</v>
          </cell>
        </row>
        <row r="6866">
          <cell r="A6866" t="str">
            <v>JP3942600002</v>
          </cell>
          <cell r="E6866">
            <v>6.3116700400000001</v>
          </cell>
        </row>
        <row r="6867">
          <cell r="A6867" t="str">
            <v>JP3942800008</v>
          </cell>
          <cell r="E6867">
            <v>6.7909982400000004</v>
          </cell>
        </row>
        <row r="6868">
          <cell r="A6868" t="str">
            <v>JP3934200001</v>
          </cell>
          <cell r="E6868">
            <v>12.023406720000001</v>
          </cell>
        </row>
        <row r="6869">
          <cell r="A6869" t="str">
            <v>JP3930050004</v>
          </cell>
          <cell r="E6869">
            <v>5.6220559200000002</v>
          </cell>
        </row>
        <row r="6870">
          <cell r="A6870" t="str">
            <v>JP3942000005</v>
          </cell>
          <cell r="E6870">
            <v>11.151338640000001</v>
          </cell>
        </row>
        <row r="6871">
          <cell r="A6871" t="str">
            <v>JP3937600009</v>
          </cell>
          <cell r="E6871">
            <v>24.770444399999999</v>
          </cell>
        </row>
        <row r="6872">
          <cell r="A6872" t="str">
            <v>JP3940800000</v>
          </cell>
          <cell r="E6872">
            <v>8.4114368000000006</v>
          </cell>
        </row>
        <row r="6873">
          <cell r="A6873" t="str">
            <v>JP3940000007</v>
          </cell>
          <cell r="E6873">
            <v>12.10381016</v>
          </cell>
        </row>
        <row r="6874">
          <cell r="A6874" t="str">
            <v>JP3940400009</v>
          </cell>
          <cell r="E6874">
            <v>48.47708944</v>
          </cell>
        </row>
        <row r="6875">
          <cell r="A6875" t="str">
            <v>JP3935600001</v>
          </cell>
          <cell r="E6875">
            <v>18.70307712</v>
          </cell>
        </row>
        <row r="6876">
          <cell r="A6876" t="str">
            <v>JP3936800006</v>
          </cell>
          <cell r="E6876">
            <v>8.2877392000000007</v>
          </cell>
        </row>
        <row r="6877">
          <cell r="A6877" t="str">
            <v>AU000000YAL0</v>
          </cell>
          <cell r="E6877">
            <v>2.7456606544</v>
          </cell>
        </row>
        <row r="6878">
          <cell r="A6878" t="str">
            <v>SGXE77102635</v>
          </cell>
          <cell r="E6878">
            <v>0.45953107864999998</v>
          </cell>
        </row>
        <row r="6879">
          <cell r="A6879" t="str">
            <v>SG1T57930854</v>
          </cell>
          <cell r="E6879">
            <v>0.28846476469999999</v>
          </cell>
        </row>
        <row r="6880">
          <cell r="A6880" t="str">
            <v>JP3930200005</v>
          </cell>
          <cell r="E6880">
            <v>60.22836144</v>
          </cell>
        </row>
        <row r="6881">
          <cell r="A6881" t="str">
            <v>NO0010208051</v>
          </cell>
          <cell r="E6881">
            <v>25.744060015999999</v>
          </cell>
        </row>
        <row r="6882">
          <cell r="A6882" t="str">
            <v>JP3931700003</v>
          </cell>
          <cell r="E6882">
            <v>9.6360430400000006</v>
          </cell>
        </row>
        <row r="6883">
          <cell r="A6883" t="str">
            <v>JP3932000007</v>
          </cell>
          <cell r="E6883">
            <v>16.92801656</v>
          </cell>
        </row>
        <row r="6884">
          <cell r="A6884" t="str">
            <v>JP3932820008</v>
          </cell>
          <cell r="E6884">
            <v>10.3287496</v>
          </cell>
        </row>
        <row r="6885">
          <cell r="A6885" t="str">
            <v>IL0011414641</v>
          </cell>
          <cell r="E6885">
            <v>3.7083244500000001</v>
          </cell>
        </row>
        <row r="6886">
          <cell r="A6886" t="str">
            <v>JE00BF50RG45</v>
          </cell>
          <cell r="E6886">
            <v>4.927215286</v>
          </cell>
        </row>
        <row r="6887">
          <cell r="A6887" t="str">
            <v>JP3131350005</v>
          </cell>
          <cell r="E6887">
            <v>8.2011508800000001</v>
          </cell>
        </row>
        <row r="6888">
          <cell r="A6888" t="str">
            <v>US9858171054</v>
          </cell>
          <cell r="E6888">
            <v>29.908192036799999</v>
          </cell>
        </row>
        <row r="6889">
          <cell r="A6889" t="str">
            <v>US98585X1046</v>
          </cell>
          <cell r="E6889">
            <v>24.929378486400001</v>
          </cell>
        </row>
        <row r="6890">
          <cell r="A6890" t="str">
            <v>IL0010903156</v>
          </cell>
          <cell r="E6890">
            <v>73.446425999999988</v>
          </cell>
        </row>
        <row r="6891">
          <cell r="A6891" t="str">
            <v>FI0009800643</v>
          </cell>
          <cell r="E6891">
            <v>2.254</v>
          </cell>
        </row>
        <row r="6892">
          <cell r="A6892" t="str">
            <v>JP3959400007</v>
          </cell>
          <cell r="E6892">
            <v>35.5012112</v>
          </cell>
        </row>
        <row r="6893">
          <cell r="A6893" t="str">
            <v>JP3955200005</v>
          </cell>
          <cell r="E6893">
            <v>15.152956</v>
          </cell>
        </row>
        <row r="6894">
          <cell r="A6894" t="str">
            <v>JP3955000009</v>
          </cell>
          <cell r="E6894">
            <v>18.64122832</v>
          </cell>
        </row>
        <row r="6895">
          <cell r="A6895" t="str">
            <v>JP3955800002</v>
          </cell>
          <cell r="E6895">
            <v>17.623815560000001</v>
          </cell>
        </row>
        <row r="6896">
          <cell r="A6896" t="str">
            <v>JP3957000007</v>
          </cell>
          <cell r="E6896">
            <v>5.2942572800000001</v>
          </cell>
        </row>
        <row r="6897">
          <cell r="A6897" t="str">
            <v>JP3954200006</v>
          </cell>
          <cell r="E6897">
            <v>7.1682759200000001</v>
          </cell>
        </row>
        <row r="6898">
          <cell r="A6898" t="str">
            <v>IT0005495871</v>
          </cell>
          <cell r="E6898">
            <v>1.29</v>
          </cell>
        </row>
        <row r="6899">
          <cell r="A6899" t="str">
            <v>JP3953800004</v>
          </cell>
          <cell r="E6899">
            <v>18.276320399999999</v>
          </cell>
        </row>
        <row r="6900">
          <cell r="A6900" t="str">
            <v>JP3962600007</v>
          </cell>
          <cell r="E6900">
            <v>7.4094862400000006</v>
          </cell>
        </row>
        <row r="6901">
          <cell r="A6901" t="str">
            <v>JP3119950008</v>
          </cell>
          <cell r="E6901">
            <v>10.4833716</v>
          </cell>
        </row>
        <row r="6902">
          <cell r="A6902" t="str">
            <v>JP3960000002</v>
          </cell>
          <cell r="E6902">
            <v>13.83557656</v>
          </cell>
        </row>
        <row r="6903">
          <cell r="A6903" t="str">
            <v>JP3961400003</v>
          </cell>
          <cell r="E6903">
            <v>5.67771984</v>
          </cell>
        </row>
        <row r="6904">
          <cell r="A6904" t="str">
            <v>JP3958400008</v>
          </cell>
          <cell r="E6904">
            <v>5.1952992</v>
          </cell>
        </row>
        <row r="6905">
          <cell r="A6905" t="str">
            <v>JP3958000006</v>
          </cell>
          <cell r="E6905">
            <v>19.779246239999999</v>
          </cell>
        </row>
        <row r="6906">
          <cell r="A6906" t="str">
            <v>GB00B1VQ6H25</v>
          </cell>
          <cell r="E6906">
            <v>3.2446659750000002</v>
          </cell>
        </row>
        <row r="6907">
          <cell r="A6907" t="str">
            <v>LU2999653251</v>
          </cell>
          <cell r="E6907">
            <v>9.9499999999999993</v>
          </cell>
        </row>
        <row r="6908">
          <cell r="A6908" t="str">
            <v>CH0019396990</v>
          </cell>
          <cell r="E6908">
            <v>354.71331450000002</v>
          </cell>
        </row>
        <row r="6909">
          <cell r="A6909" t="str">
            <v>JP3945200008</v>
          </cell>
          <cell r="E6909">
            <v>25.481705600000002</v>
          </cell>
        </row>
        <row r="6910">
          <cell r="A6910" t="str">
            <v>SE0015657788</v>
          </cell>
          <cell r="E6910">
            <v>16.563202691000001</v>
          </cell>
        </row>
        <row r="6911">
          <cell r="A6911" t="str">
            <v>BMG988031446</v>
          </cell>
          <cell r="E6911">
            <v>1.2860785379999999</v>
          </cell>
        </row>
        <row r="6912">
          <cell r="A6912" t="str">
            <v>US98850P1093</v>
          </cell>
          <cell r="E6912">
            <v>39.3361581216</v>
          </cell>
        </row>
        <row r="6913">
          <cell r="A6913" t="str">
            <v>US9884981013</v>
          </cell>
          <cell r="E6913">
            <v>127.7277540084</v>
          </cell>
        </row>
        <row r="6914">
          <cell r="A6914" t="str">
            <v>JP3946200007</v>
          </cell>
          <cell r="E6914">
            <v>10.304010079999999</v>
          </cell>
        </row>
        <row r="6915">
          <cell r="A6915" t="str">
            <v>JP3948400001</v>
          </cell>
          <cell r="E6915">
            <v>11.33688504</v>
          </cell>
        </row>
        <row r="6916">
          <cell r="A6916" t="str">
            <v>JP3821000001</v>
          </cell>
          <cell r="E6916">
            <v>23.5643928</v>
          </cell>
        </row>
        <row r="6917">
          <cell r="A6917" t="str">
            <v>KYG9887T1168</v>
          </cell>
          <cell r="E6917">
            <v>2.7542566919999998</v>
          </cell>
        </row>
        <row r="6918">
          <cell r="A6918" t="str">
            <v>DE000ZAL1111</v>
          </cell>
          <cell r="E6918">
            <v>33.96</v>
          </cell>
        </row>
        <row r="6919">
          <cell r="A6919" t="str">
            <v>NO0010708910</v>
          </cell>
          <cell r="E6919">
            <v>7.00291788</v>
          </cell>
        </row>
        <row r="6920">
          <cell r="A6920" t="str">
            <v>NO0010713936</v>
          </cell>
          <cell r="E6920">
            <v>1.358899541</v>
          </cell>
        </row>
        <row r="6921">
          <cell r="A6921" t="str">
            <v>DK0060257814</v>
          </cell>
          <cell r="E6921">
            <v>59.610322099999998</v>
          </cell>
        </row>
        <row r="6922">
          <cell r="A6922" t="str">
            <v>US9892071054</v>
          </cell>
          <cell r="E6922">
            <v>201.36829059959999</v>
          </cell>
        </row>
        <row r="6923">
          <cell r="A6923" t="str">
            <v>NO0013524942</v>
          </cell>
          <cell r="E6923">
            <v>1.16715298</v>
          </cell>
        </row>
        <row r="6924">
          <cell r="A6924" t="str">
            <v>CA98936C8584</v>
          </cell>
          <cell r="E6924">
            <v>8.3668195052000002E-2</v>
          </cell>
        </row>
        <row r="6925">
          <cell r="A6925" t="str">
            <v>JP3429250008</v>
          </cell>
          <cell r="E6925">
            <v>18.33198432</v>
          </cell>
        </row>
        <row r="6926">
          <cell r="A6926" t="str">
            <v>JP3430400006</v>
          </cell>
          <cell r="E6926">
            <v>6.9641748799999998</v>
          </cell>
        </row>
        <row r="6927">
          <cell r="A6927" t="str">
            <v>JP3429300001</v>
          </cell>
          <cell r="E6927">
            <v>52.076689600000002</v>
          </cell>
        </row>
        <row r="6928">
          <cell r="A6928" t="str">
            <v>JP3725400000</v>
          </cell>
          <cell r="E6928">
            <v>8.4701931600000009</v>
          </cell>
        </row>
        <row r="6929">
          <cell r="A6929" t="str">
            <v>JP3428850006</v>
          </cell>
          <cell r="E6929">
            <v>13.810837039999999</v>
          </cell>
        </row>
        <row r="6930">
          <cell r="A6930" t="str">
            <v>US98956A1051</v>
          </cell>
          <cell r="E6930">
            <v>10.575564952800001</v>
          </cell>
        </row>
        <row r="6931">
          <cell r="A6931" t="str">
            <v>US48123V1026</v>
          </cell>
          <cell r="E6931">
            <v>27.718926503999999</v>
          </cell>
        </row>
        <row r="6932">
          <cell r="A6932" t="str">
            <v>JP3386490001</v>
          </cell>
          <cell r="E6932">
            <v>2.628574</v>
          </cell>
        </row>
        <row r="6933">
          <cell r="A6933" t="str">
            <v>GB00B41H7391</v>
          </cell>
          <cell r="E6933">
            <v>3.4551307950000001</v>
          </cell>
        </row>
        <row r="6934">
          <cell r="A6934" t="str">
            <v>US98954M1018</v>
          </cell>
          <cell r="E6934">
            <v>55.667372781600001</v>
          </cell>
        </row>
        <row r="6935">
          <cell r="A6935" t="str">
            <v>US98954M2008</v>
          </cell>
          <cell r="E6935">
            <v>56.576624192399997</v>
          </cell>
        </row>
        <row r="6936">
          <cell r="A6936" t="str">
            <v>IL0065100930</v>
          </cell>
          <cell r="E6936">
            <v>12.217514102399999</v>
          </cell>
        </row>
        <row r="6937">
          <cell r="A6937" t="str">
            <v>US98956P1021</v>
          </cell>
          <cell r="E6937">
            <v>85.866878377199995</v>
          </cell>
        </row>
        <row r="6938">
          <cell r="A6938" t="str">
            <v>SE0002480442</v>
          </cell>
          <cell r="E6938">
            <v>13.729194626</v>
          </cell>
        </row>
        <row r="6939">
          <cell r="A6939" t="str">
            <v>US9897011071</v>
          </cell>
          <cell r="E6939">
            <v>38.656426484400001</v>
          </cell>
        </row>
        <row r="6940">
          <cell r="A6940" t="str">
            <v>AU0000218307</v>
          </cell>
          <cell r="E6940">
            <v>0.8327003624</v>
          </cell>
        </row>
        <row r="6941">
          <cell r="A6941" t="str">
            <v>US98978V1035</v>
          </cell>
          <cell r="E6941">
            <v>131.72669467919999</v>
          </cell>
        </row>
        <row r="6942">
          <cell r="A6942" t="str">
            <v>JP3437400009</v>
          </cell>
          <cell r="E6942">
            <v>8.2877392000000007</v>
          </cell>
        </row>
        <row r="6943">
          <cell r="A6943" t="str">
            <v>US98980L1017</v>
          </cell>
          <cell r="E6943">
            <v>63.912429264000011</v>
          </cell>
        </row>
        <row r="6944">
          <cell r="A6944" t="str">
            <v>US98980F1049</v>
          </cell>
          <cell r="E6944">
            <v>7.1327683488</v>
          </cell>
        </row>
        <row r="6945">
          <cell r="A6945" t="str">
            <v>JP3399310006</v>
          </cell>
          <cell r="E6945">
            <v>8.6279076000000003</v>
          </cell>
        </row>
        <row r="6946">
          <cell r="A6946" t="str">
            <v>US98980G1022</v>
          </cell>
          <cell r="E6946">
            <v>180.6497171904</v>
          </cell>
        </row>
        <row r="6947">
          <cell r="A6947" t="str">
            <v>KYG9897K1058</v>
          </cell>
          <cell r="E6947">
            <v>16.753164672</v>
          </cell>
        </row>
        <row r="6948">
          <cell r="A6948" t="str">
            <v>JP3411900008</v>
          </cell>
          <cell r="E6948">
            <v>6.5126786399999999</v>
          </cell>
        </row>
        <row r="6949">
          <cell r="A6949" t="str">
            <v>JP3412000006</v>
          </cell>
          <cell r="E6949">
            <v>28.852465200000001</v>
          </cell>
        </row>
        <row r="6950">
          <cell r="A6950" t="str">
            <v>AT0000837307</v>
          </cell>
          <cell r="E6950">
            <v>4.5</v>
          </cell>
        </row>
        <row r="6951">
          <cell r="A6951" t="str">
            <v>CH0011075394</v>
          </cell>
          <cell r="E6951">
            <v>597.77561919999994</v>
          </cell>
        </row>
        <row r="6952">
          <cell r="A6952" t="str">
            <v>US98983L1089</v>
          </cell>
          <cell r="E6952">
            <v>25.997528202000002</v>
          </cell>
        </row>
        <row r="6953">
          <cell r="A6953" t="str">
            <v>IL0004250176</v>
          </cell>
          <cell r="E6953">
            <v>10.08328221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topLeftCell="E1" workbookViewId="0">
      <selection activeCell="Q2" sqref="Q2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24.5703125" bestFit="1" customWidth="1"/>
    <col min="4" max="4" width="15.5703125" bestFit="1" customWidth="1"/>
    <col min="5" max="5" width="9.140625" bestFit="1" customWidth="1"/>
    <col min="6" max="6" width="21.5703125" bestFit="1" customWidth="1"/>
    <col min="7" max="7" width="15.85546875" bestFit="1" customWidth="1"/>
    <col min="8" max="8" width="15.85546875" customWidth="1"/>
    <col min="9" max="9" width="13.42578125" bestFit="1" customWidth="1"/>
    <col min="10" max="10" width="16.5703125" bestFit="1" customWidth="1"/>
    <col min="11" max="11" width="11.85546875" bestFit="1" customWidth="1"/>
    <col min="12" max="12" width="16.5703125" bestFit="1" customWidth="1"/>
    <col min="13" max="13" width="14.42578125" bestFit="1" customWidth="1"/>
    <col min="14" max="14" width="14.140625" bestFit="1" customWidth="1"/>
    <col min="15" max="15" width="14.85546875" bestFit="1" customWidth="1"/>
    <col min="16" max="16" width="13" bestFit="1" customWidth="1"/>
    <col min="17" max="17" width="20.140625" bestFit="1" customWidth="1"/>
    <col min="18" max="19" width="20.140625" customWidth="1"/>
    <col min="20" max="20" width="15.5703125" bestFit="1" customWidth="1"/>
    <col min="21" max="21" width="19.42578125" bestFit="1" customWidth="1"/>
    <col min="22" max="22" width="21.28515625" bestFit="1" customWidth="1"/>
    <col min="23" max="23" width="23.28515625" bestFit="1" customWidth="1"/>
    <col min="24" max="24" width="21.85546875" bestFit="1" customWidth="1"/>
    <col min="25" max="25" width="22.7109375" bestFit="1" customWidth="1"/>
    <col min="26" max="26" width="20.28515625" bestFit="1" customWidth="1"/>
    <col min="27" max="27" width="60.28515625" bestFit="1" customWidth="1"/>
    <col min="28" max="28" width="61.140625" bestFit="1" customWidth="1"/>
    <col min="29" max="29" width="35.7109375" bestFit="1" customWidth="1"/>
    <col min="30" max="30" width="35.28515625" bestFit="1" customWidth="1"/>
    <col min="31" max="31" width="45.7109375" bestFit="1" customWidth="1"/>
    <col min="32" max="32" width="44.140625" bestFit="1" customWidth="1"/>
    <col min="33" max="33" width="34" bestFit="1" customWidth="1"/>
    <col min="34" max="34" width="34.7109375" bestFit="1" customWidth="1"/>
    <col min="35" max="35" width="37.7109375" bestFit="1" customWidth="1"/>
    <col min="36" max="36" width="73" bestFit="1" customWidth="1"/>
    <col min="37" max="37" width="57" bestFit="1" customWidth="1"/>
    <col min="38" max="38" width="71.28515625" bestFit="1" customWidth="1"/>
    <col min="39" max="39" width="41.140625" bestFit="1" customWidth="1"/>
    <col min="40" max="40" width="35.28515625" bestFit="1" customWidth="1"/>
    <col min="41" max="41" width="35.5703125" bestFit="1" customWidth="1"/>
    <col min="42" max="42" width="34.7109375" bestFit="1" customWidth="1"/>
    <col min="43" max="43" width="27" bestFit="1" customWidth="1"/>
    <col min="44" max="44" width="28.7109375" bestFit="1" customWidth="1"/>
    <col min="45" max="45" width="24.85546875" bestFit="1" customWidth="1"/>
    <col min="46" max="46" width="29.85546875" bestFit="1" customWidth="1"/>
    <col min="47" max="47" width="37.42578125" bestFit="1" customWidth="1"/>
    <col min="48" max="48" width="45.42578125" bestFit="1" customWidth="1"/>
    <col min="49" max="49" width="29.5703125" bestFit="1" customWidth="1"/>
    <col min="50" max="50" width="34.85546875" bestFit="1" customWidth="1"/>
    <col min="51" max="51" width="23.140625" bestFit="1" customWidth="1"/>
    <col min="52" max="52" width="28.85546875" bestFit="1" customWidth="1"/>
    <col min="53" max="53" width="10.42578125" bestFit="1" customWidth="1"/>
    <col min="54" max="54" width="24.7109375" bestFit="1" customWidth="1"/>
    <col min="55" max="56" width="18.28515625" bestFit="1" customWidth="1"/>
    <col min="57" max="57" width="19.5703125" bestFit="1" customWidth="1"/>
    <col min="58" max="58" width="19.28515625" bestFit="1" customWidth="1"/>
    <col min="59" max="59" width="29" bestFit="1" customWidth="1"/>
    <col min="60" max="60" width="22.7109375" bestFit="1" customWidth="1"/>
    <col min="61" max="61" width="22" bestFit="1" customWidth="1"/>
    <col min="62" max="62" width="28.28515625" bestFit="1" customWidth="1"/>
    <col min="63" max="63" width="22.42578125" bestFit="1" customWidth="1"/>
    <col min="64" max="64" width="20.7109375" bestFit="1" customWidth="1"/>
    <col min="65" max="65" width="26" bestFit="1" customWidth="1"/>
    <col min="66" max="66" width="25" bestFit="1" customWidth="1"/>
    <col min="67" max="67" width="31.7109375" bestFit="1" customWidth="1"/>
    <col min="68" max="68" width="31" bestFit="1" customWidth="1"/>
    <col min="69" max="69" width="40.42578125" bestFit="1" customWidth="1"/>
    <col min="70" max="70" width="41.7109375" bestFit="1" customWidth="1"/>
    <col min="71" max="71" width="30.140625" bestFit="1" customWidth="1"/>
    <col min="72" max="72" width="30.7109375" bestFit="1" customWidth="1"/>
    <col min="73" max="73" width="34" bestFit="1" customWidth="1"/>
    <col min="74" max="74" width="24.5703125" bestFit="1" customWidth="1"/>
    <col min="75" max="75" width="23.140625" bestFit="1" customWidth="1"/>
    <col min="76" max="76" width="27.7109375" bestFit="1" customWidth="1"/>
    <col min="77" max="77" width="25.7109375" bestFit="1" customWidth="1"/>
    <col min="78" max="78" width="26" bestFit="1" customWidth="1"/>
    <col min="79" max="79" width="31.140625" bestFit="1" customWidth="1"/>
    <col min="80" max="80" width="31.85546875" bestFit="1" customWidth="1"/>
    <col min="81" max="81" width="35.140625" bestFit="1" customWidth="1"/>
    <col min="82" max="82" width="40.7109375" bestFit="1" customWidth="1"/>
    <col min="83" max="83" width="34.5703125" bestFit="1" customWidth="1"/>
    <col min="84" max="84" width="27.28515625" bestFit="1" customWidth="1"/>
    <col min="85" max="85" width="36" bestFit="1" customWidth="1"/>
    <col min="86" max="86" width="29" bestFit="1" customWidth="1"/>
    <col min="87" max="87" width="28.7109375" bestFit="1" customWidth="1"/>
    <col min="88" max="88" width="31.85546875" bestFit="1" customWidth="1"/>
    <col min="89" max="89" width="13.85546875" bestFit="1" customWidth="1"/>
    <col min="90" max="90" width="26.42578125" bestFit="1" customWidth="1"/>
    <col min="91" max="91" width="13.5703125" bestFit="1" customWidth="1"/>
    <col min="92" max="92" width="21.42578125" bestFit="1" customWidth="1"/>
    <col min="93" max="93" width="29.140625" bestFit="1" customWidth="1"/>
    <col min="94" max="94" width="27.7109375" bestFit="1" customWidth="1"/>
    <col min="95" max="95" width="27.140625" bestFit="1" customWidth="1"/>
    <col min="96" max="96" width="17.28515625" bestFit="1" customWidth="1"/>
    <col min="97" max="97" width="18" bestFit="1" customWidth="1"/>
    <col min="98" max="98" width="13.7109375" bestFit="1" customWidth="1"/>
    <col min="99" max="99" width="17.7109375" bestFit="1" customWidth="1"/>
    <col min="100" max="100" width="19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1753</v>
      </c>
      <c r="Q1" s="1" t="s">
        <v>1754</v>
      </c>
      <c r="R1" s="1"/>
      <c r="S1" s="1"/>
      <c r="T1" s="1" t="s">
        <v>1755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</row>
    <row r="2" spans="1:100" x14ac:dyDescent="0.25">
      <c r="A2">
        <v>25</v>
      </c>
      <c r="B2" t="s">
        <v>148</v>
      </c>
      <c r="C2" t="s">
        <v>248</v>
      </c>
      <c r="D2" t="s">
        <v>348</v>
      </c>
      <c r="E2" t="s">
        <v>403</v>
      </c>
      <c r="F2">
        <v>306304700</v>
      </c>
      <c r="G2">
        <v>33.850409999999997</v>
      </c>
      <c r="H2">
        <f>_xlfn.XLOOKUP(D2,[2]prices!$A$2:$A$6953,[2]prices!$E$2:$E$6953)</f>
        <v>37.182118199999998</v>
      </c>
      <c r="I2" t="s">
        <v>413</v>
      </c>
      <c r="J2">
        <v>10368539679.927</v>
      </c>
      <c r="K2" t="s">
        <v>416</v>
      </c>
      <c r="L2">
        <v>10015139.725619299</v>
      </c>
      <c r="M2">
        <v>0.7</v>
      </c>
      <c r="N2">
        <v>7257977775.9488983</v>
      </c>
      <c r="O2">
        <v>885526887700</v>
      </c>
      <c r="P2">
        <f>_xlfn.XLOOKUP(D2,[1]full_dataframe_final!$C$2:$C$101,[1]full_dataframe_final!$I$2:$I$101)</f>
        <v>5.7883943340441557E-3</v>
      </c>
      <c r="Q2">
        <f>SUM($O$2:$O$101)*P2</f>
        <v>247167628533.13657</v>
      </c>
      <c r="R2">
        <f>SUM($N$2:$N$101)*P2</f>
        <v>15787387986.111668</v>
      </c>
      <c r="S2">
        <f>R2/G2</f>
        <v>466386905.98169029</v>
      </c>
      <c r="T2">
        <f>ROUNDDOWN(Q2/H2,0)</f>
        <v>6647486493</v>
      </c>
      <c r="U2">
        <v>30302025</v>
      </c>
      <c r="V2">
        <v>3030</v>
      </c>
      <c r="W2">
        <v>1.99880903325661</v>
      </c>
      <c r="X2">
        <v>2.7</v>
      </c>
      <c r="Y2" t="s">
        <v>420</v>
      </c>
      <c r="Z2" t="s">
        <v>422</v>
      </c>
      <c r="AA2">
        <v>0</v>
      </c>
      <c r="AB2">
        <v>0</v>
      </c>
      <c r="AC2" t="s">
        <v>422</v>
      </c>
      <c r="AD2" t="s">
        <v>422</v>
      </c>
      <c r="AE2" t="s">
        <v>422</v>
      </c>
      <c r="AF2" t="s">
        <v>422</v>
      </c>
      <c r="AG2" t="s">
        <v>422</v>
      </c>
      <c r="AH2" t="s">
        <v>422</v>
      </c>
      <c r="AI2" t="s">
        <v>422</v>
      </c>
      <c r="AJ2">
        <v>0</v>
      </c>
      <c r="AK2">
        <v>0</v>
      </c>
      <c r="AL2">
        <v>0</v>
      </c>
      <c r="AN2">
        <v>0</v>
      </c>
      <c r="AO2" t="s">
        <v>424</v>
      </c>
      <c r="AQ2" t="s">
        <v>424</v>
      </c>
      <c r="AR2" t="s">
        <v>424</v>
      </c>
      <c r="AS2" t="s">
        <v>424</v>
      </c>
      <c r="AU2">
        <v>0</v>
      </c>
      <c r="AV2">
        <v>0</v>
      </c>
      <c r="AW2">
        <v>0</v>
      </c>
      <c r="AX2">
        <v>0</v>
      </c>
      <c r="AY2">
        <v>1.88</v>
      </c>
      <c r="AZ2">
        <v>2.7</v>
      </c>
      <c r="BA2" t="s">
        <v>430</v>
      </c>
      <c r="BB2">
        <v>0</v>
      </c>
      <c r="BC2">
        <v>0</v>
      </c>
      <c r="BD2" t="s">
        <v>442</v>
      </c>
      <c r="BE2">
        <v>0</v>
      </c>
      <c r="BF2">
        <v>0</v>
      </c>
      <c r="BG2">
        <v>0</v>
      </c>
      <c r="CK2">
        <v>2.29</v>
      </c>
      <c r="CM2" t="s">
        <v>450</v>
      </c>
      <c r="CO2">
        <v>1.99880903325661</v>
      </c>
      <c r="CP2">
        <v>2.7</v>
      </c>
      <c r="CQ2">
        <v>2.3494045166283049</v>
      </c>
      <c r="CR2">
        <v>0</v>
      </c>
      <c r="CS2">
        <v>2.3494045166283049</v>
      </c>
      <c r="CT2">
        <v>0</v>
      </c>
      <c r="CU2">
        <v>2.3742608831327949E-2</v>
      </c>
      <c r="CV2">
        <v>1.773352499595637E-2</v>
      </c>
    </row>
    <row r="3" spans="1:100" x14ac:dyDescent="0.25">
      <c r="A3">
        <v>45</v>
      </c>
      <c r="B3" t="s">
        <v>128</v>
      </c>
      <c r="C3" t="s">
        <v>228</v>
      </c>
      <c r="D3" t="s">
        <v>328</v>
      </c>
      <c r="E3" t="s">
        <v>397</v>
      </c>
      <c r="F3">
        <v>2328438575</v>
      </c>
      <c r="G3">
        <v>6.34</v>
      </c>
      <c r="H3">
        <f>_xlfn.XLOOKUP(D3,[2]prices!$A$2:$A$6953,[2]prices!$E$2:$E$6953)</f>
        <v>5.76</v>
      </c>
      <c r="I3" t="s">
        <v>409</v>
      </c>
      <c r="J3">
        <v>14762300565.5</v>
      </c>
      <c r="K3" t="s">
        <v>415</v>
      </c>
      <c r="L3">
        <v>28502146.137509499</v>
      </c>
      <c r="M3">
        <v>0.9</v>
      </c>
      <c r="N3">
        <v>13286070508.950001</v>
      </c>
      <c r="O3">
        <v>4358837012.4000006</v>
      </c>
      <c r="P3">
        <f>_xlfn.XLOOKUP(D3,[1]full_dataframe_final!$C$2:$C$101,[1]full_dataframe_final!$I$2:$I$101)</f>
        <v>8.1365150760265865E-3</v>
      </c>
      <c r="Q3">
        <f t="shared" ref="Q3:Q66" si="0">SUM($O$2:$O$101)*P3</f>
        <v>347433678462.00775</v>
      </c>
      <c r="R3">
        <f t="shared" ref="R3:R66" si="1">SUM($N$2:$N$101)*P3</f>
        <v>22191701696.026623</v>
      </c>
      <c r="S3">
        <f t="shared" ref="S3:S66" si="2">R3/G3</f>
        <v>3500268406.3133473</v>
      </c>
      <c r="T3">
        <f t="shared" ref="T3:T66" si="3">ROUNDDOWN(Q3/H3,0)</f>
        <v>60318346955</v>
      </c>
      <c r="U3">
        <v>30101010</v>
      </c>
      <c r="V3">
        <v>3010</v>
      </c>
      <c r="W3">
        <v>1.99934707512142</v>
      </c>
      <c r="X3">
        <v>1.5</v>
      </c>
      <c r="Y3" t="s">
        <v>418</v>
      </c>
      <c r="Z3" t="s">
        <v>422</v>
      </c>
      <c r="AA3">
        <v>0</v>
      </c>
      <c r="AB3">
        <v>0</v>
      </c>
      <c r="AC3" t="s">
        <v>422</v>
      </c>
      <c r="AD3" t="s">
        <v>422</v>
      </c>
      <c r="AE3" t="s">
        <v>422</v>
      </c>
      <c r="AF3" t="s">
        <v>422</v>
      </c>
      <c r="AG3" t="s">
        <v>422</v>
      </c>
      <c r="AH3" t="s">
        <v>422</v>
      </c>
      <c r="AI3" t="s">
        <v>422</v>
      </c>
      <c r="AJ3">
        <v>0</v>
      </c>
      <c r="AK3">
        <v>0</v>
      </c>
      <c r="AL3">
        <v>0</v>
      </c>
      <c r="AN3">
        <v>0</v>
      </c>
      <c r="AO3" t="s">
        <v>424</v>
      </c>
      <c r="AQ3" t="s">
        <v>424</v>
      </c>
      <c r="AR3" t="s">
        <v>424</v>
      </c>
      <c r="AS3" t="s">
        <v>424</v>
      </c>
      <c r="AU3">
        <v>0</v>
      </c>
      <c r="AV3">
        <v>0</v>
      </c>
      <c r="AW3">
        <v>0</v>
      </c>
      <c r="AX3">
        <v>0</v>
      </c>
      <c r="AY3">
        <v>2.4860000000000002</v>
      </c>
      <c r="AZ3">
        <v>3.169</v>
      </c>
      <c r="BA3" t="s">
        <v>430</v>
      </c>
      <c r="BB3">
        <v>0</v>
      </c>
      <c r="BC3">
        <v>0</v>
      </c>
      <c r="BD3" t="s">
        <v>436</v>
      </c>
      <c r="BE3">
        <v>0</v>
      </c>
      <c r="BF3">
        <v>0</v>
      </c>
      <c r="BG3">
        <v>0</v>
      </c>
      <c r="CK3">
        <v>2.8275000000000001</v>
      </c>
      <c r="CM3" t="s">
        <v>450</v>
      </c>
      <c r="CO3">
        <v>1.99934707512142</v>
      </c>
      <c r="CP3">
        <v>1.5</v>
      </c>
      <c r="CQ3">
        <v>1.74967353756071</v>
      </c>
      <c r="CR3">
        <v>-0.18</v>
      </c>
      <c r="CS3">
        <v>1.56967353756071</v>
      </c>
      <c r="CT3">
        <v>1</v>
      </c>
      <c r="CU3">
        <v>8.6527230156792662E-3</v>
      </c>
      <c r="CV3">
        <v>0</v>
      </c>
    </row>
    <row r="4" spans="1:100" x14ac:dyDescent="0.25">
      <c r="A4">
        <v>67</v>
      </c>
      <c r="B4" t="s">
        <v>94</v>
      </c>
      <c r="C4" t="s">
        <v>194</v>
      </c>
      <c r="D4" t="s">
        <v>294</v>
      </c>
      <c r="E4" t="s">
        <v>394</v>
      </c>
      <c r="F4">
        <v>461510538</v>
      </c>
      <c r="G4">
        <v>20.09</v>
      </c>
      <c r="H4">
        <f>_xlfn.XLOOKUP(D4,[2]prices!$A$2:$A$6953,[2]prices!$E$2:$E$6953)</f>
        <v>19.87</v>
      </c>
      <c r="I4" t="s">
        <v>409</v>
      </c>
      <c r="J4">
        <v>9271746708.4200001</v>
      </c>
      <c r="K4" t="s">
        <v>415</v>
      </c>
      <c r="L4">
        <v>23095735.4445238</v>
      </c>
      <c r="M4">
        <v>0.75</v>
      </c>
      <c r="N4">
        <v>6953810031.3150005</v>
      </c>
      <c r="O4">
        <v>719956439.28000009</v>
      </c>
      <c r="P4">
        <f>_xlfn.XLOOKUP(D4,[1]full_dataframe_final!$C$2:$C$101,[1]full_dataframe_final!$I$2:$I$101)</f>
        <v>1.373974634295486E-2</v>
      </c>
      <c r="Q4">
        <f t="shared" si="0"/>
        <v>586694741970.40466</v>
      </c>
      <c r="R4">
        <f t="shared" si="1"/>
        <v>37474072053.31781</v>
      </c>
      <c r="S4">
        <f t="shared" si="2"/>
        <v>1865309708.9755008</v>
      </c>
      <c r="T4">
        <f t="shared" si="3"/>
        <v>29526660391</v>
      </c>
      <c r="U4">
        <v>50202010</v>
      </c>
      <c r="V4">
        <v>5020</v>
      </c>
      <c r="W4">
        <v>1.99805211144036</v>
      </c>
      <c r="X4">
        <v>3.1</v>
      </c>
      <c r="Y4" t="s">
        <v>417</v>
      </c>
      <c r="Z4" t="s">
        <v>422</v>
      </c>
      <c r="AA4">
        <v>0</v>
      </c>
      <c r="AB4">
        <v>0</v>
      </c>
      <c r="AC4" t="s">
        <v>422</v>
      </c>
      <c r="AD4" t="s">
        <v>422</v>
      </c>
      <c r="AE4" t="s">
        <v>422</v>
      </c>
      <c r="AF4" t="s">
        <v>422</v>
      </c>
      <c r="AG4" t="s">
        <v>422</v>
      </c>
      <c r="AH4" t="s">
        <v>422</v>
      </c>
      <c r="AI4" t="s">
        <v>422</v>
      </c>
      <c r="AJ4">
        <v>0</v>
      </c>
      <c r="AK4">
        <v>0</v>
      </c>
      <c r="AL4">
        <v>0</v>
      </c>
      <c r="AN4">
        <v>0</v>
      </c>
      <c r="AO4" t="s">
        <v>424</v>
      </c>
      <c r="AQ4" t="s">
        <v>424</v>
      </c>
      <c r="AR4" t="s">
        <v>424</v>
      </c>
      <c r="AS4" t="s">
        <v>424</v>
      </c>
      <c r="AU4">
        <v>0</v>
      </c>
      <c r="AV4">
        <v>0</v>
      </c>
      <c r="AW4">
        <v>0</v>
      </c>
      <c r="AX4">
        <v>0</v>
      </c>
      <c r="AY4">
        <v>2.7949999999999999</v>
      </c>
      <c r="AZ4">
        <v>3.363</v>
      </c>
      <c r="BA4" t="s">
        <v>420</v>
      </c>
      <c r="BB4">
        <v>1</v>
      </c>
      <c r="BC4">
        <v>1</v>
      </c>
      <c r="BD4" t="s">
        <v>433</v>
      </c>
      <c r="BE4">
        <v>0</v>
      </c>
      <c r="BF4">
        <v>0</v>
      </c>
      <c r="BG4">
        <v>0</v>
      </c>
      <c r="CK4">
        <v>3.0790000000000002</v>
      </c>
      <c r="CM4" t="s">
        <v>450</v>
      </c>
      <c r="CO4">
        <v>1.99805211144036</v>
      </c>
      <c r="CP4">
        <v>3.1</v>
      </c>
      <c r="CQ4">
        <v>2.54902605572018</v>
      </c>
      <c r="CR4">
        <v>-0.3</v>
      </c>
      <c r="CS4">
        <v>2.2490260557201802</v>
      </c>
      <c r="CT4">
        <v>0</v>
      </c>
      <c r="CU4">
        <v>1.733866217229205E-2</v>
      </c>
      <c r="CV4">
        <v>0</v>
      </c>
    </row>
    <row r="5" spans="1:100" x14ac:dyDescent="0.25">
      <c r="A5">
        <v>73</v>
      </c>
      <c r="B5" t="s">
        <v>123</v>
      </c>
      <c r="C5" t="s">
        <v>223</v>
      </c>
      <c r="D5" t="s">
        <v>323</v>
      </c>
      <c r="E5" t="s">
        <v>402</v>
      </c>
      <c r="F5">
        <v>234974400</v>
      </c>
      <c r="G5">
        <v>18.719290000000001</v>
      </c>
      <c r="H5">
        <f>_xlfn.XLOOKUP(D5,[2]prices!$A$2:$A$6953,[2]prices!$E$2:$E$6953)</f>
        <v>15.793386462000001</v>
      </c>
      <c r="I5" t="s">
        <v>412</v>
      </c>
      <c r="J5">
        <v>4398553936.1760006</v>
      </c>
      <c r="K5" t="s">
        <v>416</v>
      </c>
      <c r="L5">
        <v>7606684.1957903598</v>
      </c>
      <c r="M5">
        <v>0.85</v>
      </c>
      <c r="N5">
        <v>3738770845.7495999</v>
      </c>
      <c r="O5">
        <v>415434739.19999999</v>
      </c>
      <c r="P5">
        <f>_xlfn.XLOOKUP(D5,[1]full_dataframe_final!$C$2:$C$101,[1]full_dataframe_final!$I$2:$I$101)</f>
        <v>5.725679418530276E-4</v>
      </c>
      <c r="Q5">
        <f t="shared" si="0"/>
        <v>24448966707.324558</v>
      </c>
      <c r="R5">
        <f t="shared" si="1"/>
        <v>1561633801.1525352</v>
      </c>
      <c r="S5">
        <f t="shared" si="2"/>
        <v>83423773.078601539</v>
      </c>
      <c r="T5">
        <f t="shared" si="3"/>
        <v>1548050936</v>
      </c>
      <c r="U5">
        <v>20102010</v>
      </c>
      <c r="V5">
        <v>2010</v>
      </c>
      <c r="W5">
        <v>1.91599093280441</v>
      </c>
      <c r="X5">
        <v>1.5</v>
      </c>
      <c r="Y5" t="s">
        <v>421</v>
      </c>
      <c r="Z5" t="s">
        <v>422</v>
      </c>
      <c r="AA5">
        <v>0</v>
      </c>
      <c r="AB5">
        <v>0</v>
      </c>
      <c r="AC5" t="s">
        <v>422</v>
      </c>
      <c r="AD5" t="s">
        <v>422</v>
      </c>
      <c r="AE5" t="s">
        <v>422</v>
      </c>
      <c r="AF5" t="s">
        <v>422</v>
      </c>
      <c r="AG5" t="s">
        <v>422</v>
      </c>
      <c r="AH5" t="s">
        <v>422</v>
      </c>
      <c r="AI5" t="s">
        <v>422</v>
      </c>
      <c r="AJ5">
        <v>0</v>
      </c>
      <c r="AK5">
        <v>0</v>
      </c>
      <c r="AL5">
        <v>0</v>
      </c>
      <c r="AN5">
        <v>0</v>
      </c>
      <c r="AO5" t="s">
        <v>424</v>
      </c>
      <c r="AQ5" t="s">
        <v>424</v>
      </c>
      <c r="AR5" t="s">
        <v>424</v>
      </c>
      <c r="AS5" t="s">
        <v>424</v>
      </c>
      <c r="AU5">
        <v>0</v>
      </c>
      <c r="AV5">
        <v>0</v>
      </c>
      <c r="AW5">
        <v>0</v>
      </c>
      <c r="AX5">
        <v>0</v>
      </c>
      <c r="AY5">
        <v>2.6269999999999998</v>
      </c>
      <c r="AZ5">
        <v>2.7530000000000001</v>
      </c>
      <c r="BA5" t="s">
        <v>420</v>
      </c>
      <c r="BB5">
        <v>1</v>
      </c>
      <c r="BC5">
        <v>0</v>
      </c>
      <c r="BD5" t="s">
        <v>441</v>
      </c>
      <c r="BE5">
        <v>0</v>
      </c>
      <c r="BF5">
        <v>0</v>
      </c>
      <c r="BG5">
        <v>0</v>
      </c>
      <c r="CK5">
        <v>2.69</v>
      </c>
      <c r="CM5" t="s">
        <v>450</v>
      </c>
      <c r="CO5">
        <v>1.91599093280441</v>
      </c>
      <c r="CP5">
        <v>1.5</v>
      </c>
      <c r="CQ5">
        <v>1.707995466402205</v>
      </c>
      <c r="CR5">
        <v>0.18</v>
      </c>
      <c r="CS5">
        <v>1.8879954664022049</v>
      </c>
      <c r="CT5">
        <v>1</v>
      </c>
      <c r="CU5">
        <v>2.2917342839529971E-3</v>
      </c>
      <c r="CV5">
        <v>0</v>
      </c>
    </row>
    <row r="6" spans="1:100" x14ac:dyDescent="0.25">
      <c r="A6">
        <v>119</v>
      </c>
      <c r="B6" t="s">
        <v>110</v>
      </c>
      <c r="C6" t="s">
        <v>210</v>
      </c>
      <c r="D6" t="s">
        <v>310</v>
      </c>
      <c r="E6" t="s">
        <v>396</v>
      </c>
      <c r="F6">
        <v>49328548</v>
      </c>
      <c r="G6">
        <v>569.79999999999995</v>
      </c>
      <c r="H6">
        <f>_xlfn.XLOOKUP(D6,[2]prices!$A$2:$A$6953,[2]prices!$E$2:$E$6953)</f>
        <v>408</v>
      </c>
      <c r="I6" t="s">
        <v>409</v>
      </c>
      <c r="J6">
        <v>28107406650.400002</v>
      </c>
      <c r="K6" t="s">
        <v>415</v>
      </c>
      <c r="L6">
        <v>78679459.003174603</v>
      </c>
      <c r="M6">
        <v>0.95000000000000007</v>
      </c>
      <c r="N6">
        <v>26702036317.880001</v>
      </c>
      <c r="O6">
        <v>12802731347.92</v>
      </c>
      <c r="P6">
        <f>_xlfn.XLOOKUP(D6,[1]full_dataframe_final!$C$2:$C$101,[1]full_dataframe_final!$I$2:$I$101)</f>
        <v>1.388207486789135E-2</v>
      </c>
      <c r="Q6">
        <f t="shared" si="0"/>
        <v>592772248434.37659</v>
      </c>
      <c r="R6">
        <f t="shared" si="1"/>
        <v>37862261854.32148</v>
      </c>
      <c r="S6">
        <f t="shared" si="2"/>
        <v>66448336.002670206</v>
      </c>
      <c r="T6">
        <f t="shared" si="3"/>
        <v>1452873157</v>
      </c>
      <c r="U6">
        <v>10102020</v>
      </c>
      <c r="V6">
        <v>1010</v>
      </c>
      <c r="W6">
        <v>1.7486641100579701</v>
      </c>
      <c r="X6">
        <v>3.1</v>
      </c>
      <c r="Y6" t="s">
        <v>417</v>
      </c>
      <c r="Z6" t="s">
        <v>422</v>
      </c>
      <c r="AA6">
        <v>0</v>
      </c>
      <c r="AB6">
        <v>0</v>
      </c>
      <c r="AC6" t="s">
        <v>422</v>
      </c>
      <c r="AD6" t="s">
        <v>422</v>
      </c>
      <c r="AE6" t="s">
        <v>422</v>
      </c>
      <c r="AF6" t="s">
        <v>422</v>
      </c>
      <c r="AG6" t="s">
        <v>422</v>
      </c>
      <c r="AH6" t="s">
        <v>422</v>
      </c>
      <c r="AI6" t="s">
        <v>422</v>
      </c>
      <c r="AJ6">
        <v>0</v>
      </c>
      <c r="AK6">
        <v>0</v>
      </c>
      <c r="AL6">
        <v>0</v>
      </c>
      <c r="AN6">
        <v>0</v>
      </c>
      <c r="AO6" t="s">
        <v>424</v>
      </c>
      <c r="AQ6" t="s">
        <v>424</v>
      </c>
      <c r="AR6" t="s">
        <v>424</v>
      </c>
      <c r="AS6" t="s">
        <v>424</v>
      </c>
      <c r="AU6">
        <v>0</v>
      </c>
      <c r="AV6">
        <v>0</v>
      </c>
      <c r="AW6">
        <v>0</v>
      </c>
      <c r="AX6">
        <v>0</v>
      </c>
      <c r="AY6">
        <v>2.4460000000000002</v>
      </c>
      <c r="AZ6">
        <v>3.2189999999999999</v>
      </c>
      <c r="BA6" t="s">
        <v>420</v>
      </c>
      <c r="BB6">
        <v>1</v>
      </c>
      <c r="BC6">
        <v>0</v>
      </c>
      <c r="BD6" t="s">
        <v>445</v>
      </c>
      <c r="BE6">
        <v>0</v>
      </c>
      <c r="BF6">
        <v>0</v>
      </c>
      <c r="BG6">
        <v>0</v>
      </c>
      <c r="CK6">
        <v>2.8325</v>
      </c>
      <c r="CM6" t="s">
        <v>450</v>
      </c>
      <c r="CO6">
        <v>1.7486641100579701</v>
      </c>
      <c r="CP6">
        <v>3.1</v>
      </c>
      <c r="CQ6">
        <v>2.4243320550289851</v>
      </c>
      <c r="CR6">
        <v>-0.3</v>
      </c>
      <c r="CS6">
        <v>2.1243320550289848</v>
      </c>
      <c r="CT6">
        <v>0</v>
      </c>
      <c r="CU6">
        <v>2.3903663604669601E-2</v>
      </c>
      <c r="CV6">
        <v>0</v>
      </c>
    </row>
    <row r="7" spans="1:100" x14ac:dyDescent="0.25">
      <c r="A7">
        <v>123</v>
      </c>
      <c r="B7" t="s">
        <v>179</v>
      </c>
      <c r="C7" t="s">
        <v>279</v>
      </c>
      <c r="D7" t="s">
        <v>379</v>
      </c>
      <c r="E7" t="s">
        <v>395</v>
      </c>
      <c r="F7">
        <v>1055050400</v>
      </c>
      <c r="G7">
        <v>29.5566</v>
      </c>
      <c r="H7">
        <f>_xlfn.XLOOKUP(D7,[2]prices!$A$2:$A$6953,[2]prices!$E$2:$E$6953)</f>
        <v>25.533063137999999</v>
      </c>
      <c r="I7" t="s">
        <v>410</v>
      </c>
      <c r="J7">
        <v>31183702652.639999</v>
      </c>
      <c r="K7" t="s">
        <v>416</v>
      </c>
      <c r="L7">
        <v>42342444.337286301</v>
      </c>
      <c r="M7">
        <v>0.95</v>
      </c>
      <c r="N7">
        <v>29624517520.007999</v>
      </c>
      <c r="O7">
        <v>273827780816</v>
      </c>
      <c r="P7">
        <f>_xlfn.XLOOKUP(D7,[1]full_dataframe_final!$C$2:$C$101,[1]full_dataframe_final!$I$2:$I$101)</f>
        <v>4.6452813335283658E-3</v>
      </c>
      <c r="Q7">
        <f t="shared" si="0"/>
        <v>198356073345.69232</v>
      </c>
      <c r="R7">
        <f t="shared" si="1"/>
        <v>12669637637.803526</v>
      </c>
      <c r="S7">
        <f t="shared" si="2"/>
        <v>428656802.12891626</v>
      </c>
      <c r="T7">
        <f t="shared" si="3"/>
        <v>7768596829</v>
      </c>
      <c r="U7">
        <v>50101035</v>
      </c>
      <c r="V7">
        <v>5010</v>
      </c>
      <c r="W7">
        <v>1.74887448110706</v>
      </c>
      <c r="X7">
        <v>1.5</v>
      </c>
      <c r="Y7" t="s">
        <v>418</v>
      </c>
      <c r="Z7" t="s">
        <v>422</v>
      </c>
      <c r="AA7">
        <v>0</v>
      </c>
      <c r="AB7">
        <v>0</v>
      </c>
      <c r="AC7" t="s">
        <v>422</v>
      </c>
      <c r="AD7" t="s">
        <v>422</v>
      </c>
      <c r="AE7" t="s">
        <v>422</v>
      </c>
      <c r="AF7" t="s">
        <v>422</v>
      </c>
      <c r="AG7" t="s">
        <v>422</v>
      </c>
      <c r="AH7" t="s">
        <v>422</v>
      </c>
      <c r="AI7" t="s">
        <v>422</v>
      </c>
      <c r="AJ7">
        <v>0</v>
      </c>
      <c r="AK7">
        <v>0</v>
      </c>
      <c r="AL7">
        <v>0</v>
      </c>
      <c r="AN7">
        <v>0</v>
      </c>
      <c r="AO7" t="s">
        <v>424</v>
      </c>
      <c r="AQ7" t="s">
        <v>424</v>
      </c>
      <c r="AR7" t="s">
        <v>424</v>
      </c>
      <c r="AS7" t="s">
        <v>424</v>
      </c>
      <c r="AU7">
        <v>0</v>
      </c>
      <c r="AV7">
        <v>0</v>
      </c>
      <c r="AW7">
        <v>0</v>
      </c>
      <c r="AX7">
        <v>0</v>
      </c>
      <c r="AY7">
        <v>1.956</v>
      </c>
      <c r="AZ7">
        <v>3.0419999999999998</v>
      </c>
      <c r="BA7" t="s">
        <v>432</v>
      </c>
      <c r="BB7">
        <v>0</v>
      </c>
      <c r="BC7">
        <v>0</v>
      </c>
      <c r="BD7" t="s">
        <v>434</v>
      </c>
      <c r="BE7">
        <v>0</v>
      </c>
      <c r="BF7">
        <v>0</v>
      </c>
      <c r="BG7">
        <v>0</v>
      </c>
      <c r="CK7">
        <v>2.4990000000000001</v>
      </c>
      <c r="CM7" t="s">
        <v>450</v>
      </c>
      <c r="CO7">
        <v>1.74887448110706</v>
      </c>
      <c r="CP7">
        <v>1.5</v>
      </c>
      <c r="CQ7">
        <v>1.6244372405535299</v>
      </c>
      <c r="CR7">
        <v>-0.18</v>
      </c>
      <c r="CS7">
        <v>1.44443724055353</v>
      </c>
      <c r="CT7">
        <v>1</v>
      </c>
      <c r="CU7">
        <v>1.9115479114162458E-2</v>
      </c>
      <c r="CV7">
        <v>0</v>
      </c>
    </row>
    <row r="8" spans="1:100" x14ac:dyDescent="0.25">
      <c r="A8">
        <v>126</v>
      </c>
      <c r="B8" t="s">
        <v>119</v>
      </c>
      <c r="C8" t="s">
        <v>219</v>
      </c>
      <c r="D8" t="s">
        <v>319</v>
      </c>
      <c r="E8" t="s">
        <v>403</v>
      </c>
      <c r="F8">
        <v>1550581200</v>
      </c>
      <c r="G8">
        <v>141.54310000000001</v>
      </c>
      <c r="H8">
        <f>_xlfn.XLOOKUP(D8,[2]prices!$A$2:$A$6953,[2]prices!$E$2:$E$6953)</f>
        <v>120.1987972</v>
      </c>
      <c r="I8" t="s">
        <v>413</v>
      </c>
      <c r="J8">
        <v>219474069849.72</v>
      </c>
      <c r="K8" t="s">
        <v>416</v>
      </c>
      <c r="L8">
        <v>175769656.35404101</v>
      </c>
      <c r="M8">
        <v>1</v>
      </c>
      <c r="N8">
        <v>219474069849.72</v>
      </c>
      <c r="O8">
        <v>423618783840</v>
      </c>
      <c r="P8">
        <f>_xlfn.XLOOKUP(D8,[1]full_dataframe_final!$C$2:$C$101,[1]full_dataframe_final!$I$2:$I$101)</f>
        <v>4.6355638989785022E-2</v>
      </c>
      <c r="Q8">
        <f t="shared" si="0"/>
        <v>1979411335343.2019</v>
      </c>
      <c r="R8">
        <f t="shared" si="1"/>
        <v>126431341032.10858</v>
      </c>
      <c r="S8">
        <f t="shared" si="2"/>
        <v>893235636.58072042</v>
      </c>
      <c r="T8">
        <f t="shared" si="3"/>
        <v>16467813168</v>
      </c>
      <c r="U8">
        <v>20103015</v>
      </c>
      <c r="V8">
        <v>2010</v>
      </c>
      <c r="W8">
        <v>1.74009250374075</v>
      </c>
      <c r="X8">
        <v>1.5</v>
      </c>
      <c r="Y8" t="s">
        <v>417</v>
      </c>
      <c r="Z8" t="s">
        <v>422</v>
      </c>
      <c r="AA8">
        <v>0</v>
      </c>
      <c r="AB8">
        <v>0</v>
      </c>
      <c r="AC8" t="s">
        <v>422</v>
      </c>
      <c r="AD8" t="s">
        <v>422</v>
      </c>
      <c r="AE8" t="s">
        <v>422</v>
      </c>
      <c r="AF8" t="s">
        <v>422</v>
      </c>
      <c r="AG8" t="s">
        <v>422</v>
      </c>
      <c r="AH8" t="s">
        <v>422</v>
      </c>
      <c r="AI8" t="s">
        <v>422</v>
      </c>
      <c r="AJ8">
        <v>0</v>
      </c>
      <c r="AK8">
        <v>0</v>
      </c>
      <c r="AL8">
        <v>0</v>
      </c>
      <c r="AN8">
        <v>0</v>
      </c>
      <c r="AO8" t="s">
        <v>424</v>
      </c>
      <c r="AQ8" t="s">
        <v>424</v>
      </c>
      <c r="AR8" t="s">
        <v>424</v>
      </c>
      <c r="AS8" t="s">
        <v>424</v>
      </c>
      <c r="AU8">
        <v>0</v>
      </c>
      <c r="AV8">
        <v>0</v>
      </c>
      <c r="AW8">
        <v>0</v>
      </c>
      <c r="AX8">
        <v>0</v>
      </c>
      <c r="AY8">
        <v>2.7770000000000001</v>
      </c>
      <c r="AZ8">
        <v>2.399</v>
      </c>
      <c r="BA8" t="s">
        <v>420</v>
      </c>
      <c r="BB8">
        <v>1</v>
      </c>
      <c r="BC8">
        <v>0</v>
      </c>
      <c r="BD8" t="s">
        <v>442</v>
      </c>
      <c r="BE8">
        <v>0</v>
      </c>
      <c r="BF8">
        <v>0</v>
      </c>
      <c r="BG8">
        <v>0</v>
      </c>
      <c r="CK8">
        <v>2.5880000000000001</v>
      </c>
      <c r="CM8" t="s">
        <v>450</v>
      </c>
      <c r="CO8">
        <v>1.74009250374075</v>
      </c>
      <c r="CP8">
        <v>1.5</v>
      </c>
      <c r="CQ8">
        <v>1.6200462518703751</v>
      </c>
      <c r="CR8">
        <v>-0.3</v>
      </c>
      <c r="CS8">
        <v>1.3200462518703751</v>
      </c>
      <c r="CT8">
        <v>1</v>
      </c>
      <c r="CU8">
        <v>6.26515834569812E-2</v>
      </c>
      <c r="CV8">
        <v>0</v>
      </c>
    </row>
    <row r="9" spans="1:100" x14ac:dyDescent="0.25">
      <c r="A9">
        <v>143</v>
      </c>
      <c r="B9" t="s">
        <v>150</v>
      </c>
      <c r="C9" t="s">
        <v>250</v>
      </c>
      <c r="D9" t="s">
        <v>350</v>
      </c>
      <c r="E9" t="s">
        <v>403</v>
      </c>
      <c r="F9">
        <v>2677649400</v>
      </c>
      <c r="G9">
        <v>6.0277909999999997</v>
      </c>
      <c r="H9">
        <f>_xlfn.XLOOKUP(D9,[2]prices!$A$2:$A$6953,[2]prices!$E$2:$E$6953)</f>
        <v>6.1104952739999998</v>
      </c>
      <c r="I9" t="s">
        <v>413</v>
      </c>
      <c r="J9">
        <v>16140310954.475401</v>
      </c>
      <c r="K9" t="s">
        <v>416</v>
      </c>
      <c r="L9">
        <v>29758651.104662601</v>
      </c>
      <c r="M9">
        <v>1</v>
      </c>
      <c r="N9">
        <v>16140310954.475401</v>
      </c>
      <c r="O9">
        <v>72885616668</v>
      </c>
      <c r="P9">
        <f>_xlfn.XLOOKUP(D9,[1]full_dataframe_final!$C$2:$C$101,[1]full_dataframe_final!$I$2:$I$101)</f>
        <v>1.1879616095462739E-2</v>
      </c>
      <c r="Q9">
        <f t="shared" si="0"/>
        <v>507266155128.74725</v>
      </c>
      <c r="R9">
        <f t="shared" si="1"/>
        <v>32400713842.537006</v>
      </c>
      <c r="S9">
        <f t="shared" si="2"/>
        <v>5375221842.054081</v>
      </c>
      <c r="T9">
        <f t="shared" si="3"/>
        <v>83015554776</v>
      </c>
      <c r="U9">
        <v>30301010</v>
      </c>
      <c r="V9">
        <v>3030</v>
      </c>
      <c r="W9">
        <v>1.9994209635284099</v>
      </c>
      <c r="Y9" t="s">
        <v>418</v>
      </c>
      <c r="Z9" t="s">
        <v>422</v>
      </c>
      <c r="AA9">
        <v>0</v>
      </c>
      <c r="AB9">
        <v>0</v>
      </c>
      <c r="AC9" t="s">
        <v>422</v>
      </c>
      <c r="AD9" t="s">
        <v>422</v>
      </c>
      <c r="AE9" t="s">
        <v>422</v>
      </c>
      <c r="AF9" t="s">
        <v>422</v>
      </c>
      <c r="AG9" t="s">
        <v>422</v>
      </c>
      <c r="AH9" t="s">
        <v>422</v>
      </c>
      <c r="AI9" t="s">
        <v>422</v>
      </c>
      <c r="AJ9">
        <v>0</v>
      </c>
      <c r="AK9">
        <v>0</v>
      </c>
      <c r="AL9">
        <v>0</v>
      </c>
      <c r="AN9">
        <v>0</v>
      </c>
      <c r="AO9" t="s">
        <v>424</v>
      </c>
      <c r="AQ9" t="s">
        <v>424</v>
      </c>
      <c r="AR9" t="s">
        <v>424</v>
      </c>
      <c r="AS9" t="s">
        <v>424</v>
      </c>
      <c r="AU9">
        <v>0</v>
      </c>
      <c r="AV9">
        <v>0</v>
      </c>
      <c r="AW9">
        <v>0</v>
      </c>
      <c r="AX9">
        <v>0</v>
      </c>
      <c r="AY9">
        <v>2.2200000000000002</v>
      </c>
      <c r="AZ9">
        <v>3.3250000000000002</v>
      </c>
      <c r="BA9" t="s">
        <v>430</v>
      </c>
      <c r="BB9">
        <v>0</v>
      </c>
      <c r="BC9">
        <v>0</v>
      </c>
      <c r="BD9" t="s">
        <v>442</v>
      </c>
      <c r="BE9">
        <v>0</v>
      </c>
      <c r="BF9">
        <v>0</v>
      </c>
      <c r="BG9">
        <v>0</v>
      </c>
      <c r="CK9">
        <v>2.7725</v>
      </c>
      <c r="CM9" t="s">
        <v>450</v>
      </c>
      <c r="CO9">
        <v>1.9994209635284099</v>
      </c>
      <c r="CP9">
        <v>3.1</v>
      </c>
      <c r="CQ9">
        <v>2.5497104817642051</v>
      </c>
      <c r="CR9">
        <v>-0.18</v>
      </c>
      <c r="CS9">
        <v>2.369710481764205</v>
      </c>
      <c r="CT9">
        <v>0</v>
      </c>
      <c r="CU9">
        <v>1.063449640520912E-2</v>
      </c>
      <c r="CV9">
        <v>0</v>
      </c>
    </row>
    <row r="10" spans="1:100" x14ac:dyDescent="0.25">
      <c r="A10">
        <v>145</v>
      </c>
      <c r="B10" t="s">
        <v>151</v>
      </c>
      <c r="C10" t="s">
        <v>251</v>
      </c>
      <c r="D10" t="s">
        <v>351</v>
      </c>
      <c r="E10" t="s">
        <v>394</v>
      </c>
      <c r="F10">
        <v>2214797873</v>
      </c>
      <c r="G10">
        <v>36.979999999999997</v>
      </c>
      <c r="H10">
        <f>_xlfn.XLOOKUP(D10,[2]prices!$A$2:$A$6953,[2]prices!$E$2:$E$6953)</f>
        <v>38.880000000000003</v>
      </c>
      <c r="I10" t="s">
        <v>409</v>
      </c>
      <c r="J10">
        <v>81903225343.539993</v>
      </c>
      <c r="K10" t="s">
        <v>415</v>
      </c>
      <c r="L10">
        <v>141293081.09468201</v>
      </c>
      <c r="M10">
        <v>0.85000000000000009</v>
      </c>
      <c r="N10">
        <v>69617741542.009003</v>
      </c>
      <c r="O10">
        <v>51243778387.601013</v>
      </c>
      <c r="P10">
        <f>_xlfn.XLOOKUP(D10,[1]full_dataframe_final!$C$2:$C$101,[1]full_dataframe_final!$I$2:$I$101)</f>
        <v>1.3984044765789931E-2</v>
      </c>
      <c r="Q10">
        <f t="shared" si="0"/>
        <v>597126419278.80652</v>
      </c>
      <c r="R10">
        <f t="shared" si="1"/>
        <v>38140376690.341011</v>
      </c>
      <c r="S10">
        <f t="shared" si="2"/>
        <v>1031378493.519227</v>
      </c>
      <c r="T10">
        <f t="shared" si="3"/>
        <v>15358189796</v>
      </c>
      <c r="U10">
        <v>30302010</v>
      </c>
      <c r="V10">
        <v>3030</v>
      </c>
      <c r="W10">
        <v>3.2733333333333299</v>
      </c>
      <c r="X10">
        <v>1.5</v>
      </c>
      <c r="Y10" t="s">
        <v>420</v>
      </c>
      <c r="Z10" t="s">
        <v>422</v>
      </c>
      <c r="AA10">
        <v>0</v>
      </c>
      <c r="AB10">
        <v>0</v>
      </c>
      <c r="AC10" t="s">
        <v>422</v>
      </c>
      <c r="AD10" t="s">
        <v>422</v>
      </c>
      <c r="AE10" t="s">
        <v>422</v>
      </c>
      <c r="AF10" t="s">
        <v>422</v>
      </c>
      <c r="AG10" t="s">
        <v>422</v>
      </c>
      <c r="AH10" t="s">
        <v>422</v>
      </c>
      <c r="AI10" t="s">
        <v>422</v>
      </c>
      <c r="AJ10">
        <v>0</v>
      </c>
      <c r="AK10">
        <v>0</v>
      </c>
      <c r="AL10">
        <v>0</v>
      </c>
      <c r="AN10">
        <v>0</v>
      </c>
      <c r="AO10" t="s">
        <v>424</v>
      </c>
      <c r="AQ10" t="s">
        <v>424</v>
      </c>
      <c r="AR10" t="s">
        <v>424</v>
      </c>
      <c r="AS10" t="s">
        <v>424</v>
      </c>
      <c r="AU10">
        <v>0</v>
      </c>
      <c r="AV10">
        <v>0</v>
      </c>
      <c r="AW10">
        <v>0</v>
      </c>
      <c r="AX10">
        <v>0</v>
      </c>
      <c r="AY10">
        <v>2.3420000000000001</v>
      </c>
      <c r="AZ10">
        <v>2.6240000000000001</v>
      </c>
      <c r="BA10" t="s">
        <v>430</v>
      </c>
      <c r="BB10">
        <v>0</v>
      </c>
      <c r="BC10">
        <v>0</v>
      </c>
      <c r="BD10" t="s">
        <v>433</v>
      </c>
      <c r="BE10">
        <v>0</v>
      </c>
      <c r="BF10">
        <v>0</v>
      </c>
      <c r="BG10">
        <v>0</v>
      </c>
      <c r="CK10">
        <v>2.4830000000000001</v>
      </c>
      <c r="CM10" t="s">
        <v>450</v>
      </c>
      <c r="CO10">
        <v>3.2733333333333299</v>
      </c>
      <c r="CP10">
        <v>1.5</v>
      </c>
      <c r="CQ10">
        <v>2.3866666666666649</v>
      </c>
      <c r="CR10">
        <v>0</v>
      </c>
      <c r="CS10">
        <v>2.3866666666666649</v>
      </c>
      <c r="CT10">
        <v>0</v>
      </c>
      <c r="CU10">
        <v>4.3587997324347247E-2</v>
      </c>
      <c r="CV10">
        <v>0</v>
      </c>
    </row>
    <row r="11" spans="1:100" x14ac:dyDescent="0.25">
      <c r="A11">
        <v>161</v>
      </c>
      <c r="B11" t="s">
        <v>132</v>
      </c>
      <c r="C11" t="s">
        <v>232</v>
      </c>
      <c r="D11" t="s">
        <v>332</v>
      </c>
      <c r="E11" t="s">
        <v>401</v>
      </c>
      <c r="F11">
        <v>15152492000</v>
      </c>
      <c r="G11">
        <v>5.8840000000000003</v>
      </c>
      <c r="H11">
        <f>_xlfn.XLOOKUP(D11,[2]prices!$A$2:$A$6953,[2]prices!$E$2:$E$6953)</f>
        <v>6.0060000000000002</v>
      </c>
      <c r="I11" t="s">
        <v>409</v>
      </c>
      <c r="J11">
        <v>89157262928</v>
      </c>
      <c r="K11" t="s">
        <v>415</v>
      </c>
      <c r="L11">
        <v>149229392.385506</v>
      </c>
      <c r="M11">
        <v>1</v>
      </c>
      <c r="N11">
        <v>89157262928</v>
      </c>
      <c r="O11">
        <v>412450832240</v>
      </c>
      <c r="P11">
        <f>_xlfn.XLOOKUP(D11,[1]full_dataframe_final!$C$2:$C$101,[1]full_dataframe_final!$I$2:$I$101)</f>
        <v>3.8358945136646047E-2</v>
      </c>
      <c r="Q11">
        <f t="shared" si="0"/>
        <v>1637948100165.6946</v>
      </c>
      <c r="R11">
        <f t="shared" si="1"/>
        <v>104620990668.94408</v>
      </c>
      <c r="S11">
        <f t="shared" si="2"/>
        <v>17780589848.562893</v>
      </c>
      <c r="T11">
        <f t="shared" si="3"/>
        <v>272718631396</v>
      </c>
      <c r="U11">
        <v>30101010</v>
      </c>
      <c r="V11">
        <v>3010</v>
      </c>
      <c r="W11">
        <v>3.1466666666666598</v>
      </c>
      <c r="X11">
        <v>1.5</v>
      </c>
      <c r="Y11" t="s">
        <v>417</v>
      </c>
      <c r="Z11" t="s">
        <v>422</v>
      </c>
      <c r="AA11">
        <v>0</v>
      </c>
      <c r="AB11">
        <v>0</v>
      </c>
      <c r="AC11" t="s">
        <v>422</v>
      </c>
      <c r="AD11" t="s">
        <v>422</v>
      </c>
      <c r="AE11" t="s">
        <v>422</v>
      </c>
      <c r="AF11" t="s">
        <v>422</v>
      </c>
      <c r="AG11" t="s">
        <v>422</v>
      </c>
      <c r="AH11" t="s">
        <v>422</v>
      </c>
      <c r="AI11" t="s">
        <v>422</v>
      </c>
      <c r="AJ11">
        <v>0</v>
      </c>
      <c r="AK11">
        <v>0</v>
      </c>
      <c r="AL11">
        <v>0</v>
      </c>
      <c r="AN11">
        <v>0</v>
      </c>
      <c r="AO11" t="s">
        <v>424</v>
      </c>
      <c r="AQ11" t="s">
        <v>424</v>
      </c>
      <c r="AR11" t="s">
        <v>424</v>
      </c>
      <c r="AS11" t="s">
        <v>424</v>
      </c>
      <c r="AU11">
        <v>0</v>
      </c>
      <c r="AV11">
        <v>0</v>
      </c>
      <c r="AW11">
        <v>0</v>
      </c>
      <c r="AX11">
        <v>0</v>
      </c>
      <c r="AY11">
        <v>2.3980000000000001</v>
      </c>
      <c r="AZ11">
        <v>3.1459999999999999</v>
      </c>
      <c r="BA11" t="s">
        <v>430</v>
      </c>
      <c r="BB11">
        <v>0</v>
      </c>
      <c r="BC11">
        <v>0</v>
      </c>
      <c r="BD11" t="s">
        <v>440</v>
      </c>
      <c r="BE11">
        <v>0</v>
      </c>
      <c r="BF11">
        <v>0</v>
      </c>
      <c r="BG11">
        <v>0</v>
      </c>
      <c r="CK11">
        <v>2.7719999999999998</v>
      </c>
      <c r="CM11" t="s">
        <v>450</v>
      </c>
      <c r="CO11">
        <v>3.1466666666666598</v>
      </c>
      <c r="CP11">
        <v>1.5</v>
      </c>
      <c r="CQ11">
        <v>2.3233333333333301</v>
      </c>
      <c r="CR11">
        <v>-0.3</v>
      </c>
      <c r="CS11">
        <v>2.0233333333333299</v>
      </c>
      <c r="CT11">
        <v>0</v>
      </c>
      <c r="CU11">
        <v>5.4427963108511133E-2</v>
      </c>
      <c r="CV11">
        <v>0</v>
      </c>
    </row>
    <row r="12" spans="1:100" x14ac:dyDescent="0.25">
      <c r="A12">
        <v>165</v>
      </c>
      <c r="B12" t="s">
        <v>138</v>
      </c>
      <c r="C12" t="s">
        <v>238</v>
      </c>
      <c r="D12" t="s">
        <v>338</v>
      </c>
      <c r="E12" t="s">
        <v>397</v>
      </c>
      <c r="F12">
        <v>1003409101</v>
      </c>
      <c r="G12">
        <v>10.44</v>
      </c>
      <c r="H12">
        <f>_xlfn.XLOOKUP(D12,[2]prices!$A$2:$A$6953,[2]prices!$E$2:$E$6953)</f>
        <v>10.49</v>
      </c>
      <c r="I12" t="s">
        <v>409</v>
      </c>
      <c r="J12">
        <v>10475591014.440001</v>
      </c>
      <c r="K12" t="s">
        <v>415</v>
      </c>
      <c r="L12">
        <v>17800026.3292921</v>
      </c>
      <c r="M12">
        <v>1</v>
      </c>
      <c r="N12">
        <v>10475591014.440001</v>
      </c>
      <c r="O12">
        <v>27312795729.220001</v>
      </c>
      <c r="P12">
        <f>_xlfn.XLOOKUP(D12,[1]full_dataframe_final!$C$2:$C$101,[1]full_dataframe_final!$I$2:$I$101)</f>
        <v>1.9105825835527531E-3</v>
      </c>
      <c r="Q12">
        <f t="shared" si="0"/>
        <v>81582929399.95903</v>
      </c>
      <c r="R12">
        <f t="shared" si="1"/>
        <v>5210962969.2386522</v>
      </c>
      <c r="S12">
        <f t="shared" si="2"/>
        <v>499134384.02669084</v>
      </c>
      <c r="T12">
        <f t="shared" si="3"/>
        <v>7777209666</v>
      </c>
      <c r="U12">
        <v>30101010</v>
      </c>
      <c r="V12">
        <v>3010</v>
      </c>
      <c r="W12">
        <v>1.9796332440151201</v>
      </c>
      <c r="Y12" t="s">
        <v>420</v>
      </c>
      <c r="Z12" t="s">
        <v>422</v>
      </c>
      <c r="AA12">
        <v>0</v>
      </c>
      <c r="AB12">
        <v>0</v>
      </c>
      <c r="AC12" t="s">
        <v>422</v>
      </c>
      <c r="AD12" t="s">
        <v>422</v>
      </c>
      <c r="AE12" t="s">
        <v>422</v>
      </c>
      <c r="AF12" t="s">
        <v>422</v>
      </c>
      <c r="AG12" t="s">
        <v>422</v>
      </c>
      <c r="AH12" t="s">
        <v>422</v>
      </c>
      <c r="AI12" t="s">
        <v>422</v>
      </c>
      <c r="AJ12">
        <v>0</v>
      </c>
      <c r="AK12">
        <v>0</v>
      </c>
      <c r="AL12">
        <v>0</v>
      </c>
      <c r="AN12">
        <v>0</v>
      </c>
      <c r="AO12" t="s">
        <v>424</v>
      </c>
      <c r="AQ12" t="s">
        <v>424</v>
      </c>
      <c r="AR12" t="s">
        <v>424</v>
      </c>
      <c r="AS12" t="s">
        <v>424</v>
      </c>
      <c r="AU12">
        <v>0</v>
      </c>
      <c r="AV12">
        <v>0</v>
      </c>
      <c r="AW12">
        <v>0</v>
      </c>
      <c r="AX12">
        <v>0</v>
      </c>
      <c r="AY12">
        <v>2.3170000000000002</v>
      </c>
      <c r="AZ12">
        <v>2.5430000000000001</v>
      </c>
      <c r="BA12" t="s">
        <v>430</v>
      </c>
      <c r="BB12">
        <v>0</v>
      </c>
      <c r="BC12">
        <v>0</v>
      </c>
      <c r="BD12" t="s">
        <v>436</v>
      </c>
      <c r="BE12">
        <v>0</v>
      </c>
      <c r="BF12">
        <v>0</v>
      </c>
      <c r="BG12">
        <v>0</v>
      </c>
      <c r="CK12">
        <v>2.4300000000000002</v>
      </c>
      <c r="CM12" t="s">
        <v>450</v>
      </c>
      <c r="CO12">
        <v>1.9796332440151201</v>
      </c>
      <c r="CP12">
        <v>3.1</v>
      </c>
      <c r="CQ12">
        <v>2.5398166220075602</v>
      </c>
      <c r="CR12">
        <v>0</v>
      </c>
      <c r="CS12">
        <v>2.5398166220075602</v>
      </c>
      <c r="CT12">
        <v>0</v>
      </c>
      <c r="CU12">
        <v>5.9796435702717194E-3</v>
      </c>
      <c r="CV12">
        <v>0</v>
      </c>
    </row>
    <row r="13" spans="1:100" x14ac:dyDescent="0.25">
      <c r="A13">
        <v>171</v>
      </c>
      <c r="B13" t="s">
        <v>160</v>
      </c>
      <c r="C13" t="s">
        <v>260</v>
      </c>
      <c r="D13" t="s">
        <v>360</v>
      </c>
      <c r="E13" t="s">
        <v>403</v>
      </c>
      <c r="F13">
        <v>1450318700</v>
      </c>
      <c r="G13">
        <v>5.1331730000000002</v>
      </c>
      <c r="H13">
        <f>_xlfn.XLOOKUP(D13,[2]prices!$A$2:$A$6953,[2]prices!$E$2:$E$6953)</f>
        <v>5.0008779729999997</v>
      </c>
      <c r="I13" t="s">
        <v>413</v>
      </c>
      <c r="J13">
        <v>7444736792.2351007</v>
      </c>
      <c r="K13" t="s">
        <v>416</v>
      </c>
      <c r="L13">
        <v>20081175.638739999</v>
      </c>
      <c r="M13">
        <v>1</v>
      </c>
      <c r="N13">
        <v>7444736792.2351007</v>
      </c>
      <c r="O13">
        <v>39477675014</v>
      </c>
      <c r="P13">
        <f>_xlfn.XLOOKUP(D13,[1]full_dataframe_final!$C$2:$C$101,[1]full_dataframe_final!$I$2:$I$101)</f>
        <v>1.3165034289213851E-3</v>
      </c>
      <c r="Q13">
        <f t="shared" si="0"/>
        <v>56215422050.366348</v>
      </c>
      <c r="R13">
        <f t="shared" si="1"/>
        <v>3590659035.6478195</v>
      </c>
      <c r="S13">
        <f t="shared" si="2"/>
        <v>699500880.96540272</v>
      </c>
      <c r="T13">
        <f t="shared" si="3"/>
        <v>11241110531</v>
      </c>
      <c r="U13">
        <v>40202010</v>
      </c>
      <c r="V13">
        <v>4020</v>
      </c>
      <c r="W13">
        <v>1.7482663894438499</v>
      </c>
      <c r="X13">
        <v>1.77</v>
      </c>
      <c r="Y13" t="s">
        <v>417</v>
      </c>
      <c r="Z13" t="s">
        <v>422</v>
      </c>
      <c r="AA13">
        <v>0</v>
      </c>
      <c r="AB13">
        <v>0</v>
      </c>
      <c r="AC13" t="s">
        <v>422</v>
      </c>
      <c r="AD13" t="s">
        <v>422</v>
      </c>
      <c r="AE13" t="s">
        <v>422</v>
      </c>
      <c r="AF13" t="s">
        <v>422</v>
      </c>
      <c r="AG13" t="s">
        <v>422</v>
      </c>
      <c r="AH13" t="s">
        <v>422</v>
      </c>
      <c r="AI13" t="s">
        <v>422</v>
      </c>
      <c r="AJ13">
        <v>0</v>
      </c>
      <c r="AK13">
        <v>0</v>
      </c>
      <c r="AL13">
        <v>0</v>
      </c>
      <c r="AN13">
        <v>0</v>
      </c>
      <c r="AO13" t="s">
        <v>424</v>
      </c>
      <c r="AQ13" t="s">
        <v>424</v>
      </c>
      <c r="AR13" t="s">
        <v>424</v>
      </c>
      <c r="AS13" t="s">
        <v>424</v>
      </c>
      <c r="AU13">
        <v>0</v>
      </c>
      <c r="AV13">
        <v>0</v>
      </c>
      <c r="AW13">
        <v>0</v>
      </c>
      <c r="AX13">
        <v>0</v>
      </c>
      <c r="AY13">
        <v>2.4900000000000002</v>
      </c>
      <c r="AZ13">
        <v>3.2989999999999999</v>
      </c>
      <c r="BA13" t="s">
        <v>424</v>
      </c>
      <c r="BB13">
        <v>1</v>
      </c>
      <c r="BC13">
        <v>0</v>
      </c>
      <c r="BD13" t="s">
        <v>442</v>
      </c>
      <c r="BE13">
        <v>0</v>
      </c>
      <c r="BF13">
        <v>0</v>
      </c>
      <c r="BG13">
        <v>0</v>
      </c>
      <c r="CK13">
        <v>2.8944999999999999</v>
      </c>
      <c r="CM13" t="s">
        <v>450</v>
      </c>
      <c r="CO13">
        <v>1.7482663894438499</v>
      </c>
      <c r="CP13">
        <v>1.77</v>
      </c>
      <c r="CQ13">
        <v>1.7591331947219251</v>
      </c>
      <c r="CR13">
        <v>-0.3</v>
      </c>
      <c r="CS13">
        <v>1.459133194721925</v>
      </c>
      <c r="CT13">
        <v>1</v>
      </c>
      <c r="CU13">
        <v>6.9488764722174766E-3</v>
      </c>
      <c r="CV13">
        <v>0</v>
      </c>
    </row>
    <row r="14" spans="1:100" x14ac:dyDescent="0.25">
      <c r="A14">
        <v>173</v>
      </c>
      <c r="B14" t="s">
        <v>172</v>
      </c>
      <c r="C14" t="s">
        <v>272</v>
      </c>
      <c r="D14" t="s">
        <v>372</v>
      </c>
      <c r="E14" t="s">
        <v>406</v>
      </c>
      <c r="F14">
        <v>5488858</v>
      </c>
      <c r="G14">
        <v>1126.021</v>
      </c>
      <c r="H14">
        <f>_xlfn.XLOOKUP(D14,[2]prices!$A$2:$A$6953,[2]prices!$E$2:$E$6953)</f>
        <v>822.80531399999995</v>
      </c>
      <c r="I14" t="s">
        <v>414</v>
      </c>
      <c r="J14">
        <v>6180569374.0179996</v>
      </c>
      <c r="K14" t="s">
        <v>416</v>
      </c>
      <c r="L14">
        <v>21337047.627355602</v>
      </c>
      <c r="M14">
        <v>0.7</v>
      </c>
      <c r="N14">
        <v>4326398561.8125992</v>
      </c>
      <c r="O14">
        <v>104584700.332</v>
      </c>
      <c r="P14">
        <f>_xlfn.XLOOKUP(D14,[1]full_dataframe_final!$C$2:$C$101,[1]full_dataframe_final!$I$2:$I$101)</f>
        <v>5.7383814493180258E-4</v>
      </c>
      <c r="Q14">
        <f t="shared" si="0"/>
        <v>24503205078.903667</v>
      </c>
      <c r="R14">
        <f t="shared" si="1"/>
        <v>1565098179.6431007</v>
      </c>
      <c r="S14">
        <f t="shared" si="2"/>
        <v>1389936.9369160086</v>
      </c>
      <c r="T14">
        <f t="shared" si="3"/>
        <v>29780076</v>
      </c>
      <c r="U14">
        <v>45102020</v>
      </c>
      <c r="V14">
        <v>4510</v>
      </c>
      <c r="W14">
        <v>1.7426036975708401</v>
      </c>
      <c r="X14">
        <v>1.5</v>
      </c>
      <c r="Y14" t="s">
        <v>417</v>
      </c>
      <c r="Z14" t="s">
        <v>422</v>
      </c>
      <c r="AA14">
        <v>0</v>
      </c>
      <c r="AB14">
        <v>0</v>
      </c>
      <c r="AC14" t="s">
        <v>422</v>
      </c>
      <c r="AD14" t="s">
        <v>422</v>
      </c>
      <c r="AE14" t="s">
        <v>422</v>
      </c>
      <c r="AF14" t="s">
        <v>422</v>
      </c>
      <c r="AG14" t="s">
        <v>422</v>
      </c>
      <c r="AH14" t="s">
        <v>422</v>
      </c>
      <c r="AI14" t="s">
        <v>422</v>
      </c>
      <c r="AJ14">
        <v>0</v>
      </c>
      <c r="AK14">
        <v>0</v>
      </c>
      <c r="AL14">
        <v>0</v>
      </c>
      <c r="AN14">
        <v>0</v>
      </c>
      <c r="AO14" t="s">
        <v>424</v>
      </c>
      <c r="AQ14" t="s">
        <v>424</v>
      </c>
      <c r="AR14" t="s">
        <v>424</v>
      </c>
      <c r="AS14" t="s">
        <v>424</v>
      </c>
      <c r="AU14">
        <v>0</v>
      </c>
      <c r="AV14">
        <v>0</v>
      </c>
      <c r="AW14">
        <v>0</v>
      </c>
      <c r="AX14">
        <v>0</v>
      </c>
      <c r="AY14">
        <v>1.829</v>
      </c>
      <c r="AZ14">
        <v>2.5819999999999999</v>
      </c>
      <c r="BA14" t="s">
        <v>420</v>
      </c>
      <c r="BB14">
        <v>1</v>
      </c>
      <c r="BC14">
        <v>0</v>
      </c>
      <c r="BD14" t="s">
        <v>446</v>
      </c>
      <c r="BE14">
        <v>0</v>
      </c>
      <c r="BF14">
        <v>0</v>
      </c>
      <c r="BG14">
        <v>0</v>
      </c>
      <c r="CK14">
        <v>2.2054999999999998</v>
      </c>
      <c r="CM14" t="s">
        <v>450</v>
      </c>
      <c r="CO14">
        <v>1.7426036975708401</v>
      </c>
      <c r="CP14">
        <v>1.5</v>
      </c>
      <c r="CQ14">
        <v>1.6213018487854201</v>
      </c>
      <c r="CR14">
        <v>-0.3</v>
      </c>
      <c r="CS14">
        <v>1.32130184878542</v>
      </c>
      <c r="CT14">
        <v>1</v>
      </c>
      <c r="CU14">
        <v>6.4035635469968481E-3</v>
      </c>
      <c r="CV14">
        <v>0</v>
      </c>
    </row>
    <row r="15" spans="1:100" x14ac:dyDescent="0.25">
      <c r="A15">
        <v>186</v>
      </c>
      <c r="B15" t="s">
        <v>177</v>
      </c>
      <c r="C15" t="s">
        <v>277</v>
      </c>
      <c r="D15" t="s">
        <v>377</v>
      </c>
      <c r="E15" t="s">
        <v>398</v>
      </c>
      <c r="F15">
        <v>248000000</v>
      </c>
      <c r="G15">
        <v>128.15</v>
      </c>
      <c r="H15">
        <f>_xlfn.XLOOKUP(D15,[2]prices!$A$2:$A$6953,[2]prices!$E$2:$E$6953)</f>
        <v>118.95</v>
      </c>
      <c r="I15" t="s">
        <v>409</v>
      </c>
      <c r="J15">
        <v>31781200000</v>
      </c>
      <c r="K15" t="s">
        <v>415</v>
      </c>
      <c r="L15">
        <v>25987102.558196701</v>
      </c>
      <c r="M15">
        <v>0.4</v>
      </c>
      <c r="N15">
        <v>12712480000</v>
      </c>
      <c r="O15">
        <v>5561152000</v>
      </c>
      <c r="P15">
        <f>_xlfn.XLOOKUP(D15,[1]full_dataframe_final!$C$2:$C$101,[1]full_dataframe_final!$I$2:$I$101)</f>
        <v>8.5673873032584193E-3</v>
      </c>
      <c r="Q15">
        <f t="shared" si="0"/>
        <v>365832160054.61835</v>
      </c>
      <c r="R15">
        <f t="shared" si="1"/>
        <v>23366871636.288181</v>
      </c>
      <c r="S15">
        <f t="shared" si="2"/>
        <v>182340004.96518284</v>
      </c>
      <c r="T15">
        <f t="shared" si="3"/>
        <v>3075512064</v>
      </c>
      <c r="U15">
        <v>45201020</v>
      </c>
      <c r="V15">
        <v>4520</v>
      </c>
      <c r="W15">
        <v>1.7450134819631999</v>
      </c>
      <c r="X15">
        <v>1.5</v>
      </c>
      <c r="Y15" t="s">
        <v>419</v>
      </c>
      <c r="Z15" t="s">
        <v>422</v>
      </c>
      <c r="AA15">
        <v>0</v>
      </c>
      <c r="AB15">
        <v>0</v>
      </c>
      <c r="AC15" t="s">
        <v>422</v>
      </c>
      <c r="AD15" t="s">
        <v>422</v>
      </c>
      <c r="AE15" t="s">
        <v>422</v>
      </c>
      <c r="AF15" t="s">
        <v>422</v>
      </c>
      <c r="AG15" t="s">
        <v>422</v>
      </c>
      <c r="AH15" t="s">
        <v>422</v>
      </c>
      <c r="AI15" t="s">
        <v>422</v>
      </c>
      <c r="AJ15">
        <v>0</v>
      </c>
      <c r="AK15">
        <v>0</v>
      </c>
      <c r="AL15">
        <v>0</v>
      </c>
      <c r="AN15">
        <v>0</v>
      </c>
      <c r="AO15" t="s">
        <v>424</v>
      </c>
      <c r="AQ15" t="s">
        <v>424</v>
      </c>
      <c r="AR15" t="s">
        <v>424</v>
      </c>
      <c r="AS15" t="s">
        <v>424</v>
      </c>
      <c r="AU15">
        <v>0</v>
      </c>
      <c r="AV15">
        <v>0</v>
      </c>
      <c r="AW15">
        <v>0</v>
      </c>
      <c r="AX15">
        <v>0</v>
      </c>
      <c r="AY15">
        <v>2.3719999999999999</v>
      </c>
      <c r="AZ15">
        <v>2.4630000000000001</v>
      </c>
      <c r="BA15" t="s">
        <v>420</v>
      </c>
      <c r="BB15">
        <v>1</v>
      </c>
      <c r="BC15">
        <v>0</v>
      </c>
      <c r="BD15" t="s">
        <v>437</v>
      </c>
      <c r="BE15">
        <v>0</v>
      </c>
      <c r="BF15">
        <v>0</v>
      </c>
      <c r="BG15">
        <v>0</v>
      </c>
      <c r="CK15">
        <v>2.4175</v>
      </c>
      <c r="CM15" t="s">
        <v>450</v>
      </c>
      <c r="CO15">
        <v>1.7450134819631999</v>
      </c>
      <c r="CP15">
        <v>1.5</v>
      </c>
      <c r="CQ15">
        <v>1.6225067409816001</v>
      </c>
      <c r="CR15">
        <v>-0.24</v>
      </c>
      <c r="CS15">
        <v>1.3825067409816001</v>
      </c>
      <c r="CT15">
        <v>1</v>
      </c>
      <c r="CU15">
        <v>7.9263668380908994E-3</v>
      </c>
      <c r="CV15">
        <v>0</v>
      </c>
    </row>
    <row r="16" spans="1:100" x14ac:dyDescent="0.25">
      <c r="A16">
        <v>189</v>
      </c>
      <c r="B16" t="s">
        <v>162</v>
      </c>
      <c r="C16" t="s">
        <v>262</v>
      </c>
      <c r="D16" t="s">
        <v>362</v>
      </c>
      <c r="E16" t="s">
        <v>403</v>
      </c>
      <c r="F16">
        <v>118657364</v>
      </c>
      <c r="G16">
        <v>28.04748</v>
      </c>
      <c r="H16">
        <f>_xlfn.XLOOKUP(D16,[2]prices!$A$2:$A$6953,[2]prices!$E$2:$E$6953)</f>
        <v>28.4127507</v>
      </c>
      <c r="I16" t="s">
        <v>413</v>
      </c>
      <c r="J16">
        <v>3328040043.6427202</v>
      </c>
      <c r="K16" t="s">
        <v>416</v>
      </c>
      <c r="L16">
        <v>10092470.100475</v>
      </c>
      <c r="M16">
        <v>1</v>
      </c>
      <c r="N16">
        <v>3328040043.6427202</v>
      </c>
      <c r="O16">
        <v>6651931825.8400002</v>
      </c>
      <c r="P16">
        <f>_xlfn.XLOOKUP(D16,[1]full_dataframe_final!$C$2:$C$101,[1]full_dataframe_final!$I$2:$I$101)</f>
        <v>2.3122869303490649E-3</v>
      </c>
      <c r="Q16">
        <f t="shared" si="0"/>
        <v>98735926421.108368</v>
      </c>
      <c r="R16">
        <f t="shared" si="1"/>
        <v>6306579821.2698936</v>
      </c>
      <c r="S16">
        <f t="shared" si="2"/>
        <v>224853705.9753637</v>
      </c>
      <c r="T16">
        <f t="shared" si="3"/>
        <v>3475056937</v>
      </c>
      <c r="U16">
        <v>40202010</v>
      </c>
      <c r="V16">
        <v>4020</v>
      </c>
      <c r="W16">
        <v>1.9966860020732899</v>
      </c>
      <c r="X16">
        <v>2.08</v>
      </c>
      <c r="Y16" t="s">
        <v>418</v>
      </c>
      <c r="Z16" t="s">
        <v>422</v>
      </c>
      <c r="AA16">
        <v>0</v>
      </c>
      <c r="AB16">
        <v>0</v>
      </c>
      <c r="AC16" t="s">
        <v>422</v>
      </c>
      <c r="AD16" t="s">
        <v>422</v>
      </c>
      <c r="AE16" t="s">
        <v>422</v>
      </c>
      <c r="AF16" t="s">
        <v>422</v>
      </c>
      <c r="AG16" t="s">
        <v>422</v>
      </c>
      <c r="AH16" t="s">
        <v>422</v>
      </c>
      <c r="AI16" t="s">
        <v>422</v>
      </c>
      <c r="AJ16">
        <v>0</v>
      </c>
      <c r="AK16">
        <v>0</v>
      </c>
      <c r="AL16">
        <v>0</v>
      </c>
      <c r="AN16">
        <v>0</v>
      </c>
      <c r="AO16" t="s">
        <v>424</v>
      </c>
      <c r="AQ16" t="s">
        <v>424</v>
      </c>
      <c r="AR16" t="s">
        <v>424</v>
      </c>
      <c r="AS16" t="s">
        <v>424</v>
      </c>
      <c r="AU16">
        <v>0</v>
      </c>
      <c r="AV16">
        <v>0</v>
      </c>
      <c r="AW16">
        <v>0</v>
      </c>
      <c r="AX16">
        <v>0</v>
      </c>
      <c r="AY16">
        <v>1.786</v>
      </c>
      <c r="AZ16">
        <v>2.78</v>
      </c>
      <c r="BA16" t="s">
        <v>424</v>
      </c>
      <c r="BB16">
        <v>1</v>
      </c>
      <c r="BC16">
        <v>0</v>
      </c>
      <c r="BD16" t="s">
        <v>442</v>
      </c>
      <c r="BE16">
        <v>0</v>
      </c>
      <c r="BF16">
        <v>0</v>
      </c>
      <c r="BG16">
        <v>0</v>
      </c>
      <c r="CK16">
        <v>2.2829999999999999</v>
      </c>
      <c r="CM16" t="s">
        <v>450</v>
      </c>
      <c r="CO16">
        <v>1.9966860020732899</v>
      </c>
      <c r="CP16">
        <v>2.08</v>
      </c>
      <c r="CQ16">
        <v>2.0383430010366448</v>
      </c>
      <c r="CR16">
        <v>-0.18</v>
      </c>
      <c r="CS16">
        <v>1.8583430010366451</v>
      </c>
      <c r="CT16">
        <v>0</v>
      </c>
      <c r="CU16">
        <v>3.1835219660184869E-3</v>
      </c>
      <c r="CV16">
        <v>0</v>
      </c>
    </row>
    <row r="17" spans="1:100" x14ac:dyDescent="0.25">
      <c r="A17">
        <v>202</v>
      </c>
      <c r="B17" t="s">
        <v>156</v>
      </c>
      <c r="C17" t="s">
        <v>256</v>
      </c>
      <c r="D17" t="s">
        <v>356</v>
      </c>
      <c r="E17" t="s">
        <v>398</v>
      </c>
      <c r="F17">
        <v>579795650</v>
      </c>
      <c r="G17">
        <v>82.58</v>
      </c>
      <c r="H17">
        <f>_xlfn.XLOOKUP(D17,[2]prices!$A$2:$A$6953,[2]prices!$E$2:$E$6953)</f>
        <v>70.14</v>
      </c>
      <c r="I17" t="s">
        <v>409</v>
      </c>
      <c r="J17">
        <v>47879524777</v>
      </c>
      <c r="K17" t="s">
        <v>415</v>
      </c>
      <c r="L17">
        <v>97231108.921311393</v>
      </c>
      <c r="M17">
        <v>0.5</v>
      </c>
      <c r="N17">
        <v>23939762388.5</v>
      </c>
      <c r="O17">
        <v>16251672069.5</v>
      </c>
      <c r="P17">
        <f>_xlfn.XLOOKUP(D17,[1]full_dataframe_final!$C$2:$C$101,[1]full_dataframe_final!$I$2:$I$101)</f>
        <v>1.4763284886288751E-2</v>
      </c>
      <c r="Q17">
        <f t="shared" si="0"/>
        <v>630400401928.67261</v>
      </c>
      <c r="R17">
        <f t="shared" si="1"/>
        <v>40265692521.763329</v>
      </c>
      <c r="S17">
        <f t="shared" si="2"/>
        <v>487596179.72588193</v>
      </c>
      <c r="T17">
        <f t="shared" si="3"/>
        <v>8987744538</v>
      </c>
      <c r="U17">
        <v>40101020</v>
      </c>
      <c r="V17">
        <v>4010</v>
      </c>
      <c r="W17">
        <v>1.7483805263697001</v>
      </c>
      <c r="X17">
        <v>1.5</v>
      </c>
      <c r="Y17" t="s">
        <v>419</v>
      </c>
      <c r="Z17" t="s">
        <v>422</v>
      </c>
      <c r="AA17">
        <v>0</v>
      </c>
      <c r="AB17">
        <v>0</v>
      </c>
      <c r="AC17" t="s">
        <v>422</v>
      </c>
      <c r="AD17" t="s">
        <v>422</v>
      </c>
      <c r="AE17" t="s">
        <v>422</v>
      </c>
      <c r="AF17" t="s">
        <v>422</v>
      </c>
      <c r="AG17" t="s">
        <v>422</v>
      </c>
      <c r="AH17" t="s">
        <v>422</v>
      </c>
      <c r="AI17" t="s">
        <v>422</v>
      </c>
      <c r="AJ17">
        <v>0</v>
      </c>
      <c r="AK17">
        <v>0</v>
      </c>
      <c r="AL17">
        <v>0</v>
      </c>
      <c r="AN17">
        <v>0</v>
      </c>
      <c r="AO17" t="s">
        <v>424</v>
      </c>
      <c r="AQ17" t="s">
        <v>424</v>
      </c>
      <c r="AR17" t="s">
        <v>424</v>
      </c>
      <c r="AS17" t="s">
        <v>424</v>
      </c>
      <c r="AU17">
        <v>0</v>
      </c>
      <c r="AV17">
        <v>0</v>
      </c>
      <c r="AW17">
        <v>0</v>
      </c>
      <c r="AX17">
        <v>0</v>
      </c>
      <c r="AY17">
        <v>2.3959999999999999</v>
      </c>
      <c r="AZ17">
        <v>2.3119999999999998</v>
      </c>
      <c r="BA17" t="s">
        <v>420</v>
      </c>
      <c r="BB17">
        <v>1</v>
      </c>
      <c r="BC17">
        <v>0</v>
      </c>
      <c r="BD17" t="s">
        <v>437</v>
      </c>
      <c r="BE17">
        <v>0</v>
      </c>
      <c r="BF17">
        <v>0</v>
      </c>
      <c r="BG17">
        <v>0</v>
      </c>
      <c r="CK17">
        <v>2.3540000000000001</v>
      </c>
      <c r="CM17" t="s">
        <v>450</v>
      </c>
      <c r="CO17">
        <v>1.7483805263697001</v>
      </c>
      <c r="CP17">
        <v>1.5</v>
      </c>
      <c r="CQ17">
        <v>1.6241902631848499</v>
      </c>
      <c r="CR17">
        <v>-0.24</v>
      </c>
      <c r="CS17">
        <v>1.3841902631848499</v>
      </c>
      <c r="CT17">
        <v>1</v>
      </c>
      <c r="CU17">
        <v>2.9549928982973369E-2</v>
      </c>
      <c r="CV17">
        <v>0</v>
      </c>
    </row>
    <row r="18" spans="1:100" x14ac:dyDescent="0.25">
      <c r="A18">
        <v>203</v>
      </c>
      <c r="B18" t="s">
        <v>134</v>
      </c>
      <c r="C18" t="s">
        <v>234</v>
      </c>
      <c r="D18" t="s">
        <v>334</v>
      </c>
      <c r="E18" t="s">
        <v>394</v>
      </c>
      <c r="F18">
        <v>1130810671</v>
      </c>
      <c r="G18">
        <v>71.12</v>
      </c>
      <c r="H18">
        <f>_xlfn.XLOOKUP(D18,[2]prices!$A$2:$A$6953,[2]prices!$E$2:$E$6953)</f>
        <v>70.58</v>
      </c>
      <c r="I18" t="s">
        <v>409</v>
      </c>
      <c r="J18">
        <v>80423254921.520004</v>
      </c>
      <c r="K18" t="s">
        <v>415</v>
      </c>
      <c r="L18">
        <v>181499028.285079</v>
      </c>
      <c r="M18">
        <v>0.95000000000000007</v>
      </c>
      <c r="N18">
        <v>76402092175.444016</v>
      </c>
      <c r="O18">
        <v>60223583905.447006</v>
      </c>
      <c r="P18">
        <f>_xlfn.XLOOKUP(D18,[1]full_dataframe_final!$C$2:$C$101,[1]full_dataframe_final!$I$2:$I$101)</f>
        <v>1.376282057097619E-2</v>
      </c>
      <c r="Q18">
        <f t="shared" si="0"/>
        <v>587680024225.05725</v>
      </c>
      <c r="R18">
        <f t="shared" si="1"/>
        <v>37537005186.278412</v>
      </c>
      <c r="S18">
        <f t="shared" si="2"/>
        <v>527798160.66195738</v>
      </c>
      <c r="T18">
        <f t="shared" si="3"/>
        <v>8326438427</v>
      </c>
      <c r="U18">
        <v>30101010</v>
      </c>
      <c r="V18">
        <v>3010</v>
      </c>
      <c r="W18">
        <v>3.3054605885148698</v>
      </c>
      <c r="X18">
        <v>1.5</v>
      </c>
      <c r="Y18" t="s">
        <v>419</v>
      </c>
      <c r="Z18" t="s">
        <v>422</v>
      </c>
      <c r="AA18">
        <v>0</v>
      </c>
      <c r="AB18">
        <v>0</v>
      </c>
      <c r="AC18" t="s">
        <v>422</v>
      </c>
      <c r="AD18" t="s">
        <v>422</v>
      </c>
      <c r="AE18" t="s">
        <v>422</v>
      </c>
      <c r="AF18" t="s">
        <v>422</v>
      </c>
      <c r="AG18" t="s">
        <v>422</v>
      </c>
      <c r="AH18" t="s">
        <v>422</v>
      </c>
      <c r="AI18" t="s">
        <v>422</v>
      </c>
      <c r="AJ18">
        <v>0</v>
      </c>
      <c r="AK18">
        <v>0</v>
      </c>
      <c r="AL18">
        <v>0</v>
      </c>
      <c r="AN18">
        <v>0</v>
      </c>
      <c r="AO18" t="s">
        <v>424</v>
      </c>
      <c r="AQ18" t="s">
        <v>424</v>
      </c>
      <c r="AR18" t="s">
        <v>424</v>
      </c>
      <c r="AS18" t="s">
        <v>424</v>
      </c>
      <c r="AU18">
        <v>0</v>
      </c>
      <c r="AV18">
        <v>0</v>
      </c>
      <c r="AW18">
        <v>0</v>
      </c>
      <c r="AX18">
        <v>0</v>
      </c>
      <c r="AY18">
        <v>2.3250000000000002</v>
      </c>
      <c r="AZ18">
        <v>3.2959999999999998</v>
      </c>
      <c r="BA18" t="s">
        <v>430</v>
      </c>
      <c r="BB18">
        <v>0</v>
      </c>
      <c r="BC18">
        <v>0</v>
      </c>
      <c r="BD18" t="s">
        <v>433</v>
      </c>
      <c r="BE18">
        <v>0</v>
      </c>
      <c r="BF18">
        <v>0</v>
      </c>
      <c r="BG18">
        <v>0</v>
      </c>
      <c r="CK18">
        <v>2.8105000000000002</v>
      </c>
      <c r="CM18" t="s">
        <v>450</v>
      </c>
      <c r="CO18">
        <v>3.3054605885148698</v>
      </c>
      <c r="CP18">
        <v>1.5</v>
      </c>
      <c r="CQ18">
        <v>2.4027302942574349</v>
      </c>
      <c r="CR18">
        <v>-0.24</v>
      </c>
      <c r="CS18">
        <v>2.1627302942574351</v>
      </c>
      <c r="CT18">
        <v>0</v>
      </c>
      <c r="CU18">
        <v>5.5860078661921567E-2</v>
      </c>
      <c r="CV18">
        <v>0</v>
      </c>
    </row>
    <row r="19" spans="1:100" x14ac:dyDescent="0.25">
      <c r="A19">
        <v>212</v>
      </c>
      <c r="B19" t="s">
        <v>135</v>
      </c>
      <c r="C19" t="s">
        <v>235</v>
      </c>
      <c r="D19" t="s">
        <v>335</v>
      </c>
      <c r="E19" t="s">
        <v>406</v>
      </c>
      <c r="F19">
        <v>86061900</v>
      </c>
      <c r="G19">
        <v>100.7996</v>
      </c>
      <c r="H19">
        <f>_xlfn.XLOOKUP(D19,[2]prices!$A$2:$A$6953,[2]prices!$E$2:$E$6953)</f>
        <v>105.55015675</v>
      </c>
      <c r="I19" t="s">
        <v>414</v>
      </c>
      <c r="J19">
        <v>8675005095.2399998</v>
      </c>
      <c r="K19" t="s">
        <v>416</v>
      </c>
      <c r="L19">
        <v>7565856.8700409401</v>
      </c>
      <c r="M19">
        <v>0.35</v>
      </c>
      <c r="N19">
        <v>3036251783.3340001</v>
      </c>
      <c r="O19">
        <v>1688620539.9000001</v>
      </c>
      <c r="P19">
        <f>_xlfn.XLOOKUP(D19,[1]full_dataframe_final!$C$2:$C$101,[1]full_dataframe_final!$I$2:$I$101)</f>
        <v>2.2741792270301259E-3</v>
      </c>
      <c r="Q19">
        <f t="shared" si="0"/>
        <v>97108706485.039185</v>
      </c>
      <c r="R19">
        <f t="shared" si="1"/>
        <v>6202644072.798625</v>
      </c>
      <c r="S19">
        <f t="shared" si="2"/>
        <v>61534411.573048159</v>
      </c>
      <c r="T19">
        <f t="shared" si="3"/>
        <v>920024275</v>
      </c>
      <c r="U19">
        <v>30101010</v>
      </c>
      <c r="V19">
        <v>3010</v>
      </c>
      <c r="W19">
        <v>2.7183589714236498</v>
      </c>
      <c r="X19">
        <v>2.08</v>
      </c>
      <c r="Y19" t="s">
        <v>418</v>
      </c>
      <c r="Z19" t="s">
        <v>422</v>
      </c>
      <c r="AA19">
        <v>0</v>
      </c>
      <c r="AB19">
        <v>0</v>
      </c>
      <c r="AC19" t="s">
        <v>422</v>
      </c>
      <c r="AD19" t="s">
        <v>422</v>
      </c>
      <c r="AE19" t="s">
        <v>422</v>
      </c>
      <c r="AF19" t="s">
        <v>422</v>
      </c>
      <c r="AG19" t="s">
        <v>422</v>
      </c>
      <c r="AH19" t="s">
        <v>422</v>
      </c>
      <c r="AI19" t="s">
        <v>422</v>
      </c>
      <c r="AJ19">
        <v>0</v>
      </c>
      <c r="AK19">
        <v>0</v>
      </c>
      <c r="AL19">
        <v>0</v>
      </c>
      <c r="AN19">
        <v>0</v>
      </c>
      <c r="AO19" t="s">
        <v>424</v>
      </c>
      <c r="AQ19" t="s">
        <v>424</v>
      </c>
      <c r="AR19" t="s">
        <v>424</v>
      </c>
      <c r="AS19" t="s">
        <v>424</v>
      </c>
      <c r="AU19">
        <v>0</v>
      </c>
      <c r="AV19">
        <v>0</v>
      </c>
      <c r="AW19">
        <v>0</v>
      </c>
      <c r="AX19">
        <v>0</v>
      </c>
      <c r="AY19">
        <v>2.3719999999999999</v>
      </c>
      <c r="AZ19">
        <v>2.5950000000000002</v>
      </c>
      <c r="BA19" t="s">
        <v>430</v>
      </c>
      <c r="BB19">
        <v>0</v>
      </c>
      <c r="BC19">
        <v>0</v>
      </c>
      <c r="BD19" t="s">
        <v>446</v>
      </c>
      <c r="BE19">
        <v>0</v>
      </c>
      <c r="BF19">
        <v>0</v>
      </c>
      <c r="BG19">
        <v>0</v>
      </c>
      <c r="CK19">
        <v>2.4834999999999998</v>
      </c>
      <c r="CM19" t="s">
        <v>450</v>
      </c>
      <c r="CO19">
        <v>2.7183589714236498</v>
      </c>
      <c r="CP19">
        <v>2.08</v>
      </c>
      <c r="CQ19">
        <v>2.3991794857118252</v>
      </c>
      <c r="CR19">
        <v>-0.18</v>
      </c>
      <c r="CS19">
        <v>2.219179485711825</v>
      </c>
      <c r="CT19">
        <v>0</v>
      </c>
      <c r="CU19">
        <v>2.309302699021255E-3</v>
      </c>
      <c r="CV19">
        <v>0</v>
      </c>
    </row>
    <row r="20" spans="1:100" x14ac:dyDescent="0.25">
      <c r="A20">
        <v>228</v>
      </c>
      <c r="B20" t="s">
        <v>188</v>
      </c>
      <c r="C20" t="s">
        <v>288</v>
      </c>
      <c r="D20" t="s">
        <v>388</v>
      </c>
      <c r="E20" t="s">
        <v>403</v>
      </c>
      <c r="F20">
        <v>329765630</v>
      </c>
      <c r="G20">
        <v>40.693019999999997</v>
      </c>
      <c r="H20">
        <f>_xlfn.XLOOKUP(D20,[2]prices!$A$2:$A$6953,[2]prices!$E$2:$E$6953)</f>
        <v>35.989484220000001</v>
      </c>
      <c r="I20" t="s">
        <v>413</v>
      </c>
      <c r="J20">
        <v>13419159376.902599</v>
      </c>
      <c r="K20" t="s">
        <v>416</v>
      </c>
      <c r="L20">
        <v>20420662.454890098</v>
      </c>
      <c r="M20">
        <v>1</v>
      </c>
      <c r="N20">
        <v>13419159376.902599</v>
      </c>
      <c r="O20">
        <v>18486661217.799999</v>
      </c>
      <c r="P20">
        <f>_xlfn.XLOOKUP(D20,[1]full_dataframe_final!$C$2:$C$101,[1]full_dataframe_final!$I$2:$I$101)</f>
        <v>8.6169444567629778E-3</v>
      </c>
      <c r="Q20">
        <f t="shared" si="0"/>
        <v>367948277824.36548</v>
      </c>
      <c r="R20">
        <f t="shared" si="1"/>
        <v>23502034855.086571</v>
      </c>
      <c r="S20">
        <f t="shared" si="2"/>
        <v>577544622.02821445</v>
      </c>
      <c r="T20">
        <f t="shared" si="3"/>
        <v>10223771910</v>
      </c>
      <c r="U20">
        <v>50203000</v>
      </c>
      <c r="V20">
        <v>5020</v>
      </c>
      <c r="W20">
        <v>1.74632403309423</v>
      </c>
      <c r="X20">
        <v>2.39</v>
      </c>
      <c r="Y20" t="s">
        <v>418</v>
      </c>
      <c r="Z20" t="s">
        <v>422</v>
      </c>
      <c r="AA20">
        <v>0</v>
      </c>
      <c r="AB20">
        <v>0</v>
      </c>
      <c r="AC20" t="s">
        <v>422</v>
      </c>
      <c r="AD20" t="s">
        <v>422</v>
      </c>
      <c r="AE20" t="s">
        <v>422</v>
      </c>
      <c r="AF20" t="s">
        <v>422</v>
      </c>
      <c r="AG20" t="s">
        <v>422</v>
      </c>
      <c r="AH20" t="s">
        <v>422</v>
      </c>
      <c r="AI20" t="s">
        <v>422</v>
      </c>
      <c r="AJ20">
        <v>0</v>
      </c>
      <c r="AK20">
        <v>0</v>
      </c>
      <c r="AL20">
        <v>0</v>
      </c>
      <c r="AN20">
        <v>0</v>
      </c>
      <c r="AO20" t="s">
        <v>424</v>
      </c>
      <c r="AQ20" t="s">
        <v>424</v>
      </c>
      <c r="AR20" t="s">
        <v>424</v>
      </c>
      <c r="AS20" t="s">
        <v>424</v>
      </c>
      <c r="AU20">
        <v>0</v>
      </c>
      <c r="AV20">
        <v>0</v>
      </c>
      <c r="AW20">
        <v>0</v>
      </c>
      <c r="AX20">
        <v>0</v>
      </c>
      <c r="AY20">
        <v>2.0009999999999999</v>
      </c>
      <c r="AZ20">
        <v>2.996</v>
      </c>
      <c r="BA20" t="s">
        <v>431</v>
      </c>
      <c r="BB20">
        <v>1</v>
      </c>
      <c r="BC20">
        <v>0</v>
      </c>
      <c r="BD20" t="s">
        <v>442</v>
      </c>
      <c r="BE20">
        <v>0</v>
      </c>
      <c r="BF20">
        <v>0</v>
      </c>
      <c r="BG20">
        <v>0</v>
      </c>
      <c r="CK20">
        <v>2.4984999999999999</v>
      </c>
      <c r="CM20" t="s">
        <v>450</v>
      </c>
      <c r="CO20">
        <v>1.74632403309423</v>
      </c>
      <c r="CP20">
        <v>2.39</v>
      </c>
      <c r="CQ20">
        <v>2.0681620165471148</v>
      </c>
      <c r="CR20">
        <v>-0.18</v>
      </c>
      <c r="CS20">
        <v>1.8881620165471149</v>
      </c>
      <c r="CT20">
        <v>0</v>
      </c>
      <c r="CU20">
        <v>6.5591360336509979E-3</v>
      </c>
      <c r="CV20">
        <v>0</v>
      </c>
    </row>
    <row r="21" spans="1:100" x14ac:dyDescent="0.25">
      <c r="A21">
        <v>254</v>
      </c>
      <c r="B21" t="s">
        <v>95</v>
      </c>
      <c r="C21" t="s">
        <v>195</v>
      </c>
      <c r="D21" t="s">
        <v>295</v>
      </c>
      <c r="E21" t="s">
        <v>395</v>
      </c>
      <c r="F21">
        <v>492601440</v>
      </c>
      <c r="G21">
        <v>10.556570000000001</v>
      </c>
      <c r="H21">
        <f>_xlfn.XLOOKUP(D21,[2]prices!$A$2:$A$6953,[2]prices!$E$2:$E$6953)</f>
        <v>10.0719746945</v>
      </c>
      <c r="I21" t="s">
        <v>410</v>
      </c>
      <c r="J21">
        <v>5200181583.4608002</v>
      </c>
      <c r="K21" t="s">
        <v>416</v>
      </c>
      <c r="L21">
        <v>15217501.354249701</v>
      </c>
      <c r="M21">
        <v>0.9</v>
      </c>
      <c r="N21">
        <v>4680163425.1147203</v>
      </c>
      <c r="O21">
        <v>24853713053.759998</v>
      </c>
      <c r="P21">
        <f>_xlfn.XLOOKUP(D21,[1]full_dataframe_final!$C$2:$C$101,[1]full_dataframe_final!$I$2:$I$101)</f>
        <v>3.5714285714285548E-3</v>
      </c>
      <c r="Q21">
        <f t="shared" si="0"/>
        <v>152501968513.73495</v>
      </c>
      <c r="R21">
        <f t="shared" si="1"/>
        <v>9740789114.9036236</v>
      </c>
      <c r="S21">
        <f t="shared" si="2"/>
        <v>922722921.83006632</v>
      </c>
      <c r="T21">
        <f t="shared" si="3"/>
        <v>15141218394</v>
      </c>
      <c r="U21">
        <v>35101010</v>
      </c>
      <c r="V21">
        <v>3510</v>
      </c>
      <c r="W21">
        <v>1.9835888454470301</v>
      </c>
      <c r="Y21" t="s">
        <v>417</v>
      </c>
      <c r="Z21" t="s">
        <v>422</v>
      </c>
      <c r="AA21">
        <v>0</v>
      </c>
      <c r="AB21">
        <v>0</v>
      </c>
      <c r="AC21" t="s">
        <v>422</v>
      </c>
      <c r="AD21" t="s">
        <v>422</v>
      </c>
      <c r="AE21" t="s">
        <v>422</v>
      </c>
      <c r="AF21" t="s">
        <v>422</v>
      </c>
      <c r="AG21" t="s">
        <v>422</v>
      </c>
      <c r="AH21" t="s">
        <v>422</v>
      </c>
      <c r="AI21" t="s">
        <v>422</v>
      </c>
      <c r="AJ21">
        <v>0</v>
      </c>
      <c r="AK21">
        <v>0</v>
      </c>
      <c r="AL21">
        <v>0</v>
      </c>
      <c r="AN21">
        <v>0</v>
      </c>
      <c r="AO21" t="s">
        <v>424</v>
      </c>
      <c r="AQ21" t="s">
        <v>424</v>
      </c>
      <c r="AR21" t="s">
        <v>424</v>
      </c>
      <c r="AS21" t="s">
        <v>424</v>
      </c>
      <c r="AU21">
        <v>0</v>
      </c>
      <c r="AV21">
        <v>0</v>
      </c>
      <c r="AW21">
        <v>0</v>
      </c>
      <c r="AX21">
        <v>0</v>
      </c>
      <c r="AY21">
        <v>2.359</v>
      </c>
      <c r="AZ21">
        <v>2.6629999999999998</v>
      </c>
      <c r="BA21" t="s">
        <v>425</v>
      </c>
      <c r="BB21">
        <v>1</v>
      </c>
      <c r="BC21">
        <v>1</v>
      </c>
      <c r="BD21" t="s">
        <v>434</v>
      </c>
      <c r="BE21">
        <v>0</v>
      </c>
      <c r="BF21">
        <v>0</v>
      </c>
      <c r="BG21">
        <v>0</v>
      </c>
      <c r="CK21">
        <v>2.5110000000000001</v>
      </c>
      <c r="CM21" t="s">
        <v>450</v>
      </c>
      <c r="CO21">
        <v>1.9835888454470301</v>
      </c>
      <c r="CP21">
        <v>3.1</v>
      </c>
      <c r="CQ21">
        <v>2.5417944227235152</v>
      </c>
      <c r="CR21">
        <v>-0.3</v>
      </c>
      <c r="CS21">
        <v>2.2417944227235149</v>
      </c>
      <c r="CT21">
        <v>0</v>
      </c>
      <c r="CU21">
        <v>1.1995172672339389E-2</v>
      </c>
      <c r="CV21">
        <v>0</v>
      </c>
    </row>
    <row r="22" spans="1:100" x14ac:dyDescent="0.25">
      <c r="A22">
        <v>299</v>
      </c>
      <c r="B22" t="s">
        <v>170</v>
      </c>
      <c r="C22" t="s">
        <v>270</v>
      </c>
      <c r="D22" t="s">
        <v>370</v>
      </c>
      <c r="E22" t="s">
        <v>403</v>
      </c>
      <c r="F22">
        <v>362188870</v>
      </c>
      <c r="G22">
        <v>39.991840000000003</v>
      </c>
      <c r="H22">
        <f>_xlfn.XLOOKUP(D22,[2]prices!$A$2:$A$6953,[2]prices!$E$2:$E$6953)</f>
        <v>42.9114383</v>
      </c>
      <c r="I22" t="s">
        <v>413</v>
      </c>
      <c r="J22">
        <v>14484599338.820801</v>
      </c>
      <c r="K22" t="s">
        <v>416</v>
      </c>
      <c r="L22">
        <v>14412050.783097999</v>
      </c>
      <c r="M22">
        <v>0.55000000000000004</v>
      </c>
      <c r="N22">
        <v>7966529636.3514414</v>
      </c>
      <c r="O22">
        <v>11167369428.709999</v>
      </c>
      <c r="P22">
        <f>_xlfn.XLOOKUP(D22,[1]full_dataframe_final!$C$2:$C$101,[1]full_dataframe_final!$I$2:$I$101)</f>
        <v>1.551612078837265E-3</v>
      </c>
      <c r="Q22">
        <f t="shared" si="0"/>
        <v>66254690989.864304</v>
      </c>
      <c r="R22">
        <f t="shared" si="1"/>
        <v>4231899293.4655037</v>
      </c>
      <c r="S22">
        <f t="shared" si="2"/>
        <v>105819069.42680065</v>
      </c>
      <c r="T22">
        <f t="shared" si="3"/>
        <v>1543986722</v>
      </c>
      <c r="U22">
        <v>45101020</v>
      </c>
      <c r="V22">
        <v>4510</v>
      </c>
      <c r="W22">
        <v>1.7271705380618301</v>
      </c>
      <c r="X22">
        <v>1.5</v>
      </c>
      <c r="Y22" t="s">
        <v>417</v>
      </c>
      <c r="Z22" t="s">
        <v>422</v>
      </c>
      <c r="AA22">
        <v>0</v>
      </c>
      <c r="AB22">
        <v>0</v>
      </c>
      <c r="AC22" t="s">
        <v>422</v>
      </c>
      <c r="AD22" t="s">
        <v>422</v>
      </c>
      <c r="AE22" t="s">
        <v>422</v>
      </c>
      <c r="AF22" t="s">
        <v>422</v>
      </c>
      <c r="AG22" t="s">
        <v>422</v>
      </c>
      <c r="AH22" t="s">
        <v>422</v>
      </c>
      <c r="AI22" t="s">
        <v>422</v>
      </c>
      <c r="AJ22">
        <v>0</v>
      </c>
      <c r="AK22">
        <v>0</v>
      </c>
      <c r="AL22">
        <v>0</v>
      </c>
      <c r="AN22">
        <v>0</v>
      </c>
      <c r="AO22" t="s">
        <v>424</v>
      </c>
      <c r="AQ22" t="s">
        <v>424</v>
      </c>
      <c r="AR22" t="s">
        <v>424</v>
      </c>
      <c r="AS22" t="s">
        <v>424</v>
      </c>
      <c r="AU22">
        <v>0</v>
      </c>
      <c r="AV22">
        <v>0</v>
      </c>
      <c r="AW22">
        <v>0</v>
      </c>
      <c r="AX22">
        <v>0</v>
      </c>
      <c r="AY22">
        <v>2.3450000000000002</v>
      </c>
      <c r="AZ22">
        <v>2.57</v>
      </c>
      <c r="BA22" t="s">
        <v>420</v>
      </c>
      <c r="BB22">
        <v>1</v>
      </c>
      <c r="BC22">
        <v>0</v>
      </c>
      <c r="BD22" t="s">
        <v>446</v>
      </c>
      <c r="BE22">
        <v>0</v>
      </c>
      <c r="BF22">
        <v>0</v>
      </c>
      <c r="BG22">
        <v>0</v>
      </c>
      <c r="CK22">
        <v>2.4575</v>
      </c>
      <c r="CM22" t="s">
        <v>450</v>
      </c>
      <c r="CO22">
        <v>1.7271705380618301</v>
      </c>
      <c r="CP22">
        <v>1.5</v>
      </c>
      <c r="CQ22">
        <v>1.6135852690309149</v>
      </c>
      <c r="CR22">
        <v>-0.3</v>
      </c>
      <c r="CS22">
        <v>1.3135852690309151</v>
      </c>
      <c r="CT22">
        <v>1</v>
      </c>
      <c r="CU22">
        <v>4.5851427590269042E-3</v>
      </c>
      <c r="CV22">
        <v>0</v>
      </c>
    </row>
    <row r="23" spans="1:100" x14ac:dyDescent="0.25">
      <c r="A23">
        <v>309</v>
      </c>
      <c r="B23" t="s">
        <v>127</v>
      </c>
      <c r="C23" t="s">
        <v>227</v>
      </c>
      <c r="D23" t="s">
        <v>327</v>
      </c>
      <c r="E23" t="s">
        <v>398</v>
      </c>
      <c r="F23">
        <v>1184669100</v>
      </c>
      <c r="G23">
        <v>19.524999999999999</v>
      </c>
      <c r="H23">
        <f>_xlfn.XLOOKUP(D23,[2]prices!$A$2:$A$6953,[2]prices!$E$2:$E$6953)</f>
        <v>22.69</v>
      </c>
      <c r="I23" t="s">
        <v>409</v>
      </c>
      <c r="J23">
        <v>23130664177.5</v>
      </c>
      <c r="K23" t="s">
        <v>415</v>
      </c>
      <c r="L23">
        <v>92864872.3770082</v>
      </c>
      <c r="M23">
        <v>0.8</v>
      </c>
      <c r="N23">
        <v>18504531342</v>
      </c>
      <c r="O23">
        <v>53130039796.800003</v>
      </c>
      <c r="P23">
        <f>_xlfn.XLOOKUP(D23,[1]full_dataframe_final!$C$2:$C$101,[1]full_dataframe_final!$I$2:$I$101)</f>
        <v>3.9033170999595102E-3</v>
      </c>
      <c r="Q23">
        <f t="shared" si="0"/>
        <v>166673791613.60233</v>
      </c>
      <c r="R23">
        <f t="shared" si="1"/>
        <v>10645988841.404827</v>
      </c>
      <c r="S23">
        <f t="shared" si="2"/>
        <v>545249108.3946135</v>
      </c>
      <c r="T23">
        <f t="shared" si="3"/>
        <v>7345693768</v>
      </c>
      <c r="U23">
        <v>30101010</v>
      </c>
      <c r="V23">
        <v>3010</v>
      </c>
      <c r="W23">
        <v>1.9118214423098601</v>
      </c>
      <c r="X23">
        <v>1.5</v>
      </c>
      <c r="Y23" t="s">
        <v>418</v>
      </c>
      <c r="Z23" t="s">
        <v>422</v>
      </c>
      <c r="AA23">
        <v>0</v>
      </c>
      <c r="AB23">
        <v>0</v>
      </c>
      <c r="AC23" t="s">
        <v>422</v>
      </c>
      <c r="AD23" t="s">
        <v>422</v>
      </c>
      <c r="AE23" t="s">
        <v>422</v>
      </c>
      <c r="AF23" t="s">
        <v>422</v>
      </c>
      <c r="AG23" t="s">
        <v>422</v>
      </c>
      <c r="AH23" t="s">
        <v>422</v>
      </c>
      <c r="AI23" t="s">
        <v>422</v>
      </c>
      <c r="AJ23">
        <v>0</v>
      </c>
      <c r="AK23">
        <v>0</v>
      </c>
      <c r="AL23">
        <v>0</v>
      </c>
      <c r="AN23">
        <v>0</v>
      </c>
      <c r="AO23" t="s">
        <v>424</v>
      </c>
      <c r="AQ23" t="s">
        <v>424</v>
      </c>
      <c r="AR23" t="s">
        <v>424</v>
      </c>
      <c r="AS23" t="s">
        <v>424</v>
      </c>
      <c r="AU23">
        <v>0</v>
      </c>
      <c r="AV23">
        <v>0</v>
      </c>
      <c r="AW23">
        <v>0</v>
      </c>
      <c r="AX23">
        <v>0</v>
      </c>
      <c r="AY23">
        <v>2.3889999999999998</v>
      </c>
      <c r="AZ23">
        <v>2.794</v>
      </c>
      <c r="BA23" t="s">
        <v>430</v>
      </c>
      <c r="BB23">
        <v>0</v>
      </c>
      <c r="BC23">
        <v>0</v>
      </c>
      <c r="BD23" t="s">
        <v>437</v>
      </c>
      <c r="BE23">
        <v>0</v>
      </c>
      <c r="BF23">
        <v>0</v>
      </c>
      <c r="BG23">
        <v>0</v>
      </c>
      <c r="CK23">
        <v>2.5914999999999999</v>
      </c>
      <c r="CM23" t="s">
        <v>450</v>
      </c>
      <c r="CO23">
        <v>1.9118214423098601</v>
      </c>
      <c r="CP23">
        <v>1.5</v>
      </c>
      <c r="CQ23">
        <v>1.70591072115493</v>
      </c>
      <c r="CR23">
        <v>-0.18</v>
      </c>
      <c r="CS23">
        <v>1.5259107211549301</v>
      </c>
      <c r="CT23">
        <v>1</v>
      </c>
      <c r="CU23">
        <v>2.9103708879094539E-2</v>
      </c>
      <c r="CV23">
        <v>0</v>
      </c>
    </row>
    <row r="24" spans="1:100" x14ac:dyDescent="0.25">
      <c r="A24">
        <v>321</v>
      </c>
      <c r="B24" t="s">
        <v>157</v>
      </c>
      <c r="C24" t="s">
        <v>257</v>
      </c>
      <c r="D24" t="s">
        <v>357</v>
      </c>
      <c r="E24" t="s">
        <v>398</v>
      </c>
      <c r="F24">
        <v>200005980</v>
      </c>
      <c r="G24">
        <v>69</v>
      </c>
      <c r="H24">
        <f>_xlfn.XLOOKUP(D24,[2]prices!$A$2:$A$6953,[2]prices!$E$2:$E$6953)</f>
        <v>64.459999999999994</v>
      </c>
      <c r="I24" t="s">
        <v>409</v>
      </c>
      <c r="J24">
        <v>13800412620</v>
      </c>
      <c r="K24" t="s">
        <v>415</v>
      </c>
      <c r="L24">
        <v>24556942.140819699</v>
      </c>
      <c r="M24">
        <v>0.55000000000000004</v>
      </c>
      <c r="N24">
        <v>7590226941.000001</v>
      </c>
      <c r="O24">
        <v>23144692005.599998</v>
      </c>
      <c r="P24">
        <f>_xlfn.XLOOKUP(D24,[1]full_dataframe_final!$C$2:$C$101,[1]full_dataframe_final!$I$2:$I$101)</f>
        <v>1.2870880616852351E-3</v>
      </c>
      <c r="Q24">
        <f t="shared" si="0"/>
        <v>54959369656.107498</v>
      </c>
      <c r="R24">
        <f t="shared" si="1"/>
        <v>3510430946.73208</v>
      </c>
      <c r="S24">
        <f t="shared" si="2"/>
        <v>50875810.822204061</v>
      </c>
      <c r="T24">
        <f t="shared" si="3"/>
        <v>852612002</v>
      </c>
      <c r="U24">
        <v>40101025</v>
      </c>
      <c r="V24">
        <v>4010</v>
      </c>
      <c r="W24">
        <v>1.99537761888822</v>
      </c>
      <c r="X24">
        <v>1.5</v>
      </c>
      <c r="Y24" t="s">
        <v>419</v>
      </c>
      <c r="Z24" t="s">
        <v>422</v>
      </c>
      <c r="AA24">
        <v>0</v>
      </c>
      <c r="AB24">
        <v>0</v>
      </c>
      <c r="AC24" t="s">
        <v>422</v>
      </c>
      <c r="AD24" t="s">
        <v>422</v>
      </c>
      <c r="AE24" t="s">
        <v>422</v>
      </c>
      <c r="AF24" t="s">
        <v>422</v>
      </c>
      <c r="AG24" t="s">
        <v>422</v>
      </c>
      <c r="AH24" t="s">
        <v>422</v>
      </c>
      <c r="AI24" t="s">
        <v>422</v>
      </c>
      <c r="AJ24">
        <v>0</v>
      </c>
      <c r="AK24">
        <v>0</v>
      </c>
      <c r="AL24">
        <v>0</v>
      </c>
      <c r="AN24">
        <v>0</v>
      </c>
      <c r="AO24" t="s">
        <v>424</v>
      </c>
      <c r="AQ24" t="s">
        <v>424</v>
      </c>
      <c r="AR24" t="s">
        <v>424</v>
      </c>
      <c r="AS24" t="s">
        <v>424</v>
      </c>
      <c r="AU24">
        <v>0</v>
      </c>
      <c r="AV24">
        <v>0</v>
      </c>
      <c r="AW24">
        <v>0</v>
      </c>
      <c r="AX24">
        <v>0</v>
      </c>
      <c r="AY24">
        <v>2.4060000000000001</v>
      </c>
      <c r="AZ24">
        <v>2.6320000000000001</v>
      </c>
      <c r="BA24" t="s">
        <v>420</v>
      </c>
      <c r="BB24">
        <v>1</v>
      </c>
      <c r="BC24">
        <v>0</v>
      </c>
      <c r="BD24" t="s">
        <v>437</v>
      </c>
      <c r="BE24">
        <v>0</v>
      </c>
      <c r="BF24">
        <v>0</v>
      </c>
      <c r="BG24">
        <v>0</v>
      </c>
      <c r="CK24">
        <v>2.5190000000000001</v>
      </c>
      <c r="CM24" t="s">
        <v>450</v>
      </c>
      <c r="CO24">
        <v>1.99537761888822</v>
      </c>
      <c r="CP24">
        <v>1.5</v>
      </c>
      <c r="CQ24">
        <v>1.7476888094441101</v>
      </c>
      <c r="CR24">
        <v>-0.24</v>
      </c>
      <c r="CS24">
        <v>1.5076888094441101</v>
      </c>
      <c r="CT24">
        <v>1</v>
      </c>
      <c r="CU24">
        <v>7.909105903396595E-3</v>
      </c>
      <c r="CV24">
        <v>0</v>
      </c>
    </row>
    <row r="25" spans="1:100" x14ac:dyDescent="0.25">
      <c r="A25">
        <v>322</v>
      </c>
      <c r="B25" t="s">
        <v>122</v>
      </c>
      <c r="C25" t="s">
        <v>222</v>
      </c>
      <c r="D25" t="s">
        <v>322</v>
      </c>
      <c r="E25" t="s">
        <v>403</v>
      </c>
      <c r="F25">
        <v>2049789600</v>
      </c>
      <c r="G25">
        <v>2.9909249999999998</v>
      </c>
      <c r="H25">
        <f>_xlfn.XLOOKUP(D25,[2]prices!$A$2:$A$6953,[2]prices!$E$2:$E$6953)</f>
        <v>3.02835491</v>
      </c>
      <c r="I25" t="s">
        <v>413</v>
      </c>
      <c r="J25">
        <v>6130766959.3800001</v>
      </c>
      <c r="K25" t="s">
        <v>416</v>
      </c>
      <c r="L25">
        <v>9155054.9499982595</v>
      </c>
      <c r="M25">
        <v>0.8</v>
      </c>
      <c r="N25">
        <v>4904613567.5040007</v>
      </c>
      <c r="O25">
        <v>345020585472</v>
      </c>
      <c r="P25">
        <f>_xlfn.XLOOKUP(D25,[1]full_dataframe_final!$C$2:$C$101,[1]full_dataframe_final!$I$2:$I$101)</f>
        <v>9.0140161959598977E-4</v>
      </c>
      <c r="Q25">
        <f t="shared" si="0"/>
        <v>38490345994.760231</v>
      </c>
      <c r="R25">
        <f t="shared" si="1"/>
        <v>2458501663.6088033</v>
      </c>
      <c r="S25">
        <f t="shared" si="2"/>
        <v>821987065.40913045</v>
      </c>
      <c r="T25">
        <f t="shared" si="3"/>
        <v>12709985169</v>
      </c>
      <c r="U25">
        <v>20102015</v>
      </c>
      <c r="V25">
        <v>2010</v>
      </c>
      <c r="W25">
        <v>1.97423180401412</v>
      </c>
      <c r="X25">
        <v>1.5</v>
      </c>
      <c r="Y25" t="s">
        <v>418</v>
      </c>
      <c r="Z25" t="s">
        <v>422</v>
      </c>
      <c r="AA25">
        <v>0</v>
      </c>
      <c r="AB25">
        <v>0</v>
      </c>
      <c r="AC25" t="s">
        <v>422</v>
      </c>
      <c r="AD25" t="s">
        <v>422</v>
      </c>
      <c r="AE25" t="s">
        <v>422</v>
      </c>
      <c r="AF25" t="s">
        <v>422</v>
      </c>
      <c r="AG25" t="s">
        <v>422</v>
      </c>
      <c r="AH25" t="s">
        <v>422</v>
      </c>
      <c r="AI25" t="s">
        <v>422</v>
      </c>
      <c r="AJ25">
        <v>0</v>
      </c>
      <c r="AK25">
        <v>0</v>
      </c>
      <c r="AL25">
        <v>0</v>
      </c>
      <c r="AN25">
        <v>0</v>
      </c>
      <c r="AO25" t="s">
        <v>424</v>
      </c>
      <c r="AQ25" t="s">
        <v>424</v>
      </c>
      <c r="AR25" t="s">
        <v>424</v>
      </c>
      <c r="AS25" t="s">
        <v>424</v>
      </c>
      <c r="AU25">
        <v>0</v>
      </c>
      <c r="AV25">
        <v>0</v>
      </c>
      <c r="AW25">
        <v>0</v>
      </c>
      <c r="AX25">
        <v>0</v>
      </c>
      <c r="AY25">
        <v>2.786</v>
      </c>
      <c r="AZ25">
        <v>3.0009999999999999</v>
      </c>
      <c r="BA25" t="s">
        <v>420</v>
      </c>
      <c r="BB25">
        <v>1</v>
      </c>
      <c r="BC25">
        <v>0</v>
      </c>
      <c r="BD25" t="s">
        <v>442</v>
      </c>
      <c r="BE25">
        <v>0</v>
      </c>
      <c r="BF25">
        <v>0</v>
      </c>
      <c r="BG25">
        <v>0</v>
      </c>
      <c r="CK25">
        <v>2.8935</v>
      </c>
      <c r="CM25" t="s">
        <v>450</v>
      </c>
      <c r="CO25">
        <v>1.97423180401412</v>
      </c>
      <c r="CP25">
        <v>1.5</v>
      </c>
      <c r="CQ25">
        <v>1.7371159020070599</v>
      </c>
      <c r="CR25">
        <v>-0.18</v>
      </c>
      <c r="CS25">
        <v>1.55711590200706</v>
      </c>
      <c r="CT25">
        <v>1</v>
      </c>
      <c r="CU25">
        <v>1.0826519574105371E-2</v>
      </c>
      <c r="CV25">
        <v>5.3334866041064204E-3</v>
      </c>
    </row>
    <row r="26" spans="1:100" x14ac:dyDescent="0.25">
      <c r="A26">
        <v>338</v>
      </c>
      <c r="B26" t="s">
        <v>133</v>
      </c>
      <c r="C26" t="s">
        <v>233</v>
      </c>
      <c r="D26" t="s">
        <v>333</v>
      </c>
      <c r="E26" t="s">
        <v>394</v>
      </c>
      <c r="F26">
        <v>3025902350</v>
      </c>
      <c r="G26">
        <v>15.64</v>
      </c>
      <c r="H26">
        <f>_xlfn.XLOOKUP(D26,[2]prices!$A$2:$A$6953,[2]prices!$E$2:$E$6953)</f>
        <v>16.100000000000001</v>
      </c>
      <c r="I26" t="s">
        <v>409</v>
      </c>
      <c r="J26">
        <v>47325112754</v>
      </c>
      <c r="K26" t="s">
        <v>415</v>
      </c>
      <c r="L26">
        <v>92791251.722857103</v>
      </c>
      <c r="M26">
        <v>0.3</v>
      </c>
      <c r="N26">
        <v>14197533826.200001</v>
      </c>
      <c r="O26">
        <v>190994956332</v>
      </c>
      <c r="P26">
        <f>_xlfn.XLOOKUP(D26,[1]full_dataframe_final!$C$2:$C$101,[1]full_dataframe_final!$I$2:$I$101)</f>
        <v>2.6528599904282551E-3</v>
      </c>
      <c r="Q26">
        <f t="shared" si="0"/>
        <v>113278583804.85887</v>
      </c>
      <c r="R26">
        <f t="shared" si="1"/>
        <v>7235465921.0755596</v>
      </c>
      <c r="S26">
        <f t="shared" si="2"/>
        <v>462625698.27848846</v>
      </c>
      <c r="T26">
        <f t="shared" si="3"/>
        <v>7035936882</v>
      </c>
      <c r="U26">
        <v>30101010</v>
      </c>
      <c r="V26">
        <v>3010</v>
      </c>
      <c r="W26">
        <v>3.2733333333333299</v>
      </c>
      <c r="X26">
        <v>1.5</v>
      </c>
      <c r="Y26" t="s">
        <v>419</v>
      </c>
      <c r="Z26" t="s">
        <v>422</v>
      </c>
      <c r="AA26">
        <v>0</v>
      </c>
      <c r="AB26">
        <v>0</v>
      </c>
      <c r="AC26" t="s">
        <v>422</v>
      </c>
      <c r="AD26" t="s">
        <v>422</v>
      </c>
      <c r="AE26" t="s">
        <v>422</v>
      </c>
      <c r="AF26" t="s">
        <v>422</v>
      </c>
      <c r="AG26" t="s">
        <v>422</v>
      </c>
      <c r="AH26" t="s">
        <v>422</v>
      </c>
      <c r="AI26" t="s">
        <v>422</v>
      </c>
      <c r="AJ26">
        <v>0</v>
      </c>
      <c r="AK26">
        <v>0</v>
      </c>
      <c r="AL26">
        <v>0</v>
      </c>
      <c r="AN26">
        <v>0</v>
      </c>
      <c r="AO26" t="s">
        <v>424</v>
      </c>
      <c r="AQ26" t="s">
        <v>424</v>
      </c>
      <c r="AR26" t="s">
        <v>424</v>
      </c>
      <c r="AS26" t="s">
        <v>424</v>
      </c>
      <c r="AU26">
        <v>0</v>
      </c>
      <c r="AV26">
        <v>0</v>
      </c>
      <c r="AW26">
        <v>0</v>
      </c>
      <c r="AX26">
        <v>0</v>
      </c>
      <c r="AY26">
        <v>2.1840000000000002</v>
      </c>
      <c r="AZ26">
        <v>2.8410000000000002</v>
      </c>
      <c r="BA26" t="s">
        <v>430</v>
      </c>
      <c r="BB26">
        <v>0</v>
      </c>
      <c r="BC26">
        <v>0</v>
      </c>
      <c r="BD26" t="s">
        <v>433</v>
      </c>
      <c r="BE26">
        <v>0</v>
      </c>
      <c r="BF26">
        <v>0</v>
      </c>
      <c r="BG26">
        <v>0</v>
      </c>
      <c r="CK26">
        <v>2.5125000000000002</v>
      </c>
      <c r="CM26" t="s">
        <v>450</v>
      </c>
      <c r="CO26">
        <v>3.2733333333333299</v>
      </c>
      <c r="CP26">
        <v>1.5</v>
      </c>
      <c r="CQ26">
        <v>2.3866666666666649</v>
      </c>
      <c r="CR26">
        <v>-0.24</v>
      </c>
      <c r="CS26">
        <v>2.1466666666666652</v>
      </c>
      <c r="CT26">
        <v>0</v>
      </c>
      <c r="CU26">
        <v>3.2310267576485981E-2</v>
      </c>
      <c r="CV26">
        <v>0</v>
      </c>
    </row>
    <row r="27" spans="1:100" x14ac:dyDescent="0.25">
      <c r="A27">
        <v>364</v>
      </c>
      <c r="B27" t="s">
        <v>171</v>
      </c>
      <c r="C27" t="s">
        <v>271</v>
      </c>
      <c r="D27" t="s">
        <v>371</v>
      </c>
      <c r="E27" t="s">
        <v>394</v>
      </c>
      <c r="F27">
        <v>679553991</v>
      </c>
      <c r="G27">
        <v>68.48</v>
      </c>
      <c r="H27">
        <f>_xlfn.XLOOKUP(D27,[2]prices!$A$2:$A$6953,[2]prices!$E$2:$E$6953)</f>
        <v>72.959999999999994</v>
      </c>
      <c r="I27" t="s">
        <v>409</v>
      </c>
      <c r="J27">
        <v>46535857303.68</v>
      </c>
      <c r="K27" t="s">
        <v>415</v>
      </c>
      <c r="L27">
        <v>73768688.648571402</v>
      </c>
      <c r="M27">
        <v>0.95000000000000007</v>
      </c>
      <c r="N27">
        <v>44209064438.496002</v>
      </c>
      <c r="O27">
        <v>135829251721.08</v>
      </c>
      <c r="P27">
        <f>_xlfn.XLOOKUP(D27,[1]full_dataframe_final!$C$2:$C$101,[1]full_dataframe_final!$I$2:$I$101)</f>
        <v>8.5495781906531811E-3</v>
      </c>
      <c r="Q27">
        <f t="shared" si="0"/>
        <v>365071701130.27948</v>
      </c>
      <c r="R27">
        <f t="shared" si="1"/>
        <v>23318298689.429047</v>
      </c>
      <c r="S27">
        <f t="shared" si="2"/>
        <v>340512539.27320451</v>
      </c>
      <c r="T27">
        <f t="shared" si="3"/>
        <v>5003723973</v>
      </c>
      <c r="U27">
        <v>45102020</v>
      </c>
      <c r="V27">
        <v>4510</v>
      </c>
      <c r="W27">
        <v>1.7387876622748</v>
      </c>
      <c r="X27">
        <v>1.5</v>
      </c>
      <c r="Y27" t="s">
        <v>417</v>
      </c>
      <c r="Z27" t="s">
        <v>422</v>
      </c>
      <c r="AA27">
        <v>0</v>
      </c>
      <c r="AB27">
        <v>0</v>
      </c>
      <c r="AC27" t="s">
        <v>422</v>
      </c>
      <c r="AD27" t="s">
        <v>422</v>
      </c>
      <c r="AE27" t="s">
        <v>422</v>
      </c>
      <c r="AF27" t="s">
        <v>422</v>
      </c>
      <c r="AG27" t="s">
        <v>422</v>
      </c>
      <c r="AH27" t="s">
        <v>422</v>
      </c>
      <c r="AI27" t="s">
        <v>422</v>
      </c>
      <c r="AJ27">
        <v>0</v>
      </c>
      <c r="AK27">
        <v>0</v>
      </c>
      <c r="AL27">
        <v>0</v>
      </c>
      <c r="AN27">
        <v>0</v>
      </c>
      <c r="AO27" t="s">
        <v>424</v>
      </c>
      <c r="AQ27" t="s">
        <v>424</v>
      </c>
      <c r="AR27" t="s">
        <v>424</v>
      </c>
      <c r="AS27" t="s">
        <v>424</v>
      </c>
      <c r="AU27">
        <v>0</v>
      </c>
      <c r="AV27">
        <v>0</v>
      </c>
      <c r="AW27">
        <v>0</v>
      </c>
      <c r="AX27">
        <v>0</v>
      </c>
      <c r="AY27">
        <v>2.4980000000000002</v>
      </c>
      <c r="AZ27">
        <v>2.8370000000000002</v>
      </c>
      <c r="BA27" t="s">
        <v>420</v>
      </c>
      <c r="BB27">
        <v>1</v>
      </c>
      <c r="BC27">
        <v>0</v>
      </c>
      <c r="BD27" t="s">
        <v>433</v>
      </c>
      <c r="BE27">
        <v>0</v>
      </c>
      <c r="BF27">
        <v>0</v>
      </c>
      <c r="BG27">
        <v>0</v>
      </c>
      <c r="CK27">
        <v>2.6675</v>
      </c>
      <c r="CM27" t="s">
        <v>450</v>
      </c>
      <c r="CO27">
        <v>1.7387876622748</v>
      </c>
      <c r="CP27">
        <v>1.5</v>
      </c>
      <c r="CQ27">
        <v>1.6193938311374001</v>
      </c>
      <c r="CR27">
        <v>-0.3</v>
      </c>
      <c r="CS27">
        <v>1.3193938311374001</v>
      </c>
      <c r="CT27">
        <v>1</v>
      </c>
      <c r="CU27">
        <v>2.5311578454542759E-2</v>
      </c>
      <c r="CV27">
        <v>0</v>
      </c>
    </row>
    <row r="28" spans="1:100" x14ac:dyDescent="0.25">
      <c r="A28">
        <v>368</v>
      </c>
      <c r="B28" t="s">
        <v>96</v>
      </c>
      <c r="C28" t="s">
        <v>196</v>
      </c>
      <c r="D28" t="s">
        <v>296</v>
      </c>
      <c r="E28" t="s">
        <v>394</v>
      </c>
      <c r="F28">
        <v>1338435363</v>
      </c>
      <c r="G28">
        <v>39.72</v>
      </c>
      <c r="H28">
        <f>_xlfn.XLOOKUP(D28,[2]prices!$A$2:$A$6953,[2]prices!$E$2:$E$6953)</f>
        <v>33.54</v>
      </c>
      <c r="I28" t="s">
        <v>409</v>
      </c>
      <c r="J28">
        <v>53162652618.360001</v>
      </c>
      <c r="K28" t="s">
        <v>415</v>
      </c>
      <c r="L28">
        <v>57311402.692936502</v>
      </c>
      <c r="M28">
        <v>0.5</v>
      </c>
      <c r="N28">
        <v>26581326309.18</v>
      </c>
      <c r="O28">
        <v>140803400187.60001</v>
      </c>
      <c r="P28">
        <f>_xlfn.XLOOKUP(D28,[1]full_dataframe_final!$C$2:$C$101,[1]full_dataframe_final!$I$2:$I$101)</f>
        <v>3.5714285714285761E-3</v>
      </c>
      <c r="Q28">
        <f t="shared" si="0"/>
        <v>152501968513.73587</v>
      </c>
      <c r="R28">
        <f t="shared" si="1"/>
        <v>9740789114.9036827</v>
      </c>
      <c r="S28">
        <f t="shared" si="2"/>
        <v>245236382.5504452</v>
      </c>
      <c r="T28">
        <f t="shared" si="3"/>
        <v>4546868470</v>
      </c>
      <c r="U28">
        <v>10101015</v>
      </c>
      <c r="V28">
        <v>1010</v>
      </c>
      <c r="W28">
        <v>1.99432374876754</v>
      </c>
      <c r="Y28" t="s">
        <v>418</v>
      </c>
      <c r="Z28" t="s">
        <v>422</v>
      </c>
      <c r="AA28">
        <v>0</v>
      </c>
      <c r="AB28">
        <v>0</v>
      </c>
      <c r="AC28" t="s">
        <v>422</v>
      </c>
      <c r="AD28" t="s">
        <v>422</v>
      </c>
      <c r="AE28" t="s">
        <v>422</v>
      </c>
      <c r="AF28" t="s">
        <v>422</v>
      </c>
      <c r="AG28" t="s">
        <v>422</v>
      </c>
      <c r="AH28" t="s">
        <v>422</v>
      </c>
      <c r="AI28" t="s">
        <v>422</v>
      </c>
      <c r="AJ28">
        <v>0</v>
      </c>
      <c r="AK28">
        <v>0</v>
      </c>
      <c r="AL28">
        <v>0</v>
      </c>
      <c r="AN28">
        <v>0</v>
      </c>
      <c r="AO28" t="s">
        <v>424</v>
      </c>
      <c r="AQ28" t="s">
        <v>424</v>
      </c>
      <c r="AR28" t="s">
        <v>424</v>
      </c>
      <c r="AS28" t="s">
        <v>424</v>
      </c>
      <c r="AU28">
        <v>0</v>
      </c>
      <c r="AV28">
        <v>0</v>
      </c>
      <c r="AW28">
        <v>0</v>
      </c>
      <c r="AX28">
        <v>0</v>
      </c>
      <c r="AY28">
        <v>2.6360000000000001</v>
      </c>
      <c r="AZ28">
        <v>3.3039999999999998</v>
      </c>
      <c r="BA28" t="s">
        <v>426</v>
      </c>
      <c r="BB28">
        <v>0</v>
      </c>
      <c r="BC28">
        <v>1</v>
      </c>
      <c r="BD28" t="s">
        <v>433</v>
      </c>
      <c r="BE28">
        <v>0</v>
      </c>
      <c r="BF28">
        <v>0</v>
      </c>
      <c r="BG28">
        <v>0</v>
      </c>
      <c r="CK28">
        <v>2.97</v>
      </c>
      <c r="CM28" t="s">
        <v>450</v>
      </c>
      <c r="CO28">
        <v>1.99432374876754</v>
      </c>
      <c r="CP28">
        <v>3.1</v>
      </c>
      <c r="CQ28">
        <v>2.5471618743837698</v>
      </c>
      <c r="CR28">
        <v>-0.18</v>
      </c>
      <c r="CS28">
        <v>2.3671618743837701</v>
      </c>
      <c r="CT28">
        <v>0</v>
      </c>
      <c r="CU28">
        <v>4.6281012972404723E-2</v>
      </c>
      <c r="CV28">
        <v>0</v>
      </c>
    </row>
    <row r="29" spans="1:100" x14ac:dyDescent="0.25">
      <c r="A29">
        <v>384</v>
      </c>
      <c r="B29" t="s">
        <v>141</v>
      </c>
      <c r="C29" t="s">
        <v>241</v>
      </c>
      <c r="D29" t="s">
        <v>341</v>
      </c>
      <c r="E29" t="s">
        <v>398</v>
      </c>
      <c r="F29">
        <v>188300000</v>
      </c>
      <c r="G29">
        <v>246.4</v>
      </c>
      <c r="H29">
        <f>_xlfn.XLOOKUP(D29,[2]prices!$A$2:$A$6953,[2]prices!$E$2:$E$6953)</f>
        <v>271.10000000000002</v>
      </c>
      <c r="I29" t="s">
        <v>409</v>
      </c>
      <c r="J29">
        <v>46397120000</v>
      </c>
      <c r="K29" t="s">
        <v>415</v>
      </c>
      <c r="L29">
        <v>64953417.481147498</v>
      </c>
      <c r="M29">
        <v>1</v>
      </c>
      <c r="N29">
        <v>46397120000</v>
      </c>
      <c r="O29">
        <v>7865291000.000001</v>
      </c>
      <c r="P29">
        <f>_xlfn.XLOOKUP(D29,[1]full_dataframe_final!$C$2:$C$101,[1]full_dataframe_final!$I$2:$I$101)</f>
        <v>2.097309690668861E-2</v>
      </c>
      <c r="Q29">
        <f t="shared" si="0"/>
        <v>895562797947.81885</v>
      </c>
      <c r="R29">
        <f t="shared" si="1"/>
        <v>57202463935.25782</v>
      </c>
      <c r="S29">
        <f t="shared" si="2"/>
        <v>232152856.88010478</v>
      </c>
      <c r="T29">
        <f t="shared" si="3"/>
        <v>3303440789</v>
      </c>
      <c r="U29">
        <v>30202015</v>
      </c>
      <c r="V29">
        <v>3020</v>
      </c>
      <c r="W29">
        <v>1.73908167025175</v>
      </c>
      <c r="Y29" t="s">
        <v>418</v>
      </c>
      <c r="Z29" t="s">
        <v>422</v>
      </c>
      <c r="AA29">
        <v>0</v>
      </c>
      <c r="AB29">
        <v>0</v>
      </c>
      <c r="AC29" t="s">
        <v>422</v>
      </c>
      <c r="AD29" t="s">
        <v>422</v>
      </c>
      <c r="AE29" t="s">
        <v>422</v>
      </c>
      <c r="AF29" t="s">
        <v>422</v>
      </c>
      <c r="AG29" t="s">
        <v>422</v>
      </c>
      <c r="AH29" t="s">
        <v>422</v>
      </c>
      <c r="AI29" t="s">
        <v>422</v>
      </c>
      <c r="AJ29">
        <v>0</v>
      </c>
      <c r="AK29">
        <v>0</v>
      </c>
      <c r="AL29">
        <v>0</v>
      </c>
      <c r="AN29">
        <v>0</v>
      </c>
      <c r="AO29" t="s">
        <v>424</v>
      </c>
      <c r="AQ29" t="s">
        <v>424</v>
      </c>
      <c r="AR29" t="s">
        <v>424</v>
      </c>
      <c r="AS29" t="s">
        <v>424</v>
      </c>
      <c r="AU29">
        <v>0</v>
      </c>
      <c r="AV29">
        <v>0</v>
      </c>
      <c r="AW29">
        <v>0</v>
      </c>
      <c r="AX29">
        <v>0</v>
      </c>
      <c r="AY29">
        <v>2.3820000000000001</v>
      </c>
      <c r="AZ29">
        <v>3.2309999999999999</v>
      </c>
      <c r="BA29" t="s">
        <v>430</v>
      </c>
      <c r="BB29">
        <v>0</v>
      </c>
      <c r="BC29">
        <v>0</v>
      </c>
      <c r="BD29" t="s">
        <v>437</v>
      </c>
      <c r="BE29">
        <v>0</v>
      </c>
      <c r="BF29">
        <v>0</v>
      </c>
      <c r="BG29">
        <v>0</v>
      </c>
      <c r="CK29">
        <v>2.8065000000000002</v>
      </c>
      <c r="CM29" t="s">
        <v>450</v>
      </c>
      <c r="CO29">
        <v>1.73908167025175</v>
      </c>
      <c r="CP29">
        <v>3.1</v>
      </c>
      <c r="CQ29">
        <v>2.4195408351258751</v>
      </c>
      <c r="CR29">
        <v>-0.18</v>
      </c>
      <c r="CS29">
        <v>2.239540835125875</v>
      </c>
      <c r="CT29">
        <v>0</v>
      </c>
      <c r="CU29">
        <v>1.9670221719142341E-2</v>
      </c>
      <c r="CV29">
        <v>0</v>
      </c>
    </row>
    <row r="30" spans="1:100" x14ac:dyDescent="0.25">
      <c r="A30">
        <v>391</v>
      </c>
      <c r="B30" t="s">
        <v>175</v>
      </c>
      <c r="C30" t="s">
        <v>275</v>
      </c>
      <c r="D30" t="s">
        <v>375</v>
      </c>
      <c r="E30" t="s">
        <v>403</v>
      </c>
      <c r="F30">
        <v>2225173800</v>
      </c>
      <c r="G30">
        <v>26.475850000000001</v>
      </c>
      <c r="H30">
        <f>_xlfn.XLOOKUP(D30,[2]prices!$A$2:$A$6953,[2]prices!$E$2:$E$6953)</f>
        <v>23.805909639999999</v>
      </c>
      <c r="I30" t="s">
        <v>413</v>
      </c>
      <c r="J30">
        <v>58913367752.730003</v>
      </c>
      <c r="K30" t="s">
        <v>416</v>
      </c>
      <c r="L30">
        <v>91262542.967915595</v>
      </c>
      <c r="M30">
        <v>1</v>
      </c>
      <c r="N30">
        <v>58913367752.730003</v>
      </c>
      <c r="O30">
        <v>92945509626</v>
      </c>
      <c r="P30">
        <f>_xlfn.XLOOKUP(D30,[1]full_dataframe_final!$C$2:$C$101,[1]full_dataframe_final!$I$2:$I$101)</f>
        <v>2.5832786334502981E-2</v>
      </c>
      <c r="Q30">
        <f t="shared" si="0"/>
        <v>1103074215097.8015</v>
      </c>
      <c r="R30">
        <f t="shared" si="1"/>
        <v>70456882701.732483</v>
      </c>
      <c r="S30">
        <f t="shared" si="2"/>
        <v>2661175475.0737929</v>
      </c>
      <c r="T30">
        <f t="shared" si="3"/>
        <v>46336150635</v>
      </c>
      <c r="U30">
        <v>45101015</v>
      </c>
      <c r="V30">
        <v>4510</v>
      </c>
      <c r="W30">
        <v>1.96375273677233</v>
      </c>
      <c r="X30">
        <v>1.5</v>
      </c>
      <c r="Y30" t="s">
        <v>418</v>
      </c>
      <c r="Z30" t="s">
        <v>422</v>
      </c>
      <c r="AA30">
        <v>0</v>
      </c>
      <c r="AB30">
        <v>0</v>
      </c>
      <c r="AC30" t="s">
        <v>422</v>
      </c>
      <c r="AD30" t="s">
        <v>422</v>
      </c>
      <c r="AE30" t="s">
        <v>422</v>
      </c>
      <c r="AF30" t="s">
        <v>422</v>
      </c>
      <c r="AG30" t="s">
        <v>422</v>
      </c>
      <c r="AH30" t="s">
        <v>422</v>
      </c>
      <c r="AI30" t="s">
        <v>422</v>
      </c>
      <c r="AJ30">
        <v>0</v>
      </c>
      <c r="AK30">
        <v>0</v>
      </c>
      <c r="AL30">
        <v>0</v>
      </c>
      <c r="AN30">
        <v>0</v>
      </c>
      <c r="AO30" t="s">
        <v>424</v>
      </c>
      <c r="AQ30" t="s">
        <v>424</v>
      </c>
      <c r="AR30" t="s">
        <v>424</v>
      </c>
      <c r="AS30" t="s">
        <v>424</v>
      </c>
      <c r="AU30">
        <v>0</v>
      </c>
      <c r="AV30">
        <v>0</v>
      </c>
      <c r="AW30">
        <v>0</v>
      </c>
      <c r="AX30">
        <v>0</v>
      </c>
      <c r="AY30">
        <v>2.117</v>
      </c>
      <c r="AZ30">
        <v>3.198</v>
      </c>
      <c r="BA30" t="s">
        <v>420</v>
      </c>
      <c r="BB30">
        <v>1</v>
      </c>
      <c r="BC30">
        <v>0</v>
      </c>
      <c r="BD30" t="s">
        <v>442</v>
      </c>
      <c r="BE30">
        <v>0</v>
      </c>
      <c r="BF30">
        <v>0</v>
      </c>
      <c r="BG30">
        <v>0</v>
      </c>
      <c r="CK30">
        <v>2.6575000000000002</v>
      </c>
      <c r="CM30" t="s">
        <v>450</v>
      </c>
      <c r="CO30">
        <v>1.96375273677233</v>
      </c>
      <c r="CP30">
        <v>1.5</v>
      </c>
      <c r="CQ30">
        <v>1.7318763683861651</v>
      </c>
      <c r="CR30">
        <v>-0.18</v>
      </c>
      <c r="CS30">
        <v>1.5518763683861649</v>
      </c>
      <c r="CT30">
        <v>1</v>
      </c>
      <c r="CU30">
        <v>2.9555444620449449E-2</v>
      </c>
      <c r="CV30">
        <v>0</v>
      </c>
    </row>
    <row r="31" spans="1:100" x14ac:dyDescent="0.25">
      <c r="A31">
        <v>397</v>
      </c>
      <c r="B31" t="s">
        <v>149</v>
      </c>
      <c r="C31" t="s">
        <v>249</v>
      </c>
      <c r="D31" t="s">
        <v>349</v>
      </c>
      <c r="E31" t="s">
        <v>403</v>
      </c>
      <c r="F31">
        <v>1311388200</v>
      </c>
      <c r="G31">
        <v>3.1891919999999998</v>
      </c>
      <c r="H31">
        <f>_xlfn.XLOOKUP(D31,[2]prices!$A$2:$A$6953,[2]prices!$E$2:$E$6953)</f>
        <v>3.2060807580000001</v>
      </c>
      <c r="I31" t="s">
        <v>413</v>
      </c>
      <c r="J31">
        <v>4182268756.3344002</v>
      </c>
      <c r="K31" t="s">
        <v>416</v>
      </c>
      <c r="L31">
        <v>12673712.369872499</v>
      </c>
      <c r="M31">
        <v>1</v>
      </c>
      <c r="N31">
        <v>4182268756.3344002</v>
      </c>
      <c r="O31">
        <v>54776685114.000008</v>
      </c>
      <c r="P31">
        <f>_xlfn.XLOOKUP(D31,[1]full_dataframe_final!$C$2:$C$101,[1]full_dataframe_final!$I$2:$I$101)</f>
        <v>7.6316425306249402E-4</v>
      </c>
      <c r="Q31">
        <f t="shared" si="0"/>
        <v>32587534249.576614</v>
      </c>
      <c r="R31">
        <f t="shared" si="1"/>
        <v>2081470173.7521245</v>
      </c>
      <c r="S31">
        <f t="shared" si="2"/>
        <v>652663801.28638375</v>
      </c>
      <c r="T31">
        <f t="shared" si="3"/>
        <v>10164289894</v>
      </c>
      <c r="U31">
        <v>30302025</v>
      </c>
      <c r="V31">
        <v>3030</v>
      </c>
      <c r="W31">
        <v>1.99264326473623</v>
      </c>
      <c r="Y31" t="s">
        <v>418</v>
      </c>
      <c r="Z31" t="s">
        <v>422</v>
      </c>
      <c r="AA31">
        <v>0</v>
      </c>
      <c r="AB31">
        <v>0</v>
      </c>
      <c r="AC31" t="s">
        <v>422</v>
      </c>
      <c r="AD31" t="s">
        <v>422</v>
      </c>
      <c r="AE31" t="s">
        <v>422</v>
      </c>
      <c r="AF31" t="s">
        <v>422</v>
      </c>
      <c r="AG31" t="s">
        <v>422</v>
      </c>
      <c r="AH31" t="s">
        <v>422</v>
      </c>
      <c r="AI31" t="s">
        <v>422</v>
      </c>
      <c r="AJ31">
        <v>0</v>
      </c>
      <c r="AK31">
        <v>0</v>
      </c>
      <c r="AL31">
        <v>0</v>
      </c>
      <c r="AN31">
        <v>0</v>
      </c>
      <c r="AO31" t="s">
        <v>424</v>
      </c>
      <c r="AQ31" t="s">
        <v>424</v>
      </c>
      <c r="AR31" t="s">
        <v>424</v>
      </c>
      <c r="AS31" t="s">
        <v>424</v>
      </c>
      <c r="AU31">
        <v>0</v>
      </c>
      <c r="AV31">
        <v>0</v>
      </c>
      <c r="AW31">
        <v>0</v>
      </c>
      <c r="AX31">
        <v>0</v>
      </c>
      <c r="AY31">
        <v>1.8839999999999999</v>
      </c>
      <c r="AZ31">
        <v>2.6429999999999998</v>
      </c>
      <c r="BA31" t="s">
        <v>430</v>
      </c>
      <c r="BB31">
        <v>0</v>
      </c>
      <c r="BC31">
        <v>0</v>
      </c>
      <c r="BD31" t="s">
        <v>442</v>
      </c>
      <c r="BE31">
        <v>0</v>
      </c>
      <c r="BF31">
        <v>0</v>
      </c>
      <c r="BG31">
        <v>0</v>
      </c>
      <c r="CK31">
        <v>2.2635000000000001</v>
      </c>
      <c r="CM31" t="s">
        <v>450</v>
      </c>
      <c r="CO31">
        <v>1.99264326473623</v>
      </c>
      <c r="CP31">
        <v>3.1</v>
      </c>
      <c r="CQ31">
        <v>2.546321632368115</v>
      </c>
      <c r="CR31">
        <v>-0.18</v>
      </c>
      <c r="CS31">
        <v>2.3663216323681149</v>
      </c>
      <c r="CT31">
        <v>0</v>
      </c>
      <c r="CU31">
        <v>5.0849235013590817E-3</v>
      </c>
      <c r="CV31">
        <v>0</v>
      </c>
    </row>
    <row r="32" spans="1:100" x14ac:dyDescent="0.25">
      <c r="A32">
        <v>436</v>
      </c>
      <c r="B32" t="s">
        <v>187</v>
      </c>
      <c r="C32" t="s">
        <v>287</v>
      </c>
      <c r="D32" t="s">
        <v>387</v>
      </c>
      <c r="E32" t="s">
        <v>394</v>
      </c>
      <c r="F32">
        <v>236664445</v>
      </c>
      <c r="G32">
        <v>19.149999999999999</v>
      </c>
      <c r="H32">
        <f>_xlfn.XLOOKUP(D32,[2]prices!$A$2:$A$6953,[2]prices!$E$2:$E$6953)</f>
        <v>21.4</v>
      </c>
      <c r="I32" t="s">
        <v>409</v>
      </c>
      <c r="J32">
        <v>4532124121.75</v>
      </c>
      <c r="K32" t="s">
        <v>415</v>
      </c>
      <c r="L32">
        <v>6519939.4418254001</v>
      </c>
      <c r="M32">
        <v>0.70000000000000007</v>
      </c>
      <c r="N32">
        <v>3172486885.2249999</v>
      </c>
      <c r="O32">
        <v>6919831707.3550014</v>
      </c>
      <c r="P32">
        <f>_xlfn.XLOOKUP(D32,[1]full_dataframe_final!$C$2:$C$101,[1]full_dataframe_final!$I$2:$I$101)</f>
        <v>2.574050792142978E-3</v>
      </c>
      <c r="Q32">
        <f t="shared" si="0"/>
        <v>109913387599.72054</v>
      </c>
      <c r="R32">
        <f t="shared" si="1"/>
        <v>7020520062.4483366</v>
      </c>
      <c r="S32">
        <f t="shared" si="2"/>
        <v>366606791.77275914</v>
      </c>
      <c r="T32">
        <f t="shared" si="3"/>
        <v>5136139607</v>
      </c>
      <c r="U32">
        <v>50205010</v>
      </c>
      <c r="V32">
        <v>5020</v>
      </c>
      <c r="W32">
        <v>1.8621326355854599</v>
      </c>
      <c r="X32">
        <v>2.39</v>
      </c>
      <c r="Y32" t="s">
        <v>417</v>
      </c>
      <c r="Z32" t="s">
        <v>422</v>
      </c>
      <c r="AA32">
        <v>0</v>
      </c>
      <c r="AB32">
        <v>0</v>
      </c>
      <c r="AC32" t="s">
        <v>422</v>
      </c>
      <c r="AD32" t="s">
        <v>422</v>
      </c>
      <c r="AE32" t="s">
        <v>422</v>
      </c>
      <c r="AF32" t="s">
        <v>422</v>
      </c>
      <c r="AG32" t="s">
        <v>422</v>
      </c>
      <c r="AH32" t="s">
        <v>422</v>
      </c>
      <c r="AI32" t="s">
        <v>422</v>
      </c>
      <c r="AJ32">
        <v>0</v>
      </c>
      <c r="AK32">
        <v>0</v>
      </c>
      <c r="AL32">
        <v>0</v>
      </c>
      <c r="AN32">
        <v>0</v>
      </c>
      <c r="AO32" t="s">
        <v>424</v>
      </c>
      <c r="AQ32" t="s">
        <v>424</v>
      </c>
      <c r="AR32" t="s">
        <v>424</v>
      </c>
      <c r="AS32" t="s">
        <v>424</v>
      </c>
      <c r="AU32">
        <v>0</v>
      </c>
      <c r="AV32">
        <v>0</v>
      </c>
      <c r="AW32">
        <v>0</v>
      </c>
      <c r="AX32">
        <v>0</v>
      </c>
      <c r="AY32">
        <v>2.2839999999999998</v>
      </c>
      <c r="AZ32">
        <v>2.8149999999999999</v>
      </c>
      <c r="BA32" t="s">
        <v>432</v>
      </c>
      <c r="BB32">
        <v>0</v>
      </c>
      <c r="BC32">
        <v>0</v>
      </c>
      <c r="BD32" t="s">
        <v>433</v>
      </c>
      <c r="BE32">
        <v>0</v>
      </c>
      <c r="BF32">
        <v>0</v>
      </c>
      <c r="BG32">
        <v>0</v>
      </c>
      <c r="CK32">
        <v>2.5495000000000001</v>
      </c>
      <c r="CM32" t="s">
        <v>450</v>
      </c>
      <c r="CO32">
        <v>1.8621326355854599</v>
      </c>
      <c r="CP32">
        <v>2.39</v>
      </c>
      <c r="CQ32">
        <v>2.1260663177927301</v>
      </c>
      <c r="CR32">
        <v>-0.3</v>
      </c>
      <c r="CS32">
        <v>1.8260663177927301</v>
      </c>
      <c r="CT32">
        <v>0</v>
      </c>
      <c r="CU32">
        <v>2.1180366893470532E-3</v>
      </c>
      <c r="CV32">
        <v>0</v>
      </c>
    </row>
    <row r="33" spans="1:100" x14ac:dyDescent="0.25">
      <c r="A33">
        <v>466</v>
      </c>
      <c r="B33" t="s">
        <v>178</v>
      </c>
      <c r="C33" t="s">
        <v>278</v>
      </c>
      <c r="D33" t="s">
        <v>378</v>
      </c>
      <c r="E33" t="s">
        <v>395</v>
      </c>
      <c r="F33">
        <v>643368840</v>
      </c>
      <c r="G33">
        <v>25.860900000000001</v>
      </c>
      <c r="H33">
        <f>_xlfn.XLOOKUP(D33,[2]prices!$A$2:$A$6953,[2]prices!$E$2:$E$6953)</f>
        <v>25.847952923000001</v>
      </c>
      <c r="I33" t="s">
        <v>410</v>
      </c>
      <c r="J33">
        <v>16638097234.356001</v>
      </c>
      <c r="K33" t="s">
        <v>416</v>
      </c>
      <c r="L33">
        <v>36684374.367596902</v>
      </c>
      <c r="M33">
        <v>0.9</v>
      </c>
      <c r="N33">
        <v>14974287510.920401</v>
      </c>
      <c r="O33">
        <v>10518115480.74</v>
      </c>
      <c r="P33">
        <f>_xlfn.XLOOKUP(D33,[1]full_dataframe_final!$C$2:$C$101,[1]full_dataframe_final!$I$2:$I$101)</f>
        <v>1.0866782342216399E-2</v>
      </c>
      <c r="Q33">
        <f t="shared" si="0"/>
        <v>464017595607.52515</v>
      </c>
      <c r="R33">
        <f t="shared" si="1"/>
        <v>29638289842.864891</v>
      </c>
      <c r="S33">
        <f t="shared" si="2"/>
        <v>1146065676.0926685</v>
      </c>
      <c r="T33">
        <f t="shared" si="3"/>
        <v>17951812160</v>
      </c>
      <c r="U33">
        <v>45201020</v>
      </c>
      <c r="V33">
        <v>4520</v>
      </c>
      <c r="W33">
        <v>1.6524943400662999</v>
      </c>
      <c r="X33">
        <v>1.77</v>
      </c>
      <c r="Y33" t="s">
        <v>417</v>
      </c>
      <c r="Z33" t="s">
        <v>422</v>
      </c>
      <c r="AA33">
        <v>0</v>
      </c>
      <c r="AB33">
        <v>0</v>
      </c>
      <c r="AC33" t="s">
        <v>422</v>
      </c>
      <c r="AD33" t="s">
        <v>422</v>
      </c>
      <c r="AE33" t="s">
        <v>422</v>
      </c>
      <c r="AF33" t="s">
        <v>422</v>
      </c>
      <c r="AG33" t="s">
        <v>422</v>
      </c>
      <c r="AH33" t="s">
        <v>422</v>
      </c>
      <c r="AI33" t="s">
        <v>422</v>
      </c>
      <c r="AJ33">
        <v>0</v>
      </c>
      <c r="AK33">
        <v>0</v>
      </c>
      <c r="AL33">
        <v>0</v>
      </c>
      <c r="AN33">
        <v>0</v>
      </c>
      <c r="AO33" t="s">
        <v>424</v>
      </c>
      <c r="AQ33" t="s">
        <v>424</v>
      </c>
      <c r="AR33" t="s">
        <v>424</v>
      </c>
      <c r="AS33" t="s">
        <v>424</v>
      </c>
      <c r="AU33">
        <v>0</v>
      </c>
      <c r="AV33">
        <v>0</v>
      </c>
      <c r="AW33">
        <v>0</v>
      </c>
      <c r="AX33">
        <v>0</v>
      </c>
      <c r="AY33">
        <v>2.3239999999999998</v>
      </c>
      <c r="AZ33">
        <v>2.919</v>
      </c>
      <c r="BA33" t="s">
        <v>420</v>
      </c>
      <c r="BB33">
        <v>1</v>
      </c>
      <c r="BC33">
        <v>0</v>
      </c>
      <c r="BD33" t="s">
        <v>434</v>
      </c>
      <c r="BE33">
        <v>0</v>
      </c>
      <c r="BF33">
        <v>0</v>
      </c>
      <c r="BG33">
        <v>0</v>
      </c>
      <c r="CK33">
        <v>2.6215000000000002</v>
      </c>
      <c r="CM33" t="s">
        <v>450</v>
      </c>
      <c r="CO33">
        <v>1.6524943400662999</v>
      </c>
      <c r="CP33">
        <v>1.77</v>
      </c>
      <c r="CQ33">
        <v>1.71124717003315</v>
      </c>
      <c r="CR33">
        <v>-0.3</v>
      </c>
      <c r="CS33">
        <v>1.4112471700331499</v>
      </c>
      <c r="CT33">
        <v>1</v>
      </c>
      <c r="CU33">
        <v>1.125163502015358E-2</v>
      </c>
      <c r="CV33">
        <v>0</v>
      </c>
    </row>
    <row r="34" spans="1:100" x14ac:dyDescent="0.25">
      <c r="A34">
        <v>470</v>
      </c>
      <c r="B34" t="s">
        <v>144</v>
      </c>
      <c r="C34" t="s">
        <v>244</v>
      </c>
      <c r="D34" t="s">
        <v>344</v>
      </c>
      <c r="E34" t="s">
        <v>394</v>
      </c>
      <c r="F34">
        <v>104235507</v>
      </c>
      <c r="G34">
        <v>119</v>
      </c>
      <c r="H34">
        <f>_xlfn.XLOOKUP(D34,[2]prices!$A$2:$A$6953,[2]prices!$E$2:$E$6953)</f>
        <v>138</v>
      </c>
      <c r="I34" t="s">
        <v>409</v>
      </c>
      <c r="J34">
        <v>12404025333</v>
      </c>
      <c r="K34" t="s">
        <v>415</v>
      </c>
      <c r="L34">
        <v>23304182.974603198</v>
      </c>
      <c r="M34">
        <v>0.75</v>
      </c>
      <c r="N34">
        <v>9303018999.75</v>
      </c>
      <c r="O34">
        <v>1420078488.49125</v>
      </c>
      <c r="P34">
        <f>_xlfn.XLOOKUP(D34,[1]full_dataframe_final!$C$2:$C$101,[1]full_dataframe_final!$I$2:$I$101)</f>
        <v>1.9582508487258998E-3</v>
      </c>
      <c r="Q34">
        <f t="shared" si="0"/>
        <v>83618390596.830124</v>
      </c>
      <c r="R34">
        <f t="shared" si="1"/>
        <v>5340974394.4256325</v>
      </c>
      <c r="S34">
        <f t="shared" si="2"/>
        <v>44882137.76828263</v>
      </c>
      <c r="T34">
        <f t="shared" si="3"/>
        <v>605930366</v>
      </c>
      <c r="U34">
        <v>30202015</v>
      </c>
      <c r="V34">
        <v>3020</v>
      </c>
      <c r="W34">
        <v>1.97838083490229</v>
      </c>
      <c r="X34">
        <v>3.1</v>
      </c>
      <c r="Y34" t="s">
        <v>418</v>
      </c>
      <c r="Z34" t="s">
        <v>422</v>
      </c>
      <c r="AA34">
        <v>0</v>
      </c>
      <c r="AB34">
        <v>0</v>
      </c>
      <c r="AC34" t="s">
        <v>422</v>
      </c>
      <c r="AD34" t="s">
        <v>422</v>
      </c>
      <c r="AE34" t="s">
        <v>422</v>
      </c>
      <c r="AF34" t="s">
        <v>422</v>
      </c>
      <c r="AG34" t="s">
        <v>422</v>
      </c>
      <c r="AH34" t="s">
        <v>422</v>
      </c>
      <c r="AI34" t="s">
        <v>422</v>
      </c>
      <c r="AJ34">
        <v>0</v>
      </c>
      <c r="AK34">
        <v>0</v>
      </c>
      <c r="AL34">
        <v>0</v>
      </c>
      <c r="AN34">
        <v>0</v>
      </c>
      <c r="AO34" t="s">
        <v>424</v>
      </c>
      <c r="AQ34" t="s">
        <v>424</v>
      </c>
      <c r="AR34" t="s">
        <v>424</v>
      </c>
      <c r="AS34" t="s">
        <v>424</v>
      </c>
      <c r="AU34">
        <v>0</v>
      </c>
      <c r="AV34">
        <v>0</v>
      </c>
      <c r="AW34">
        <v>0</v>
      </c>
      <c r="AX34">
        <v>0</v>
      </c>
      <c r="AY34">
        <v>2.37</v>
      </c>
      <c r="AZ34">
        <v>3.1080000000000001</v>
      </c>
      <c r="BA34" t="s">
        <v>430</v>
      </c>
      <c r="BB34">
        <v>0</v>
      </c>
      <c r="BC34">
        <v>0</v>
      </c>
      <c r="BD34" t="s">
        <v>445</v>
      </c>
      <c r="BE34">
        <v>0</v>
      </c>
      <c r="BF34">
        <v>0</v>
      </c>
      <c r="BG34">
        <v>0</v>
      </c>
      <c r="CK34">
        <v>2.7389999999999999</v>
      </c>
      <c r="CM34" t="s">
        <v>450</v>
      </c>
      <c r="CO34">
        <v>1.97838083490229</v>
      </c>
      <c r="CP34">
        <v>3.1</v>
      </c>
      <c r="CQ34">
        <v>2.5391904174511448</v>
      </c>
      <c r="CR34">
        <v>-0.18</v>
      </c>
      <c r="CS34">
        <v>2.3591904174511451</v>
      </c>
      <c r="CT34">
        <v>0</v>
      </c>
      <c r="CU34">
        <v>7.0245115705530317E-3</v>
      </c>
      <c r="CV34">
        <v>0</v>
      </c>
    </row>
    <row r="35" spans="1:100" x14ac:dyDescent="0.25">
      <c r="A35">
        <v>480</v>
      </c>
      <c r="B35" t="s">
        <v>183</v>
      </c>
      <c r="C35" t="s">
        <v>283</v>
      </c>
      <c r="D35" t="s">
        <v>383</v>
      </c>
      <c r="E35" t="s">
        <v>403</v>
      </c>
      <c r="F35">
        <v>919566160</v>
      </c>
      <c r="G35">
        <v>46.387149999999998</v>
      </c>
      <c r="H35">
        <f>_xlfn.XLOOKUP(D35,[2]prices!$A$2:$A$6953,[2]prices!$E$2:$E$6953)</f>
        <v>40.760020140000002</v>
      </c>
      <c r="I35" t="s">
        <v>413</v>
      </c>
      <c r="J35">
        <v>42656053398.844002</v>
      </c>
      <c r="K35" t="s">
        <v>416</v>
      </c>
      <c r="L35">
        <v>53659580.624927901</v>
      </c>
      <c r="M35">
        <v>1</v>
      </c>
      <c r="N35">
        <v>42656053398.844002</v>
      </c>
      <c r="O35">
        <v>16703919296.4</v>
      </c>
      <c r="P35">
        <f>_xlfn.XLOOKUP(D35,[1]full_dataframe_final!$C$2:$C$101,[1]full_dataframe_final!$I$2:$I$101)</f>
        <v>2.7213829068305599E-2</v>
      </c>
      <c r="Q35">
        <f t="shared" si="0"/>
        <v>1162045501039.6189</v>
      </c>
      <c r="R35">
        <f t="shared" si="1"/>
        <v>74223567589.75206</v>
      </c>
      <c r="S35">
        <f t="shared" si="2"/>
        <v>1600088981.3181465</v>
      </c>
      <c r="T35">
        <f t="shared" si="3"/>
        <v>28509443740</v>
      </c>
      <c r="U35">
        <v>50205020</v>
      </c>
      <c r="V35">
        <v>5020</v>
      </c>
      <c r="W35">
        <v>1.96785746746361</v>
      </c>
      <c r="X35">
        <v>1.5</v>
      </c>
      <c r="Y35" t="s">
        <v>419</v>
      </c>
      <c r="Z35" t="s">
        <v>422</v>
      </c>
      <c r="AA35">
        <v>0</v>
      </c>
      <c r="AB35">
        <v>0</v>
      </c>
      <c r="AC35" t="s">
        <v>422</v>
      </c>
      <c r="AD35" t="s">
        <v>422</v>
      </c>
      <c r="AE35" t="s">
        <v>422</v>
      </c>
      <c r="AF35" t="s">
        <v>422</v>
      </c>
      <c r="AG35" t="s">
        <v>422</v>
      </c>
      <c r="AH35" t="s">
        <v>422</v>
      </c>
      <c r="AI35" t="s">
        <v>422</v>
      </c>
      <c r="AJ35">
        <v>0</v>
      </c>
      <c r="AK35">
        <v>0</v>
      </c>
      <c r="AL35">
        <v>0</v>
      </c>
      <c r="AN35">
        <v>0</v>
      </c>
      <c r="AO35" t="s">
        <v>424</v>
      </c>
      <c r="AQ35" t="s">
        <v>424</v>
      </c>
      <c r="AR35" t="s">
        <v>424</v>
      </c>
      <c r="AS35" t="s">
        <v>424</v>
      </c>
      <c r="AU35">
        <v>0</v>
      </c>
      <c r="AV35">
        <v>0</v>
      </c>
      <c r="AW35">
        <v>0</v>
      </c>
      <c r="AX35">
        <v>0</v>
      </c>
      <c r="AY35">
        <v>2.4129999999999998</v>
      </c>
      <c r="AZ35">
        <v>3.26</v>
      </c>
      <c r="BA35" t="s">
        <v>426</v>
      </c>
      <c r="BB35">
        <v>0</v>
      </c>
      <c r="BC35">
        <v>0</v>
      </c>
      <c r="BD35" t="s">
        <v>442</v>
      </c>
      <c r="BE35">
        <v>0</v>
      </c>
      <c r="BF35">
        <v>0</v>
      </c>
      <c r="BG35">
        <v>0</v>
      </c>
      <c r="CK35">
        <v>2.8365</v>
      </c>
      <c r="CM35" t="s">
        <v>450</v>
      </c>
      <c r="CO35">
        <v>1.96785746746361</v>
      </c>
      <c r="CP35">
        <v>1.5</v>
      </c>
      <c r="CQ35">
        <v>1.733928733731805</v>
      </c>
      <c r="CR35">
        <v>-0.24</v>
      </c>
      <c r="CS35">
        <v>1.493928733731805</v>
      </c>
      <c r="CT35">
        <v>1</v>
      </c>
      <c r="CU35">
        <v>1.648906162729576E-2</v>
      </c>
      <c r="CV35">
        <v>0</v>
      </c>
    </row>
    <row r="36" spans="1:100" x14ac:dyDescent="0.25">
      <c r="A36">
        <v>533</v>
      </c>
      <c r="B36" t="s">
        <v>140</v>
      </c>
      <c r="C36" t="s">
        <v>240</v>
      </c>
      <c r="D36" t="s">
        <v>340</v>
      </c>
      <c r="E36" t="s">
        <v>407</v>
      </c>
      <c r="F36">
        <v>138400000</v>
      </c>
      <c r="G36">
        <v>68.55</v>
      </c>
      <c r="H36">
        <f>_xlfn.XLOOKUP(D36,[2]prices!$A$2:$A$6953,[2]prices!$E$2:$E$6953)</f>
        <v>68.599999999999994</v>
      </c>
      <c r="I36" t="s">
        <v>409</v>
      </c>
      <c r="J36">
        <v>9487320000</v>
      </c>
      <c r="K36" t="s">
        <v>415</v>
      </c>
      <c r="L36">
        <v>6900889.3166666701</v>
      </c>
      <c r="M36">
        <v>0.55000000000000004</v>
      </c>
      <c r="N36">
        <v>5218026000</v>
      </c>
      <c r="O36">
        <v>1382719800</v>
      </c>
      <c r="P36">
        <f>_xlfn.XLOOKUP(D36,[1]full_dataframe_final!$C$2:$C$101,[1]full_dataframe_final!$I$2:$I$101)</f>
        <v>9.4784033462632224E-4</v>
      </c>
      <c r="Q36">
        <f t="shared" si="0"/>
        <v>40473304722.824982</v>
      </c>
      <c r="R36">
        <f t="shared" si="1"/>
        <v>2585159587.9745245</v>
      </c>
      <c r="S36">
        <f t="shared" si="2"/>
        <v>37712029.000357762</v>
      </c>
      <c r="T36">
        <f t="shared" si="3"/>
        <v>589989864</v>
      </c>
      <c r="U36">
        <v>30202000</v>
      </c>
      <c r="V36">
        <v>3020</v>
      </c>
      <c r="W36">
        <v>1.8920544675342099</v>
      </c>
      <c r="Y36" t="s">
        <v>417</v>
      </c>
      <c r="Z36" t="s">
        <v>422</v>
      </c>
      <c r="AA36">
        <v>0</v>
      </c>
      <c r="AB36">
        <v>0</v>
      </c>
      <c r="AC36" t="s">
        <v>422</v>
      </c>
      <c r="AD36" t="s">
        <v>422</v>
      </c>
      <c r="AE36" t="s">
        <v>422</v>
      </c>
      <c r="AF36" t="s">
        <v>422</v>
      </c>
      <c r="AG36" t="s">
        <v>422</v>
      </c>
      <c r="AH36" t="s">
        <v>422</v>
      </c>
      <c r="AI36" t="s">
        <v>422</v>
      </c>
      <c r="AJ36">
        <v>0</v>
      </c>
      <c r="AK36">
        <v>0</v>
      </c>
      <c r="AL36">
        <v>0</v>
      </c>
      <c r="AN36">
        <v>0</v>
      </c>
      <c r="AO36" t="s">
        <v>424</v>
      </c>
      <c r="AQ36" t="s">
        <v>424</v>
      </c>
      <c r="AR36" t="s">
        <v>424</v>
      </c>
      <c r="AS36" t="s">
        <v>424</v>
      </c>
      <c r="AU36">
        <v>0</v>
      </c>
      <c r="AV36">
        <v>0</v>
      </c>
      <c r="AW36">
        <v>0</v>
      </c>
      <c r="AX36">
        <v>0</v>
      </c>
      <c r="AY36">
        <v>2.2050000000000001</v>
      </c>
      <c r="AZ36">
        <v>2.8639999999999999</v>
      </c>
      <c r="BA36" t="s">
        <v>430</v>
      </c>
      <c r="BB36">
        <v>0</v>
      </c>
      <c r="BC36">
        <v>0</v>
      </c>
      <c r="BD36" t="s">
        <v>447</v>
      </c>
      <c r="BE36">
        <v>0</v>
      </c>
      <c r="BF36">
        <v>0</v>
      </c>
      <c r="BG36">
        <v>0</v>
      </c>
      <c r="CK36">
        <v>2.5345</v>
      </c>
      <c r="CM36" t="s">
        <v>450</v>
      </c>
      <c r="CO36">
        <v>1.8920544675342099</v>
      </c>
      <c r="CP36">
        <v>3.1</v>
      </c>
      <c r="CQ36">
        <v>2.496027233767105</v>
      </c>
      <c r="CR36">
        <v>-0.3</v>
      </c>
      <c r="CS36">
        <v>2.1960272337671052</v>
      </c>
      <c r="CT36">
        <v>0</v>
      </c>
      <c r="CU36">
        <v>2.102648573728026E-3</v>
      </c>
      <c r="CV36">
        <v>0</v>
      </c>
    </row>
    <row r="37" spans="1:100" x14ac:dyDescent="0.25">
      <c r="A37">
        <v>539</v>
      </c>
      <c r="B37" t="s">
        <v>154</v>
      </c>
      <c r="C37" t="s">
        <v>254</v>
      </c>
      <c r="D37" t="s">
        <v>354</v>
      </c>
      <c r="E37" t="s">
        <v>394</v>
      </c>
      <c r="F37">
        <v>76738691</v>
      </c>
      <c r="G37">
        <v>91.9</v>
      </c>
      <c r="H37">
        <f>_xlfn.XLOOKUP(D37,[2]prices!$A$2:$A$6953,[2]prices!$E$2:$E$6953)</f>
        <v>88.4</v>
      </c>
      <c r="I37" t="s">
        <v>409</v>
      </c>
      <c r="J37">
        <v>7052285702.9000006</v>
      </c>
      <c r="K37" t="s">
        <v>415</v>
      </c>
      <c r="L37">
        <v>10616904.702777799</v>
      </c>
      <c r="M37">
        <v>0.60000000000000009</v>
      </c>
      <c r="N37">
        <v>4231371421.7400012</v>
      </c>
      <c r="O37">
        <v>836374993.20899999</v>
      </c>
      <c r="P37">
        <f>_xlfn.XLOOKUP(D37,[1]full_dataframe_final!$C$2:$C$101,[1]full_dataframe_final!$I$2:$I$101)</f>
        <v>2.9552224955090248E-3</v>
      </c>
      <c r="Q37">
        <f t="shared" si="0"/>
        <v>126189629429.13617</v>
      </c>
      <c r="R37">
        <f t="shared" si="1"/>
        <v>8060135752.5843744</v>
      </c>
      <c r="S37">
        <f t="shared" si="2"/>
        <v>87705503.292539433</v>
      </c>
      <c r="T37">
        <f t="shared" si="3"/>
        <v>1427484495</v>
      </c>
      <c r="U37">
        <v>35102030</v>
      </c>
      <c r="V37">
        <v>3510</v>
      </c>
      <c r="W37">
        <v>2.2375872094998699</v>
      </c>
      <c r="X37">
        <v>2.08</v>
      </c>
      <c r="Y37" t="s">
        <v>418</v>
      </c>
      <c r="Z37" t="s">
        <v>422</v>
      </c>
      <c r="AA37">
        <v>0</v>
      </c>
      <c r="AB37">
        <v>0</v>
      </c>
      <c r="AC37" t="s">
        <v>422</v>
      </c>
      <c r="AD37" t="s">
        <v>422</v>
      </c>
      <c r="AE37" t="s">
        <v>422</v>
      </c>
      <c r="AF37" t="s">
        <v>422</v>
      </c>
      <c r="AG37" t="s">
        <v>422</v>
      </c>
      <c r="AH37" t="s">
        <v>422</v>
      </c>
      <c r="AI37" t="s">
        <v>422</v>
      </c>
      <c r="AJ37">
        <v>0</v>
      </c>
      <c r="AK37">
        <v>0</v>
      </c>
      <c r="AL37">
        <v>0</v>
      </c>
      <c r="AN37">
        <v>0</v>
      </c>
      <c r="AO37" t="s">
        <v>424</v>
      </c>
      <c r="AQ37" t="s">
        <v>424</v>
      </c>
      <c r="AR37" t="s">
        <v>424</v>
      </c>
      <c r="AS37" t="s">
        <v>424</v>
      </c>
      <c r="AU37">
        <v>0</v>
      </c>
      <c r="AV37">
        <v>0</v>
      </c>
      <c r="AW37">
        <v>0</v>
      </c>
      <c r="AX37">
        <v>0</v>
      </c>
      <c r="AY37">
        <v>2.1800000000000002</v>
      </c>
      <c r="AZ37">
        <v>3.1019999999999999</v>
      </c>
      <c r="BA37" t="s">
        <v>425</v>
      </c>
      <c r="BB37">
        <v>1</v>
      </c>
      <c r="BC37">
        <v>0</v>
      </c>
      <c r="BD37" t="s">
        <v>433</v>
      </c>
      <c r="BE37">
        <v>0</v>
      </c>
      <c r="BF37">
        <v>0</v>
      </c>
      <c r="BG37">
        <v>0</v>
      </c>
      <c r="CK37">
        <v>2.641</v>
      </c>
      <c r="CM37" t="s">
        <v>450</v>
      </c>
      <c r="CO37">
        <v>2.2375872094998699</v>
      </c>
      <c r="CP37">
        <v>2.08</v>
      </c>
      <c r="CQ37">
        <v>2.1587936047499352</v>
      </c>
      <c r="CR37">
        <v>-0.18</v>
      </c>
      <c r="CS37">
        <v>1.978793604749935</v>
      </c>
      <c r="CT37">
        <v>0</v>
      </c>
      <c r="CU37">
        <v>3.2046583943738569E-3</v>
      </c>
      <c r="CV37">
        <v>0</v>
      </c>
    </row>
    <row r="38" spans="1:100" x14ac:dyDescent="0.25">
      <c r="A38">
        <v>543</v>
      </c>
      <c r="B38" t="s">
        <v>146</v>
      </c>
      <c r="C38" t="s">
        <v>246</v>
      </c>
      <c r="D38" t="s">
        <v>346</v>
      </c>
      <c r="E38" t="s">
        <v>404</v>
      </c>
      <c r="F38">
        <v>1569420004</v>
      </c>
      <c r="G38">
        <v>31.33</v>
      </c>
      <c r="H38">
        <f>_xlfn.XLOOKUP(D38,[2]prices!$A$2:$A$6953,[2]prices!$E$2:$E$6953)</f>
        <v>30.37</v>
      </c>
      <c r="I38" t="s">
        <v>409</v>
      </c>
      <c r="J38">
        <v>49169928725.32</v>
      </c>
      <c r="K38" t="s">
        <v>415</v>
      </c>
      <c r="L38">
        <v>104407090.472541</v>
      </c>
      <c r="M38">
        <v>0.70000000000000007</v>
      </c>
      <c r="N38">
        <v>34418950107.724007</v>
      </c>
      <c r="O38">
        <v>19955960060.862</v>
      </c>
      <c r="P38">
        <f>_xlfn.XLOOKUP(D38,[1]full_dataframe_final!$C$2:$C$101,[1]full_dataframe_final!$I$2:$I$101)</f>
        <v>2.4224470759418321E-2</v>
      </c>
      <c r="Q38">
        <f t="shared" si="0"/>
        <v>1034398253564.1224</v>
      </c>
      <c r="R38">
        <f t="shared" si="1"/>
        <v>66070329104.540375</v>
      </c>
      <c r="S38">
        <f t="shared" si="2"/>
        <v>2108851870.5566671</v>
      </c>
      <c r="T38">
        <f t="shared" si="3"/>
        <v>34059870054</v>
      </c>
      <c r="U38">
        <v>30302010</v>
      </c>
      <c r="V38">
        <v>3030</v>
      </c>
      <c r="W38">
        <v>2.9259268183552698</v>
      </c>
      <c r="X38">
        <v>1.5</v>
      </c>
      <c r="Y38" t="s">
        <v>418</v>
      </c>
      <c r="Z38" t="s">
        <v>422</v>
      </c>
      <c r="AA38">
        <v>0</v>
      </c>
      <c r="AB38">
        <v>0</v>
      </c>
      <c r="AC38" t="s">
        <v>422</v>
      </c>
      <c r="AD38" t="s">
        <v>422</v>
      </c>
      <c r="AE38" t="s">
        <v>422</v>
      </c>
      <c r="AF38" t="s">
        <v>422</v>
      </c>
      <c r="AG38" t="s">
        <v>422</v>
      </c>
      <c r="AH38" t="s">
        <v>422</v>
      </c>
      <c r="AI38" t="s">
        <v>422</v>
      </c>
      <c r="AJ38">
        <v>0</v>
      </c>
      <c r="AK38">
        <v>0</v>
      </c>
      <c r="AL38">
        <v>0</v>
      </c>
      <c r="AN38">
        <v>0</v>
      </c>
      <c r="AO38" t="s">
        <v>424</v>
      </c>
      <c r="AQ38" t="s">
        <v>424</v>
      </c>
      <c r="AR38" t="s">
        <v>424</v>
      </c>
      <c r="AS38" t="s">
        <v>424</v>
      </c>
      <c r="AU38">
        <v>0</v>
      </c>
      <c r="AV38">
        <v>0</v>
      </c>
      <c r="AW38">
        <v>0</v>
      </c>
      <c r="AX38">
        <v>0</v>
      </c>
      <c r="AY38">
        <v>2.379</v>
      </c>
      <c r="AZ38">
        <v>3.2090000000000001</v>
      </c>
      <c r="BA38" t="s">
        <v>430</v>
      </c>
      <c r="BB38">
        <v>0</v>
      </c>
      <c r="BC38">
        <v>0</v>
      </c>
      <c r="BD38" t="s">
        <v>443</v>
      </c>
      <c r="BE38">
        <v>0</v>
      </c>
      <c r="BF38">
        <v>0</v>
      </c>
      <c r="BG38">
        <v>0</v>
      </c>
      <c r="CK38">
        <v>2.794</v>
      </c>
      <c r="CM38" t="s">
        <v>450</v>
      </c>
      <c r="CO38">
        <v>2.9259268183552698</v>
      </c>
      <c r="CP38">
        <v>1.5</v>
      </c>
      <c r="CQ38">
        <v>2.2129634091776351</v>
      </c>
      <c r="CR38">
        <v>-0.18</v>
      </c>
      <c r="CS38">
        <v>2.032963409177635</v>
      </c>
      <c r="CT38">
        <v>0</v>
      </c>
      <c r="CU38">
        <v>3.1789473803751328E-2</v>
      </c>
      <c r="CV38">
        <v>0</v>
      </c>
    </row>
    <row r="39" spans="1:100" x14ac:dyDescent="0.25">
      <c r="A39">
        <v>553</v>
      </c>
      <c r="B39" t="s">
        <v>191</v>
      </c>
      <c r="C39" t="s">
        <v>291</v>
      </c>
      <c r="D39" t="s">
        <v>391</v>
      </c>
      <c r="E39" t="s">
        <v>406</v>
      </c>
      <c r="F39">
        <v>9233586</v>
      </c>
      <c r="G39">
        <v>4175.5290000000005</v>
      </c>
      <c r="H39">
        <f>_xlfn.XLOOKUP(D39,[2]prices!$A$2:$A$6953,[2]prices!$E$2:$E$6953)</f>
        <v>4072.994283999999</v>
      </c>
      <c r="I39" t="s">
        <v>414</v>
      </c>
      <c r="J39">
        <v>38555106116.994003</v>
      </c>
      <c r="K39" t="s">
        <v>416</v>
      </c>
      <c r="L39">
        <v>73350479.450200602</v>
      </c>
      <c r="M39">
        <v>0.9</v>
      </c>
      <c r="N39">
        <v>34699595505.294601</v>
      </c>
      <c r="O39">
        <v>150955280.72099999</v>
      </c>
      <c r="P39">
        <f>_xlfn.XLOOKUP(D39,[1]full_dataframe_final!$C$2:$C$101,[1]full_dataframe_final!$I$2:$I$101)</f>
        <v>2.457530917997423E-2</v>
      </c>
      <c r="Q39">
        <f t="shared" si="0"/>
        <v>1049379247498.3297</v>
      </c>
      <c r="R39">
        <f t="shared" si="1"/>
        <v>67027213163.591858</v>
      </c>
      <c r="S39">
        <f t="shared" si="2"/>
        <v>16052388.37129184</v>
      </c>
      <c r="T39">
        <f t="shared" si="3"/>
        <v>257643191</v>
      </c>
      <c r="U39">
        <v>55201020</v>
      </c>
      <c r="V39">
        <v>5520</v>
      </c>
      <c r="W39">
        <v>1.73711451726054</v>
      </c>
      <c r="X39">
        <v>2.08</v>
      </c>
      <c r="Y39" t="s">
        <v>417</v>
      </c>
      <c r="Z39" t="s">
        <v>422</v>
      </c>
      <c r="AA39">
        <v>0</v>
      </c>
      <c r="AB39">
        <v>0</v>
      </c>
      <c r="AC39" t="s">
        <v>422</v>
      </c>
      <c r="AD39" t="s">
        <v>422</v>
      </c>
      <c r="AE39" t="s">
        <v>422</v>
      </c>
      <c r="AF39" t="s">
        <v>422</v>
      </c>
      <c r="AG39" t="s">
        <v>422</v>
      </c>
      <c r="AH39" t="s">
        <v>422</v>
      </c>
      <c r="AI39" t="s">
        <v>422</v>
      </c>
      <c r="AJ39">
        <v>0</v>
      </c>
      <c r="AK39">
        <v>0</v>
      </c>
      <c r="AL39">
        <v>0</v>
      </c>
      <c r="AN39">
        <v>0</v>
      </c>
      <c r="AO39" t="s">
        <v>424</v>
      </c>
      <c r="AQ39" t="s">
        <v>424</v>
      </c>
      <c r="AR39" t="s">
        <v>424</v>
      </c>
      <c r="AS39" t="s">
        <v>424</v>
      </c>
      <c r="AU39">
        <v>0</v>
      </c>
      <c r="AV39">
        <v>0</v>
      </c>
      <c r="AW39">
        <v>0</v>
      </c>
      <c r="AX39">
        <v>0</v>
      </c>
      <c r="AY39">
        <v>2.1269999999999998</v>
      </c>
      <c r="AZ39">
        <v>2.8340000000000001</v>
      </c>
      <c r="BA39" t="s">
        <v>420</v>
      </c>
      <c r="BB39">
        <v>1</v>
      </c>
      <c r="BC39">
        <v>0</v>
      </c>
      <c r="BD39" t="s">
        <v>446</v>
      </c>
      <c r="BE39">
        <v>0</v>
      </c>
      <c r="BF39">
        <v>0</v>
      </c>
      <c r="BG39">
        <v>0</v>
      </c>
      <c r="CK39">
        <v>2.4805000000000001</v>
      </c>
      <c r="CM39" t="s">
        <v>450</v>
      </c>
      <c r="CO39">
        <v>1.73711451726054</v>
      </c>
      <c r="CP39">
        <v>2.08</v>
      </c>
      <c r="CQ39">
        <v>1.9085572586302699</v>
      </c>
      <c r="CR39">
        <v>-0.3</v>
      </c>
      <c r="CS39">
        <v>1.6085572586302701</v>
      </c>
      <c r="CT39">
        <v>1</v>
      </c>
      <c r="CU39">
        <v>2.200867904190262E-2</v>
      </c>
      <c r="CV39">
        <v>0</v>
      </c>
    </row>
    <row r="40" spans="1:100" x14ac:dyDescent="0.25">
      <c r="A40">
        <v>566</v>
      </c>
      <c r="B40" t="s">
        <v>117</v>
      </c>
      <c r="C40" t="s">
        <v>217</v>
      </c>
      <c r="D40" t="s">
        <v>317</v>
      </c>
      <c r="E40" t="s">
        <v>403</v>
      </c>
      <c r="F40">
        <v>4145945300</v>
      </c>
      <c r="G40">
        <v>17.2758</v>
      </c>
      <c r="H40">
        <f>_xlfn.XLOOKUP(D40,[2]prices!$A$2:$A$6953,[2]prices!$E$2:$E$6953)</f>
        <v>15.738091539999999</v>
      </c>
      <c r="I40" t="s">
        <v>413</v>
      </c>
      <c r="J40">
        <v>71624521813.740005</v>
      </c>
      <c r="K40" t="s">
        <v>416</v>
      </c>
      <c r="L40">
        <v>94231734.899956703</v>
      </c>
      <c r="M40">
        <v>1</v>
      </c>
      <c r="N40">
        <v>71624521813.740005</v>
      </c>
      <c r="O40">
        <v>75311096374.5</v>
      </c>
      <c r="P40">
        <f>_xlfn.XLOOKUP(D40,[1]full_dataframe_final!$C$2:$C$101,[1]full_dataframe_final!$I$2:$I$101)</f>
        <v>1.1843714377794291E-2</v>
      </c>
      <c r="Q40">
        <f t="shared" si="0"/>
        <v>505733131995.85773</v>
      </c>
      <c r="R40">
        <f t="shared" si="1"/>
        <v>32302794745.54908</v>
      </c>
      <c r="S40">
        <f t="shared" si="2"/>
        <v>1869829168.290272</v>
      </c>
      <c r="T40">
        <f t="shared" si="3"/>
        <v>32134336664</v>
      </c>
      <c r="U40">
        <v>20103015</v>
      </c>
      <c r="V40">
        <v>2010</v>
      </c>
      <c r="W40">
        <v>1.73069234760163</v>
      </c>
      <c r="X40">
        <v>1.5</v>
      </c>
      <c r="Y40" t="s">
        <v>417</v>
      </c>
      <c r="Z40" t="s">
        <v>422</v>
      </c>
      <c r="AA40">
        <v>0</v>
      </c>
      <c r="AB40">
        <v>0</v>
      </c>
      <c r="AC40" t="s">
        <v>422</v>
      </c>
      <c r="AD40" t="s">
        <v>422</v>
      </c>
      <c r="AE40" t="s">
        <v>422</v>
      </c>
      <c r="AF40" t="s">
        <v>422</v>
      </c>
      <c r="AG40" t="s">
        <v>422</v>
      </c>
      <c r="AH40" t="s">
        <v>422</v>
      </c>
      <c r="AI40" t="s">
        <v>422</v>
      </c>
      <c r="AJ40">
        <v>0</v>
      </c>
      <c r="AK40">
        <v>0</v>
      </c>
      <c r="AL40">
        <v>0</v>
      </c>
      <c r="AN40">
        <v>0</v>
      </c>
      <c r="AO40" t="s">
        <v>424</v>
      </c>
      <c r="AQ40" t="s">
        <v>424</v>
      </c>
      <c r="AR40" t="s">
        <v>424</v>
      </c>
      <c r="AS40" t="s">
        <v>424</v>
      </c>
      <c r="AU40">
        <v>0</v>
      </c>
      <c r="AV40">
        <v>0</v>
      </c>
      <c r="AW40">
        <v>0</v>
      </c>
      <c r="AX40">
        <v>0</v>
      </c>
      <c r="AY40">
        <v>3.198</v>
      </c>
      <c r="AZ40">
        <v>2.7879999999999998</v>
      </c>
      <c r="BA40" t="s">
        <v>420</v>
      </c>
      <c r="BB40">
        <v>1</v>
      </c>
      <c r="BC40">
        <v>0</v>
      </c>
      <c r="BD40" t="s">
        <v>442</v>
      </c>
      <c r="BE40">
        <v>0</v>
      </c>
      <c r="BF40">
        <v>0</v>
      </c>
      <c r="BG40">
        <v>0</v>
      </c>
      <c r="CK40">
        <v>2.9929999999999999</v>
      </c>
      <c r="CM40" t="s">
        <v>450</v>
      </c>
      <c r="CO40">
        <v>1.73069234760163</v>
      </c>
      <c r="CP40">
        <v>1.5</v>
      </c>
      <c r="CQ40">
        <v>1.615346173800815</v>
      </c>
      <c r="CR40">
        <v>-0.3</v>
      </c>
      <c r="CS40">
        <v>1.315346173800815</v>
      </c>
      <c r="CT40">
        <v>1</v>
      </c>
      <c r="CU40">
        <v>3.003322361401085E-2</v>
      </c>
      <c r="CV40">
        <v>0</v>
      </c>
    </row>
    <row r="41" spans="1:100" x14ac:dyDescent="0.25">
      <c r="A41">
        <v>624</v>
      </c>
      <c r="B41" t="s">
        <v>184</v>
      </c>
      <c r="C41" t="s">
        <v>284</v>
      </c>
      <c r="D41" t="s">
        <v>384</v>
      </c>
      <c r="E41" t="s">
        <v>399</v>
      </c>
      <c r="F41">
        <v>107760380</v>
      </c>
      <c r="G41">
        <v>37.44</v>
      </c>
      <c r="H41">
        <f>_xlfn.XLOOKUP(D41,[2]prices!$A$2:$A$6953,[2]prices!$E$2:$E$6953)</f>
        <v>32.68</v>
      </c>
      <c r="I41" t="s">
        <v>409</v>
      </c>
      <c r="J41">
        <v>4034548627.1999998</v>
      </c>
      <c r="K41" t="s">
        <v>415</v>
      </c>
      <c r="L41">
        <v>5079226.97288136</v>
      </c>
      <c r="M41">
        <v>0.9</v>
      </c>
      <c r="N41">
        <v>3631093764.48</v>
      </c>
      <c r="O41">
        <v>3989935829.8800001</v>
      </c>
      <c r="P41">
        <f>_xlfn.XLOOKUP(D41,[1]full_dataframe_final!$C$2:$C$101,[1]full_dataframe_final!$I$2:$I$101)</f>
        <v>2.3012084142058809E-3</v>
      </c>
      <c r="Q41">
        <f t="shared" si="0"/>
        <v>98262867675.49527</v>
      </c>
      <c r="R41">
        <f t="shared" si="1"/>
        <v>6276364044.2219858</v>
      </c>
      <c r="S41">
        <f t="shared" si="2"/>
        <v>167637928.53157014</v>
      </c>
      <c r="T41">
        <f t="shared" si="3"/>
        <v>3006819696</v>
      </c>
      <c r="U41">
        <v>50203030</v>
      </c>
      <c r="V41">
        <v>5020</v>
      </c>
      <c r="W41">
        <v>1.9600431112566099</v>
      </c>
      <c r="X41">
        <v>1.77</v>
      </c>
      <c r="Y41" t="s">
        <v>419</v>
      </c>
      <c r="Z41" t="s">
        <v>422</v>
      </c>
      <c r="AA41">
        <v>0</v>
      </c>
      <c r="AB41">
        <v>0</v>
      </c>
      <c r="AC41" t="s">
        <v>422</v>
      </c>
      <c r="AD41" t="s">
        <v>422</v>
      </c>
      <c r="AE41" t="s">
        <v>422</v>
      </c>
      <c r="AF41" t="s">
        <v>422</v>
      </c>
      <c r="AG41" t="s">
        <v>422</v>
      </c>
      <c r="AH41" t="s">
        <v>422</v>
      </c>
      <c r="AI41" t="s">
        <v>422</v>
      </c>
      <c r="AJ41">
        <v>0</v>
      </c>
      <c r="AK41">
        <v>0</v>
      </c>
      <c r="AL41">
        <v>0</v>
      </c>
      <c r="AN41">
        <v>0</v>
      </c>
      <c r="AO41" t="s">
        <v>424</v>
      </c>
      <c r="AQ41" t="s">
        <v>424</v>
      </c>
      <c r="AR41" t="s">
        <v>424</v>
      </c>
      <c r="AS41" t="s">
        <v>424</v>
      </c>
      <c r="AU41">
        <v>0</v>
      </c>
      <c r="AV41">
        <v>0</v>
      </c>
      <c r="AW41">
        <v>0</v>
      </c>
      <c r="AX41">
        <v>0</v>
      </c>
      <c r="AY41">
        <v>2.7010000000000001</v>
      </c>
      <c r="AZ41">
        <v>2.9630000000000001</v>
      </c>
      <c r="BA41" t="s">
        <v>420</v>
      </c>
      <c r="BB41">
        <v>1</v>
      </c>
      <c r="BC41">
        <v>0</v>
      </c>
      <c r="BD41" t="s">
        <v>438</v>
      </c>
      <c r="BE41">
        <v>0</v>
      </c>
      <c r="BF41">
        <v>0</v>
      </c>
      <c r="BG41">
        <v>0</v>
      </c>
      <c r="CK41">
        <v>2.8319999999999999</v>
      </c>
      <c r="CM41" t="s">
        <v>450</v>
      </c>
      <c r="CO41">
        <v>1.9600431112566099</v>
      </c>
      <c r="CP41">
        <v>1.77</v>
      </c>
      <c r="CQ41">
        <v>1.865021555628305</v>
      </c>
      <c r="CR41">
        <v>-0.24</v>
      </c>
      <c r="CS41">
        <v>1.625021555628305</v>
      </c>
      <c r="CT41">
        <v>1</v>
      </c>
      <c r="CU41">
        <v>1.6172080058529049E-3</v>
      </c>
      <c r="CV41">
        <v>0</v>
      </c>
    </row>
    <row r="42" spans="1:100" x14ac:dyDescent="0.25">
      <c r="A42">
        <v>652</v>
      </c>
      <c r="B42" t="s">
        <v>97</v>
      </c>
      <c r="C42" t="s">
        <v>197</v>
      </c>
      <c r="D42" t="s">
        <v>297</v>
      </c>
      <c r="E42" t="s">
        <v>396</v>
      </c>
      <c r="F42">
        <v>500000000</v>
      </c>
      <c r="G42">
        <v>17.46</v>
      </c>
      <c r="H42">
        <f>_xlfn.XLOOKUP(D42,[2]prices!$A$2:$A$6953,[2]prices!$E$2:$E$6953)</f>
        <v>13.22</v>
      </c>
      <c r="I42" t="s">
        <v>409</v>
      </c>
      <c r="J42">
        <v>8730000000</v>
      </c>
      <c r="K42" t="s">
        <v>415</v>
      </c>
      <c r="L42">
        <v>7745434.1676984103</v>
      </c>
      <c r="M42">
        <v>0.4</v>
      </c>
      <c r="N42">
        <v>3492000000</v>
      </c>
      <c r="O42">
        <v>7856000000</v>
      </c>
      <c r="P42">
        <f>_xlfn.XLOOKUP(D42,[1]full_dataframe_final!$C$2:$C$101,[1]full_dataframe_final!$I$2:$I$101)</f>
        <v>6.8292552294557194E-3</v>
      </c>
      <c r="Q42">
        <f t="shared" si="0"/>
        <v>291612962472.92181</v>
      </c>
      <c r="R42">
        <f t="shared" si="1"/>
        <v>18626253800.554745</v>
      </c>
      <c r="S42">
        <f t="shared" si="2"/>
        <v>1066795750.3181411</v>
      </c>
      <c r="T42">
        <f t="shared" si="3"/>
        <v>22058469173</v>
      </c>
      <c r="U42">
        <v>50206040</v>
      </c>
      <c r="V42">
        <v>5020</v>
      </c>
      <c r="W42">
        <v>3.3134401307561698</v>
      </c>
      <c r="Y42" t="s">
        <v>417</v>
      </c>
      <c r="Z42" t="s">
        <v>422</v>
      </c>
      <c r="AA42">
        <v>0</v>
      </c>
      <c r="AB42">
        <v>0</v>
      </c>
      <c r="AC42" t="s">
        <v>422</v>
      </c>
      <c r="AD42" t="s">
        <v>422</v>
      </c>
      <c r="AE42" t="s">
        <v>422</v>
      </c>
      <c r="AF42" t="s">
        <v>422</v>
      </c>
      <c r="AG42" t="s">
        <v>422</v>
      </c>
      <c r="AH42" t="s">
        <v>422</v>
      </c>
      <c r="AI42" t="s">
        <v>422</v>
      </c>
      <c r="AJ42">
        <v>0</v>
      </c>
      <c r="AK42">
        <v>0</v>
      </c>
      <c r="AL42">
        <v>0</v>
      </c>
      <c r="AN42">
        <v>0</v>
      </c>
      <c r="AO42" t="s">
        <v>424</v>
      </c>
      <c r="AQ42" t="s">
        <v>424</v>
      </c>
      <c r="AR42" t="s">
        <v>424</v>
      </c>
      <c r="AS42" t="s">
        <v>424</v>
      </c>
      <c r="AU42">
        <v>0</v>
      </c>
      <c r="AV42">
        <v>0</v>
      </c>
      <c r="AW42">
        <v>0</v>
      </c>
      <c r="AX42">
        <v>0</v>
      </c>
      <c r="AY42">
        <v>2.0499999999999998</v>
      </c>
      <c r="AZ42">
        <v>3.117</v>
      </c>
      <c r="BA42" t="s">
        <v>427</v>
      </c>
      <c r="BB42">
        <v>1</v>
      </c>
      <c r="BC42">
        <v>1</v>
      </c>
      <c r="BD42" t="s">
        <v>435</v>
      </c>
      <c r="BE42">
        <v>0</v>
      </c>
      <c r="BF42">
        <v>0</v>
      </c>
      <c r="BG42">
        <v>0</v>
      </c>
      <c r="CK42">
        <v>2.5834999999999999</v>
      </c>
      <c r="CM42" t="s">
        <v>450</v>
      </c>
      <c r="CO42">
        <v>3.3134401307561698</v>
      </c>
      <c r="CP42">
        <v>3.1</v>
      </c>
      <c r="CQ42">
        <v>3.206720065378085</v>
      </c>
      <c r="CR42">
        <v>-0.3</v>
      </c>
      <c r="CS42">
        <v>2.9067200653780851</v>
      </c>
      <c r="CT42">
        <v>0</v>
      </c>
      <c r="CU42">
        <v>5.993054515558538E-3</v>
      </c>
      <c r="CV42">
        <v>0</v>
      </c>
    </row>
    <row r="43" spans="1:100" x14ac:dyDescent="0.25">
      <c r="A43">
        <v>660</v>
      </c>
      <c r="B43" t="s">
        <v>143</v>
      </c>
      <c r="C43" t="s">
        <v>243</v>
      </c>
      <c r="D43" t="s">
        <v>343</v>
      </c>
      <c r="E43" t="s">
        <v>403</v>
      </c>
      <c r="F43">
        <v>290636470</v>
      </c>
      <c r="G43">
        <v>28.9421</v>
      </c>
      <c r="H43">
        <f>_xlfn.XLOOKUP(D43,[2]prices!$A$2:$A$6953,[2]prices!$E$2:$E$6953)</f>
        <v>21.23356184</v>
      </c>
      <c r="I43" t="s">
        <v>413</v>
      </c>
      <c r="J43">
        <v>8411629778.3870001</v>
      </c>
      <c r="K43" t="s">
        <v>416</v>
      </c>
      <c r="L43">
        <v>15022768.651234301</v>
      </c>
      <c r="M43">
        <v>1</v>
      </c>
      <c r="N43">
        <v>8411629778.3870001</v>
      </c>
      <c r="O43">
        <v>11416200541.6</v>
      </c>
      <c r="P43">
        <f>_xlfn.XLOOKUP(D43,[1]full_dataframe_final!$C$2:$C$101,[1]full_dataframe_final!$I$2:$I$101)</f>
        <v>1.120173390549562E-3</v>
      </c>
      <c r="Q43">
        <f t="shared" si="0"/>
        <v>47832021197.943871</v>
      </c>
      <c r="R43">
        <f t="shared" si="1"/>
        <v>3055184375.4515748</v>
      </c>
      <c r="S43">
        <f t="shared" si="2"/>
        <v>105561945.24417976</v>
      </c>
      <c r="T43">
        <f t="shared" si="3"/>
        <v>2252661214</v>
      </c>
      <c r="U43">
        <v>30202010</v>
      </c>
      <c r="V43">
        <v>3020</v>
      </c>
      <c r="W43">
        <v>1.9965141737727501</v>
      </c>
      <c r="Y43" t="s">
        <v>419</v>
      </c>
      <c r="Z43" t="s">
        <v>422</v>
      </c>
      <c r="AA43">
        <v>0</v>
      </c>
      <c r="AB43">
        <v>0</v>
      </c>
      <c r="AC43" t="s">
        <v>422</v>
      </c>
      <c r="AD43" t="s">
        <v>422</v>
      </c>
      <c r="AE43" t="s">
        <v>422</v>
      </c>
      <c r="AF43" t="s">
        <v>422</v>
      </c>
      <c r="AG43" t="s">
        <v>422</v>
      </c>
      <c r="AH43" t="s">
        <v>422</v>
      </c>
      <c r="AI43" t="s">
        <v>422</v>
      </c>
      <c r="AJ43">
        <v>0</v>
      </c>
      <c r="AK43">
        <v>0</v>
      </c>
      <c r="AL43">
        <v>0</v>
      </c>
      <c r="AN43">
        <v>0</v>
      </c>
      <c r="AO43" t="s">
        <v>424</v>
      </c>
      <c r="AQ43" t="s">
        <v>424</v>
      </c>
      <c r="AR43" t="s">
        <v>424</v>
      </c>
      <c r="AS43" t="s">
        <v>424</v>
      </c>
      <c r="AU43">
        <v>0</v>
      </c>
      <c r="AV43">
        <v>0</v>
      </c>
      <c r="AW43">
        <v>0</v>
      </c>
      <c r="AX43">
        <v>0</v>
      </c>
      <c r="AY43">
        <v>2.117</v>
      </c>
      <c r="AZ43">
        <v>2.9159999999999999</v>
      </c>
      <c r="BA43" t="s">
        <v>430</v>
      </c>
      <c r="BB43">
        <v>0</v>
      </c>
      <c r="BC43">
        <v>0</v>
      </c>
      <c r="BD43" t="s">
        <v>442</v>
      </c>
      <c r="BE43">
        <v>0</v>
      </c>
      <c r="BF43">
        <v>0</v>
      </c>
      <c r="BG43">
        <v>0</v>
      </c>
      <c r="CK43">
        <v>2.5165000000000002</v>
      </c>
      <c r="CM43" t="s">
        <v>450</v>
      </c>
      <c r="CO43">
        <v>1.9965141737727501</v>
      </c>
      <c r="CP43">
        <v>3.1</v>
      </c>
      <c r="CQ43">
        <v>2.548257086886375</v>
      </c>
      <c r="CR43">
        <v>-0.24</v>
      </c>
      <c r="CS43">
        <v>2.3082570868863752</v>
      </c>
      <c r="CT43">
        <v>0</v>
      </c>
      <c r="CU43">
        <v>4.7741854707780548E-3</v>
      </c>
      <c r="CV43">
        <v>0</v>
      </c>
    </row>
    <row r="44" spans="1:100" x14ac:dyDescent="0.25">
      <c r="A44">
        <v>665</v>
      </c>
      <c r="B44" t="s">
        <v>129</v>
      </c>
      <c r="C44" t="s">
        <v>229</v>
      </c>
      <c r="D44" t="s">
        <v>329</v>
      </c>
      <c r="E44" t="s">
        <v>404</v>
      </c>
      <c r="F44">
        <v>17803670501</v>
      </c>
      <c r="G44">
        <v>4.5205000000000002</v>
      </c>
      <c r="H44">
        <f>_xlfn.XLOOKUP(D44,[2]prices!$A$2:$A$6953,[2]prices!$E$2:$E$6953)</f>
        <v>4.3559999999999999</v>
      </c>
      <c r="I44" t="s">
        <v>409</v>
      </c>
      <c r="J44">
        <v>80481492499.770508</v>
      </c>
      <c r="K44" t="s">
        <v>415</v>
      </c>
      <c r="L44">
        <v>260212884.25246701</v>
      </c>
      <c r="M44">
        <v>0.9</v>
      </c>
      <c r="N44">
        <v>72433343249.793457</v>
      </c>
      <c r="O44">
        <v>629395359551.35205</v>
      </c>
      <c r="P44">
        <f>_xlfn.XLOOKUP(D44,[1]full_dataframe_final!$C$2:$C$101,[1]full_dataframe_final!$I$2:$I$101)</f>
        <v>1.266928830252698E-2</v>
      </c>
      <c r="Q44">
        <f t="shared" si="0"/>
        <v>540985593624.95453</v>
      </c>
      <c r="R44">
        <f t="shared" si="1"/>
        <v>34554482365.432732</v>
      </c>
      <c r="S44">
        <f t="shared" si="2"/>
        <v>7643951413.6561728</v>
      </c>
      <c r="T44">
        <f t="shared" si="3"/>
        <v>124193203311</v>
      </c>
      <c r="U44">
        <v>30101010</v>
      </c>
      <c r="V44">
        <v>3010</v>
      </c>
      <c r="W44">
        <v>1.99846386909479</v>
      </c>
      <c r="X44">
        <v>2.39</v>
      </c>
      <c r="Y44" t="s">
        <v>417</v>
      </c>
      <c r="Z44" t="s">
        <v>422</v>
      </c>
      <c r="AA44">
        <v>0</v>
      </c>
      <c r="AB44">
        <v>0</v>
      </c>
      <c r="AC44" t="s">
        <v>422</v>
      </c>
      <c r="AD44" t="s">
        <v>422</v>
      </c>
      <c r="AE44" t="s">
        <v>422</v>
      </c>
      <c r="AF44" t="s">
        <v>422</v>
      </c>
      <c r="AG44" t="s">
        <v>422</v>
      </c>
      <c r="AH44" t="s">
        <v>422</v>
      </c>
      <c r="AI44" t="s">
        <v>422</v>
      </c>
      <c r="AJ44">
        <v>0</v>
      </c>
      <c r="AK44">
        <v>0</v>
      </c>
      <c r="AL44">
        <v>0</v>
      </c>
      <c r="AN44">
        <v>0</v>
      </c>
      <c r="AO44" t="s">
        <v>424</v>
      </c>
      <c r="AQ44" t="s">
        <v>424</v>
      </c>
      <c r="AR44" t="s">
        <v>424</v>
      </c>
      <c r="AS44" t="s">
        <v>424</v>
      </c>
      <c r="AU44">
        <v>0</v>
      </c>
      <c r="AV44">
        <v>0</v>
      </c>
      <c r="AW44">
        <v>0</v>
      </c>
      <c r="AX44">
        <v>0</v>
      </c>
      <c r="AY44">
        <v>2.444</v>
      </c>
      <c r="AZ44">
        <v>3.077</v>
      </c>
      <c r="BA44" t="s">
        <v>430</v>
      </c>
      <c r="BB44">
        <v>0</v>
      </c>
      <c r="BC44">
        <v>0</v>
      </c>
      <c r="BD44" t="s">
        <v>443</v>
      </c>
      <c r="BE44">
        <v>0</v>
      </c>
      <c r="BF44">
        <v>0</v>
      </c>
      <c r="BG44">
        <v>0</v>
      </c>
      <c r="CK44">
        <v>2.7605</v>
      </c>
      <c r="CM44" t="s">
        <v>450</v>
      </c>
      <c r="CO44">
        <v>1.99846386909479</v>
      </c>
      <c r="CP44">
        <v>2.39</v>
      </c>
      <c r="CQ44">
        <v>2.1942319345473948</v>
      </c>
      <c r="CR44">
        <v>-0.3</v>
      </c>
      <c r="CS44">
        <v>1.894231934547395</v>
      </c>
      <c r="CT44">
        <v>0</v>
      </c>
      <c r="CU44">
        <v>9.2803613173642135E-2</v>
      </c>
      <c r="CV44">
        <v>0</v>
      </c>
    </row>
    <row r="45" spans="1:100" x14ac:dyDescent="0.25">
      <c r="A45">
        <v>689</v>
      </c>
      <c r="B45" t="s">
        <v>176</v>
      </c>
      <c r="C45" t="s">
        <v>276</v>
      </c>
      <c r="D45" t="s">
        <v>376</v>
      </c>
      <c r="E45" t="s">
        <v>408</v>
      </c>
      <c r="F45">
        <v>629293220</v>
      </c>
      <c r="G45">
        <v>19.98</v>
      </c>
      <c r="H45">
        <f>_xlfn.XLOOKUP(D45,[2]prices!$A$2:$A$6953,[2]prices!$E$2:$E$6953)</f>
        <v>20.46</v>
      </c>
      <c r="I45" t="s">
        <v>409</v>
      </c>
      <c r="J45">
        <v>12573278535.6</v>
      </c>
      <c r="K45" t="s">
        <v>415</v>
      </c>
      <c r="L45">
        <v>10766081.2461905</v>
      </c>
      <c r="M45">
        <v>0.45</v>
      </c>
      <c r="N45">
        <v>5657975341.0200005</v>
      </c>
      <c r="O45">
        <v>11123386956.719999</v>
      </c>
      <c r="P45">
        <f>_xlfn.XLOOKUP(D45,[1]full_dataframe_final!$C$2:$C$101,[1]full_dataframe_final!$I$2:$I$101)</f>
        <v>4.2067187544325702E-3</v>
      </c>
      <c r="Q45">
        <f t="shared" si="0"/>
        <v>179629209489.69278</v>
      </c>
      <c r="R45">
        <f t="shared" si="1"/>
        <v>11473492870.738611</v>
      </c>
      <c r="S45">
        <f t="shared" si="2"/>
        <v>574248892.42935991</v>
      </c>
      <c r="T45">
        <f t="shared" si="3"/>
        <v>8779531255</v>
      </c>
      <c r="U45">
        <v>45201010</v>
      </c>
      <c r="V45">
        <v>4520</v>
      </c>
      <c r="W45">
        <v>1.7406384718850201</v>
      </c>
      <c r="X45">
        <v>1.5</v>
      </c>
      <c r="Y45" t="s">
        <v>417</v>
      </c>
      <c r="Z45" t="s">
        <v>422</v>
      </c>
      <c r="AA45">
        <v>0</v>
      </c>
      <c r="AB45">
        <v>0.05</v>
      </c>
      <c r="AC45" t="s">
        <v>422</v>
      </c>
      <c r="AD45" t="s">
        <v>422</v>
      </c>
      <c r="AE45" t="s">
        <v>422</v>
      </c>
      <c r="AF45" t="s">
        <v>422</v>
      </c>
      <c r="AG45" t="s">
        <v>422</v>
      </c>
      <c r="AH45" t="s">
        <v>422</v>
      </c>
      <c r="AI45" t="s">
        <v>422</v>
      </c>
      <c r="AJ45">
        <v>0</v>
      </c>
      <c r="AK45">
        <v>0</v>
      </c>
      <c r="AL45">
        <v>0</v>
      </c>
      <c r="AN45">
        <v>0</v>
      </c>
      <c r="AO45" t="s">
        <v>424</v>
      </c>
      <c r="AQ45" t="s">
        <v>424</v>
      </c>
      <c r="AR45" t="s">
        <v>424</v>
      </c>
      <c r="AS45" t="s">
        <v>424</v>
      </c>
      <c r="AU45">
        <v>0</v>
      </c>
      <c r="AV45">
        <v>0</v>
      </c>
      <c r="AW45">
        <v>0</v>
      </c>
      <c r="AX45">
        <v>0</v>
      </c>
      <c r="AY45">
        <v>2.72</v>
      </c>
      <c r="AZ45">
        <v>2.5680000000000001</v>
      </c>
      <c r="BA45" t="s">
        <v>431</v>
      </c>
      <c r="BB45">
        <v>1</v>
      </c>
      <c r="BC45">
        <v>0</v>
      </c>
      <c r="BD45" t="s">
        <v>449</v>
      </c>
      <c r="BE45">
        <v>0</v>
      </c>
      <c r="BF45">
        <v>0</v>
      </c>
      <c r="BG45">
        <v>0</v>
      </c>
      <c r="CK45">
        <v>2.6440000000000001</v>
      </c>
      <c r="CM45" t="s">
        <v>450</v>
      </c>
      <c r="CO45">
        <v>1.7406384718850201</v>
      </c>
      <c r="CP45">
        <v>1.5</v>
      </c>
      <c r="CQ45">
        <v>1.62031923594251</v>
      </c>
      <c r="CR45">
        <v>-0.3</v>
      </c>
      <c r="CS45">
        <v>1.32031923594251</v>
      </c>
      <c r="CT45">
        <v>1</v>
      </c>
      <c r="CU45">
        <v>3.490321876777629E-3</v>
      </c>
      <c r="CV45">
        <v>0</v>
      </c>
    </row>
    <row r="46" spans="1:100" x14ac:dyDescent="0.25">
      <c r="A46">
        <v>712</v>
      </c>
      <c r="B46" t="s">
        <v>139</v>
      </c>
      <c r="C46" t="s">
        <v>239</v>
      </c>
      <c r="D46" t="s">
        <v>339</v>
      </c>
      <c r="E46" t="s">
        <v>406</v>
      </c>
      <c r="F46">
        <v>206001790</v>
      </c>
      <c r="G46">
        <v>62.627630000000003</v>
      </c>
      <c r="H46">
        <f>_xlfn.XLOOKUP(D46,[2]prices!$A$2:$A$6953,[2]prices!$E$2:$E$6953)</f>
        <v>53.80628450999999</v>
      </c>
      <c r="I46" t="s">
        <v>414</v>
      </c>
      <c r="J46">
        <v>12901403883.457701</v>
      </c>
      <c r="K46" t="s">
        <v>416</v>
      </c>
      <c r="L46">
        <v>34741508.719351202</v>
      </c>
      <c r="M46">
        <v>1</v>
      </c>
      <c r="N46">
        <v>12901403883.457701</v>
      </c>
      <c r="O46">
        <v>8091750311.1999998</v>
      </c>
      <c r="P46">
        <f>_xlfn.XLOOKUP(D46,[1]full_dataframe_final!$C$2:$C$101,[1]full_dataframe_final!$I$2:$I$101)</f>
        <v>2.0119458521192812E-3</v>
      </c>
      <c r="Q46">
        <f t="shared" si="0"/>
        <v>85911196837.54599</v>
      </c>
      <c r="R46">
        <f t="shared" si="1"/>
        <v>5487423271.7077427</v>
      </c>
      <c r="S46">
        <f t="shared" si="2"/>
        <v>87619845.612994492</v>
      </c>
      <c r="T46">
        <f t="shared" si="3"/>
        <v>1596675883</v>
      </c>
      <c r="U46">
        <v>30202010</v>
      </c>
      <c r="V46">
        <v>3020</v>
      </c>
      <c r="W46">
        <v>1.9981674720073901</v>
      </c>
      <c r="X46">
        <v>2.7</v>
      </c>
      <c r="Y46" t="s">
        <v>418</v>
      </c>
      <c r="Z46" t="s">
        <v>422</v>
      </c>
      <c r="AA46">
        <v>0</v>
      </c>
      <c r="AB46">
        <v>0</v>
      </c>
      <c r="AC46" t="s">
        <v>422</v>
      </c>
      <c r="AD46" t="s">
        <v>422</v>
      </c>
      <c r="AE46" t="s">
        <v>422</v>
      </c>
      <c r="AF46" t="s">
        <v>422</v>
      </c>
      <c r="AG46" t="s">
        <v>422</v>
      </c>
      <c r="AH46" t="s">
        <v>422</v>
      </c>
      <c r="AI46" t="s">
        <v>422</v>
      </c>
      <c r="AJ46">
        <v>0</v>
      </c>
      <c r="AK46">
        <v>0</v>
      </c>
      <c r="AL46">
        <v>0</v>
      </c>
      <c r="AN46">
        <v>0</v>
      </c>
      <c r="AO46" t="s">
        <v>424</v>
      </c>
      <c r="AQ46" t="s">
        <v>424</v>
      </c>
      <c r="AR46" t="s">
        <v>424</v>
      </c>
      <c r="AS46" t="s">
        <v>424</v>
      </c>
      <c r="AU46">
        <v>0</v>
      </c>
      <c r="AV46">
        <v>0</v>
      </c>
      <c r="AW46">
        <v>0</v>
      </c>
      <c r="AX46">
        <v>0</v>
      </c>
      <c r="AY46">
        <v>2.1840000000000002</v>
      </c>
      <c r="AZ46">
        <v>2.6669999999999998</v>
      </c>
      <c r="BA46" t="s">
        <v>430</v>
      </c>
      <c r="BB46">
        <v>0</v>
      </c>
      <c r="BC46">
        <v>0</v>
      </c>
      <c r="BD46" t="s">
        <v>446</v>
      </c>
      <c r="BE46">
        <v>0</v>
      </c>
      <c r="BF46">
        <v>0</v>
      </c>
      <c r="BG46">
        <v>0</v>
      </c>
      <c r="CK46">
        <v>2.4255</v>
      </c>
      <c r="CM46" t="s">
        <v>450</v>
      </c>
      <c r="CO46">
        <v>1.9981674720073901</v>
      </c>
      <c r="CP46">
        <v>2.7</v>
      </c>
      <c r="CQ46">
        <v>2.3490837360036951</v>
      </c>
      <c r="CR46">
        <v>-0.18</v>
      </c>
      <c r="CS46">
        <v>2.169083736003695</v>
      </c>
      <c r="CT46">
        <v>0</v>
      </c>
      <c r="CU46">
        <v>1.0611952518894701E-2</v>
      </c>
      <c r="CV46">
        <v>0</v>
      </c>
    </row>
    <row r="47" spans="1:100" x14ac:dyDescent="0.25">
      <c r="A47">
        <v>723</v>
      </c>
      <c r="B47" t="s">
        <v>130</v>
      </c>
      <c r="C47" t="s">
        <v>230</v>
      </c>
      <c r="D47" t="s">
        <v>330</v>
      </c>
      <c r="E47" t="s">
        <v>407</v>
      </c>
      <c r="F47">
        <v>417544151</v>
      </c>
      <c r="G47">
        <v>81.3</v>
      </c>
      <c r="H47">
        <f>_xlfn.XLOOKUP(D47,[2]prices!$A$2:$A$6953,[2]prices!$E$2:$E$6953)</f>
        <v>80.42</v>
      </c>
      <c r="I47" t="s">
        <v>409</v>
      </c>
      <c r="J47">
        <v>33946339476.299999</v>
      </c>
      <c r="K47" t="s">
        <v>415</v>
      </c>
      <c r="L47">
        <v>34500356.415872999</v>
      </c>
      <c r="M47">
        <v>0.55000000000000004</v>
      </c>
      <c r="N47">
        <v>18670486711.965</v>
      </c>
      <c r="O47">
        <v>9020623838.2040005</v>
      </c>
      <c r="P47">
        <f>_xlfn.XLOOKUP(D47,[1]full_dataframe_final!$C$2:$C$101,[1]full_dataframe_final!$I$2:$I$101)</f>
        <v>3.3522890092610338E-3</v>
      </c>
      <c r="Q47">
        <f t="shared" si="0"/>
        <v>143144588422.99512</v>
      </c>
      <c r="R47">
        <f t="shared" si="1"/>
        <v>9143103281.5979042</v>
      </c>
      <c r="S47">
        <f t="shared" si="2"/>
        <v>112461294.97660398</v>
      </c>
      <c r="T47">
        <f t="shared" si="3"/>
        <v>1779962551</v>
      </c>
      <c r="U47">
        <v>30101010</v>
      </c>
      <c r="V47">
        <v>3010</v>
      </c>
      <c r="W47">
        <v>2.89333333333333</v>
      </c>
      <c r="X47">
        <v>1.5</v>
      </c>
      <c r="Y47" t="s">
        <v>417</v>
      </c>
      <c r="Z47" t="s">
        <v>422</v>
      </c>
      <c r="AA47">
        <v>0</v>
      </c>
      <c r="AB47">
        <v>0</v>
      </c>
      <c r="AC47" t="s">
        <v>422</v>
      </c>
      <c r="AD47" t="s">
        <v>422</v>
      </c>
      <c r="AE47" t="s">
        <v>422</v>
      </c>
      <c r="AF47" t="s">
        <v>422</v>
      </c>
      <c r="AG47" t="s">
        <v>422</v>
      </c>
      <c r="AH47" t="s">
        <v>422</v>
      </c>
      <c r="AI47" t="s">
        <v>422</v>
      </c>
      <c r="AJ47">
        <v>0</v>
      </c>
      <c r="AK47">
        <v>0</v>
      </c>
      <c r="AL47">
        <v>0</v>
      </c>
      <c r="AN47">
        <v>0</v>
      </c>
      <c r="AO47" t="s">
        <v>424</v>
      </c>
      <c r="AQ47" t="s">
        <v>424</v>
      </c>
      <c r="AR47" t="s">
        <v>424</v>
      </c>
      <c r="AS47" t="s">
        <v>424</v>
      </c>
      <c r="AU47">
        <v>0</v>
      </c>
      <c r="AV47">
        <v>0</v>
      </c>
      <c r="AW47">
        <v>0</v>
      </c>
      <c r="AX47">
        <v>0</v>
      </c>
      <c r="AY47">
        <v>2.3780000000000001</v>
      </c>
      <c r="AZ47">
        <v>2.879</v>
      </c>
      <c r="BA47" t="s">
        <v>430</v>
      </c>
      <c r="BB47">
        <v>0</v>
      </c>
      <c r="BC47">
        <v>0</v>
      </c>
      <c r="BD47" t="s">
        <v>447</v>
      </c>
      <c r="BE47">
        <v>0</v>
      </c>
      <c r="BF47">
        <v>0</v>
      </c>
      <c r="BG47">
        <v>0</v>
      </c>
      <c r="CK47">
        <v>2.6284999999999998</v>
      </c>
      <c r="CM47" t="s">
        <v>450</v>
      </c>
      <c r="CO47">
        <v>2.89333333333333</v>
      </c>
      <c r="CP47">
        <v>1.5</v>
      </c>
      <c r="CQ47">
        <v>2.196666666666665</v>
      </c>
      <c r="CR47">
        <v>-0.3</v>
      </c>
      <c r="CS47">
        <v>1.8966666666666649</v>
      </c>
      <c r="CT47">
        <v>0</v>
      </c>
      <c r="CU47">
        <v>1.0561360025438889E-2</v>
      </c>
      <c r="CV47">
        <v>0</v>
      </c>
    </row>
    <row r="48" spans="1:100" x14ac:dyDescent="0.25">
      <c r="A48">
        <v>747</v>
      </c>
      <c r="B48" t="s">
        <v>165</v>
      </c>
      <c r="C48" t="s">
        <v>265</v>
      </c>
      <c r="D48" t="s">
        <v>365</v>
      </c>
      <c r="E48" t="s">
        <v>403</v>
      </c>
      <c r="F48">
        <v>1788668100</v>
      </c>
      <c r="G48">
        <v>2.9667460000000001</v>
      </c>
      <c r="H48">
        <f>_xlfn.XLOOKUP(D48,[2]prices!$A$2:$A$6953,[2]prices!$E$2:$E$6953)</f>
        <v>3.1195563320000002</v>
      </c>
      <c r="I48" t="s">
        <v>413</v>
      </c>
      <c r="J48">
        <v>5306523931.0025997</v>
      </c>
      <c r="K48" t="s">
        <v>416</v>
      </c>
      <c r="L48">
        <v>14671962.5543341</v>
      </c>
      <c r="M48">
        <v>0.85</v>
      </c>
      <c r="N48">
        <v>4510545341.35221</v>
      </c>
      <c r="O48">
        <v>59720050522.800003</v>
      </c>
      <c r="P48">
        <f>_xlfn.XLOOKUP(D48,[1]full_dataframe_final!$C$2:$C$101,[1]full_dataframe_final!$I$2:$I$101)</f>
        <v>3.443608741401961E-3</v>
      </c>
      <c r="Q48">
        <f t="shared" si="0"/>
        <v>147043991319.3739</v>
      </c>
      <c r="R48">
        <f t="shared" si="1"/>
        <v>9392170632.3858967</v>
      </c>
      <c r="S48">
        <f t="shared" si="2"/>
        <v>3165815554.2759295</v>
      </c>
      <c r="T48">
        <f t="shared" si="3"/>
        <v>47136187223</v>
      </c>
      <c r="U48">
        <v>40401025</v>
      </c>
      <c r="V48">
        <v>4040</v>
      </c>
      <c r="W48">
        <v>1.99679915892727</v>
      </c>
      <c r="X48">
        <v>1.5</v>
      </c>
      <c r="Y48" t="s">
        <v>419</v>
      </c>
      <c r="Z48" t="s">
        <v>422</v>
      </c>
      <c r="AA48">
        <v>0</v>
      </c>
      <c r="AB48">
        <v>0</v>
      </c>
      <c r="AC48" t="s">
        <v>422</v>
      </c>
      <c r="AD48" t="s">
        <v>422</v>
      </c>
      <c r="AE48" t="s">
        <v>422</v>
      </c>
      <c r="AF48" t="s">
        <v>422</v>
      </c>
      <c r="AG48" t="s">
        <v>422</v>
      </c>
      <c r="AH48" t="s">
        <v>422</v>
      </c>
      <c r="AI48" t="s">
        <v>422</v>
      </c>
      <c r="AJ48">
        <v>0</v>
      </c>
      <c r="AK48">
        <v>0</v>
      </c>
      <c r="AL48">
        <v>0</v>
      </c>
      <c r="AN48">
        <v>0</v>
      </c>
      <c r="AO48" t="s">
        <v>424</v>
      </c>
      <c r="AQ48" t="s">
        <v>424</v>
      </c>
      <c r="AR48" t="s">
        <v>424</v>
      </c>
      <c r="AS48" t="s">
        <v>424</v>
      </c>
      <c r="AU48">
        <v>0</v>
      </c>
      <c r="AV48">
        <v>0</v>
      </c>
      <c r="AW48">
        <v>0</v>
      </c>
      <c r="AX48">
        <v>0</v>
      </c>
      <c r="AY48">
        <v>2.3319999999999999</v>
      </c>
      <c r="AZ48">
        <v>3.3580000000000001</v>
      </c>
      <c r="BA48" t="s">
        <v>431</v>
      </c>
      <c r="BB48">
        <v>1</v>
      </c>
      <c r="BC48">
        <v>0</v>
      </c>
      <c r="BD48" t="s">
        <v>442</v>
      </c>
      <c r="BE48">
        <v>0</v>
      </c>
      <c r="BF48">
        <v>0</v>
      </c>
      <c r="BG48">
        <v>0</v>
      </c>
      <c r="CK48">
        <v>2.8450000000000002</v>
      </c>
      <c r="CM48" t="s">
        <v>450</v>
      </c>
      <c r="CO48">
        <v>1.99679915892727</v>
      </c>
      <c r="CP48">
        <v>1.5</v>
      </c>
      <c r="CQ48">
        <v>1.7483995794636349</v>
      </c>
      <c r="CR48">
        <v>-0.24</v>
      </c>
      <c r="CS48">
        <v>1.5083995794636349</v>
      </c>
      <c r="CT48">
        <v>1</v>
      </c>
      <c r="CU48">
        <v>5.8001667440335161E-3</v>
      </c>
      <c r="CV48">
        <v>0</v>
      </c>
    </row>
    <row r="49" spans="1:100" x14ac:dyDescent="0.25">
      <c r="A49">
        <v>748</v>
      </c>
      <c r="B49" t="s">
        <v>98</v>
      </c>
      <c r="C49" t="s">
        <v>198</v>
      </c>
      <c r="D49" t="s">
        <v>298</v>
      </c>
      <c r="E49" t="s">
        <v>397</v>
      </c>
      <c r="F49">
        <v>181964859</v>
      </c>
      <c r="G49">
        <v>75.5</v>
      </c>
      <c r="H49">
        <f>_xlfn.XLOOKUP(D49,[2]prices!$A$2:$A$6953,[2]prices!$E$2:$E$6953)</f>
        <v>74.400000000000006</v>
      </c>
      <c r="I49" t="s">
        <v>409</v>
      </c>
      <c r="J49">
        <v>13738346854.5</v>
      </c>
      <c r="K49" t="s">
        <v>415</v>
      </c>
      <c r="L49">
        <v>27712783.5906079</v>
      </c>
      <c r="M49">
        <v>0.85000000000000009</v>
      </c>
      <c r="N49">
        <v>11677594826.325001</v>
      </c>
      <c r="O49">
        <v>6075442712.2920008</v>
      </c>
      <c r="P49">
        <f>_xlfn.XLOOKUP(D49,[1]full_dataframe_final!$C$2:$C$101,[1]full_dataframe_final!$I$2:$I$101)</f>
        <v>3.5714285714285878E-3</v>
      </c>
      <c r="Q49">
        <f t="shared" si="0"/>
        <v>152501968513.73636</v>
      </c>
      <c r="R49">
        <f t="shared" si="1"/>
        <v>9740789114.9037132</v>
      </c>
      <c r="S49">
        <f t="shared" si="2"/>
        <v>129017074.3695856</v>
      </c>
      <c r="T49">
        <f t="shared" si="3"/>
        <v>2049757641</v>
      </c>
      <c r="U49">
        <v>50101035</v>
      </c>
      <c r="V49">
        <v>5010</v>
      </c>
      <c r="W49">
        <v>1.9783311772679499</v>
      </c>
      <c r="X49">
        <v>3.1</v>
      </c>
      <c r="Y49" t="s">
        <v>417</v>
      </c>
      <c r="Z49" t="s">
        <v>422</v>
      </c>
      <c r="AA49">
        <v>0</v>
      </c>
      <c r="AB49">
        <v>0</v>
      </c>
      <c r="AC49" t="s">
        <v>422</v>
      </c>
      <c r="AD49" t="s">
        <v>422</v>
      </c>
      <c r="AE49" t="s">
        <v>422</v>
      </c>
      <c r="AF49" t="s">
        <v>422</v>
      </c>
      <c r="AG49" t="s">
        <v>422</v>
      </c>
      <c r="AH49" t="s">
        <v>422</v>
      </c>
      <c r="AI49" t="s">
        <v>422</v>
      </c>
      <c r="AJ49">
        <v>0</v>
      </c>
      <c r="AK49">
        <v>0</v>
      </c>
      <c r="AL49">
        <v>0</v>
      </c>
      <c r="AN49">
        <v>0</v>
      </c>
      <c r="AO49" t="s">
        <v>424</v>
      </c>
      <c r="AQ49" t="s">
        <v>424</v>
      </c>
      <c r="AR49" t="s">
        <v>424</v>
      </c>
      <c r="AS49" t="s">
        <v>424</v>
      </c>
      <c r="AU49">
        <v>0</v>
      </c>
      <c r="AV49">
        <v>0</v>
      </c>
      <c r="AW49">
        <v>0</v>
      </c>
      <c r="AX49">
        <v>0</v>
      </c>
      <c r="AY49">
        <v>2.1080000000000001</v>
      </c>
      <c r="AZ49">
        <v>2.617</v>
      </c>
      <c r="BA49" t="s">
        <v>420</v>
      </c>
      <c r="BB49">
        <v>1</v>
      </c>
      <c r="BC49">
        <v>1</v>
      </c>
      <c r="BD49" t="s">
        <v>436</v>
      </c>
      <c r="BE49">
        <v>0</v>
      </c>
      <c r="BF49">
        <v>0</v>
      </c>
      <c r="BG49">
        <v>0</v>
      </c>
      <c r="CK49">
        <v>2.3624999999999998</v>
      </c>
      <c r="CM49" t="s">
        <v>450</v>
      </c>
      <c r="CO49">
        <v>1.9783311772679499</v>
      </c>
      <c r="CP49">
        <v>3.1</v>
      </c>
      <c r="CQ49">
        <v>2.539165588633975</v>
      </c>
      <c r="CR49">
        <v>-0.3</v>
      </c>
      <c r="CS49">
        <v>2.2391655886339752</v>
      </c>
      <c r="CT49">
        <v>0</v>
      </c>
      <c r="CU49">
        <v>2.0926867887095201E-2</v>
      </c>
      <c r="CV49">
        <v>0</v>
      </c>
    </row>
    <row r="50" spans="1:100" x14ac:dyDescent="0.25">
      <c r="A50">
        <v>755</v>
      </c>
      <c r="B50" t="s">
        <v>99</v>
      </c>
      <c r="C50" t="s">
        <v>199</v>
      </c>
      <c r="D50" t="s">
        <v>299</v>
      </c>
      <c r="E50" t="s">
        <v>398</v>
      </c>
      <c r="F50">
        <v>161200000</v>
      </c>
      <c r="G50">
        <v>82.2</v>
      </c>
      <c r="H50">
        <f>_xlfn.XLOOKUP(D50,[2]prices!$A$2:$A$6953,[2]prices!$E$2:$E$6953)</f>
        <v>81.25</v>
      </c>
      <c r="I50" t="s">
        <v>409</v>
      </c>
      <c r="J50">
        <v>13250640000</v>
      </c>
      <c r="K50" t="s">
        <v>415</v>
      </c>
      <c r="L50">
        <v>9423306.8155737706</v>
      </c>
      <c r="M50">
        <v>0.4</v>
      </c>
      <c r="N50">
        <v>5300256000</v>
      </c>
      <c r="O50">
        <v>2532774400</v>
      </c>
      <c r="P50">
        <f>_xlfn.XLOOKUP(D50,[1]full_dataframe_final!$C$2:$C$101,[1]full_dataframe_final!$I$2:$I$101)</f>
        <v>3.571428571428492E-3</v>
      </c>
      <c r="Q50">
        <f t="shared" si="0"/>
        <v>152501968513.73227</v>
      </c>
      <c r="R50">
        <f t="shared" si="1"/>
        <v>9740789114.9034519</v>
      </c>
      <c r="S50">
        <f t="shared" si="2"/>
        <v>118501084.12291303</v>
      </c>
      <c r="T50">
        <f t="shared" si="3"/>
        <v>1876947304</v>
      </c>
      <c r="U50">
        <v>50206025</v>
      </c>
      <c r="V50">
        <v>5020</v>
      </c>
      <c r="W50">
        <v>1.9989891691281201</v>
      </c>
      <c r="Y50" t="s">
        <v>419</v>
      </c>
      <c r="Z50" t="s">
        <v>422</v>
      </c>
      <c r="AA50">
        <v>0</v>
      </c>
      <c r="AB50">
        <v>0</v>
      </c>
      <c r="AC50" t="s">
        <v>422</v>
      </c>
      <c r="AD50" t="s">
        <v>422</v>
      </c>
      <c r="AE50" t="s">
        <v>422</v>
      </c>
      <c r="AF50" t="s">
        <v>422</v>
      </c>
      <c r="AG50" t="s">
        <v>422</v>
      </c>
      <c r="AH50" t="s">
        <v>422</v>
      </c>
      <c r="AI50" t="s">
        <v>422</v>
      </c>
      <c r="AJ50">
        <v>0</v>
      </c>
      <c r="AK50">
        <v>0</v>
      </c>
      <c r="AL50">
        <v>0</v>
      </c>
      <c r="AN50">
        <v>0</v>
      </c>
      <c r="AO50" t="s">
        <v>424</v>
      </c>
      <c r="AQ50" t="s">
        <v>424</v>
      </c>
      <c r="AR50" t="s">
        <v>424</v>
      </c>
      <c r="AS50" t="s">
        <v>424</v>
      </c>
      <c r="AU50">
        <v>0</v>
      </c>
      <c r="AV50">
        <v>0</v>
      </c>
      <c r="AW50">
        <v>0</v>
      </c>
      <c r="AX50">
        <v>0</v>
      </c>
      <c r="AY50">
        <v>2.78</v>
      </c>
      <c r="AZ50">
        <v>2.8879999999999999</v>
      </c>
      <c r="BA50" t="s">
        <v>420</v>
      </c>
      <c r="BB50">
        <v>1</v>
      </c>
      <c r="BC50">
        <v>1</v>
      </c>
      <c r="BD50" t="s">
        <v>437</v>
      </c>
      <c r="BE50">
        <v>0</v>
      </c>
      <c r="BF50">
        <v>0</v>
      </c>
      <c r="BG50">
        <v>0</v>
      </c>
      <c r="CK50">
        <v>2.8340000000000001</v>
      </c>
      <c r="CM50" t="s">
        <v>450</v>
      </c>
      <c r="CO50">
        <v>1.9989891691281201</v>
      </c>
      <c r="CP50">
        <v>3.1</v>
      </c>
      <c r="CQ50">
        <v>2.54949458456406</v>
      </c>
      <c r="CR50">
        <v>-0.24</v>
      </c>
      <c r="CS50">
        <v>2.3094945845640602</v>
      </c>
      <c r="CT50">
        <v>0</v>
      </c>
      <c r="CU50">
        <v>7.126794905746925E-3</v>
      </c>
      <c r="CV50">
        <v>0</v>
      </c>
    </row>
    <row r="51" spans="1:100" x14ac:dyDescent="0.25">
      <c r="A51">
        <v>762</v>
      </c>
      <c r="B51" t="s">
        <v>185</v>
      </c>
      <c r="C51" t="s">
        <v>285</v>
      </c>
      <c r="D51" t="s">
        <v>385</v>
      </c>
      <c r="E51" t="s">
        <v>399</v>
      </c>
      <c r="F51">
        <v>453187130</v>
      </c>
      <c r="G51">
        <v>55.22</v>
      </c>
      <c r="H51">
        <f>_xlfn.XLOOKUP(D51,[2]prices!$A$2:$A$6953,[2]prices!$E$2:$E$6953)</f>
        <v>51.48</v>
      </c>
      <c r="I51" t="s">
        <v>409</v>
      </c>
      <c r="J51">
        <v>25024993318.599998</v>
      </c>
      <c r="K51" t="s">
        <v>415</v>
      </c>
      <c r="L51">
        <v>26322525.057796601</v>
      </c>
      <c r="M51">
        <v>0.85</v>
      </c>
      <c r="N51">
        <v>21271244320.810001</v>
      </c>
      <c r="O51">
        <v>15131011896.440001</v>
      </c>
      <c r="P51">
        <f>_xlfn.XLOOKUP(D51,[1]full_dataframe_final!$C$2:$C$101,[1]full_dataframe_final!$I$2:$I$101)</f>
        <v>1.439817055300328E-2</v>
      </c>
      <c r="Q51">
        <f t="shared" si="0"/>
        <v>614809818652.26062</v>
      </c>
      <c r="R51">
        <f t="shared" si="1"/>
        <v>39269872039.221848</v>
      </c>
      <c r="S51">
        <f t="shared" si="2"/>
        <v>711153061.19561481</v>
      </c>
      <c r="T51">
        <f t="shared" si="3"/>
        <v>11942692670</v>
      </c>
      <c r="U51">
        <v>50204000</v>
      </c>
      <c r="V51">
        <v>5020</v>
      </c>
      <c r="W51">
        <v>1.9953067049789499</v>
      </c>
      <c r="X51">
        <v>2.08</v>
      </c>
      <c r="Y51" t="s">
        <v>417</v>
      </c>
      <c r="Z51" t="s">
        <v>422</v>
      </c>
      <c r="AA51">
        <v>0</v>
      </c>
      <c r="AB51">
        <v>0</v>
      </c>
      <c r="AC51" t="s">
        <v>422</v>
      </c>
      <c r="AD51" t="s">
        <v>422</v>
      </c>
      <c r="AE51" t="s">
        <v>422</v>
      </c>
      <c r="AF51" t="s">
        <v>422</v>
      </c>
      <c r="AG51" t="s">
        <v>422</v>
      </c>
      <c r="AH51" t="s">
        <v>422</v>
      </c>
      <c r="AI51" t="s">
        <v>422</v>
      </c>
      <c r="AJ51">
        <v>0</v>
      </c>
      <c r="AK51">
        <v>0</v>
      </c>
      <c r="AL51">
        <v>0</v>
      </c>
      <c r="AN51">
        <v>0</v>
      </c>
      <c r="AO51" t="s">
        <v>424</v>
      </c>
      <c r="AQ51" t="s">
        <v>424</v>
      </c>
      <c r="AR51" t="s">
        <v>424</v>
      </c>
      <c r="AS51" t="s">
        <v>424</v>
      </c>
      <c r="AU51">
        <v>0</v>
      </c>
      <c r="AV51">
        <v>0</v>
      </c>
      <c r="AW51">
        <v>0</v>
      </c>
      <c r="AX51">
        <v>0</v>
      </c>
      <c r="AY51">
        <v>2.6</v>
      </c>
      <c r="AZ51">
        <v>2.8839999999999999</v>
      </c>
      <c r="BA51" t="s">
        <v>420</v>
      </c>
      <c r="BB51">
        <v>1</v>
      </c>
      <c r="BC51">
        <v>0</v>
      </c>
      <c r="BD51" t="s">
        <v>438</v>
      </c>
      <c r="BE51">
        <v>0</v>
      </c>
      <c r="BF51">
        <v>0</v>
      </c>
      <c r="BG51">
        <v>0</v>
      </c>
      <c r="CK51">
        <v>2.742</v>
      </c>
      <c r="CM51" t="s">
        <v>450</v>
      </c>
      <c r="CO51">
        <v>1.9953067049789499</v>
      </c>
      <c r="CP51">
        <v>2.08</v>
      </c>
      <c r="CQ51">
        <v>2.0376533524894751</v>
      </c>
      <c r="CR51">
        <v>-0.3</v>
      </c>
      <c r="CS51">
        <v>1.7376533524894751</v>
      </c>
      <c r="CT51">
        <v>0</v>
      </c>
      <c r="CU51">
        <v>8.2511091937680237E-3</v>
      </c>
      <c r="CV51">
        <v>0</v>
      </c>
    </row>
    <row r="52" spans="1:100" x14ac:dyDescent="0.25">
      <c r="A52">
        <v>781</v>
      </c>
      <c r="B52" t="s">
        <v>152</v>
      </c>
      <c r="C52" t="s">
        <v>252</v>
      </c>
      <c r="D52" t="s">
        <v>352</v>
      </c>
      <c r="E52" t="s">
        <v>403</v>
      </c>
      <c r="F52">
        <v>744937900</v>
      </c>
      <c r="G52">
        <v>6.8970200000000004</v>
      </c>
      <c r="H52">
        <f>_xlfn.XLOOKUP(D52,[2]prices!$A$2:$A$6953,[2]prices!$E$2:$E$6953)</f>
        <v>6.4601007250000002</v>
      </c>
      <c r="I52" t="s">
        <v>413</v>
      </c>
      <c r="J52">
        <v>5137851595.0580006</v>
      </c>
      <c r="K52" t="s">
        <v>416</v>
      </c>
      <c r="L52">
        <v>14821728.319426199</v>
      </c>
      <c r="M52">
        <v>1</v>
      </c>
      <c r="N52">
        <v>5137851595.0580006</v>
      </c>
      <c r="O52">
        <v>29261160712</v>
      </c>
      <c r="P52">
        <f>_xlfn.XLOOKUP(D52,[1]full_dataframe_final!$C$2:$C$101,[1]full_dataframe_final!$I$2:$I$101)</f>
        <v>3.4940703241841892E-3</v>
      </c>
      <c r="Q52">
        <f t="shared" si="0"/>
        <v>149198728717.7843</v>
      </c>
      <c r="R52">
        <f t="shared" si="1"/>
        <v>9529800610.5459595</v>
      </c>
      <c r="S52">
        <f t="shared" si="2"/>
        <v>1381727269.2475822</v>
      </c>
      <c r="T52">
        <f t="shared" si="3"/>
        <v>23095418333</v>
      </c>
      <c r="U52">
        <v>35102000</v>
      </c>
      <c r="V52">
        <v>3510</v>
      </c>
      <c r="W52">
        <v>1.7395630247731899</v>
      </c>
      <c r="X52">
        <v>1.5</v>
      </c>
      <c r="Y52" t="s">
        <v>417</v>
      </c>
      <c r="Z52" t="s">
        <v>422</v>
      </c>
      <c r="AA52">
        <v>0</v>
      </c>
      <c r="AB52">
        <v>0</v>
      </c>
      <c r="AC52" t="s">
        <v>422</v>
      </c>
      <c r="AD52" t="s">
        <v>422</v>
      </c>
      <c r="AE52" t="s">
        <v>422</v>
      </c>
      <c r="AF52" t="s">
        <v>422</v>
      </c>
      <c r="AG52" t="s">
        <v>422</v>
      </c>
      <c r="AH52" t="s">
        <v>422</v>
      </c>
      <c r="AI52" t="s">
        <v>422</v>
      </c>
      <c r="AJ52">
        <v>0</v>
      </c>
      <c r="AK52">
        <v>0</v>
      </c>
      <c r="AL52">
        <v>0</v>
      </c>
      <c r="AN52">
        <v>0</v>
      </c>
      <c r="AO52" t="s">
        <v>424</v>
      </c>
      <c r="AQ52" t="s">
        <v>424</v>
      </c>
      <c r="AR52" t="s">
        <v>424</v>
      </c>
      <c r="AS52" t="s">
        <v>424</v>
      </c>
      <c r="AU52">
        <v>0</v>
      </c>
      <c r="AV52">
        <v>0</v>
      </c>
      <c r="AW52">
        <v>0</v>
      </c>
      <c r="AX52">
        <v>0</v>
      </c>
      <c r="AY52">
        <v>2.242</v>
      </c>
      <c r="AZ52">
        <v>2.879</v>
      </c>
      <c r="BA52" t="s">
        <v>425</v>
      </c>
      <c r="BB52">
        <v>1</v>
      </c>
      <c r="BC52">
        <v>0</v>
      </c>
      <c r="BD52" t="s">
        <v>442</v>
      </c>
      <c r="BE52">
        <v>0</v>
      </c>
      <c r="BF52">
        <v>0</v>
      </c>
      <c r="BG52">
        <v>0</v>
      </c>
      <c r="CK52">
        <v>2.5605000000000002</v>
      </c>
      <c r="CM52" t="s">
        <v>450</v>
      </c>
      <c r="CO52">
        <v>1.7395630247731899</v>
      </c>
      <c r="CP52">
        <v>1.5</v>
      </c>
      <c r="CQ52">
        <v>1.6197815123865951</v>
      </c>
      <c r="CR52">
        <v>-0.3</v>
      </c>
      <c r="CS52">
        <v>1.319781512386595</v>
      </c>
      <c r="CT52">
        <v>1</v>
      </c>
      <c r="CU52">
        <v>5.1317827348306994E-3</v>
      </c>
      <c r="CV52">
        <v>0</v>
      </c>
    </row>
    <row r="53" spans="1:100" x14ac:dyDescent="0.25">
      <c r="A53">
        <v>786</v>
      </c>
      <c r="B53" t="s">
        <v>145</v>
      </c>
      <c r="C53" t="s">
        <v>245</v>
      </c>
      <c r="D53" t="s">
        <v>345</v>
      </c>
      <c r="E53" t="s">
        <v>403</v>
      </c>
      <c r="F53">
        <v>5893244000</v>
      </c>
      <c r="G53">
        <v>2.8784939999999999</v>
      </c>
      <c r="H53">
        <f>_xlfn.XLOOKUP(D53,[2]prices!$A$2:$A$6953,[2]prices!$E$2:$E$6953)</f>
        <v>2.84127507</v>
      </c>
      <c r="I53" t="s">
        <v>413</v>
      </c>
      <c r="J53">
        <v>16963667494.535999</v>
      </c>
      <c r="K53" t="s">
        <v>416</v>
      </c>
      <c r="L53">
        <v>32798433.932136402</v>
      </c>
      <c r="M53">
        <v>1</v>
      </c>
      <c r="N53">
        <v>16963667494.535999</v>
      </c>
      <c r="O53">
        <v>231486624320</v>
      </c>
      <c r="P53">
        <f>_xlfn.XLOOKUP(D53,[1]full_dataframe_final!$C$2:$C$101,[1]full_dataframe_final!$I$2:$I$101)</f>
        <v>3.0393449563122271E-3</v>
      </c>
      <c r="Q53">
        <f t="shared" si="0"/>
        <v>129781704872.37439</v>
      </c>
      <c r="R53">
        <f t="shared" si="1"/>
        <v>8289573114.7273827</v>
      </c>
      <c r="S53">
        <f t="shared" si="2"/>
        <v>2879829909.2259297</v>
      </c>
      <c r="T53">
        <f t="shared" si="3"/>
        <v>45677275756</v>
      </c>
      <c r="U53">
        <v>30301010</v>
      </c>
      <c r="V53">
        <v>3030</v>
      </c>
      <c r="W53">
        <v>1.98835042585939</v>
      </c>
      <c r="X53">
        <v>1.5</v>
      </c>
      <c r="Y53" t="s">
        <v>417</v>
      </c>
      <c r="Z53" t="s">
        <v>422</v>
      </c>
      <c r="AA53">
        <v>0</v>
      </c>
      <c r="AB53">
        <v>0</v>
      </c>
      <c r="AC53" t="s">
        <v>422</v>
      </c>
      <c r="AD53" t="s">
        <v>422</v>
      </c>
      <c r="AE53" t="s">
        <v>422</v>
      </c>
      <c r="AF53" t="s">
        <v>422</v>
      </c>
      <c r="AG53" t="s">
        <v>422</v>
      </c>
      <c r="AH53" t="s">
        <v>422</v>
      </c>
      <c r="AI53" t="s">
        <v>422</v>
      </c>
      <c r="AJ53">
        <v>0</v>
      </c>
      <c r="AK53">
        <v>0</v>
      </c>
      <c r="AL53">
        <v>0</v>
      </c>
      <c r="AN53">
        <v>0</v>
      </c>
      <c r="AO53" t="s">
        <v>424</v>
      </c>
      <c r="AQ53" t="s">
        <v>424</v>
      </c>
      <c r="AR53" t="s">
        <v>424</v>
      </c>
      <c r="AS53" t="s">
        <v>424</v>
      </c>
      <c r="AU53">
        <v>0</v>
      </c>
      <c r="AV53">
        <v>0</v>
      </c>
      <c r="AW53">
        <v>0</v>
      </c>
      <c r="AX53">
        <v>0</v>
      </c>
      <c r="AY53">
        <v>2.2440000000000002</v>
      </c>
      <c r="AZ53">
        <v>2.6379999999999999</v>
      </c>
      <c r="BA53" t="s">
        <v>430</v>
      </c>
      <c r="BB53">
        <v>0</v>
      </c>
      <c r="BC53">
        <v>0</v>
      </c>
      <c r="BD53" t="s">
        <v>442</v>
      </c>
      <c r="BE53">
        <v>0</v>
      </c>
      <c r="BF53">
        <v>0</v>
      </c>
      <c r="BG53">
        <v>0</v>
      </c>
      <c r="CK53">
        <v>2.4409999999999998</v>
      </c>
      <c r="CM53" t="s">
        <v>450</v>
      </c>
      <c r="CO53">
        <v>1.98835042585939</v>
      </c>
      <c r="CP53">
        <v>1.5</v>
      </c>
      <c r="CQ53">
        <v>1.744175212929695</v>
      </c>
      <c r="CR53">
        <v>-0.3</v>
      </c>
      <c r="CS53">
        <v>1.444175212929695</v>
      </c>
      <c r="CT53">
        <v>1</v>
      </c>
      <c r="CU53">
        <v>1.5260692621393511E-2</v>
      </c>
      <c r="CV53">
        <v>0</v>
      </c>
    </row>
    <row r="54" spans="1:100" x14ac:dyDescent="0.25">
      <c r="A54">
        <v>787</v>
      </c>
      <c r="B54" t="s">
        <v>182</v>
      </c>
      <c r="C54" t="s">
        <v>282</v>
      </c>
      <c r="D54" t="s">
        <v>382</v>
      </c>
      <c r="E54" t="s">
        <v>394</v>
      </c>
      <c r="F54">
        <v>262245733</v>
      </c>
      <c r="G54">
        <v>110.3</v>
      </c>
      <c r="H54">
        <f>_xlfn.XLOOKUP(D54,[2]prices!$A$2:$A$6953,[2]prices!$E$2:$E$6953)</f>
        <v>94.52</v>
      </c>
      <c r="I54" t="s">
        <v>409</v>
      </c>
      <c r="J54">
        <v>28925704349.900002</v>
      </c>
      <c r="K54" t="s">
        <v>415</v>
      </c>
      <c r="L54">
        <v>56619307.900158703</v>
      </c>
      <c r="M54">
        <v>1</v>
      </c>
      <c r="N54">
        <v>28925704349.900002</v>
      </c>
      <c r="O54">
        <v>10301012392.24</v>
      </c>
      <c r="P54">
        <f>_xlfn.XLOOKUP(D54,[1]full_dataframe_final!$C$2:$C$101,[1]full_dataframe_final!$I$2:$I$101)</f>
        <v>1.7997178549984231E-2</v>
      </c>
      <c r="Q54">
        <f t="shared" si="0"/>
        <v>768489443838.41675</v>
      </c>
      <c r="R54">
        <f t="shared" si="1"/>
        <v>49085881857.225975</v>
      </c>
      <c r="S54">
        <f t="shared" si="2"/>
        <v>445021594.35381663</v>
      </c>
      <c r="T54">
        <f t="shared" si="3"/>
        <v>8130442698</v>
      </c>
      <c r="U54">
        <v>50202010</v>
      </c>
      <c r="V54">
        <v>5020</v>
      </c>
      <c r="W54">
        <v>1.7418068415287999</v>
      </c>
      <c r="X54">
        <v>1.5</v>
      </c>
      <c r="Y54" t="s">
        <v>417</v>
      </c>
      <c r="Z54" t="s">
        <v>422</v>
      </c>
      <c r="AA54">
        <v>0</v>
      </c>
      <c r="AB54">
        <v>0</v>
      </c>
      <c r="AC54" t="s">
        <v>422</v>
      </c>
      <c r="AD54" t="s">
        <v>422</v>
      </c>
      <c r="AE54" t="s">
        <v>422</v>
      </c>
      <c r="AF54" t="s">
        <v>422</v>
      </c>
      <c r="AG54" t="s">
        <v>422</v>
      </c>
      <c r="AH54" t="s">
        <v>422</v>
      </c>
      <c r="AI54" t="s">
        <v>422</v>
      </c>
      <c r="AJ54">
        <v>0</v>
      </c>
      <c r="AK54">
        <v>0</v>
      </c>
      <c r="AL54">
        <v>0</v>
      </c>
      <c r="AN54">
        <v>0</v>
      </c>
      <c r="AO54" t="s">
        <v>424</v>
      </c>
      <c r="AQ54" t="s">
        <v>424</v>
      </c>
      <c r="AR54" t="s">
        <v>424</v>
      </c>
      <c r="AS54" t="s">
        <v>424</v>
      </c>
      <c r="AU54">
        <v>0</v>
      </c>
      <c r="AV54">
        <v>0</v>
      </c>
      <c r="AW54">
        <v>0</v>
      </c>
      <c r="AX54">
        <v>0</v>
      </c>
      <c r="AY54">
        <v>2.5249999999999999</v>
      </c>
      <c r="AZ54">
        <v>3.0049999999999999</v>
      </c>
      <c r="BA54" t="s">
        <v>420</v>
      </c>
      <c r="BB54">
        <v>1</v>
      </c>
      <c r="BC54">
        <v>0</v>
      </c>
      <c r="BD54" t="s">
        <v>433</v>
      </c>
      <c r="BE54">
        <v>0</v>
      </c>
      <c r="BF54">
        <v>0</v>
      </c>
      <c r="BG54">
        <v>0</v>
      </c>
      <c r="CK54">
        <v>2.7650000000000001</v>
      </c>
      <c r="CM54" t="s">
        <v>450</v>
      </c>
      <c r="CO54">
        <v>1.7418068415287999</v>
      </c>
      <c r="CP54">
        <v>1.5</v>
      </c>
      <c r="CQ54">
        <v>1.6209034207644</v>
      </c>
      <c r="CR54">
        <v>-0.3</v>
      </c>
      <c r="CS54">
        <v>1.3209034207643999</v>
      </c>
      <c r="CT54">
        <v>1</v>
      </c>
      <c r="CU54">
        <v>1.7227030764088221E-2</v>
      </c>
      <c r="CV54">
        <v>0</v>
      </c>
    </row>
    <row r="55" spans="1:100" x14ac:dyDescent="0.25">
      <c r="A55">
        <v>805</v>
      </c>
      <c r="B55" t="s">
        <v>111</v>
      </c>
      <c r="C55" t="s">
        <v>211</v>
      </c>
      <c r="D55" t="s">
        <v>311</v>
      </c>
      <c r="E55" t="s">
        <v>406</v>
      </c>
      <c r="F55">
        <v>168994140</v>
      </c>
      <c r="G55">
        <v>99.481160000000003</v>
      </c>
      <c r="H55">
        <f>_xlfn.XLOOKUP(D55,[2]prices!$A$2:$A$6953,[2]prices!$E$2:$E$6953)</f>
        <v>64.420689019999983</v>
      </c>
      <c r="I55" t="s">
        <v>414</v>
      </c>
      <c r="J55">
        <v>16811733080.402399</v>
      </c>
      <c r="K55" t="s">
        <v>416</v>
      </c>
      <c r="L55">
        <v>53427462.634575203</v>
      </c>
      <c r="M55">
        <v>0.9</v>
      </c>
      <c r="N55">
        <v>15130559772.36216</v>
      </c>
      <c r="O55">
        <v>5974280837.2799997</v>
      </c>
      <c r="P55">
        <f>_xlfn.XLOOKUP(D55,[1]full_dataframe_final!$C$2:$C$101,[1]full_dataframe_final!$I$2:$I$101)</f>
        <v>7.1139662785270454E-3</v>
      </c>
      <c r="Q55">
        <f t="shared" si="0"/>
        <v>303770281196.39844</v>
      </c>
      <c r="R55">
        <f t="shared" si="1"/>
        <v>19402780681.10704</v>
      </c>
      <c r="S55">
        <f t="shared" si="2"/>
        <v>195039751.05544648</v>
      </c>
      <c r="T55">
        <f t="shared" si="3"/>
        <v>4715414967</v>
      </c>
      <c r="U55">
        <v>10102030</v>
      </c>
      <c r="V55">
        <v>1010</v>
      </c>
      <c r="W55">
        <v>1.7497523085933799</v>
      </c>
      <c r="Y55" t="s">
        <v>417</v>
      </c>
      <c r="Z55" t="s">
        <v>422</v>
      </c>
      <c r="AA55">
        <v>0</v>
      </c>
      <c r="AB55">
        <v>0</v>
      </c>
      <c r="AC55" t="s">
        <v>422</v>
      </c>
      <c r="AD55" t="s">
        <v>422</v>
      </c>
      <c r="AE55" t="s">
        <v>422</v>
      </c>
      <c r="AF55" t="s">
        <v>422</v>
      </c>
      <c r="AG55" t="s">
        <v>422</v>
      </c>
      <c r="AH55" t="s">
        <v>422</v>
      </c>
      <c r="AI55" t="s">
        <v>422</v>
      </c>
      <c r="AJ55">
        <v>0</v>
      </c>
      <c r="AK55">
        <v>0</v>
      </c>
      <c r="AL55">
        <v>0</v>
      </c>
      <c r="AN55">
        <v>0</v>
      </c>
      <c r="AO55" t="s">
        <v>424</v>
      </c>
      <c r="AQ55" t="s">
        <v>424</v>
      </c>
      <c r="AR55" t="s">
        <v>424</v>
      </c>
      <c r="AS55" t="s">
        <v>424</v>
      </c>
      <c r="AU55">
        <v>0</v>
      </c>
      <c r="AV55">
        <v>0</v>
      </c>
      <c r="AW55">
        <v>0</v>
      </c>
      <c r="AX55">
        <v>0</v>
      </c>
      <c r="AY55">
        <v>2.5649999999999999</v>
      </c>
      <c r="AZ55">
        <v>3.4</v>
      </c>
      <c r="BA55" t="s">
        <v>420</v>
      </c>
      <c r="BB55">
        <v>1</v>
      </c>
      <c r="BC55">
        <v>0</v>
      </c>
      <c r="BD55" t="s">
        <v>446</v>
      </c>
      <c r="BE55">
        <v>0</v>
      </c>
      <c r="BF55">
        <v>0</v>
      </c>
      <c r="BG55">
        <v>0</v>
      </c>
      <c r="CK55">
        <v>2.9824999999999999</v>
      </c>
      <c r="CM55" t="s">
        <v>450</v>
      </c>
      <c r="CO55">
        <v>1.7497523085933799</v>
      </c>
      <c r="CP55">
        <v>3.1</v>
      </c>
      <c r="CQ55">
        <v>2.4248761542966899</v>
      </c>
      <c r="CR55">
        <v>-0.3</v>
      </c>
      <c r="CS55">
        <v>2.1248761542966901</v>
      </c>
      <c r="CT55">
        <v>0</v>
      </c>
      <c r="CU55">
        <v>1.6168149884530521E-2</v>
      </c>
      <c r="CV55">
        <v>0</v>
      </c>
    </row>
    <row r="56" spans="1:100" x14ac:dyDescent="0.25">
      <c r="A56">
        <v>806</v>
      </c>
      <c r="B56" t="s">
        <v>142</v>
      </c>
      <c r="C56" t="s">
        <v>242</v>
      </c>
      <c r="D56" t="s">
        <v>342</v>
      </c>
      <c r="E56" t="s">
        <v>403</v>
      </c>
      <c r="F56">
        <v>531451840</v>
      </c>
      <c r="G56">
        <v>140.05609999999999</v>
      </c>
      <c r="H56">
        <f>_xlfn.XLOOKUP(D56,[2]prices!$A$2:$A$6953,[2]prices!$E$2:$E$6953)</f>
        <v>133.17746109999999</v>
      </c>
      <c r="I56" t="s">
        <v>413</v>
      </c>
      <c r="J56">
        <v>74433072048.223999</v>
      </c>
      <c r="K56" t="s">
        <v>416</v>
      </c>
      <c r="L56">
        <v>76651155.451063305</v>
      </c>
      <c r="M56">
        <v>0.95</v>
      </c>
      <c r="N56">
        <v>70711418445.81279</v>
      </c>
      <c r="O56">
        <v>19831656861.439999</v>
      </c>
      <c r="P56">
        <f>_xlfn.XLOOKUP(D56,[1]full_dataframe_final!$C$2:$C$101,[1]full_dataframe_final!$I$2:$I$101)</f>
        <v>1.8029935864303931E-2</v>
      </c>
      <c r="Q56">
        <f t="shared" si="0"/>
        <v>769888199215.17041</v>
      </c>
      <c r="R56">
        <f t="shared" si="1"/>
        <v>49175224842.638443</v>
      </c>
      <c r="S56">
        <f t="shared" si="2"/>
        <v>351110910.86099392</v>
      </c>
      <c r="T56">
        <f t="shared" si="3"/>
        <v>5780919630</v>
      </c>
      <c r="U56">
        <v>30201030</v>
      </c>
      <c r="V56">
        <v>3020</v>
      </c>
      <c r="W56">
        <v>1.9964408278924499</v>
      </c>
      <c r="Y56" t="s">
        <v>419</v>
      </c>
      <c r="Z56" t="s">
        <v>422</v>
      </c>
      <c r="AA56">
        <v>0</v>
      </c>
      <c r="AB56">
        <v>0</v>
      </c>
      <c r="AC56" t="s">
        <v>422</v>
      </c>
      <c r="AD56" t="s">
        <v>422</v>
      </c>
      <c r="AE56" t="s">
        <v>422</v>
      </c>
      <c r="AF56" t="s">
        <v>422</v>
      </c>
      <c r="AG56" t="s">
        <v>422</v>
      </c>
      <c r="AH56" t="s">
        <v>422</v>
      </c>
      <c r="AI56" t="s">
        <v>422</v>
      </c>
      <c r="AJ56">
        <v>0</v>
      </c>
      <c r="AK56">
        <v>0</v>
      </c>
      <c r="AL56">
        <v>0</v>
      </c>
      <c r="AN56">
        <v>0</v>
      </c>
      <c r="AO56" t="s">
        <v>424</v>
      </c>
      <c r="AQ56" t="s">
        <v>424</v>
      </c>
      <c r="AR56" t="s">
        <v>424</v>
      </c>
      <c r="AS56" t="s">
        <v>424</v>
      </c>
      <c r="AU56">
        <v>0</v>
      </c>
      <c r="AV56">
        <v>0</v>
      </c>
      <c r="AW56">
        <v>0</v>
      </c>
      <c r="AX56">
        <v>0</v>
      </c>
      <c r="AY56">
        <v>2.3010000000000002</v>
      </c>
      <c r="AZ56">
        <v>3.03</v>
      </c>
      <c r="BA56" t="s">
        <v>430</v>
      </c>
      <c r="BB56">
        <v>0</v>
      </c>
      <c r="BC56">
        <v>0</v>
      </c>
      <c r="BD56" t="s">
        <v>442</v>
      </c>
      <c r="BE56">
        <v>0</v>
      </c>
      <c r="BF56">
        <v>0</v>
      </c>
      <c r="BG56">
        <v>0</v>
      </c>
      <c r="CK56">
        <v>2.6655000000000002</v>
      </c>
      <c r="CM56" t="s">
        <v>450</v>
      </c>
      <c r="CO56">
        <v>1.9964408278924499</v>
      </c>
      <c r="CP56">
        <v>3.1</v>
      </c>
      <c r="CQ56">
        <v>2.548220413946225</v>
      </c>
      <c r="CR56">
        <v>-0.24</v>
      </c>
      <c r="CS56">
        <v>2.3082204139462248</v>
      </c>
      <c r="CT56">
        <v>0</v>
      </c>
      <c r="CU56">
        <v>2.3459782252930939E-2</v>
      </c>
      <c r="CV56">
        <v>0</v>
      </c>
    </row>
    <row r="57" spans="1:100" x14ac:dyDescent="0.25">
      <c r="A57">
        <v>809</v>
      </c>
      <c r="B57" t="s">
        <v>158</v>
      </c>
      <c r="C57" t="s">
        <v>258</v>
      </c>
      <c r="D57" t="s">
        <v>358</v>
      </c>
      <c r="E57" t="s">
        <v>394</v>
      </c>
      <c r="F57">
        <v>534311946</v>
      </c>
      <c r="G57">
        <v>346.1</v>
      </c>
      <c r="H57">
        <f>_xlfn.XLOOKUP(D57,[2]prices!$A$2:$A$6953,[2]prices!$E$2:$E$6953)</f>
        <v>343.8</v>
      </c>
      <c r="I57" t="s">
        <v>409</v>
      </c>
      <c r="J57">
        <v>184925364510.60001</v>
      </c>
      <c r="K57" t="s">
        <v>415</v>
      </c>
      <c r="L57">
        <v>150007719.04285699</v>
      </c>
      <c r="M57">
        <v>0.45</v>
      </c>
      <c r="N57">
        <v>83216414029.770004</v>
      </c>
      <c r="O57">
        <v>9444497957.4960003</v>
      </c>
      <c r="P57">
        <f>_xlfn.XLOOKUP(D57,[1]full_dataframe_final!$C$2:$C$101,[1]full_dataframe_final!$I$2:$I$101)</f>
        <v>6.0018557335593498E-2</v>
      </c>
      <c r="Q57">
        <f t="shared" si="0"/>
        <v>2562825479489.105</v>
      </c>
      <c r="R57">
        <f t="shared" si="1"/>
        <v>163695870796.29584</v>
      </c>
      <c r="S57">
        <f t="shared" si="2"/>
        <v>472972755.84020752</v>
      </c>
      <c r="T57">
        <f t="shared" si="3"/>
        <v>7454408026</v>
      </c>
      <c r="U57">
        <v>40204035</v>
      </c>
      <c r="V57">
        <v>4020</v>
      </c>
      <c r="W57">
        <v>1.74938320831028</v>
      </c>
      <c r="X57">
        <v>1.5</v>
      </c>
      <c r="Y57" t="s">
        <v>417</v>
      </c>
      <c r="Z57" t="s">
        <v>422</v>
      </c>
      <c r="AA57">
        <v>0</v>
      </c>
      <c r="AB57">
        <v>0</v>
      </c>
      <c r="AC57" t="s">
        <v>422</v>
      </c>
      <c r="AD57" t="s">
        <v>422</v>
      </c>
      <c r="AE57" t="s">
        <v>422</v>
      </c>
      <c r="AF57" t="s">
        <v>422</v>
      </c>
      <c r="AG57" t="s">
        <v>422</v>
      </c>
      <c r="AH57" t="s">
        <v>422</v>
      </c>
      <c r="AI57" t="s">
        <v>422</v>
      </c>
      <c r="AJ57">
        <v>0</v>
      </c>
      <c r="AK57">
        <v>0</v>
      </c>
      <c r="AL57">
        <v>0</v>
      </c>
      <c r="AN57">
        <v>0</v>
      </c>
      <c r="AO57" t="s">
        <v>424</v>
      </c>
      <c r="AQ57" t="s">
        <v>424</v>
      </c>
      <c r="AR57" t="s">
        <v>424</v>
      </c>
      <c r="AS57" t="s">
        <v>424</v>
      </c>
      <c r="AU57">
        <v>0</v>
      </c>
      <c r="AV57">
        <v>0</v>
      </c>
      <c r="AW57">
        <v>0</v>
      </c>
      <c r="AX57">
        <v>0</v>
      </c>
      <c r="AY57">
        <v>2.4470000000000001</v>
      </c>
      <c r="AZ57">
        <v>2.8420000000000001</v>
      </c>
      <c r="BA57" t="s">
        <v>420</v>
      </c>
      <c r="BB57">
        <v>1</v>
      </c>
      <c r="BC57">
        <v>0</v>
      </c>
      <c r="BD57" t="s">
        <v>433</v>
      </c>
      <c r="BE57">
        <v>0</v>
      </c>
      <c r="BF57">
        <v>0</v>
      </c>
      <c r="BG57">
        <v>0</v>
      </c>
      <c r="CK57">
        <v>2.6444999999999999</v>
      </c>
      <c r="CM57" t="s">
        <v>450</v>
      </c>
      <c r="CO57">
        <v>1.74938320831028</v>
      </c>
      <c r="CP57">
        <v>1.5</v>
      </c>
      <c r="CQ57">
        <v>1.62469160415514</v>
      </c>
      <c r="CR57">
        <v>-0.3</v>
      </c>
      <c r="CS57">
        <v>1.32469160415514</v>
      </c>
      <c r="CT57">
        <v>1</v>
      </c>
      <c r="CU57">
        <v>4.522349547976065E-2</v>
      </c>
      <c r="CV57">
        <v>0</v>
      </c>
    </row>
    <row r="58" spans="1:100" x14ac:dyDescent="0.25">
      <c r="A58">
        <v>815</v>
      </c>
      <c r="B58" t="s">
        <v>168</v>
      </c>
      <c r="C58" t="s">
        <v>268</v>
      </c>
      <c r="D58" t="s">
        <v>368</v>
      </c>
      <c r="E58" t="s">
        <v>398</v>
      </c>
      <c r="F58">
        <v>1200015000</v>
      </c>
      <c r="G58">
        <v>6.3940000000000001</v>
      </c>
      <c r="H58">
        <f>_xlfn.XLOOKUP(D58,[2]prices!$A$2:$A$6953,[2]prices!$E$2:$E$6953)</f>
        <v>6.1459999999999999</v>
      </c>
      <c r="I58" t="s">
        <v>409</v>
      </c>
      <c r="J58">
        <v>7672895910</v>
      </c>
      <c r="K58" t="s">
        <v>415</v>
      </c>
      <c r="L58">
        <v>40455426.200245902</v>
      </c>
      <c r="M58">
        <v>0.85</v>
      </c>
      <c r="N58">
        <v>6521961523.5</v>
      </c>
      <c r="O58">
        <v>40066100820</v>
      </c>
      <c r="P58">
        <f>_xlfn.XLOOKUP(D58,[1]full_dataframe_final!$C$2:$C$101,[1]full_dataframe_final!$I$2:$I$101)</f>
        <v>3.7011153676231642E-3</v>
      </c>
      <c r="Q58">
        <f t="shared" si="0"/>
        <v>158039666192.51187</v>
      </c>
      <c r="R58">
        <f t="shared" si="1"/>
        <v>10094499600.064995</v>
      </c>
      <c r="S58">
        <f t="shared" si="2"/>
        <v>1578745636.5444157</v>
      </c>
      <c r="T58">
        <f t="shared" si="3"/>
        <v>25714231401</v>
      </c>
      <c r="U58">
        <v>40501010</v>
      </c>
      <c r="V58">
        <v>4050</v>
      </c>
      <c r="W58">
        <v>1.83638692207139</v>
      </c>
      <c r="X58">
        <v>1.5</v>
      </c>
      <c r="Y58" t="s">
        <v>418</v>
      </c>
      <c r="Z58" t="s">
        <v>422</v>
      </c>
      <c r="AA58">
        <v>0</v>
      </c>
      <c r="AB58">
        <v>0.01</v>
      </c>
      <c r="AC58" t="s">
        <v>422</v>
      </c>
      <c r="AD58" t="s">
        <v>422</v>
      </c>
      <c r="AE58" t="s">
        <v>422</v>
      </c>
      <c r="AF58" t="s">
        <v>422</v>
      </c>
      <c r="AG58" t="s">
        <v>422</v>
      </c>
      <c r="AH58" t="s">
        <v>422</v>
      </c>
      <c r="AI58" t="s">
        <v>422</v>
      </c>
      <c r="AJ58">
        <v>0</v>
      </c>
      <c r="AK58">
        <v>0</v>
      </c>
      <c r="AL58">
        <v>0</v>
      </c>
      <c r="AN58">
        <v>0</v>
      </c>
      <c r="AO58" t="s">
        <v>424</v>
      </c>
      <c r="AQ58" t="s">
        <v>424</v>
      </c>
      <c r="AR58" t="s">
        <v>424</v>
      </c>
      <c r="AS58" t="s">
        <v>424</v>
      </c>
      <c r="AU58">
        <v>0</v>
      </c>
      <c r="AV58">
        <v>0</v>
      </c>
      <c r="AW58">
        <v>0</v>
      </c>
      <c r="AX58">
        <v>0</v>
      </c>
      <c r="AY58">
        <v>2.17</v>
      </c>
      <c r="AZ58">
        <v>2.78</v>
      </c>
      <c r="BA58" t="s">
        <v>427</v>
      </c>
      <c r="BB58">
        <v>1</v>
      </c>
      <c r="BC58">
        <v>0</v>
      </c>
      <c r="BD58" t="s">
        <v>437</v>
      </c>
      <c r="BE58">
        <v>0</v>
      </c>
      <c r="BF58">
        <v>0</v>
      </c>
      <c r="BG58">
        <v>0</v>
      </c>
      <c r="CK58">
        <v>2.4750000000000001</v>
      </c>
      <c r="CM58" t="s">
        <v>450</v>
      </c>
      <c r="CO58">
        <v>1.83638692207139</v>
      </c>
      <c r="CP58">
        <v>1.5</v>
      </c>
      <c r="CQ58">
        <v>1.668193461035695</v>
      </c>
      <c r="CR58">
        <v>-0.18</v>
      </c>
      <c r="CS58">
        <v>1.4881934610356951</v>
      </c>
      <c r="CT58">
        <v>1</v>
      </c>
      <c r="CU58">
        <v>1.3074931926630109E-2</v>
      </c>
      <c r="CV58">
        <v>0</v>
      </c>
    </row>
    <row r="59" spans="1:100" x14ac:dyDescent="0.25">
      <c r="A59">
        <v>862</v>
      </c>
      <c r="B59" t="s">
        <v>155</v>
      </c>
      <c r="C59" t="s">
        <v>255</v>
      </c>
      <c r="D59" t="s">
        <v>355</v>
      </c>
      <c r="E59" t="s">
        <v>401</v>
      </c>
      <c r="F59">
        <v>563724900</v>
      </c>
      <c r="G59">
        <v>10.87</v>
      </c>
      <c r="H59">
        <f>_xlfn.XLOOKUP(D59,[2]prices!$A$2:$A$6953,[2]prices!$E$2:$E$6953)</f>
        <v>9.5</v>
      </c>
      <c r="I59" t="s">
        <v>409</v>
      </c>
      <c r="J59">
        <v>6127689663</v>
      </c>
      <c r="K59" t="s">
        <v>415</v>
      </c>
      <c r="L59">
        <v>8755069.4216968194</v>
      </c>
      <c r="M59">
        <v>0.65</v>
      </c>
      <c r="N59">
        <v>3982998280.9499998</v>
      </c>
      <c r="O59">
        <v>14393024146.799999</v>
      </c>
      <c r="P59">
        <f>_xlfn.XLOOKUP(D59,[1]full_dataframe_final!$C$2:$C$101,[1]full_dataframe_final!$I$2:$I$101)</f>
        <v>2.527414437495064E-3</v>
      </c>
      <c r="Q59">
        <f t="shared" si="0"/>
        <v>107921989551.04929</v>
      </c>
      <c r="R59">
        <f t="shared" si="1"/>
        <v>6893323091.6486435</v>
      </c>
      <c r="S59">
        <f t="shared" si="2"/>
        <v>634160358.01735461</v>
      </c>
      <c r="T59">
        <f t="shared" si="3"/>
        <v>11360209426</v>
      </c>
      <c r="U59">
        <v>35102000</v>
      </c>
      <c r="V59">
        <v>3510</v>
      </c>
      <c r="W59">
        <v>1.7450067698613001</v>
      </c>
      <c r="Y59" t="s">
        <v>418</v>
      </c>
      <c r="Z59" t="s">
        <v>422</v>
      </c>
      <c r="AA59">
        <v>0</v>
      </c>
      <c r="AB59">
        <v>0</v>
      </c>
      <c r="AC59" t="s">
        <v>422</v>
      </c>
      <c r="AD59" t="s">
        <v>422</v>
      </c>
      <c r="AE59" t="s">
        <v>422</v>
      </c>
      <c r="AF59" t="s">
        <v>422</v>
      </c>
      <c r="AG59" t="s">
        <v>422</v>
      </c>
      <c r="AH59" t="s">
        <v>422</v>
      </c>
      <c r="AI59" t="s">
        <v>422</v>
      </c>
      <c r="AJ59">
        <v>0</v>
      </c>
      <c r="AK59">
        <v>0</v>
      </c>
      <c r="AL59">
        <v>0</v>
      </c>
      <c r="AN59">
        <v>0</v>
      </c>
      <c r="AO59" t="s">
        <v>424</v>
      </c>
      <c r="AQ59" t="s">
        <v>424</v>
      </c>
      <c r="AR59" t="s">
        <v>424</v>
      </c>
      <c r="AS59" t="s">
        <v>424</v>
      </c>
      <c r="AU59">
        <v>0</v>
      </c>
      <c r="AV59">
        <v>0</v>
      </c>
      <c r="AW59">
        <v>0</v>
      </c>
      <c r="AX59">
        <v>0</v>
      </c>
      <c r="AY59">
        <v>2.177</v>
      </c>
      <c r="AZ59">
        <v>2.6259999999999999</v>
      </c>
      <c r="BA59" t="s">
        <v>425</v>
      </c>
      <c r="BB59">
        <v>1</v>
      </c>
      <c r="BC59">
        <v>0</v>
      </c>
      <c r="BD59" t="s">
        <v>440</v>
      </c>
      <c r="BE59">
        <v>0</v>
      </c>
      <c r="BF59">
        <v>0</v>
      </c>
      <c r="BG59">
        <v>0</v>
      </c>
      <c r="CK59">
        <v>2.4015</v>
      </c>
      <c r="CM59" t="s">
        <v>450</v>
      </c>
      <c r="CO59">
        <v>1.7450067698613001</v>
      </c>
      <c r="CP59">
        <v>3.1</v>
      </c>
      <c r="CQ59">
        <v>2.4225033849306499</v>
      </c>
      <c r="CR59">
        <v>-0.18</v>
      </c>
      <c r="CS59">
        <v>2.2425033849306502</v>
      </c>
      <c r="CT59">
        <v>0</v>
      </c>
      <c r="CU59">
        <v>2.963589640558571E-3</v>
      </c>
      <c r="CV59">
        <v>0</v>
      </c>
    </row>
    <row r="60" spans="1:100" x14ac:dyDescent="0.25">
      <c r="A60">
        <v>865</v>
      </c>
      <c r="B60" t="s">
        <v>100</v>
      </c>
      <c r="C60" t="s">
        <v>200</v>
      </c>
      <c r="D60" t="s">
        <v>300</v>
      </c>
      <c r="E60" t="s">
        <v>399</v>
      </c>
      <c r="F60">
        <v>828972400</v>
      </c>
      <c r="G60">
        <v>10.98</v>
      </c>
      <c r="H60">
        <f>_xlfn.XLOOKUP(D60,[2]prices!$A$2:$A$6953,[2]prices!$E$2:$E$6953)</f>
        <v>8.6440000000000001</v>
      </c>
      <c r="I60" t="s">
        <v>409</v>
      </c>
      <c r="J60">
        <v>9102116952</v>
      </c>
      <c r="K60" t="s">
        <v>415</v>
      </c>
      <c r="L60">
        <v>13202645.764067801</v>
      </c>
      <c r="M60">
        <v>0.85</v>
      </c>
      <c r="N60">
        <v>7736799409.1999998</v>
      </c>
      <c r="O60">
        <v>27677730491.200001</v>
      </c>
      <c r="P60">
        <f>_xlfn.XLOOKUP(D60,[1]full_dataframe_final!$C$2:$C$101,[1]full_dataframe_final!$I$2:$I$101)</f>
        <v>1.2252098383803599E-2</v>
      </c>
      <c r="Q60">
        <f t="shared" si="0"/>
        <v>523171354147.12225</v>
      </c>
      <c r="R60">
        <f t="shared" si="1"/>
        <v>33416629840.071224</v>
      </c>
      <c r="S60">
        <f t="shared" si="2"/>
        <v>3043408910.7532988</v>
      </c>
      <c r="T60">
        <f t="shared" si="3"/>
        <v>60524219591</v>
      </c>
      <c r="U60">
        <v>50204020</v>
      </c>
      <c r="V60">
        <v>5020</v>
      </c>
      <c r="W60">
        <v>1.99354514534105</v>
      </c>
      <c r="Y60" t="s">
        <v>418</v>
      </c>
      <c r="Z60" t="s">
        <v>422</v>
      </c>
      <c r="AA60">
        <v>0</v>
      </c>
      <c r="AB60">
        <v>0</v>
      </c>
      <c r="AC60" t="s">
        <v>422</v>
      </c>
      <c r="AD60" t="s">
        <v>422</v>
      </c>
      <c r="AE60" t="s">
        <v>422</v>
      </c>
      <c r="AF60" t="s">
        <v>422</v>
      </c>
      <c r="AG60" t="s">
        <v>422</v>
      </c>
      <c r="AH60" t="s">
        <v>422</v>
      </c>
      <c r="AI60" t="s">
        <v>422</v>
      </c>
      <c r="AJ60">
        <v>0</v>
      </c>
      <c r="AK60">
        <v>0</v>
      </c>
      <c r="AL60">
        <v>0</v>
      </c>
      <c r="AN60">
        <v>0</v>
      </c>
      <c r="AO60" t="s">
        <v>424</v>
      </c>
      <c r="AQ60" t="s">
        <v>424</v>
      </c>
      <c r="AR60" t="s">
        <v>424</v>
      </c>
      <c r="AS60" t="s">
        <v>424</v>
      </c>
      <c r="AU60">
        <v>0</v>
      </c>
      <c r="AV60">
        <v>0</v>
      </c>
      <c r="AW60">
        <v>0</v>
      </c>
      <c r="AX60">
        <v>0</v>
      </c>
      <c r="AY60">
        <v>2.5590000000000002</v>
      </c>
      <c r="AZ60">
        <v>2.673</v>
      </c>
      <c r="BA60" t="s">
        <v>420</v>
      </c>
      <c r="BB60">
        <v>1</v>
      </c>
      <c r="BC60">
        <v>1</v>
      </c>
      <c r="BD60" t="s">
        <v>438</v>
      </c>
      <c r="BE60">
        <v>0</v>
      </c>
      <c r="BF60">
        <v>0</v>
      </c>
      <c r="BG60">
        <v>0</v>
      </c>
      <c r="CK60">
        <v>2.6160000000000001</v>
      </c>
      <c r="CM60" t="s">
        <v>450</v>
      </c>
      <c r="CO60">
        <v>1.99354514534105</v>
      </c>
      <c r="CP60">
        <v>3.1</v>
      </c>
      <c r="CQ60">
        <v>2.546772572670525</v>
      </c>
      <c r="CR60">
        <v>-0.18</v>
      </c>
      <c r="CS60">
        <v>2.3667725726705249</v>
      </c>
      <c r="CT60">
        <v>0</v>
      </c>
      <c r="CU60">
        <v>1.0550166365761129E-2</v>
      </c>
      <c r="CV60">
        <v>0</v>
      </c>
    </row>
    <row r="61" spans="1:100" x14ac:dyDescent="0.25">
      <c r="A61">
        <v>895</v>
      </c>
      <c r="B61" t="s">
        <v>181</v>
      </c>
      <c r="C61" t="s">
        <v>281</v>
      </c>
      <c r="D61" t="s">
        <v>381</v>
      </c>
      <c r="E61" t="s">
        <v>403</v>
      </c>
      <c r="F61">
        <v>441412540</v>
      </c>
      <c r="G61">
        <v>14.978809999999999</v>
      </c>
      <c r="H61">
        <f>_xlfn.XLOOKUP(D61,[2]prices!$A$2:$A$6953,[2]prices!$E$2:$E$6953)</f>
        <v>12.996202635</v>
      </c>
      <c r="I61" t="s">
        <v>413</v>
      </c>
      <c r="J61">
        <v>6611834568.2774</v>
      </c>
      <c r="K61" t="s">
        <v>416</v>
      </c>
      <c r="L61">
        <v>15552731.930010101</v>
      </c>
      <c r="M61">
        <v>1</v>
      </c>
      <c r="N61">
        <v>6611834568.2774</v>
      </c>
      <c r="O61">
        <v>17338684571.200001</v>
      </c>
      <c r="P61">
        <f>_xlfn.XLOOKUP(D61,[1]full_dataframe_final!$C$2:$C$101,[1]full_dataframe_final!$I$2:$I$101)</f>
        <v>4.1651766282956304E-3</v>
      </c>
      <c r="Q61">
        <f t="shared" si="0"/>
        <v>177855337806.2966</v>
      </c>
      <c r="R61">
        <f t="shared" si="1"/>
        <v>11360190005.514908</v>
      </c>
      <c r="S61">
        <f t="shared" si="2"/>
        <v>758417391.33582091</v>
      </c>
      <c r="T61">
        <f t="shared" si="3"/>
        <v>13685177339</v>
      </c>
      <c r="U61">
        <v>50203030</v>
      </c>
      <c r="V61">
        <v>5020</v>
      </c>
      <c r="W61">
        <v>1.6338401605731001</v>
      </c>
      <c r="X61">
        <v>1.5</v>
      </c>
      <c r="Y61" t="s">
        <v>417</v>
      </c>
      <c r="Z61" t="s">
        <v>422</v>
      </c>
      <c r="AA61">
        <v>0</v>
      </c>
      <c r="AB61">
        <v>0</v>
      </c>
      <c r="AC61" t="s">
        <v>422</v>
      </c>
      <c r="AD61" t="s">
        <v>422</v>
      </c>
      <c r="AE61" t="s">
        <v>422</v>
      </c>
      <c r="AF61" t="s">
        <v>422</v>
      </c>
      <c r="AG61" t="s">
        <v>422</v>
      </c>
      <c r="AH61" t="s">
        <v>422</v>
      </c>
      <c r="AI61" t="s">
        <v>422</v>
      </c>
      <c r="AJ61">
        <v>0</v>
      </c>
      <c r="AK61">
        <v>0</v>
      </c>
      <c r="AL61">
        <v>0</v>
      </c>
      <c r="AN61">
        <v>0</v>
      </c>
      <c r="AO61" t="s">
        <v>424</v>
      </c>
      <c r="AQ61" t="s">
        <v>424</v>
      </c>
      <c r="AR61" t="s">
        <v>424</v>
      </c>
      <c r="AS61" t="s">
        <v>424</v>
      </c>
      <c r="AU61">
        <v>0</v>
      </c>
      <c r="AV61">
        <v>0</v>
      </c>
      <c r="AW61">
        <v>0</v>
      </c>
      <c r="AX61">
        <v>0</v>
      </c>
      <c r="AY61">
        <v>2.3959999999999999</v>
      </c>
      <c r="AZ61">
        <v>3.2839999999999998</v>
      </c>
      <c r="BA61" t="s">
        <v>420</v>
      </c>
      <c r="BB61">
        <v>1</v>
      </c>
      <c r="BC61">
        <v>0</v>
      </c>
      <c r="BD61" t="s">
        <v>442</v>
      </c>
      <c r="BE61">
        <v>0</v>
      </c>
      <c r="BF61">
        <v>0</v>
      </c>
      <c r="BG61">
        <v>0</v>
      </c>
      <c r="CK61">
        <v>2.84</v>
      </c>
      <c r="CM61" t="s">
        <v>450</v>
      </c>
      <c r="CO61">
        <v>1.6338401605731001</v>
      </c>
      <c r="CP61">
        <v>1.5</v>
      </c>
      <c r="CQ61">
        <v>1.5669200802865499</v>
      </c>
      <c r="CR61">
        <v>-0.3</v>
      </c>
      <c r="CS61">
        <v>1.2669200802865499</v>
      </c>
      <c r="CT61">
        <v>1</v>
      </c>
      <c r="CU61">
        <v>5.0718725242343181E-3</v>
      </c>
      <c r="CV61">
        <v>0</v>
      </c>
    </row>
    <row r="62" spans="1:100" x14ac:dyDescent="0.25">
      <c r="A62">
        <v>919</v>
      </c>
      <c r="B62" t="s">
        <v>137</v>
      </c>
      <c r="C62" t="s">
        <v>237</v>
      </c>
      <c r="D62" t="s">
        <v>337</v>
      </c>
      <c r="E62" t="s">
        <v>403</v>
      </c>
      <c r="F62">
        <v>8058562000</v>
      </c>
      <c r="G62">
        <v>5.4620050000000004</v>
      </c>
      <c r="H62">
        <f>_xlfn.XLOOKUP(D62,[2]prices!$A$2:$A$6953,[2]prices!$E$2:$E$6953)</f>
        <v>5.3422986809999999</v>
      </c>
      <c r="I62" t="s">
        <v>413</v>
      </c>
      <c r="J62">
        <v>44015905936.810013</v>
      </c>
      <c r="K62" t="s">
        <v>416</v>
      </c>
      <c r="L62">
        <v>81343299.2132736</v>
      </c>
      <c r="M62">
        <v>0.9</v>
      </c>
      <c r="N62">
        <v>39614315343.129013</v>
      </c>
      <c r="O62">
        <v>1445464265940</v>
      </c>
      <c r="P62">
        <f>_xlfn.XLOOKUP(D62,[1]full_dataframe_final!$C$2:$C$101,[1]full_dataframe_final!$I$2:$I$101)</f>
        <v>7.0329983696302079E-3</v>
      </c>
      <c r="Q62">
        <f t="shared" si="0"/>
        <v>300312906858.30005</v>
      </c>
      <c r="R62">
        <f t="shared" si="1"/>
        <v>19181947109.928169</v>
      </c>
      <c r="S62">
        <f t="shared" si="2"/>
        <v>3511887504.6669068</v>
      </c>
      <c r="T62">
        <f t="shared" si="3"/>
        <v>56214173858</v>
      </c>
      <c r="U62">
        <v>30101010</v>
      </c>
      <c r="V62">
        <v>3010</v>
      </c>
      <c r="W62">
        <v>1.9993421653535901</v>
      </c>
      <c r="Y62" t="s">
        <v>419</v>
      </c>
      <c r="Z62" t="s">
        <v>422</v>
      </c>
      <c r="AA62">
        <v>0</v>
      </c>
      <c r="AB62">
        <v>0</v>
      </c>
      <c r="AC62" t="s">
        <v>422</v>
      </c>
      <c r="AD62" t="s">
        <v>422</v>
      </c>
      <c r="AE62" t="s">
        <v>422</v>
      </c>
      <c r="AF62" t="s">
        <v>422</v>
      </c>
      <c r="AG62" t="s">
        <v>422</v>
      </c>
      <c r="AH62" t="s">
        <v>422</v>
      </c>
      <c r="AI62" t="s">
        <v>422</v>
      </c>
      <c r="AJ62">
        <v>0</v>
      </c>
      <c r="AK62">
        <v>0</v>
      </c>
      <c r="AL62">
        <v>0</v>
      </c>
      <c r="AN62">
        <v>0</v>
      </c>
      <c r="AO62" t="s">
        <v>424</v>
      </c>
      <c r="AQ62" t="s">
        <v>424</v>
      </c>
      <c r="AR62" t="s">
        <v>424</v>
      </c>
      <c r="AS62" t="s">
        <v>424</v>
      </c>
      <c r="AU62">
        <v>0</v>
      </c>
      <c r="AV62">
        <v>0</v>
      </c>
      <c r="AW62">
        <v>0</v>
      </c>
      <c r="AX62">
        <v>0</v>
      </c>
      <c r="AY62">
        <v>2.4140000000000001</v>
      </c>
      <c r="AZ62">
        <v>2.734</v>
      </c>
      <c r="BA62" t="s">
        <v>430</v>
      </c>
      <c r="BB62">
        <v>0</v>
      </c>
      <c r="BC62">
        <v>0</v>
      </c>
      <c r="BD62" t="s">
        <v>442</v>
      </c>
      <c r="BE62">
        <v>0</v>
      </c>
      <c r="BF62">
        <v>0</v>
      </c>
      <c r="BG62">
        <v>0</v>
      </c>
      <c r="CK62">
        <v>2.5739999999999998</v>
      </c>
      <c r="CM62" t="s">
        <v>450</v>
      </c>
      <c r="CO62">
        <v>1.9993421653535901</v>
      </c>
      <c r="CP62">
        <v>3.1</v>
      </c>
      <c r="CQ62">
        <v>2.5496710826767952</v>
      </c>
      <c r="CR62">
        <v>-0.24</v>
      </c>
      <c r="CS62">
        <v>2.309671082676795</v>
      </c>
      <c r="CT62">
        <v>0</v>
      </c>
      <c r="CU62">
        <v>5.8254174956336988E-2</v>
      </c>
      <c r="CV62">
        <v>9.4481954283728298E-3</v>
      </c>
    </row>
    <row r="63" spans="1:100" x14ac:dyDescent="0.25">
      <c r="A63">
        <v>923</v>
      </c>
      <c r="B63" t="s">
        <v>173</v>
      </c>
      <c r="C63" t="s">
        <v>273</v>
      </c>
      <c r="D63" t="s">
        <v>373</v>
      </c>
      <c r="E63" t="s">
        <v>406</v>
      </c>
      <c r="F63">
        <v>2620000000</v>
      </c>
      <c r="G63">
        <v>90.485759999999999</v>
      </c>
      <c r="H63">
        <f>_xlfn.XLOOKUP(D63,[2]prices!$A$2:$A$6953,[2]prices!$E$2:$E$6953)</f>
        <v>93.272864859999984</v>
      </c>
      <c r="I63" t="s">
        <v>414</v>
      </c>
      <c r="J63">
        <v>237072691200</v>
      </c>
      <c r="K63" t="s">
        <v>416</v>
      </c>
      <c r="L63">
        <v>395799404.31295902</v>
      </c>
      <c r="M63">
        <v>1</v>
      </c>
      <c r="N63">
        <v>237072691200</v>
      </c>
      <c r="O63">
        <v>522166000000</v>
      </c>
      <c r="P63">
        <f>_xlfn.XLOOKUP(D63,[1]full_dataframe_final!$C$2:$C$101,[1]full_dataframe_final!$I$2:$I$101)</f>
        <v>4.4357687611167998E-2</v>
      </c>
      <c r="Q63">
        <f t="shared" si="0"/>
        <v>1894097710237.73</v>
      </c>
      <c r="R63">
        <f t="shared" si="1"/>
        <v>120982086580.64552</v>
      </c>
      <c r="S63">
        <f t="shared" si="2"/>
        <v>1337029015.1803503</v>
      </c>
      <c r="T63">
        <f t="shared" si="3"/>
        <v>20307060505</v>
      </c>
      <c r="U63">
        <v>45102020</v>
      </c>
      <c r="V63">
        <v>4510</v>
      </c>
      <c r="W63">
        <v>1.74112504395241</v>
      </c>
      <c r="X63">
        <v>1.5</v>
      </c>
      <c r="Y63" t="s">
        <v>419</v>
      </c>
      <c r="Z63" t="s">
        <v>422</v>
      </c>
      <c r="AA63">
        <v>0</v>
      </c>
      <c r="AB63">
        <v>0</v>
      </c>
      <c r="AC63" t="s">
        <v>422</v>
      </c>
      <c r="AD63" t="s">
        <v>422</v>
      </c>
      <c r="AE63" t="s">
        <v>422</v>
      </c>
      <c r="AF63" t="s">
        <v>422</v>
      </c>
      <c r="AG63" t="s">
        <v>422</v>
      </c>
      <c r="AH63" t="s">
        <v>422</v>
      </c>
      <c r="AI63" t="s">
        <v>422</v>
      </c>
      <c r="AJ63">
        <v>0</v>
      </c>
      <c r="AK63">
        <v>0</v>
      </c>
      <c r="AL63">
        <v>0</v>
      </c>
      <c r="AN63">
        <v>0</v>
      </c>
      <c r="AO63" t="s">
        <v>424</v>
      </c>
      <c r="AQ63" t="s">
        <v>424</v>
      </c>
      <c r="AR63" t="s">
        <v>424</v>
      </c>
      <c r="AS63" t="s">
        <v>424</v>
      </c>
      <c r="AU63">
        <v>0</v>
      </c>
      <c r="AV63">
        <v>0</v>
      </c>
      <c r="AW63">
        <v>0</v>
      </c>
      <c r="AX63">
        <v>0</v>
      </c>
      <c r="AY63">
        <v>2.2480000000000002</v>
      </c>
      <c r="AZ63">
        <v>2.8980000000000001</v>
      </c>
      <c r="BA63" t="s">
        <v>420</v>
      </c>
      <c r="BB63">
        <v>1</v>
      </c>
      <c r="BC63">
        <v>0</v>
      </c>
      <c r="BD63" t="s">
        <v>446</v>
      </c>
      <c r="BE63">
        <v>0</v>
      </c>
      <c r="BF63">
        <v>0</v>
      </c>
      <c r="BG63">
        <v>0</v>
      </c>
      <c r="CK63">
        <v>2.573</v>
      </c>
      <c r="CM63" t="s">
        <v>450</v>
      </c>
      <c r="CO63">
        <v>1.74112504395241</v>
      </c>
      <c r="CP63">
        <v>1.5</v>
      </c>
      <c r="CQ63">
        <v>1.620562521976205</v>
      </c>
      <c r="CR63">
        <v>-0.24</v>
      </c>
      <c r="CS63">
        <v>1.380562521976205</v>
      </c>
      <c r="CT63">
        <v>1</v>
      </c>
      <c r="CU63">
        <v>0.1</v>
      </c>
      <c r="CV63">
        <v>0</v>
      </c>
    </row>
    <row r="64" spans="1:100" x14ac:dyDescent="0.25">
      <c r="A64">
        <v>931</v>
      </c>
      <c r="B64" t="s">
        <v>166</v>
      </c>
      <c r="C64" t="s">
        <v>266</v>
      </c>
      <c r="D64" t="s">
        <v>366</v>
      </c>
      <c r="E64" t="s">
        <v>403</v>
      </c>
      <c r="F64">
        <v>123443540</v>
      </c>
      <c r="G64">
        <v>121.0757</v>
      </c>
      <c r="H64">
        <f>_xlfn.XLOOKUP(D64,[2]prices!$A$2:$A$6953,[2]prices!$E$2:$E$6953)</f>
        <v>139.84218039999999</v>
      </c>
      <c r="I64" t="s">
        <v>413</v>
      </c>
      <c r="J64">
        <v>14946013015.978001</v>
      </c>
      <c r="K64" t="s">
        <v>416</v>
      </c>
      <c r="L64">
        <v>22701103.9734562</v>
      </c>
      <c r="M64">
        <v>0.9</v>
      </c>
      <c r="N64">
        <v>13451411714.380199</v>
      </c>
      <c r="O64">
        <v>22142067769.799999</v>
      </c>
      <c r="P64">
        <f>_xlfn.XLOOKUP(D64,[1]full_dataframe_final!$C$2:$C$101,[1]full_dataframe_final!$I$2:$I$101)</f>
        <v>1.128031807076511E-2</v>
      </c>
      <c r="Q64">
        <f t="shared" si="0"/>
        <v>481675799150.76837</v>
      </c>
      <c r="R64">
        <f t="shared" si="1"/>
        <v>30766175853.380783</v>
      </c>
      <c r="S64">
        <f t="shared" si="2"/>
        <v>254106941.80071461</v>
      </c>
      <c r="T64">
        <f t="shared" si="3"/>
        <v>3444424262</v>
      </c>
      <c r="U64">
        <v>40401010</v>
      </c>
      <c r="V64">
        <v>4040</v>
      </c>
      <c r="W64">
        <v>1.98869886550994</v>
      </c>
      <c r="X64">
        <v>1.5</v>
      </c>
      <c r="Y64" t="s">
        <v>418</v>
      </c>
      <c r="Z64" t="s">
        <v>422</v>
      </c>
      <c r="AA64">
        <v>0</v>
      </c>
      <c r="AB64">
        <v>0</v>
      </c>
      <c r="AC64" t="s">
        <v>422</v>
      </c>
      <c r="AD64" t="s">
        <v>422</v>
      </c>
      <c r="AE64" t="s">
        <v>422</v>
      </c>
      <c r="AF64" t="s">
        <v>422</v>
      </c>
      <c r="AG64" t="s">
        <v>422</v>
      </c>
      <c r="AH64" t="s">
        <v>422</v>
      </c>
      <c r="AI64" t="s">
        <v>422</v>
      </c>
      <c r="AJ64">
        <v>0</v>
      </c>
      <c r="AK64">
        <v>0</v>
      </c>
      <c r="AL64">
        <v>0</v>
      </c>
      <c r="AN64">
        <v>0</v>
      </c>
      <c r="AO64" t="s">
        <v>424</v>
      </c>
      <c r="AQ64" t="s">
        <v>424</v>
      </c>
      <c r="AR64" t="s">
        <v>424</v>
      </c>
      <c r="AS64" t="s">
        <v>424</v>
      </c>
      <c r="AU64">
        <v>0</v>
      </c>
      <c r="AV64">
        <v>0</v>
      </c>
      <c r="AW64">
        <v>0</v>
      </c>
      <c r="AX64">
        <v>0</v>
      </c>
      <c r="AY64">
        <v>2.3570000000000002</v>
      </c>
      <c r="AZ64">
        <v>2.1</v>
      </c>
      <c r="BA64" t="s">
        <v>431</v>
      </c>
      <c r="BB64">
        <v>1</v>
      </c>
      <c r="BC64">
        <v>0</v>
      </c>
      <c r="BD64" t="s">
        <v>442</v>
      </c>
      <c r="BE64">
        <v>0</v>
      </c>
      <c r="BF64">
        <v>0</v>
      </c>
      <c r="BG64">
        <v>0</v>
      </c>
      <c r="CK64">
        <v>2.2284999999999999</v>
      </c>
      <c r="CM64" t="s">
        <v>450</v>
      </c>
      <c r="CO64">
        <v>1.98869886550994</v>
      </c>
      <c r="CP64">
        <v>1.5</v>
      </c>
      <c r="CQ64">
        <v>1.74434943275497</v>
      </c>
      <c r="CR64">
        <v>-0.18</v>
      </c>
      <c r="CS64">
        <v>1.5643494327549701</v>
      </c>
      <c r="CT64">
        <v>1</v>
      </c>
      <c r="CU64">
        <v>7.3288740950187897E-3</v>
      </c>
      <c r="CV64">
        <v>0</v>
      </c>
    </row>
    <row r="65" spans="1:100" x14ac:dyDescent="0.25">
      <c r="A65">
        <v>970</v>
      </c>
      <c r="B65" t="s">
        <v>101</v>
      </c>
      <c r="C65" t="s">
        <v>201</v>
      </c>
      <c r="D65" t="s">
        <v>301</v>
      </c>
      <c r="E65" t="s">
        <v>400</v>
      </c>
      <c r="F65">
        <v>2009015998</v>
      </c>
      <c r="G65">
        <v>5.7135639999999999</v>
      </c>
      <c r="H65">
        <f>_xlfn.XLOOKUP(D65,[2]prices!$A$2:$A$6953,[2]prices!$E$2:$E$6953)</f>
        <v>4.5018757799999998</v>
      </c>
      <c r="I65" t="s">
        <v>411</v>
      </c>
      <c r="J65">
        <v>11478641481.59687</v>
      </c>
      <c r="K65" t="s">
        <v>416</v>
      </c>
      <c r="L65">
        <v>22699023.726144701</v>
      </c>
      <c r="M65">
        <v>0.65</v>
      </c>
      <c r="N65">
        <v>7461116963.0379677</v>
      </c>
      <c r="O65">
        <v>260257977460.91</v>
      </c>
      <c r="P65">
        <f>_xlfn.XLOOKUP(D65,[1]full_dataframe_final!$C$2:$C$101,[1]full_dataframe_final!$I$2:$I$101)</f>
        <v>3.571428571428547E-3</v>
      </c>
      <c r="Q65">
        <f t="shared" si="0"/>
        <v>152501968513.73462</v>
      </c>
      <c r="R65">
        <f t="shared" si="1"/>
        <v>9740789114.9036026</v>
      </c>
      <c r="S65">
        <f t="shared" si="2"/>
        <v>1704853418.0948358</v>
      </c>
      <c r="T65">
        <f t="shared" si="3"/>
        <v>33875205795</v>
      </c>
      <c r="U65">
        <v>55102035</v>
      </c>
      <c r="V65">
        <v>5510</v>
      </c>
      <c r="W65">
        <v>2.7283290216989098</v>
      </c>
      <c r="X65">
        <v>1.5</v>
      </c>
      <c r="Y65" t="s">
        <v>420</v>
      </c>
      <c r="Z65" t="s">
        <v>422</v>
      </c>
      <c r="AA65">
        <v>0</v>
      </c>
      <c r="AB65">
        <v>0</v>
      </c>
      <c r="AC65" t="s">
        <v>422</v>
      </c>
      <c r="AD65" t="s">
        <v>422</v>
      </c>
      <c r="AE65" t="s">
        <v>422</v>
      </c>
      <c r="AF65" t="s">
        <v>422</v>
      </c>
      <c r="AG65" t="s">
        <v>422</v>
      </c>
      <c r="AH65" t="s">
        <v>422</v>
      </c>
      <c r="AI65" t="s">
        <v>422</v>
      </c>
      <c r="AJ65">
        <v>0</v>
      </c>
      <c r="AK65">
        <v>0</v>
      </c>
      <c r="AL65">
        <v>0</v>
      </c>
      <c r="AN65">
        <v>0</v>
      </c>
      <c r="AO65" t="s">
        <v>424</v>
      </c>
      <c r="AQ65" t="s">
        <v>424</v>
      </c>
      <c r="AR65" t="s">
        <v>424</v>
      </c>
      <c r="AS65" t="s">
        <v>424</v>
      </c>
      <c r="AU65">
        <v>0</v>
      </c>
      <c r="AV65">
        <v>0</v>
      </c>
      <c r="AW65">
        <v>0</v>
      </c>
      <c r="AX65">
        <v>0</v>
      </c>
      <c r="AY65">
        <v>2.8610000000000002</v>
      </c>
      <c r="AZ65">
        <v>3.7229999999999999</v>
      </c>
      <c r="BA65" t="s">
        <v>420</v>
      </c>
      <c r="BB65">
        <v>1</v>
      </c>
      <c r="BC65">
        <v>1</v>
      </c>
      <c r="BD65" t="s">
        <v>439</v>
      </c>
      <c r="BE65">
        <v>0</v>
      </c>
      <c r="BF65">
        <v>0</v>
      </c>
      <c r="BG65">
        <v>0</v>
      </c>
      <c r="CK65">
        <v>3.2919999999999998</v>
      </c>
      <c r="CM65" t="s">
        <v>450</v>
      </c>
      <c r="CO65">
        <v>2.7283290216989098</v>
      </c>
      <c r="CP65">
        <v>1.5</v>
      </c>
      <c r="CQ65">
        <v>2.1141645108494549</v>
      </c>
      <c r="CR65">
        <v>0</v>
      </c>
      <c r="CS65">
        <v>2.1141645108494549</v>
      </c>
      <c r="CT65">
        <v>0</v>
      </c>
      <c r="CU65">
        <v>2.3119223720127539E-2</v>
      </c>
      <c r="CV65">
        <v>0</v>
      </c>
    </row>
    <row r="66" spans="1:100" x14ac:dyDescent="0.25">
      <c r="A66">
        <v>974</v>
      </c>
      <c r="B66" t="s">
        <v>118</v>
      </c>
      <c r="C66" t="s">
        <v>218</v>
      </c>
      <c r="D66" t="s">
        <v>318</v>
      </c>
      <c r="E66" t="s">
        <v>406</v>
      </c>
      <c r="F66">
        <v>2189930400</v>
      </c>
      <c r="G66">
        <v>104.3617</v>
      </c>
      <c r="H66">
        <f>_xlfn.XLOOKUP(D66,[2]prices!$A$2:$A$6953,[2]prices!$E$2:$E$6953)</f>
        <v>97.39768939999999</v>
      </c>
      <c r="I66" t="s">
        <v>414</v>
      </c>
      <c r="J66">
        <v>228544859425.67999</v>
      </c>
      <c r="K66" t="s">
        <v>416</v>
      </c>
      <c r="L66">
        <v>348052438.84857303</v>
      </c>
      <c r="M66">
        <v>0.95</v>
      </c>
      <c r="N66">
        <v>217117616454.396</v>
      </c>
      <c r="O66">
        <v>414630472284</v>
      </c>
      <c r="P66">
        <f>_xlfn.XLOOKUP(D66,[1]full_dataframe_final!$C$2:$C$101,[1]full_dataframe_final!$I$2:$I$101)</f>
        <v>5.4322536703861342E-2</v>
      </c>
      <c r="Q66">
        <f t="shared" si="0"/>
        <v>2319602258959.5835</v>
      </c>
      <c r="R66">
        <f t="shared" si="1"/>
        <v>148160424781.29971</v>
      </c>
      <c r="S66">
        <f t="shared" si="2"/>
        <v>1419681978.9376726</v>
      </c>
      <c r="T66">
        <f t="shared" si="3"/>
        <v>23815783241</v>
      </c>
      <c r="U66">
        <v>20103015</v>
      </c>
      <c r="V66">
        <v>2010</v>
      </c>
      <c r="W66">
        <v>1.7351435772655099</v>
      </c>
      <c r="X66">
        <v>1.5</v>
      </c>
      <c r="Y66" t="s">
        <v>417</v>
      </c>
      <c r="Z66" t="s">
        <v>422</v>
      </c>
      <c r="AA66">
        <v>0</v>
      </c>
      <c r="AB66">
        <v>0</v>
      </c>
      <c r="AC66" t="s">
        <v>422</v>
      </c>
      <c r="AD66" t="s">
        <v>422</v>
      </c>
      <c r="AE66" t="s">
        <v>422</v>
      </c>
      <c r="AF66" t="s">
        <v>422</v>
      </c>
      <c r="AG66" t="s">
        <v>422</v>
      </c>
      <c r="AH66" t="s">
        <v>422</v>
      </c>
      <c r="AI66" t="s">
        <v>422</v>
      </c>
      <c r="AJ66">
        <v>0</v>
      </c>
      <c r="AK66">
        <v>0</v>
      </c>
      <c r="AL66">
        <v>0</v>
      </c>
      <c r="AN66">
        <v>0</v>
      </c>
      <c r="AO66" t="s">
        <v>424</v>
      </c>
      <c r="AQ66" t="s">
        <v>424</v>
      </c>
      <c r="AR66" t="s">
        <v>424</v>
      </c>
      <c r="AS66" t="s">
        <v>424</v>
      </c>
      <c r="AU66">
        <v>0</v>
      </c>
      <c r="AV66">
        <v>0</v>
      </c>
      <c r="AW66">
        <v>0</v>
      </c>
      <c r="AX66">
        <v>0</v>
      </c>
      <c r="AY66">
        <v>2.9780000000000002</v>
      </c>
      <c r="AZ66">
        <v>2.9729999999999999</v>
      </c>
      <c r="BA66" t="s">
        <v>420</v>
      </c>
      <c r="BB66">
        <v>1</v>
      </c>
      <c r="BC66">
        <v>0</v>
      </c>
      <c r="BD66" t="s">
        <v>446</v>
      </c>
      <c r="BE66">
        <v>0</v>
      </c>
      <c r="BF66">
        <v>0</v>
      </c>
      <c r="BG66">
        <v>0</v>
      </c>
      <c r="CK66">
        <v>2.9754999999999998</v>
      </c>
      <c r="CM66" t="s">
        <v>450</v>
      </c>
      <c r="CO66">
        <v>1.7351435772655099</v>
      </c>
      <c r="CP66">
        <v>1.5</v>
      </c>
      <c r="CQ66">
        <v>1.617571788632755</v>
      </c>
      <c r="CR66">
        <v>-0.3</v>
      </c>
      <c r="CS66">
        <v>1.3175717886327549</v>
      </c>
      <c r="CT66">
        <v>1</v>
      </c>
      <c r="CU66">
        <v>0.1</v>
      </c>
      <c r="CV66">
        <v>0</v>
      </c>
    </row>
    <row r="67" spans="1:100" x14ac:dyDescent="0.25">
      <c r="A67">
        <v>976</v>
      </c>
      <c r="B67" t="s">
        <v>116</v>
      </c>
      <c r="C67" t="s">
        <v>216</v>
      </c>
      <c r="D67" t="s">
        <v>316</v>
      </c>
      <c r="E67" t="s">
        <v>402</v>
      </c>
      <c r="F67">
        <v>414555050</v>
      </c>
      <c r="G67">
        <v>53.644550000000002</v>
      </c>
      <c r="H67">
        <f>_xlfn.XLOOKUP(D67,[2]prices!$A$2:$A$6953,[2]prices!$E$2:$E$6953)</f>
        <v>54.921869800000003</v>
      </c>
      <c r="I67" t="s">
        <v>412</v>
      </c>
      <c r="J67">
        <v>22238619107.477501</v>
      </c>
      <c r="K67" t="s">
        <v>416</v>
      </c>
      <c r="L67">
        <v>28551144.8592216</v>
      </c>
      <c r="M67">
        <v>0.85</v>
      </c>
      <c r="N67">
        <v>18902826241.355881</v>
      </c>
      <c r="O67">
        <v>70227698245.25</v>
      </c>
      <c r="P67">
        <f>_xlfn.XLOOKUP(D67,[1]full_dataframe_final!$C$2:$C$101,[1]full_dataframe_final!$I$2:$I$101)</f>
        <v>3.512843001685511E-3</v>
      </c>
      <c r="Q67">
        <f t="shared" ref="Q67:Q101" si="4">SUM($O$2:$O$101)*P67</f>
        <v>150000332394.28732</v>
      </c>
      <c r="R67">
        <f t="shared" ref="R67:R101" si="5">SUM($N$2:$N$101)*P67</f>
        <v>9581001604.4914513</v>
      </c>
      <c r="S67">
        <f t="shared" ref="S67:S101" si="6">R67/G67</f>
        <v>178601584.02841389</v>
      </c>
      <c r="T67">
        <f t="shared" ref="T67:T101" si="7">ROUNDDOWN(Q67/H67,0)</f>
        <v>2731158515</v>
      </c>
      <c r="U67">
        <v>20103010</v>
      </c>
      <c r="V67">
        <v>2010</v>
      </c>
      <c r="W67">
        <v>1.7046060481660801</v>
      </c>
      <c r="X67">
        <v>1.5</v>
      </c>
      <c r="Y67" t="s">
        <v>417</v>
      </c>
      <c r="Z67" t="s">
        <v>422</v>
      </c>
      <c r="AA67">
        <v>0</v>
      </c>
      <c r="AB67">
        <v>0</v>
      </c>
      <c r="AC67" t="s">
        <v>422</v>
      </c>
      <c r="AD67" t="s">
        <v>422</v>
      </c>
      <c r="AE67" t="s">
        <v>422</v>
      </c>
      <c r="AF67" t="s">
        <v>422</v>
      </c>
      <c r="AG67" t="s">
        <v>422</v>
      </c>
      <c r="AH67" t="s">
        <v>422</v>
      </c>
      <c r="AI67" t="s">
        <v>422</v>
      </c>
      <c r="AJ67">
        <v>0</v>
      </c>
      <c r="AK67">
        <v>0</v>
      </c>
      <c r="AL67">
        <v>0</v>
      </c>
      <c r="AN67">
        <v>0</v>
      </c>
      <c r="AO67" t="s">
        <v>424</v>
      </c>
      <c r="AQ67" t="s">
        <v>424</v>
      </c>
      <c r="AR67" t="s">
        <v>424</v>
      </c>
      <c r="AS67" t="s">
        <v>424</v>
      </c>
      <c r="AU67">
        <v>0</v>
      </c>
      <c r="AV67">
        <v>0</v>
      </c>
      <c r="AW67">
        <v>0</v>
      </c>
      <c r="AX67">
        <v>0</v>
      </c>
      <c r="AY67">
        <v>2.5750000000000002</v>
      </c>
      <c r="AZ67">
        <v>2.8759999999999999</v>
      </c>
      <c r="BA67" t="s">
        <v>420</v>
      </c>
      <c r="BB67">
        <v>1</v>
      </c>
      <c r="BC67">
        <v>0</v>
      </c>
      <c r="BD67" t="s">
        <v>441</v>
      </c>
      <c r="BE67">
        <v>0</v>
      </c>
      <c r="BF67">
        <v>0</v>
      </c>
      <c r="BG67">
        <v>0</v>
      </c>
      <c r="CK67">
        <v>2.7254999999999998</v>
      </c>
      <c r="CM67" t="s">
        <v>450</v>
      </c>
      <c r="CO67">
        <v>1.7046060481660801</v>
      </c>
      <c r="CP67">
        <v>1.5</v>
      </c>
      <c r="CQ67">
        <v>1.60230302408304</v>
      </c>
      <c r="CR67">
        <v>-0.3</v>
      </c>
      <c r="CS67">
        <v>1.30230302408304</v>
      </c>
      <c r="CT67">
        <v>1</v>
      </c>
      <c r="CU67">
        <v>1.020999900197448E-2</v>
      </c>
      <c r="CV67">
        <v>0</v>
      </c>
    </row>
    <row r="68" spans="1:100" x14ac:dyDescent="0.25">
      <c r="A68">
        <v>1002</v>
      </c>
      <c r="B68" t="s">
        <v>114</v>
      </c>
      <c r="C68" t="s">
        <v>214</v>
      </c>
      <c r="D68" t="s">
        <v>314</v>
      </c>
      <c r="E68" t="s">
        <v>394</v>
      </c>
      <c r="F68">
        <v>2660056599</v>
      </c>
      <c r="G68">
        <v>11.074999999999999</v>
      </c>
      <c r="H68">
        <f>_xlfn.XLOOKUP(D68,[2]prices!$A$2:$A$6953,[2]prices!$E$2:$E$6953)</f>
        <v>12.39</v>
      </c>
      <c r="I68" t="s">
        <v>409</v>
      </c>
      <c r="J68">
        <v>29460126833.924999</v>
      </c>
      <c r="K68" t="s">
        <v>415</v>
      </c>
      <c r="L68">
        <v>71522746.378896803</v>
      </c>
      <c r="M68">
        <v>0.65</v>
      </c>
      <c r="N68">
        <v>19149082442.05125</v>
      </c>
      <c r="O68">
        <v>344597032117.45502</v>
      </c>
      <c r="P68">
        <f>_xlfn.XLOOKUP(D68,[1]full_dataframe_final!$C$2:$C$101,[1]full_dataframe_final!$I$2:$I$101)</f>
        <v>5.3975529580520326E-3</v>
      </c>
      <c r="Q68">
        <f t="shared" si="4"/>
        <v>230478486352.82013</v>
      </c>
      <c r="R68">
        <f t="shared" si="5"/>
        <v>14721399028.254616</v>
      </c>
      <c r="S68">
        <f t="shared" si="6"/>
        <v>1329245961.9191527</v>
      </c>
      <c r="T68">
        <f t="shared" si="7"/>
        <v>18601976299</v>
      </c>
      <c r="U68">
        <v>15102015</v>
      </c>
      <c r="V68">
        <v>1510</v>
      </c>
      <c r="W68">
        <v>1.7104133479050101</v>
      </c>
      <c r="X68">
        <v>2.39</v>
      </c>
      <c r="Y68" t="s">
        <v>418</v>
      </c>
      <c r="Z68" t="s">
        <v>422</v>
      </c>
      <c r="AA68">
        <v>0</v>
      </c>
      <c r="AB68">
        <v>0</v>
      </c>
      <c r="AC68" t="s">
        <v>422</v>
      </c>
      <c r="AD68" t="s">
        <v>422</v>
      </c>
      <c r="AE68" t="s">
        <v>422</v>
      </c>
      <c r="AF68" t="s">
        <v>422</v>
      </c>
      <c r="AG68" t="s">
        <v>422</v>
      </c>
      <c r="AH68" t="s">
        <v>422</v>
      </c>
      <c r="AI68" t="s">
        <v>422</v>
      </c>
      <c r="AJ68">
        <v>0</v>
      </c>
      <c r="AK68">
        <v>0</v>
      </c>
      <c r="AL68">
        <v>0</v>
      </c>
      <c r="AN68">
        <v>0</v>
      </c>
      <c r="AO68" t="s">
        <v>424</v>
      </c>
      <c r="AQ68" t="s">
        <v>424</v>
      </c>
      <c r="AR68" t="s">
        <v>424</v>
      </c>
      <c r="AS68" t="s">
        <v>424</v>
      </c>
      <c r="AU68">
        <v>0</v>
      </c>
      <c r="AV68">
        <v>0</v>
      </c>
      <c r="AW68">
        <v>0</v>
      </c>
      <c r="AX68">
        <v>0</v>
      </c>
      <c r="AY68">
        <v>2.7160000000000002</v>
      </c>
      <c r="AZ68">
        <v>2.7469999999999999</v>
      </c>
      <c r="BA68" t="s">
        <v>426</v>
      </c>
      <c r="BB68">
        <v>0</v>
      </c>
      <c r="BC68">
        <v>0</v>
      </c>
      <c r="BD68" t="s">
        <v>433</v>
      </c>
      <c r="BE68">
        <v>0</v>
      </c>
      <c r="BF68">
        <v>0</v>
      </c>
      <c r="BG68">
        <v>0</v>
      </c>
      <c r="CK68">
        <v>2.7315</v>
      </c>
      <c r="CM68" t="s">
        <v>450</v>
      </c>
      <c r="CO68">
        <v>1.7104133479050101</v>
      </c>
      <c r="CP68">
        <v>2.39</v>
      </c>
      <c r="CQ68">
        <v>2.0502066739525051</v>
      </c>
      <c r="CR68">
        <v>-0.18</v>
      </c>
      <c r="CS68">
        <v>1.8702066739525049</v>
      </c>
      <c r="CT68">
        <v>0</v>
      </c>
      <c r="CU68">
        <v>2.9526907848506381E-2</v>
      </c>
      <c r="CV68">
        <v>0</v>
      </c>
    </row>
    <row r="69" spans="1:100" x14ac:dyDescent="0.25">
      <c r="A69">
        <v>1007</v>
      </c>
      <c r="B69" t="s">
        <v>125</v>
      </c>
      <c r="C69" t="s">
        <v>225</v>
      </c>
      <c r="D69" t="s">
        <v>325</v>
      </c>
      <c r="E69" t="s">
        <v>399</v>
      </c>
      <c r="F69">
        <v>108382010</v>
      </c>
      <c r="G69">
        <v>52.44</v>
      </c>
      <c r="H69">
        <f>_xlfn.XLOOKUP(D69,[2]prices!$A$2:$A$6953,[2]prices!$E$2:$E$6953)</f>
        <v>49.92</v>
      </c>
      <c r="I69" t="s">
        <v>409</v>
      </c>
      <c r="J69">
        <v>5683552604.3999996</v>
      </c>
      <c r="K69" t="s">
        <v>415</v>
      </c>
      <c r="L69">
        <v>9590018.5647457596</v>
      </c>
      <c r="M69">
        <v>1</v>
      </c>
      <c r="N69">
        <v>5683552604.3999996</v>
      </c>
      <c r="O69">
        <v>21600534593</v>
      </c>
      <c r="P69">
        <f>_xlfn.XLOOKUP(D69,[1]full_dataframe_final!$C$2:$C$101,[1]full_dataframe_final!$I$2:$I$101)</f>
        <v>9.8207367147080753E-4</v>
      </c>
      <c r="Q69">
        <f t="shared" si="4"/>
        <v>41935087074.946762</v>
      </c>
      <c r="R69">
        <f t="shared" si="5"/>
        <v>2678528308.1469707</v>
      </c>
      <c r="S69">
        <f t="shared" si="6"/>
        <v>51077961.635144375</v>
      </c>
      <c r="T69">
        <f t="shared" si="7"/>
        <v>840045814</v>
      </c>
      <c r="U69">
        <v>20103015</v>
      </c>
      <c r="V69">
        <v>2010</v>
      </c>
      <c r="W69">
        <v>1.9707580162642699</v>
      </c>
      <c r="X69">
        <v>2.7</v>
      </c>
      <c r="Y69" t="s">
        <v>418</v>
      </c>
      <c r="Z69" t="s">
        <v>422</v>
      </c>
      <c r="AA69">
        <v>0</v>
      </c>
      <c r="AB69">
        <v>0</v>
      </c>
      <c r="AC69" t="s">
        <v>422</v>
      </c>
      <c r="AD69" t="s">
        <v>422</v>
      </c>
      <c r="AE69" t="s">
        <v>422</v>
      </c>
      <c r="AF69" t="s">
        <v>422</v>
      </c>
      <c r="AG69" t="s">
        <v>422</v>
      </c>
      <c r="AH69" t="s">
        <v>422</v>
      </c>
      <c r="AI69" t="s">
        <v>422</v>
      </c>
      <c r="AJ69">
        <v>0</v>
      </c>
      <c r="AK69">
        <v>0</v>
      </c>
      <c r="AL69">
        <v>0</v>
      </c>
      <c r="AN69">
        <v>0</v>
      </c>
      <c r="AO69" t="s">
        <v>424</v>
      </c>
      <c r="AQ69" t="s">
        <v>424</v>
      </c>
      <c r="AR69" t="s">
        <v>424</v>
      </c>
      <c r="AS69" t="s">
        <v>424</v>
      </c>
      <c r="AU69">
        <v>0</v>
      </c>
      <c r="AV69">
        <v>0</v>
      </c>
      <c r="AW69">
        <v>0</v>
      </c>
      <c r="AX69">
        <v>0</v>
      </c>
      <c r="AY69">
        <v>2.4689999999999999</v>
      </c>
      <c r="AZ69">
        <v>2.8260000000000001</v>
      </c>
      <c r="BA69" t="s">
        <v>420</v>
      </c>
      <c r="BB69">
        <v>1</v>
      </c>
      <c r="BC69">
        <v>0</v>
      </c>
      <c r="BD69" t="s">
        <v>438</v>
      </c>
      <c r="BE69">
        <v>0</v>
      </c>
      <c r="BF69">
        <v>0</v>
      </c>
      <c r="BG69">
        <v>0</v>
      </c>
      <c r="CK69">
        <v>2.6475</v>
      </c>
      <c r="CM69" t="s">
        <v>450</v>
      </c>
      <c r="CO69">
        <v>1.9707580162642699</v>
      </c>
      <c r="CP69">
        <v>2.7</v>
      </c>
      <c r="CQ69">
        <v>2.3353790081321351</v>
      </c>
      <c r="CR69">
        <v>-0.18</v>
      </c>
      <c r="CS69">
        <v>2.1553790081321349</v>
      </c>
      <c r="CT69">
        <v>0</v>
      </c>
      <c r="CU69">
        <v>3.3828663603067189E-3</v>
      </c>
      <c r="CV69">
        <v>0</v>
      </c>
    </row>
    <row r="70" spans="1:100" x14ac:dyDescent="0.25">
      <c r="A70">
        <v>1010</v>
      </c>
      <c r="B70" t="s">
        <v>174</v>
      </c>
      <c r="C70" t="s">
        <v>274</v>
      </c>
      <c r="D70" t="s">
        <v>374</v>
      </c>
      <c r="E70" t="s">
        <v>400</v>
      </c>
      <c r="F70">
        <v>1001430970</v>
      </c>
      <c r="G70">
        <v>9.1671560000000003</v>
      </c>
      <c r="H70">
        <f>_xlfn.XLOOKUP(D70,[2]prices!$A$2:$A$6953,[2]prices!$E$2:$E$6953)</f>
        <v>9.9624843649999999</v>
      </c>
      <c r="I70" t="s">
        <v>411</v>
      </c>
      <c r="J70">
        <v>9180273925.2213211</v>
      </c>
      <c r="K70" t="s">
        <v>416</v>
      </c>
      <c r="L70">
        <v>9237785.1270873696</v>
      </c>
      <c r="M70">
        <v>0.75</v>
      </c>
      <c r="N70">
        <v>6885205443.9159908</v>
      </c>
      <c r="O70">
        <v>149688894240.75</v>
      </c>
      <c r="P70">
        <f>_xlfn.XLOOKUP(D70,[1]full_dataframe_final!$C$2:$C$101,[1]full_dataframe_final!$I$2:$I$101)</f>
        <v>1.358195305035563E-3</v>
      </c>
      <c r="Q70">
        <f t="shared" si="4"/>
        <v>57995688140.330368</v>
      </c>
      <c r="R70">
        <f t="shared" si="5"/>
        <v>3704370332.0970306</v>
      </c>
      <c r="S70">
        <f t="shared" si="6"/>
        <v>404091555.99588692</v>
      </c>
      <c r="T70">
        <f t="shared" si="7"/>
        <v>5821408196</v>
      </c>
      <c r="U70">
        <v>45102020</v>
      </c>
      <c r="V70">
        <v>4510</v>
      </c>
      <c r="W70">
        <v>1.7387081680102601</v>
      </c>
      <c r="X70">
        <v>1.5</v>
      </c>
      <c r="Y70" t="s">
        <v>418</v>
      </c>
      <c r="Z70" t="s">
        <v>422</v>
      </c>
      <c r="AA70">
        <v>0</v>
      </c>
      <c r="AB70">
        <v>0</v>
      </c>
      <c r="AC70" t="s">
        <v>422</v>
      </c>
      <c r="AD70" t="s">
        <v>422</v>
      </c>
      <c r="AE70" t="s">
        <v>422</v>
      </c>
      <c r="AF70" t="s">
        <v>422</v>
      </c>
      <c r="AG70" t="s">
        <v>422</v>
      </c>
      <c r="AH70" t="s">
        <v>422</v>
      </c>
      <c r="AI70" t="s">
        <v>422</v>
      </c>
      <c r="AJ70">
        <v>0</v>
      </c>
      <c r="AK70">
        <v>0</v>
      </c>
      <c r="AL70">
        <v>0</v>
      </c>
      <c r="AN70">
        <v>0</v>
      </c>
      <c r="AO70" t="s">
        <v>424</v>
      </c>
      <c r="AQ70" t="s">
        <v>424</v>
      </c>
      <c r="AR70" t="s">
        <v>424</v>
      </c>
      <c r="AS70" t="s">
        <v>424</v>
      </c>
      <c r="AU70">
        <v>0</v>
      </c>
      <c r="AV70">
        <v>0</v>
      </c>
      <c r="AW70">
        <v>0</v>
      </c>
      <c r="AX70">
        <v>0</v>
      </c>
      <c r="AY70">
        <v>2.3149999999999999</v>
      </c>
      <c r="AZ70">
        <v>3.2949999999999999</v>
      </c>
      <c r="BA70" t="s">
        <v>420</v>
      </c>
      <c r="BB70">
        <v>1</v>
      </c>
      <c r="BC70">
        <v>0</v>
      </c>
      <c r="BD70" t="s">
        <v>439</v>
      </c>
      <c r="BE70">
        <v>0</v>
      </c>
      <c r="BF70">
        <v>0</v>
      </c>
      <c r="BG70">
        <v>0</v>
      </c>
      <c r="CK70">
        <v>2.8050000000000002</v>
      </c>
      <c r="CM70" t="s">
        <v>450</v>
      </c>
      <c r="CO70">
        <v>1.7387081680102601</v>
      </c>
      <c r="CP70">
        <v>1.5</v>
      </c>
      <c r="CQ70">
        <v>1.6193540840051299</v>
      </c>
      <c r="CR70">
        <v>-0.18</v>
      </c>
      <c r="CS70">
        <v>1.43935408400513</v>
      </c>
      <c r="CT70">
        <v>1</v>
      </c>
      <c r="CU70">
        <v>6.2768850003865184E-3</v>
      </c>
      <c r="CV70">
        <v>7.3421392413409612E-4</v>
      </c>
    </row>
    <row r="71" spans="1:100" x14ac:dyDescent="0.25">
      <c r="A71">
        <v>1033</v>
      </c>
      <c r="B71" t="s">
        <v>161</v>
      </c>
      <c r="C71" t="s">
        <v>261</v>
      </c>
      <c r="D71" t="s">
        <v>361</v>
      </c>
      <c r="E71" t="s">
        <v>403</v>
      </c>
      <c r="F71">
        <v>319915900</v>
      </c>
      <c r="G71">
        <v>14.61008</v>
      </c>
      <c r="H71">
        <f>_xlfn.XLOOKUP(D71,[2]prices!$A$2:$A$6953,[2]prices!$E$2:$E$6953)</f>
        <v>13.75036824</v>
      </c>
      <c r="I71" t="s">
        <v>413</v>
      </c>
      <c r="J71">
        <v>4673996892.2720003</v>
      </c>
      <c r="K71" t="s">
        <v>416</v>
      </c>
      <c r="L71">
        <v>15670413.556200899</v>
      </c>
      <c r="M71">
        <v>1</v>
      </c>
      <c r="N71">
        <v>4673996892.2720003</v>
      </c>
      <c r="O71">
        <v>16427681465</v>
      </c>
      <c r="P71">
        <f>_xlfn.XLOOKUP(D71,[1]full_dataframe_final!$C$2:$C$101,[1]full_dataframe_final!$I$2:$I$101)</f>
        <v>3.1939082487581301E-3</v>
      </c>
      <c r="Q71">
        <f t="shared" si="4"/>
        <v>136381642652.60443</v>
      </c>
      <c r="R71">
        <f t="shared" si="5"/>
        <v>8711132276.9811859</v>
      </c>
      <c r="S71">
        <f t="shared" si="6"/>
        <v>596241244.19450033</v>
      </c>
      <c r="T71">
        <f t="shared" si="7"/>
        <v>9918399294</v>
      </c>
      <c r="U71">
        <v>40202010</v>
      </c>
      <c r="V71">
        <v>4020</v>
      </c>
      <c r="W71">
        <v>1.9955323498800199</v>
      </c>
      <c r="X71">
        <v>1.5</v>
      </c>
      <c r="Y71" t="s">
        <v>419</v>
      </c>
      <c r="Z71" t="s">
        <v>422</v>
      </c>
      <c r="AA71">
        <v>0</v>
      </c>
      <c r="AB71">
        <v>0</v>
      </c>
      <c r="AC71" t="s">
        <v>422</v>
      </c>
      <c r="AD71" t="s">
        <v>422</v>
      </c>
      <c r="AE71" t="s">
        <v>422</v>
      </c>
      <c r="AF71" t="s">
        <v>422</v>
      </c>
      <c r="AG71" t="s">
        <v>422</v>
      </c>
      <c r="AH71" t="s">
        <v>422</v>
      </c>
      <c r="AI71" t="s">
        <v>422</v>
      </c>
      <c r="AJ71">
        <v>0</v>
      </c>
      <c r="AK71">
        <v>0</v>
      </c>
      <c r="AL71">
        <v>0</v>
      </c>
      <c r="AN71">
        <v>0</v>
      </c>
      <c r="AO71" t="s">
        <v>424</v>
      </c>
      <c r="AQ71" t="s">
        <v>424</v>
      </c>
      <c r="AR71" t="s">
        <v>424</v>
      </c>
      <c r="AS71" t="s">
        <v>424</v>
      </c>
      <c r="AU71">
        <v>0</v>
      </c>
      <c r="AV71">
        <v>0</v>
      </c>
      <c r="AW71">
        <v>0</v>
      </c>
      <c r="AX71">
        <v>0</v>
      </c>
      <c r="AY71">
        <v>2.157</v>
      </c>
      <c r="AZ71">
        <v>2.8759999999999999</v>
      </c>
      <c r="BA71" t="s">
        <v>424</v>
      </c>
      <c r="BB71">
        <v>1</v>
      </c>
      <c r="BC71">
        <v>0</v>
      </c>
      <c r="BD71" t="s">
        <v>442</v>
      </c>
      <c r="BE71">
        <v>0</v>
      </c>
      <c r="BF71">
        <v>0</v>
      </c>
      <c r="BG71">
        <v>0</v>
      </c>
      <c r="CK71">
        <v>2.5165000000000002</v>
      </c>
      <c r="CM71" t="s">
        <v>450</v>
      </c>
      <c r="CO71">
        <v>1.9955323498800199</v>
      </c>
      <c r="CP71">
        <v>1.5</v>
      </c>
      <c r="CQ71">
        <v>1.74776617494001</v>
      </c>
      <c r="CR71">
        <v>-0.24</v>
      </c>
      <c r="CS71">
        <v>1.50776617494001</v>
      </c>
      <c r="CT71">
        <v>1</v>
      </c>
      <c r="CU71">
        <v>5.0858423201275661E-3</v>
      </c>
      <c r="CV71">
        <v>0</v>
      </c>
    </row>
    <row r="72" spans="1:100" x14ac:dyDescent="0.25">
      <c r="A72">
        <v>1092</v>
      </c>
      <c r="B72" t="s">
        <v>102</v>
      </c>
      <c r="C72" t="s">
        <v>202</v>
      </c>
      <c r="D72" t="s">
        <v>302</v>
      </c>
      <c r="E72" t="s">
        <v>401</v>
      </c>
      <c r="F72">
        <v>541080000</v>
      </c>
      <c r="G72">
        <v>16.829999999999998</v>
      </c>
      <c r="H72">
        <f>_xlfn.XLOOKUP(D72,[2]prices!$A$2:$A$6953,[2]prices!$E$2:$E$6953)</f>
        <v>19.079999999999998</v>
      </c>
      <c r="I72" t="s">
        <v>409</v>
      </c>
      <c r="J72">
        <v>9106376400</v>
      </c>
      <c r="K72" t="s">
        <v>415</v>
      </c>
      <c r="L72">
        <v>15311684.9957524</v>
      </c>
      <c r="M72">
        <v>0.75</v>
      </c>
      <c r="N72">
        <v>6829782300</v>
      </c>
      <c r="O72">
        <v>123366240000</v>
      </c>
      <c r="P72">
        <f>_xlfn.XLOOKUP(D72,[1]full_dataframe_final!$C$2:$C$101,[1]full_dataframe_final!$I$2:$I$101)</f>
        <v>1.003604290092874E-2</v>
      </c>
      <c r="Q72">
        <f t="shared" si="4"/>
        <v>428544563574.38177</v>
      </c>
      <c r="R72">
        <f t="shared" si="5"/>
        <v>27372513684.900414</v>
      </c>
      <c r="S72">
        <f t="shared" si="6"/>
        <v>1626411983.6542137</v>
      </c>
      <c r="T72">
        <f t="shared" si="7"/>
        <v>22460406895</v>
      </c>
      <c r="U72">
        <v>65101015</v>
      </c>
      <c r="V72">
        <v>6510</v>
      </c>
      <c r="W72">
        <v>1.5959603304940599</v>
      </c>
      <c r="Y72" t="s">
        <v>417</v>
      </c>
      <c r="Z72" t="s">
        <v>422</v>
      </c>
      <c r="AA72">
        <v>0</v>
      </c>
      <c r="AB72">
        <v>0</v>
      </c>
      <c r="AC72" t="s">
        <v>422</v>
      </c>
      <c r="AD72" t="s">
        <v>422</v>
      </c>
      <c r="AE72" t="s">
        <v>422</v>
      </c>
      <c r="AF72" t="s">
        <v>422</v>
      </c>
      <c r="AG72" t="s">
        <v>422</v>
      </c>
      <c r="AH72" t="s">
        <v>422</v>
      </c>
      <c r="AI72" t="s">
        <v>422</v>
      </c>
      <c r="AJ72">
        <v>0</v>
      </c>
      <c r="AK72">
        <v>0</v>
      </c>
      <c r="AL72">
        <v>0</v>
      </c>
      <c r="AN72">
        <v>0</v>
      </c>
      <c r="AO72" t="s">
        <v>424</v>
      </c>
      <c r="AQ72" t="s">
        <v>424</v>
      </c>
      <c r="AR72" t="s">
        <v>424</v>
      </c>
      <c r="AS72" t="s">
        <v>424</v>
      </c>
      <c r="AU72">
        <v>0</v>
      </c>
      <c r="AV72">
        <v>0</v>
      </c>
      <c r="AW72">
        <v>0</v>
      </c>
      <c r="AX72">
        <v>0</v>
      </c>
      <c r="AY72">
        <v>2.9380000000000002</v>
      </c>
      <c r="AZ72">
        <v>2.8740000000000001</v>
      </c>
      <c r="BA72" t="s">
        <v>421</v>
      </c>
      <c r="BB72">
        <v>1</v>
      </c>
      <c r="BC72">
        <v>1</v>
      </c>
      <c r="BD72" t="s">
        <v>440</v>
      </c>
      <c r="BE72">
        <v>0</v>
      </c>
      <c r="BF72">
        <v>0</v>
      </c>
      <c r="BG72">
        <v>0</v>
      </c>
      <c r="CK72">
        <v>2.9060000000000001</v>
      </c>
      <c r="CM72" t="s">
        <v>450</v>
      </c>
      <c r="CO72">
        <v>1.5959603304940599</v>
      </c>
      <c r="CP72">
        <v>3.1</v>
      </c>
      <c r="CQ72">
        <v>2.34798016524703</v>
      </c>
      <c r="CR72">
        <v>-0.3</v>
      </c>
      <c r="CS72">
        <v>2.0479801652470302</v>
      </c>
      <c r="CT72">
        <v>0</v>
      </c>
      <c r="CU72">
        <v>1.4372865563529741E-2</v>
      </c>
      <c r="CV72">
        <v>0</v>
      </c>
    </row>
    <row r="73" spans="1:100" x14ac:dyDescent="0.25">
      <c r="A73">
        <v>1098</v>
      </c>
      <c r="B73" t="s">
        <v>109</v>
      </c>
      <c r="C73" t="s">
        <v>209</v>
      </c>
      <c r="D73" t="s">
        <v>309</v>
      </c>
      <c r="E73" t="s">
        <v>396</v>
      </c>
      <c r="F73">
        <v>1907070957</v>
      </c>
      <c r="G73">
        <v>47.26</v>
      </c>
      <c r="H73">
        <f>_xlfn.XLOOKUP(D73,[2]prices!$A$2:$A$6953,[2]prices!$E$2:$E$6953)</f>
        <v>45.6</v>
      </c>
      <c r="I73" t="s">
        <v>409</v>
      </c>
      <c r="J73">
        <v>90128173427.819992</v>
      </c>
      <c r="K73" t="s">
        <v>415</v>
      </c>
      <c r="L73">
        <v>34161920.378412701</v>
      </c>
      <c r="M73">
        <v>1</v>
      </c>
      <c r="N73">
        <v>90128173427.819992</v>
      </c>
      <c r="O73">
        <v>579749570928</v>
      </c>
      <c r="P73">
        <f>_xlfn.XLOOKUP(D73,[1]full_dataframe_final!$C$2:$C$101,[1]full_dataframe_final!$I$2:$I$101)</f>
        <v>4.3802775480245727E-2</v>
      </c>
      <c r="Q73">
        <f t="shared" si="4"/>
        <v>1870402656388.7466</v>
      </c>
      <c r="R73">
        <f t="shared" si="5"/>
        <v>119468607608.15314</v>
      </c>
      <c r="S73">
        <f t="shared" si="6"/>
        <v>2527901134.324019</v>
      </c>
      <c r="T73">
        <f t="shared" si="7"/>
        <v>41017602113</v>
      </c>
      <c r="U73">
        <v>10101010</v>
      </c>
      <c r="V73">
        <v>1010</v>
      </c>
      <c r="W73">
        <v>1.9831746989669301</v>
      </c>
      <c r="X73">
        <v>1.5</v>
      </c>
      <c r="Y73" t="s">
        <v>418</v>
      </c>
      <c r="Z73" t="s">
        <v>422</v>
      </c>
      <c r="AA73">
        <v>0</v>
      </c>
      <c r="AB73">
        <v>0</v>
      </c>
      <c r="AC73" t="s">
        <v>422</v>
      </c>
      <c r="AD73" t="s">
        <v>422</v>
      </c>
      <c r="AE73" t="s">
        <v>422</v>
      </c>
      <c r="AF73" t="s">
        <v>422</v>
      </c>
      <c r="AG73" t="s">
        <v>422</v>
      </c>
      <c r="AH73" t="s">
        <v>422</v>
      </c>
      <c r="AI73" t="s">
        <v>422</v>
      </c>
      <c r="AJ73">
        <v>0</v>
      </c>
      <c r="AK73">
        <v>0</v>
      </c>
      <c r="AL73">
        <v>0</v>
      </c>
      <c r="AN73">
        <v>0</v>
      </c>
      <c r="AO73" t="s">
        <v>424</v>
      </c>
      <c r="AQ73" t="s">
        <v>424</v>
      </c>
      <c r="AR73" t="s">
        <v>424</v>
      </c>
      <c r="AS73" t="s">
        <v>424</v>
      </c>
      <c r="AU73">
        <v>0</v>
      </c>
      <c r="AV73">
        <v>0</v>
      </c>
      <c r="AW73">
        <v>0</v>
      </c>
      <c r="AX73">
        <v>0</v>
      </c>
      <c r="AY73">
        <v>2.4740000000000002</v>
      </c>
      <c r="AZ73">
        <v>3.2949999999999999</v>
      </c>
      <c r="BA73" t="s">
        <v>429</v>
      </c>
      <c r="BB73">
        <v>0</v>
      </c>
      <c r="BC73">
        <v>0</v>
      </c>
      <c r="BD73" t="s">
        <v>442</v>
      </c>
      <c r="BE73">
        <v>0</v>
      </c>
      <c r="BF73">
        <v>0</v>
      </c>
      <c r="BG73">
        <v>0</v>
      </c>
      <c r="CK73">
        <v>2.8845000000000001</v>
      </c>
      <c r="CM73" t="s">
        <v>450</v>
      </c>
      <c r="CO73">
        <v>1.9831746989669301</v>
      </c>
      <c r="CP73">
        <v>1.5</v>
      </c>
      <c r="CQ73">
        <v>1.7415873494834651</v>
      </c>
      <c r="CR73">
        <v>-0.18</v>
      </c>
      <c r="CS73">
        <v>1.5615873494834649</v>
      </c>
      <c r="CT73">
        <v>1</v>
      </c>
      <c r="CU73">
        <v>2.3825674180288921E-2</v>
      </c>
      <c r="CV73">
        <v>3.3285219532413028E-3</v>
      </c>
    </row>
    <row r="74" spans="1:100" x14ac:dyDescent="0.25">
      <c r="A74">
        <v>1108</v>
      </c>
      <c r="B74" t="s">
        <v>186</v>
      </c>
      <c r="C74" t="s">
        <v>286</v>
      </c>
      <c r="D74" t="s">
        <v>386</v>
      </c>
      <c r="E74" t="s">
        <v>394</v>
      </c>
      <c r="F74">
        <v>298233069</v>
      </c>
      <c r="G74">
        <v>26.56</v>
      </c>
      <c r="H74">
        <f>_xlfn.XLOOKUP(D74,[2]prices!$A$2:$A$6953,[2]prices!$E$2:$E$6953)</f>
        <v>22.46</v>
      </c>
      <c r="I74" t="s">
        <v>409</v>
      </c>
      <c r="J74">
        <v>7921070312.6399994</v>
      </c>
      <c r="K74" t="s">
        <v>415</v>
      </c>
      <c r="L74">
        <v>13654330.0976191</v>
      </c>
      <c r="M74">
        <v>0.70000000000000007</v>
      </c>
      <c r="N74">
        <v>5544749218.8480005</v>
      </c>
      <c r="O74">
        <v>63463997083.199997</v>
      </c>
      <c r="P74">
        <f>_xlfn.XLOOKUP(D74,[1]full_dataframe_final!$C$2:$C$101,[1]full_dataframe_final!$I$2:$I$101)</f>
        <v>3.4043630759537139E-3</v>
      </c>
      <c r="Q74">
        <f t="shared" si="4"/>
        <v>145368179773.15692</v>
      </c>
      <c r="R74">
        <f t="shared" si="5"/>
        <v>9285131182.1603737</v>
      </c>
      <c r="S74">
        <f t="shared" si="6"/>
        <v>349590782.46085745</v>
      </c>
      <c r="T74">
        <f t="shared" si="7"/>
        <v>6472314326</v>
      </c>
      <c r="U74">
        <v>50202010</v>
      </c>
      <c r="V74">
        <v>5020</v>
      </c>
      <c r="W74">
        <v>1.7493489955167301</v>
      </c>
      <c r="X74">
        <v>2.39</v>
      </c>
      <c r="Y74" t="s">
        <v>417</v>
      </c>
      <c r="Z74" t="s">
        <v>422</v>
      </c>
      <c r="AA74">
        <v>0</v>
      </c>
      <c r="AB74">
        <v>0</v>
      </c>
      <c r="AC74" t="s">
        <v>422</v>
      </c>
      <c r="AD74" t="s">
        <v>422</v>
      </c>
      <c r="AE74" t="s">
        <v>422</v>
      </c>
      <c r="AF74" t="s">
        <v>422</v>
      </c>
      <c r="AG74" t="s">
        <v>422</v>
      </c>
      <c r="AH74" t="s">
        <v>422</v>
      </c>
      <c r="AI74" t="s">
        <v>422</v>
      </c>
      <c r="AJ74">
        <v>0</v>
      </c>
      <c r="AK74">
        <v>0</v>
      </c>
      <c r="AL74">
        <v>0</v>
      </c>
      <c r="AN74">
        <v>0</v>
      </c>
      <c r="AO74" t="s">
        <v>424</v>
      </c>
      <c r="AQ74" t="s">
        <v>424</v>
      </c>
      <c r="AR74" t="s">
        <v>424</v>
      </c>
      <c r="AS74" t="s">
        <v>424</v>
      </c>
      <c r="AU74">
        <v>0</v>
      </c>
      <c r="AV74">
        <v>0</v>
      </c>
      <c r="AW74">
        <v>0</v>
      </c>
      <c r="AX74">
        <v>0</v>
      </c>
      <c r="AY74">
        <v>2.1520000000000001</v>
      </c>
      <c r="AZ74">
        <v>3.1819999999999999</v>
      </c>
      <c r="BA74" t="s">
        <v>431</v>
      </c>
      <c r="BB74">
        <v>1</v>
      </c>
      <c r="BC74">
        <v>0</v>
      </c>
      <c r="BD74" t="s">
        <v>433</v>
      </c>
      <c r="BE74">
        <v>0</v>
      </c>
      <c r="BF74">
        <v>0</v>
      </c>
      <c r="BG74">
        <v>0</v>
      </c>
      <c r="CK74">
        <v>2.6669999999999998</v>
      </c>
      <c r="CM74" t="s">
        <v>450</v>
      </c>
      <c r="CO74">
        <v>1.7493489955167301</v>
      </c>
      <c r="CP74">
        <v>2.39</v>
      </c>
      <c r="CQ74">
        <v>2.0696744977583652</v>
      </c>
      <c r="CR74">
        <v>-0.3</v>
      </c>
      <c r="CS74">
        <v>1.7696744977583649</v>
      </c>
      <c r="CT74">
        <v>0</v>
      </c>
      <c r="CU74">
        <v>5.5825561225480063E-3</v>
      </c>
      <c r="CV74">
        <v>0</v>
      </c>
    </row>
    <row r="75" spans="1:100" x14ac:dyDescent="0.25">
      <c r="A75">
        <v>1119</v>
      </c>
      <c r="B75" t="s">
        <v>103</v>
      </c>
      <c r="C75" t="s">
        <v>203</v>
      </c>
      <c r="D75" t="s">
        <v>303</v>
      </c>
      <c r="E75" t="s">
        <v>402</v>
      </c>
      <c r="F75">
        <v>117541060</v>
      </c>
      <c r="G75">
        <v>37.532420000000002</v>
      </c>
      <c r="H75">
        <f>_xlfn.XLOOKUP(D75,[2]prices!$A$2:$A$6953,[2]prices!$E$2:$E$6953)</f>
        <v>37.802321115999987</v>
      </c>
      <c r="I75" t="s">
        <v>412</v>
      </c>
      <c r="J75">
        <v>4411600431.1652002</v>
      </c>
      <c r="K75" t="s">
        <v>416</v>
      </c>
      <c r="L75">
        <v>13834313.1880618</v>
      </c>
      <c r="M75">
        <v>0.85</v>
      </c>
      <c r="N75">
        <v>3749860366.4904199</v>
      </c>
      <c r="O75">
        <v>30372609904</v>
      </c>
      <c r="P75">
        <f>_xlfn.XLOOKUP(D75,[1]full_dataframe_final!$C$2:$C$101,[1]full_dataframe_final!$I$2:$I$101)</f>
        <v>3.5714285714284972E-3</v>
      </c>
      <c r="Q75">
        <f t="shared" si="4"/>
        <v>152501968513.73248</v>
      </c>
      <c r="R75">
        <f t="shared" si="5"/>
        <v>9740789114.9034672</v>
      </c>
      <c r="S75">
        <f t="shared" si="6"/>
        <v>259530004.05791757</v>
      </c>
      <c r="T75">
        <f t="shared" si="7"/>
        <v>4034195890</v>
      </c>
      <c r="U75">
        <v>50101035</v>
      </c>
      <c r="V75">
        <v>5010</v>
      </c>
      <c r="W75">
        <v>1.8363484043813201</v>
      </c>
      <c r="X75">
        <v>3.1</v>
      </c>
      <c r="Y75" t="s">
        <v>418</v>
      </c>
      <c r="Z75" t="s">
        <v>422</v>
      </c>
      <c r="AA75">
        <v>0</v>
      </c>
      <c r="AB75">
        <v>0</v>
      </c>
      <c r="AC75" t="s">
        <v>422</v>
      </c>
      <c r="AD75" t="s">
        <v>422</v>
      </c>
      <c r="AE75" t="s">
        <v>422</v>
      </c>
      <c r="AF75" t="s">
        <v>422</v>
      </c>
      <c r="AG75" t="s">
        <v>422</v>
      </c>
      <c r="AH75" t="s">
        <v>422</v>
      </c>
      <c r="AI75" t="s">
        <v>422</v>
      </c>
      <c r="AJ75">
        <v>0</v>
      </c>
      <c r="AK75">
        <v>0</v>
      </c>
      <c r="AL75">
        <v>0</v>
      </c>
      <c r="AN75">
        <v>0</v>
      </c>
      <c r="AO75" t="s">
        <v>424</v>
      </c>
      <c r="AQ75" t="s">
        <v>424</v>
      </c>
      <c r="AR75" t="s">
        <v>424</v>
      </c>
      <c r="AS75" t="s">
        <v>424</v>
      </c>
      <c r="AU75">
        <v>0</v>
      </c>
      <c r="AV75">
        <v>0</v>
      </c>
      <c r="AW75">
        <v>0</v>
      </c>
      <c r="AX75">
        <v>0</v>
      </c>
      <c r="AY75">
        <v>2.1520000000000001</v>
      </c>
      <c r="AZ75">
        <v>2.6040000000000001</v>
      </c>
      <c r="BA75" t="s">
        <v>420</v>
      </c>
      <c r="BB75">
        <v>1</v>
      </c>
      <c r="BC75">
        <v>1</v>
      </c>
      <c r="BD75" t="s">
        <v>441</v>
      </c>
      <c r="BE75">
        <v>0</v>
      </c>
      <c r="BF75">
        <v>0</v>
      </c>
      <c r="BG75">
        <v>0</v>
      </c>
      <c r="CK75">
        <v>2.3780000000000001</v>
      </c>
      <c r="CM75" t="s">
        <v>450</v>
      </c>
      <c r="CO75">
        <v>1.8363484043813201</v>
      </c>
      <c r="CP75">
        <v>3.1</v>
      </c>
      <c r="CQ75">
        <v>2.4681742021906601</v>
      </c>
      <c r="CR75">
        <v>-0.18</v>
      </c>
      <c r="CS75">
        <v>2.2881742021906599</v>
      </c>
      <c r="CT75">
        <v>0</v>
      </c>
      <c r="CU75">
        <v>1.1087028049142401E-2</v>
      </c>
      <c r="CV75">
        <v>0</v>
      </c>
    </row>
    <row r="76" spans="1:100" x14ac:dyDescent="0.25">
      <c r="A76">
        <v>1133</v>
      </c>
      <c r="B76" t="s">
        <v>169</v>
      </c>
      <c r="C76" t="s">
        <v>269</v>
      </c>
      <c r="D76" t="s">
        <v>369</v>
      </c>
      <c r="E76" t="s">
        <v>397</v>
      </c>
      <c r="F76">
        <v>1074613824</v>
      </c>
      <c r="G76">
        <v>20.260000000000002</v>
      </c>
      <c r="H76">
        <f>_xlfn.XLOOKUP(D76,[2]prices!$A$2:$A$6953,[2]prices!$E$2:$E$6953)</f>
        <v>19.844999999999999</v>
      </c>
      <c r="I76" t="s">
        <v>409</v>
      </c>
      <c r="J76">
        <v>21771676074.240002</v>
      </c>
      <c r="K76" t="s">
        <v>415</v>
      </c>
      <c r="L76">
        <v>37482966.910301603</v>
      </c>
      <c r="M76">
        <v>1</v>
      </c>
      <c r="N76">
        <v>21771676074.240002</v>
      </c>
      <c r="O76">
        <v>23899411445.759998</v>
      </c>
      <c r="P76">
        <f>_xlfn.XLOOKUP(D76,[1]full_dataframe_final!$C$2:$C$101,[1]full_dataframe_final!$I$2:$I$101)</f>
        <v>1.548373779169598E-2</v>
      </c>
      <c r="Q76">
        <f t="shared" si="4"/>
        <v>661164138091.56458</v>
      </c>
      <c r="R76">
        <f t="shared" si="5"/>
        <v>42230670871.02494</v>
      </c>
      <c r="S76">
        <f t="shared" si="6"/>
        <v>2084435877.1483188</v>
      </c>
      <c r="T76">
        <f t="shared" si="7"/>
        <v>33316409074</v>
      </c>
      <c r="U76">
        <v>40501010</v>
      </c>
      <c r="V76">
        <v>4050</v>
      </c>
      <c r="W76">
        <v>1.6201795191173001</v>
      </c>
      <c r="X76">
        <v>2.7</v>
      </c>
      <c r="Y76" t="s">
        <v>419</v>
      </c>
      <c r="Z76" t="s">
        <v>423</v>
      </c>
      <c r="AA76">
        <v>0</v>
      </c>
      <c r="AB76">
        <v>0.01</v>
      </c>
      <c r="AC76" t="s">
        <v>422</v>
      </c>
      <c r="AD76" t="s">
        <v>422</v>
      </c>
      <c r="AE76" t="s">
        <v>422</v>
      </c>
      <c r="AF76" t="s">
        <v>422</v>
      </c>
      <c r="AG76" t="s">
        <v>422</v>
      </c>
      <c r="AH76" t="s">
        <v>422</v>
      </c>
      <c r="AI76" t="s">
        <v>422</v>
      </c>
      <c r="AJ76">
        <v>0</v>
      </c>
      <c r="AK76">
        <v>0</v>
      </c>
      <c r="AL76">
        <v>0</v>
      </c>
      <c r="AN76">
        <v>0</v>
      </c>
      <c r="AO76" t="s">
        <v>424</v>
      </c>
      <c r="AQ76" t="s">
        <v>424</v>
      </c>
      <c r="AR76" t="s">
        <v>424</v>
      </c>
      <c r="AS76" t="s">
        <v>424</v>
      </c>
      <c r="AU76">
        <v>0</v>
      </c>
      <c r="AV76">
        <v>0</v>
      </c>
      <c r="AW76">
        <v>0</v>
      </c>
      <c r="AX76">
        <v>0</v>
      </c>
      <c r="AY76">
        <v>1.82</v>
      </c>
      <c r="AZ76">
        <v>3.0049999999999999</v>
      </c>
      <c r="BA76" t="s">
        <v>427</v>
      </c>
      <c r="BB76">
        <v>1</v>
      </c>
      <c r="BC76">
        <v>0</v>
      </c>
      <c r="BD76" t="s">
        <v>436</v>
      </c>
      <c r="BE76">
        <v>0</v>
      </c>
      <c r="BF76">
        <v>0</v>
      </c>
      <c r="BG76">
        <v>0</v>
      </c>
      <c r="CK76">
        <v>2.4125000000000001</v>
      </c>
      <c r="CM76" t="s">
        <v>450</v>
      </c>
      <c r="CO76">
        <v>1.6201795191173001</v>
      </c>
      <c r="CP76">
        <v>2.7</v>
      </c>
      <c r="CQ76">
        <v>2.1600897595586499</v>
      </c>
      <c r="CR76">
        <v>-0.24</v>
      </c>
      <c r="CS76">
        <v>1.9200897595586499</v>
      </c>
      <c r="CT76">
        <v>0</v>
      </c>
      <c r="CU76">
        <v>1.1804588034432051E-2</v>
      </c>
      <c r="CV76">
        <v>0</v>
      </c>
    </row>
    <row r="77" spans="1:100" x14ac:dyDescent="0.25">
      <c r="A77">
        <v>1139</v>
      </c>
      <c r="B77" t="s">
        <v>108</v>
      </c>
      <c r="C77" t="s">
        <v>208</v>
      </c>
      <c r="D77" t="s">
        <v>308</v>
      </c>
      <c r="E77" t="s">
        <v>403</v>
      </c>
      <c r="F77">
        <v>995756840</v>
      </c>
      <c r="G77">
        <v>15.692080000000001</v>
      </c>
      <c r="H77">
        <f>_xlfn.XLOOKUP(D77,[2]prices!$A$2:$A$6953,[2]prices!$E$2:$E$6953)</f>
        <v>13.802984445</v>
      </c>
      <c r="I77" t="s">
        <v>413</v>
      </c>
      <c r="J77">
        <v>15625495993.8272</v>
      </c>
      <c r="K77" t="s">
        <v>416</v>
      </c>
      <c r="L77">
        <v>29289351.006745402</v>
      </c>
      <c r="M77">
        <v>1</v>
      </c>
      <c r="N77">
        <v>15625495993.8272</v>
      </c>
      <c r="O77">
        <v>22145632121.599998</v>
      </c>
      <c r="P77">
        <f>_xlfn.XLOOKUP(D77,[1]full_dataframe_final!$C$2:$C$101,[1]full_dataframe_final!$I$2:$I$101)</f>
        <v>9.9792655337474744E-3</v>
      </c>
      <c r="Q77">
        <f t="shared" si="4"/>
        <v>426120138700.97412</v>
      </c>
      <c r="R77">
        <f t="shared" si="5"/>
        <v>27217657904.041012</v>
      </c>
      <c r="S77">
        <f t="shared" si="6"/>
        <v>1734483758.9434295</v>
      </c>
      <c r="T77">
        <f t="shared" si="7"/>
        <v>30871594501</v>
      </c>
      <c r="U77">
        <v>10101015</v>
      </c>
      <c r="V77">
        <v>1010</v>
      </c>
      <c r="W77">
        <v>1.7465783472899099</v>
      </c>
      <c r="X77">
        <v>1.5</v>
      </c>
      <c r="Y77" t="s">
        <v>417</v>
      </c>
      <c r="Z77" t="s">
        <v>422</v>
      </c>
      <c r="AA77">
        <v>0</v>
      </c>
      <c r="AB77">
        <v>0</v>
      </c>
      <c r="AC77" t="s">
        <v>422</v>
      </c>
      <c r="AD77" t="s">
        <v>422</v>
      </c>
      <c r="AE77" t="s">
        <v>422</v>
      </c>
      <c r="AF77" t="s">
        <v>422</v>
      </c>
      <c r="AG77" t="s">
        <v>422</v>
      </c>
      <c r="AH77" t="s">
        <v>422</v>
      </c>
      <c r="AI77" t="s">
        <v>422</v>
      </c>
      <c r="AJ77">
        <v>0</v>
      </c>
      <c r="AK77">
        <v>0</v>
      </c>
      <c r="AL77">
        <v>0</v>
      </c>
      <c r="AN77">
        <v>0</v>
      </c>
      <c r="AO77" t="s">
        <v>424</v>
      </c>
      <c r="AQ77" t="s">
        <v>424</v>
      </c>
      <c r="AR77" t="s">
        <v>424</v>
      </c>
      <c r="AS77" t="s">
        <v>424</v>
      </c>
      <c r="AU77">
        <v>0</v>
      </c>
      <c r="AV77">
        <v>0</v>
      </c>
      <c r="AW77">
        <v>0</v>
      </c>
      <c r="AX77">
        <v>0</v>
      </c>
      <c r="AY77">
        <v>2.41</v>
      </c>
      <c r="AZ77">
        <v>3.306</v>
      </c>
      <c r="BA77" t="s">
        <v>426</v>
      </c>
      <c r="BB77">
        <v>0</v>
      </c>
      <c r="BC77">
        <v>0</v>
      </c>
      <c r="BD77" t="s">
        <v>442</v>
      </c>
      <c r="BE77">
        <v>0</v>
      </c>
      <c r="BF77">
        <v>0</v>
      </c>
      <c r="BG77">
        <v>0</v>
      </c>
      <c r="CK77">
        <v>2.8580000000000001</v>
      </c>
      <c r="CM77" t="s">
        <v>450</v>
      </c>
      <c r="CO77">
        <v>1.7465783472899099</v>
      </c>
      <c r="CP77">
        <v>1.5</v>
      </c>
      <c r="CQ77">
        <v>1.6232891736449551</v>
      </c>
      <c r="CR77">
        <v>-0.3</v>
      </c>
      <c r="CS77">
        <v>1.323289173644955</v>
      </c>
      <c r="CT77">
        <v>1</v>
      </c>
      <c r="CU77">
        <v>9.3054316782090838E-3</v>
      </c>
      <c r="CV77">
        <v>0</v>
      </c>
    </row>
    <row r="78" spans="1:100" x14ac:dyDescent="0.25">
      <c r="A78">
        <v>1151</v>
      </c>
      <c r="B78" t="s">
        <v>120</v>
      </c>
      <c r="C78" t="s">
        <v>220</v>
      </c>
      <c r="D78" t="s">
        <v>320</v>
      </c>
      <c r="E78" t="s">
        <v>394</v>
      </c>
      <c r="F78">
        <v>1263122721</v>
      </c>
      <c r="G78">
        <v>104.12</v>
      </c>
      <c r="H78">
        <f>_xlfn.XLOOKUP(D78,[2]prices!$A$2:$A$6953,[2]prices!$E$2:$E$6953)</f>
        <v>91.62</v>
      </c>
      <c r="I78" t="s">
        <v>409</v>
      </c>
      <c r="J78">
        <v>131516337710.52</v>
      </c>
      <c r="K78" t="s">
        <v>415</v>
      </c>
      <c r="L78">
        <v>154796225.17039701</v>
      </c>
      <c r="M78">
        <v>0.95000000000000007</v>
      </c>
      <c r="N78">
        <v>124940520824.994</v>
      </c>
      <c r="O78">
        <v>26687256849.287998</v>
      </c>
      <c r="P78">
        <f>_xlfn.XLOOKUP(D78,[1]full_dataframe_final!$C$2:$C$101,[1]full_dataframe_final!$I$2:$I$101)</f>
        <v>2.7748442259496679E-2</v>
      </c>
      <c r="Q78">
        <f t="shared" si="4"/>
        <v>1184873778973.6328</v>
      </c>
      <c r="R78">
        <f t="shared" si="5"/>
        <v>75681682808.714706</v>
      </c>
      <c r="S78">
        <f t="shared" si="6"/>
        <v>726869792.63075972</v>
      </c>
      <c r="T78">
        <f t="shared" si="7"/>
        <v>12932479578</v>
      </c>
      <c r="U78">
        <v>20103015</v>
      </c>
      <c r="V78">
        <v>2010</v>
      </c>
      <c r="W78">
        <v>1.72319966282151</v>
      </c>
      <c r="X78">
        <v>1.5</v>
      </c>
      <c r="Y78" t="s">
        <v>419</v>
      </c>
      <c r="Z78" t="s">
        <v>422</v>
      </c>
      <c r="AA78">
        <v>0</v>
      </c>
      <c r="AB78">
        <v>0</v>
      </c>
      <c r="AC78" t="s">
        <v>422</v>
      </c>
      <c r="AD78" t="s">
        <v>422</v>
      </c>
      <c r="AE78" t="s">
        <v>422</v>
      </c>
      <c r="AF78" t="s">
        <v>422</v>
      </c>
      <c r="AG78" t="s">
        <v>422</v>
      </c>
      <c r="AH78" t="s">
        <v>422</v>
      </c>
      <c r="AI78" t="s">
        <v>422</v>
      </c>
      <c r="AJ78">
        <v>0</v>
      </c>
      <c r="AK78">
        <v>0</v>
      </c>
      <c r="AL78">
        <v>0</v>
      </c>
      <c r="AN78">
        <v>0</v>
      </c>
      <c r="AO78" t="s">
        <v>424</v>
      </c>
      <c r="AQ78" t="s">
        <v>424</v>
      </c>
      <c r="AR78" t="s">
        <v>424</v>
      </c>
      <c r="AS78" t="s">
        <v>424</v>
      </c>
      <c r="AU78">
        <v>0</v>
      </c>
      <c r="AV78">
        <v>0</v>
      </c>
      <c r="AW78">
        <v>0</v>
      </c>
      <c r="AX78">
        <v>0</v>
      </c>
      <c r="AY78">
        <v>2.98</v>
      </c>
      <c r="AZ78">
        <v>2.774</v>
      </c>
      <c r="BA78" t="s">
        <v>420</v>
      </c>
      <c r="BB78">
        <v>1</v>
      </c>
      <c r="BC78">
        <v>0</v>
      </c>
      <c r="BD78" t="s">
        <v>433</v>
      </c>
      <c r="BE78">
        <v>0</v>
      </c>
      <c r="BF78">
        <v>0</v>
      </c>
      <c r="BG78">
        <v>0</v>
      </c>
      <c r="CK78">
        <v>2.8769999999999998</v>
      </c>
      <c r="CM78" t="s">
        <v>450</v>
      </c>
      <c r="CO78">
        <v>1.72319966282151</v>
      </c>
      <c r="CP78">
        <v>1.5</v>
      </c>
      <c r="CQ78">
        <v>1.6115998314107549</v>
      </c>
      <c r="CR78">
        <v>-0.24</v>
      </c>
      <c r="CS78">
        <v>1.3715998314107549</v>
      </c>
      <c r="CT78">
        <v>1</v>
      </c>
      <c r="CU78">
        <v>4.7063853789221427E-2</v>
      </c>
      <c r="CV78">
        <v>0</v>
      </c>
    </row>
    <row r="79" spans="1:100" x14ac:dyDescent="0.25">
      <c r="A79">
        <v>1192</v>
      </c>
      <c r="B79" t="s">
        <v>104</v>
      </c>
      <c r="C79" t="s">
        <v>204</v>
      </c>
      <c r="D79" t="s">
        <v>304</v>
      </c>
      <c r="E79" t="s">
        <v>403</v>
      </c>
      <c r="F79">
        <v>300209100</v>
      </c>
      <c r="G79">
        <v>29.42568</v>
      </c>
      <c r="H79">
        <f>_xlfn.XLOOKUP(D79,[2]prices!$A$2:$A$6953,[2]prices!$E$2:$E$6953)</f>
        <v>31.558030509999998</v>
      </c>
      <c r="I79" t="s">
        <v>413</v>
      </c>
      <c r="J79">
        <v>8833856909.6879997</v>
      </c>
      <c r="K79" t="s">
        <v>416</v>
      </c>
      <c r="L79">
        <v>14800849.030249599</v>
      </c>
      <c r="M79">
        <v>0.9</v>
      </c>
      <c r="N79">
        <v>7950471218.7192001</v>
      </c>
      <c r="O79">
        <v>53551299258</v>
      </c>
      <c r="P79">
        <f>_xlfn.XLOOKUP(D79,[1]full_dataframe_final!$C$2:$C$101,[1]full_dataframe_final!$I$2:$I$101)</f>
        <v>1.428571428571431E-2</v>
      </c>
      <c r="Q79">
        <f t="shared" si="4"/>
        <v>610007874054.9436</v>
      </c>
      <c r="R79">
        <f t="shared" si="5"/>
        <v>38963156459.614738</v>
      </c>
      <c r="S79">
        <f t="shared" si="6"/>
        <v>1324120851.5696065</v>
      </c>
      <c r="T79">
        <f t="shared" si="7"/>
        <v>19329719383</v>
      </c>
      <c r="U79">
        <v>65102030</v>
      </c>
      <c r="V79">
        <v>6510</v>
      </c>
      <c r="W79">
        <v>1.7824347572228401</v>
      </c>
      <c r="X79">
        <v>1.5</v>
      </c>
      <c r="Y79" t="s">
        <v>419</v>
      </c>
      <c r="Z79" t="s">
        <v>422</v>
      </c>
      <c r="AA79">
        <v>0</v>
      </c>
      <c r="AB79">
        <v>0</v>
      </c>
      <c r="AC79" t="s">
        <v>422</v>
      </c>
      <c r="AD79" t="s">
        <v>422</v>
      </c>
      <c r="AE79" t="s">
        <v>422</v>
      </c>
      <c r="AF79" t="s">
        <v>422</v>
      </c>
      <c r="AG79" t="s">
        <v>422</v>
      </c>
      <c r="AH79" t="s">
        <v>422</v>
      </c>
      <c r="AI79" t="s">
        <v>422</v>
      </c>
      <c r="AJ79">
        <v>0</v>
      </c>
      <c r="AK79">
        <v>0</v>
      </c>
      <c r="AL79">
        <v>0</v>
      </c>
      <c r="AN79">
        <v>0</v>
      </c>
      <c r="AO79" t="s">
        <v>424</v>
      </c>
      <c r="AQ79" t="s">
        <v>424</v>
      </c>
      <c r="AR79" t="s">
        <v>424</v>
      </c>
      <c r="AS79" t="s">
        <v>424</v>
      </c>
      <c r="AU79">
        <v>0</v>
      </c>
      <c r="AV79">
        <v>0</v>
      </c>
      <c r="AW79">
        <v>0</v>
      </c>
      <c r="AX79">
        <v>0</v>
      </c>
      <c r="AY79">
        <v>2.8260000000000001</v>
      </c>
      <c r="AZ79">
        <v>3.137</v>
      </c>
      <c r="BA79" t="s">
        <v>428</v>
      </c>
      <c r="BB79">
        <v>1</v>
      </c>
      <c r="BC79">
        <v>1</v>
      </c>
      <c r="BD79" t="s">
        <v>442</v>
      </c>
      <c r="BE79">
        <v>0</v>
      </c>
      <c r="BF79">
        <v>0</v>
      </c>
      <c r="BG79">
        <v>0</v>
      </c>
      <c r="CK79">
        <v>2.9815</v>
      </c>
      <c r="CM79" t="s">
        <v>450</v>
      </c>
      <c r="CO79">
        <v>1.7824347572228401</v>
      </c>
      <c r="CP79">
        <v>1.5</v>
      </c>
      <c r="CQ79">
        <v>1.6412173786114199</v>
      </c>
      <c r="CR79">
        <v>-0.24</v>
      </c>
      <c r="CS79">
        <v>1.4012173786114199</v>
      </c>
      <c r="CT79">
        <v>1</v>
      </c>
      <c r="CU79">
        <v>1.235474937248566E-2</v>
      </c>
      <c r="CV79">
        <v>0</v>
      </c>
    </row>
    <row r="80" spans="1:100" x14ac:dyDescent="0.25">
      <c r="A80">
        <v>1218</v>
      </c>
      <c r="B80" t="s">
        <v>180</v>
      </c>
      <c r="C80" t="s">
        <v>280</v>
      </c>
      <c r="D80" t="s">
        <v>380</v>
      </c>
      <c r="E80" t="s">
        <v>406</v>
      </c>
      <c r="F80">
        <v>160479300</v>
      </c>
      <c r="G80">
        <v>252.84970000000001</v>
      </c>
      <c r="H80">
        <f>_xlfn.XLOOKUP(D80,[2]prices!$A$2:$A$6953,[2]prices!$E$2:$E$6953)</f>
        <v>214.39369435</v>
      </c>
      <c r="I80" t="s">
        <v>414</v>
      </c>
      <c r="J80">
        <v>40577142861.209999</v>
      </c>
      <c r="K80" t="s">
        <v>416</v>
      </c>
      <c r="L80">
        <v>92114432.940758303</v>
      </c>
      <c r="M80">
        <v>1</v>
      </c>
      <c r="N80">
        <v>40577142861.209999</v>
      </c>
      <c r="O80">
        <v>31806997260</v>
      </c>
      <c r="P80">
        <f>_xlfn.XLOOKUP(D80,[1]full_dataframe_final!$C$2:$C$101,[1]full_dataframe_final!$I$2:$I$101)</f>
        <v>2.4980625640273389E-2</v>
      </c>
      <c r="Q80">
        <f t="shared" si="4"/>
        <v>1066686483756.9893</v>
      </c>
      <c r="R80">
        <f t="shared" si="5"/>
        <v>68132681769.672386</v>
      </c>
      <c r="S80">
        <f t="shared" si="6"/>
        <v>269459215.37447894</v>
      </c>
      <c r="T80">
        <f t="shared" si="7"/>
        <v>4975363137</v>
      </c>
      <c r="U80">
        <v>50101035</v>
      </c>
      <c r="V80">
        <v>5010</v>
      </c>
      <c r="W80">
        <v>1.74390558393971</v>
      </c>
      <c r="Y80" t="s">
        <v>420</v>
      </c>
      <c r="Z80" t="s">
        <v>422</v>
      </c>
      <c r="AA80">
        <v>0</v>
      </c>
      <c r="AB80">
        <v>0</v>
      </c>
      <c r="AC80" t="s">
        <v>422</v>
      </c>
      <c r="AD80" t="s">
        <v>422</v>
      </c>
      <c r="AE80" t="s">
        <v>422</v>
      </c>
      <c r="AF80" t="s">
        <v>422</v>
      </c>
      <c r="AG80" t="s">
        <v>422</v>
      </c>
      <c r="AH80" t="s">
        <v>422</v>
      </c>
      <c r="AI80" t="s">
        <v>422</v>
      </c>
      <c r="AJ80">
        <v>0</v>
      </c>
      <c r="AK80">
        <v>0</v>
      </c>
      <c r="AL80">
        <v>0</v>
      </c>
      <c r="AN80">
        <v>0</v>
      </c>
      <c r="AO80" t="s">
        <v>424</v>
      </c>
      <c r="AQ80" t="s">
        <v>424</v>
      </c>
      <c r="AR80" t="s">
        <v>424</v>
      </c>
      <c r="AS80" t="s">
        <v>424</v>
      </c>
      <c r="AU80">
        <v>0</v>
      </c>
      <c r="AV80">
        <v>0</v>
      </c>
      <c r="AW80">
        <v>0</v>
      </c>
      <c r="AX80">
        <v>0</v>
      </c>
      <c r="AY80">
        <v>2.6779999999999999</v>
      </c>
      <c r="AZ80">
        <v>2.95</v>
      </c>
      <c r="BA80" t="s">
        <v>420</v>
      </c>
      <c r="BB80">
        <v>1</v>
      </c>
      <c r="BC80">
        <v>0</v>
      </c>
      <c r="BD80" t="s">
        <v>446</v>
      </c>
      <c r="BE80">
        <v>0</v>
      </c>
      <c r="BF80">
        <v>0</v>
      </c>
      <c r="BG80">
        <v>0</v>
      </c>
      <c r="CK80">
        <v>2.8140000000000001</v>
      </c>
      <c r="CM80" t="s">
        <v>450</v>
      </c>
      <c r="CO80">
        <v>1.74390558393971</v>
      </c>
      <c r="CP80">
        <v>3.1</v>
      </c>
      <c r="CQ80">
        <v>2.4219527919698551</v>
      </c>
      <c r="CR80">
        <v>0</v>
      </c>
      <c r="CS80">
        <v>2.4219527919698551</v>
      </c>
      <c r="CT80">
        <v>0</v>
      </c>
      <c r="CU80">
        <v>2.8379214816453651E-2</v>
      </c>
      <c r="CV80">
        <v>0</v>
      </c>
    </row>
    <row r="81" spans="1:100" x14ac:dyDescent="0.25">
      <c r="A81">
        <v>1239</v>
      </c>
      <c r="B81" t="s">
        <v>131</v>
      </c>
      <c r="C81" t="s">
        <v>231</v>
      </c>
      <c r="D81" t="s">
        <v>331</v>
      </c>
      <c r="E81" t="s">
        <v>394</v>
      </c>
      <c r="F81">
        <v>800316777</v>
      </c>
      <c r="G81">
        <v>37.835000000000001</v>
      </c>
      <c r="H81">
        <f>_xlfn.XLOOKUP(D81,[2]prices!$A$2:$A$6953,[2]prices!$E$2:$E$6953)</f>
        <v>40.28</v>
      </c>
      <c r="I81" t="s">
        <v>409</v>
      </c>
      <c r="J81">
        <v>30279985257.794998</v>
      </c>
      <c r="K81" t="s">
        <v>415</v>
      </c>
      <c r="L81">
        <v>97163081.891071394</v>
      </c>
      <c r="M81">
        <v>0.9</v>
      </c>
      <c r="N81">
        <v>27251986732.015499</v>
      </c>
      <c r="O81">
        <v>142760506681.26001</v>
      </c>
      <c r="P81">
        <f>_xlfn.XLOOKUP(D81,[1]full_dataframe_final!$C$2:$C$101,[1]full_dataframe_final!$I$2:$I$101)</f>
        <v>5.2663071231222732E-3</v>
      </c>
      <c r="Q81">
        <f t="shared" si="4"/>
        <v>224874216860.73532</v>
      </c>
      <c r="R81">
        <f t="shared" si="5"/>
        <v>14363436388.181747</v>
      </c>
      <c r="S81">
        <f t="shared" si="6"/>
        <v>379633577.06308305</v>
      </c>
      <c r="T81">
        <f t="shared" si="7"/>
        <v>5582775989</v>
      </c>
      <c r="U81">
        <v>30101010</v>
      </c>
      <c r="V81">
        <v>3010</v>
      </c>
      <c r="W81">
        <v>2.89333333333333</v>
      </c>
      <c r="X81">
        <v>1.5</v>
      </c>
      <c r="Y81" t="s">
        <v>419</v>
      </c>
      <c r="Z81" t="s">
        <v>422</v>
      </c>
      <c r="AA81">
        <v>0</v>
      </c>
      <c r="AB81">
        <v>0</v>
      </c>
      <c r="AC81" t="s">
        <v>422</v>
      </c>
      <c r="AD81" t="s">
        <v>422</v>
      </c>
      <c r="AE81" t="s">
        <v>422</v>
      </c>
      <c r="AF81" t="s">
        <v>422</v>
      </c>
      <c r="AG81" t="s">
        <v>422</v>
      </c>
      <c r="AH81" t="s">
        <v>422</v>
      </c>
      <c r="AI81" t="s">
        <v>422</v>
      </c>
      <c r="AJ81">
        <v>0</v>
      </c>
      <c r="AK81">
        <v>0</v>
      </c>
      <c r="AL81">
        <v>0</v>
      </c>
      <c r="AN81">
        <v>0</v>
      </c>
      <c r="AO81" t="s">
        <v>424</v>
      </c>
      <c r="AQ81" t="s">
        <v>424</v>
      </c>
      <c r="AR81" t="s">
        <v>424</v>
      </c>
      <c r="AS81" t="s">
        <v>424</v>
      </c>
      <c r="AU81">
        <v>0</v>
      </c>
      <c r="AV81">
        <v>0</v>
      </c>
      <c r="AW81">
        <v>0</v>
      </c>
      <c r="AX81">
        <v>0</v>
      </c>
      <c r="AY81">
        <v>2.452</v>
      </c>
      <c r="AZ81">
        <v>3.1869999999999998</v>
      </c>
      <c r="BA81" t="s">
        <v>430</v>
      </c>
      <c r="BB81">
        <v>0</v>
      </c>
      <c r="BC81">
        <v>0</v>
      </c>
      <c r="BD81" t="s">
        <v>433</v>
      </c>
      <c r="BE81">
        <v>0</v>
      </c>
      <c r="BF81">
        <v>0</v>
      </c>
      <c r="BG81">
        <v>0</v>
      </c>
      <c r="CK81">
        <v>2.8195000000000001</v>
      </c>
      <c r="CM81" t="s">
        <v>450</v>
      </c>
      <c r="CO81">
        <v>2.89333333333333</v>
      </c>
      <c r="CP81">
        <v>1.5</v>
      </c>
      <c r="CQ81">
        <v>2.196666666666665</v>
      </c>
      <c r="CR81">
        <v>-0.24</v>
      </c>
      <c r="CS81">
        <v>1.956666666666665</v>
      </c>
      <c r="CT81">
        <v>0</v>
      </c>
      <c r="CU81">
        <v>3.2492218804124333E-2</v>
      </c>
      <c r="CV81">
        <v>0</v>
      </c>
    </row>
    <row r="82" spans="1:100" x14ac:dyDescent="0.25">
      <c r="A82">
        <v>1250</v>
      </c>
      <c r="B82" t="s">
        <v>124</v>
      </c>
      <c r="C82" t="s">
        <v>224</v>
      </c>
      <c r="D82" t="s">
        <v>324</v>
      </c>
      <c r="E82" t="s">
        <v>406</v>
      </c>
      <c r="F82">
        <v>59626810</v>
      </c>
      <c r="G82">
        <v>310.37360000000001</v>
      </c>
      <c r="H82">
        <f>_xlfn.XLOOKUP(D82,[2]prices!$A$2:$A$6953,[2]prices!$E$2:$E$6953)</f>
        <v>252.67249799999999</v>
      </c>
      <c r="I82" t="s">
        <v>414</v>
      </c>
      <c r="J82">
        <v>18506587676.216</v>
      </c>
      <c r="K82" t="s">
        <v>416</v>
      </c>
      <c r="L82">
        <v>37253581.499226198</v>
      </c>
      <c r="M82">
        <v>0.85</v>
      </c>
      <c r="N82">
        <v>15730599524.7836</v>
      </c>
      <c r="O82">
        <v>10045328680.700001</v>
      </c>
      <c r="P82">
        <f>_xlfn.XLOOKUP(D82,[1]full_dataframe_final!$C$2:$C$101,[1]full_dataframe_final!$I$2:$I$101)</f>
        <v>9.2980260148878245E-3</v>
      </c>
      <c r="Q82">
        <f t="shared" si="4"/>
        <v>397030835757.44904</v>
      </c>
      <c r="R82">
        <f t="shared" si="5"/>
        <v>25359630966.854931</v>
      </c>
      <c r="S82">
        <f t="shared" si="6"/>
        <v>81706791.321346045</v>
      </c>
      <c r="T82">
        <f t="shared" si="7"/>
        <v>1571325881</v>
      </c>
      <c r="U82">
        <v>20102010</v>
      </c>
      <c r="V82">
        <v>2010</v>
      </c>
      <c r="W82">
        <v>1.9776400456237699</v>
      </c>
      <c r="X82">
        <v>2.39</v>
      </c>
      <c r="Y82" t="s">
        <v>418</v>
      </c>
      <c r="Z82" t="s">
        <v>422</v>
      </c>
      <c r="AA82">
        <v>0</v>
      </c>
      <c r="AB82">
        <v>0</v>
      </c>
      <c r="AC82" t="s">
        <v>422</v>
      </c>
      <c r="AD82" t="s">
        <v>422</v>
      </c>
      <c r="AE82" t="s">
        <v>422</v>
      </c>
      <c r="AF82" t="s">
        <v>422</v>
      </c>
      <c r="AG82" t="s">
        <v>422</v>
      </c>
      <c r="AH82" t="s">
        <v>422</v>
      </c>
      <c r="AI82" t="s">
        <v>422</v>
      </c>
      <c r="AJ82">
        <v>0</v>
      </c>
      <c r="AK82">
        <v>0</v>
      </c>
      <c r="AL82">
        <v>0</v>
      </c>
      <c r="AN82">
        <v>0</v>
      </c>
      <c r="AO82" t="s">
        <v>424</v>
      </c>
      <c r="AQ82" t="s">
        <v>424</v>
      </c>
      <c r="AR82" t="s">
        <v>424</v>
      </c>
      <c r="AS82" t="s">
        <v>424</v>
      </c>
      <c r="AU82">
        <v>0</v>
      </c>
      <c r="AV82">
        <v>0</v>
      </c>
      <c r="AW82">
        <v>0</v>
      </c>
      <c r="AX82">
        <v>0</v>
      </c>
      <c r="AY82">
        <v>3.0779999999999998</v>
      </c>
      <c r="AZ82">
        <v>3.0640000000000001</v>
      </c>
      <c r="BA82" t="s">
        <v>420</v>
      </c>
      <c r="BB82">
        <v>1</v>
      </c>
      <c r="BC82">
        <v>0</v>
      </c>
      <c r="BD82" t="s">
        <v>446</v>
      </c>
      <c r="BE82">
        <v>0</v>
      </c>
      <c r="BF82">
        <v>0</v>
      </c>
      <c r="BG82">
        <v>0</v>
      </c>
      <c r="CK82">
        <v>3.0710000000000002</v>
      </c>
      <c r="CM82" t="s">
        <v>450</v>
      </c>
      <c r="CO82">
        <v>1.9776400456237699</v>
      </c>
      <c r="CP82">
        <v>2.39</v>
      </c>
      <c r="CQ82">
        <v>2.1838200228118851</v>
      </c>
      <c r="CR82">
        <v>-0.18</v>
      </c>
      <c r="CS82">
        <v>2.003820022811885</v>
      </c>
      <c r="CT82">
        <v>0</v>
      </c>
      <c r="CU82">
        <v>1.141132501216576E-2</v>
      </c>
      <c r="CV82">
        <v>0</v>
      </c>
    </row>
    <row r="83" spans="1:100" x14ac:dyDescent="0.25">
      <c r="A83">
        <v>1276</v>
      </c>
      <c r="B83" t="s">
        <v>189</v>
      </c>
      <c r="C83" t="s">
        <v>289</v>
      </c>
      <c r="D83" t="s">
        <v>389</v>
      </c>
      <c r="E83" t="s">
        <v>399</v>
      </c>
      <c r="F83">
        <v>613066600</v>
      </c>
      <c r="G83">
        <v>10.71</v>
      </c>
      <c r="H83">
        <f>_xlfn.XLOOKUP(D83,[2]prices!$A$2:$A$6953,[2]prices!$E$2:$E$6953)</f>
        <v>7.6779999999999999</v>
      </c>
      <c r="I83" t="s">
        <v>409</v>
      </c>
      <c r="J83">
        <v>6565943286.000001</v>
      </c>
      <c r="K83" t="s">
        <v>415</v>
      </c>
      <c r="L83">
        <v>19128821.576101702</v>
      </c>
      <c r="M83">
        <v>1</v>
      </c>
      <c r="N83">
        <v>6565943286.000001</v>
      </c>
      <c r="O83">
        <v>121509800120</v>
      </c>
      <c r="P83">
        <f>_xlfn.XLOOKUP(D83,[1]full_dataframe_final!$C$2:$C$101,[1]full_dataframe_final!$I$2:$I$101)</f>
        <v>3.417653629164373E-3</v>
      </c>
      <c r="Q83">
        <f t="shared" si="4"/>
        <v>145935693720.79028</v>
      </c>
      <c r="R83">
        <f t="shared" si="5"/>
        <v>9321380115.4530964</v>
      </c>
      <c r="S83">
        <f t="shared" si="6"/>
        <v>870343614.88824427</v>
      </c>
      <c r="T83">
        <f t="shared" si="7"/>
        <v>19006993191</v>
      </c>
      <c r="U83">
        <v>55101015</v>
      </c>
      <c r="V83">
        <v>5510</v>
      </c>
      <c r="W83">
        <v>1.8865311555342901</v>
      </c>
      <c r="X83">
        <v>1.5</v>
      </c>
      <c r="Y83" t="s">
        <v>417</v>
      </c>
      <c r="Z83" t="s">
        <v>423</v>
      </c>
      <c r="AA83">
        <v>0</v>
      </c>
      <c r="AB83">
        <v>0</v>
      </c>
      <c r="AC83" t="s">
        <v>422</v>
      </c>
      <c r="AD83" t="s">
        <v>422</v>
      </c>
      <c r="AE83" t="s">
        <v>422</v>
      </c>
      <c r="AF83" t="s">
        <v>422</v>
      </c>
      <c r="AG83" t="s">
        <v>422</v>
      </c>
      <c r="AH83" t="s">
        <v>422</v>
      </c>
      <c r="AI83" t="s">
        <v>422</v>
      </c>
      <c r="AJ83">
        <v>0</v>
      </c>
      <c r="AK83">
        <v>0</v>
      </c>
      <c r="AL83">
        <v>0</v>
      </c>
      <c r="AN83">
        <v>0</v>
      </c>
      <c r="AO83" t="s">
        <v>424</v>
      </c>
      <c r="AQ83" t="s">
        <v>424</v>
      </c>
      <c r="AR83" t="s">
        <v>424</v>
      </c>
      <c r="AS83" t="s">
        <v>424</v>
      </c>
      <c r="AU83">
        <v>0</v>
      </c>
      <c r="AV83">
        <v>0</v>
      </c>
      <c r="AW83">
        <v>0</v>
      </c>
      <c r="AX83">
        <v>0</v>
      </c>
      <c r="AY83">
        <v>2.58</v>
      </c>
      <c r="AZ83">
        <v>3.1419999999999999</v>
      </c>
      <c r="BA83" t="s">
        <v>420</v>
      </c>
      <c r="BB83">
        <v>1</v>
      </c>
      <c r="BC83">
        <v>0</v>
      </c>
      <c r="BD83" t="s">
        <v>438</v>
      </c>
      <c r="BE83">
        <v>0</v>
      </c>
      <c r="BF83">
        <v>0</v>
      </c>
      <c r="BG83">
        <v>0</v>
      </c>
      <c r="CK83">
        <v>2.8610000000000002</v>
      </c>
      <c r="CM83" t="s">
        <v>450</v>
      </c>
      <c r="CO83">
        <v>1.8865311555342901</v>
      </c>
      <c r="CP83">
        <v>1.5</v>
      </c>
      <c r="CQ83">
        <v>1.693265577767145</v>
      </c>
      <c r="CR83">
        <v>-0.3</v>
      </c>
      <c r="CS83">
        <v>1.393265577767145</v>
      </c>
      <c r="CT83">
        <v>1</v>
      </c>
      <c r="CU83">
        <v>8.5842725069499096E-3</v>
      </c>
      <c r="CV83">
        <v>0</v>
      </c>
    </row>
    <row r="84" spans="1:100" x14ac:dyDescent="0.25">
      <c r="A84">
        <v>1277</v>
      </c>
      <c r="B84" t="s">
        <v>147</v>
      </c>
      <c r="C84" t="s">
        <v>247</v>
      </c>
      <c r="D84" t="s">
        <v>347</v>
      </c>
      <c r="E84" t="s">
        <v>400</v>
      </c>
      <c r="F84">
        <v>447972681</v>
      </c>
      <c r="G84">
        <v>10.611890000000001</v>
      </c>
      <c r="H84">
        <f>_xlfn.XLOOKUP(D84,[2]prices!$A$2:$A$6953,[2]prices!$E$2:$E$6953)</f>
        <v>10.08753647</v>
      </c>
      <c r="I84" t="s">
        <v>411</v>
      </c>
      <c r="J84">
        <v>4753836813.7770901</v>
      </c>
      <c r="K84" t="s">
        <v>416</v>
      </c>
      <c r="L84">
        <v>7342922.1966118803</v>
      </c>
      <c r="M84">
        <v>1</v>
      </c>
      <c r="N84">
        <v>4753836813.7770901</v>
      </c>
      <c r="O84">
        <v>88788185374.199997</v>
      </c>
      <c r="P84">
        <f>_xlfn.XLOOKUP(D84,[1]full_dataframe_final!$C$2:$C$101,[1]full_dataframe_final!$I$2:$I$101)</f>
        <v>3.2810203923946219E-3</v>
      </c>
      <c r="Q84">
        <f t="shared" si="4"/>
        <v>140101379200.689</v>
      </c>
      <c r="R84">
        <f t="shared" si="5"/>
        <v>8948723762.7240601</v>
      </c>
      <c r="S84">
        <f t="shared" si="6"/>
        <v>843273324.80114841</v>
      </c>
      <c r="T84">
        <f t="shared" si="7"/>
        <v>13888562347</v>
      </c>
      <c r="U84">
        <v>30301010</v>
      </c>
      <c r="V84">
        <v>3030</v>
      </c>
      <c r="W84">
        <v>1.9999941425684999</v>
      </c>
      <c r="Y84" t="s">
        <v>419</v>
      </c>
      <c r="Z84" t="s">
        <v>422</v>
      </c>
      <c r="AA84">
        <v>0</v>
      </c>
      <c r="AB84">
        <v>0</v>
      </c>
      <c r="AC84" t="s">
        <v>422</v>
      </c>
      <c r="AD84" t="s">
        <v>422</v>
      </c>
      <c r="AE84" t="s">
        <v>422</v>
      </c>
      <c r="AF84" t="s">
        <v>422</v>
      </c>
      <c r="AG84" t="s">
        <v>422</v>
      </c>
      <c r="AH84" t="s">
        <v>422</v>
      </c>
      <c r="AI84" t="s">
        <v>422</v>
      </c>
      <c r="AJ84">
        <v>0</v>
      </c>
      <c r="AK84">
        <v>0</v>
      </c>
      <c r="AL84">
        <v>0</v>
      </c>
      <c r="AN84">
        <v>0</v>
      </c>
      <c r="AO84" t="s">
        <v>424</v>
      </c>
      <c r="AQ84" t="s">
        <v>424</v>
      </c>
      <c r="AR84" t="s">
        <v>424</v>
      </c>
      <c r="AS84" t="s">
        <v>424</v>
      </c>
      <c r="AU84">
        <v>0</v>
      </c>
      <c r="AV84">
        <v>0</v>
      </c>
      <c r="AW84">
        <v>0</v>
      </c>
      <c r="AX84">
        <v>0</v>
      </c>
      <c r="AY84">
        <v>2.2010000000000001</v>
      </c>
      <c r="AZ84">
        <v>3.4180000000000001</v>
      </c>
      <c r="BA84" t="s">
        <v>430</v>
      </c>
      <c r="BB84">
        <v>0</v>
      </c>
      <c r="BC84">
        <v>0</v>
      </c>
      <c r="BD84" t="s">
        <v>439</v>
      </c>
      <c r="BE84">
        <v>0</v>
      </c>
      <c r="BF84">
        <v>0</v>
      </c>
      <c r="BG84">
        <v>0</v>
      </c>
      <c r="CK84">
        <v>2.8094999999999999</v>
      </c>
      <c r="CM84" t="s">
        <v>450</v>
      </c>
      <c r="CO84">
        <v>1.9999941425684999</v>
      </c>
      <c r="CP84">
        <v>3.1</v>
      </c>
      <c r="CQ84">
        <v>2.5499970712842499</v>
      </c>
      <c r="CR84">
        <v>-0.24</v>
      </c>
      <c r="CS84">
        <v>2.3099970712842501</v>
      </c>
      <c r="CT84">
        <v>0</v>
      </c>
      <c r="CU84">
        <v>4.2821984221131561E-3</v>
      </c>
      <c r="CV84">
        <v>0</v>
      </c>
    </row>
    <row r="85" spans="1:100" x14ac:dyDescent="0.25">
      <c r="A85">
        <v>1279</v>
      </c>
      <c r="B85" t="s">
        <v>126</v>
      </c>
      <c r="C85" t="s">
        <v>226</v>
      </c>
      <c r="D85" t="s">
        <v>326</v>
      </c>
      <c r="E85" t="s">
        <v>406</v>
      </c>
      <c r="F85">
        <v>159455250</v>
      </c>
      <c r="G85">
        <v>138.75899999999999</v>
      </c>
      <c r="H85">
        <f>_xlfn.XLOOKUP(D85,[2]prices!$A$2:$A$6953,[2]prices!$E$2:$E$6953)</f>
        <v>106.0360654</v>
      </c>
      <c r="I85" t="s">
        <v>414</v>
      </c>
      <c r="J85">
        <v>22125851034.75</v>
      </c>
      <c r="K85" t="s">
        <v>416</v>
      </c>
      <c r="L85">
        <v>38963232.823840298</v>
      </c>
      <c r="M85">
        <v>0.75</v>
      </c>
      <c r="N85">
        <v>16594388276.0625</v>
      </c>
      <c r="O85">
        <v>23703022912.5</v>
      </c>
      <c r="P85">
        <f>_xlfn.XLOOKUP(D85,[1]full_dataframe_final!$C$2:$C$101,[1]full_dataframe_final!$I$2:$I$101)</f>
        <v>3.569874974765607E-3</v>
      </c>
      <c r="Q85">
        <f t="shared" si="4"/>
        <v>152435629079.9097</v>
      </c>
      <c r="R85">
        <f t="shared" si="5"/>
        <v>9736551802.8138733</v>
      </c>
      <c r="S85">
        <f t="shared" si="6"/>
        <v>70168794.837191641</v>
      </c>
      <c r="T85">
        <f t="shared" si="7"/>
        <v>1437582849</v>
      </c>
      <c r="U85">
        <v>20102015</v>
      </c>
      <c r="V85">
        <v>2010</v>
      </c>
      <c r="W85">
        <v>1.74431611527946</v>
      </c>
      <c r="X85">
        <v>3.01</v>
      </c>
      <c r="Y85" t="s">
        <v>418</v>
      </c>
      <c r="Z85" t="s">
        <v>422</v>
      </c>
      <c r="AA85">
        <v>0</v>
      </c>
      <c r="AB85">
        <v>0</v>
      </c>
      <c r="AC85" t="s">
        <v>422</v>
      </c>
      <c r="AD85" t="s">
        <v>422</v>
      </c>
      <c r="AE85" t="s">
        <v>422</v>
      </c>
      <c r="AF85" t="s">
        <v>422</v>
      </c>
      <c r="AG85" t="s">
        <v>422</v>
      </c>
      <c r="AH85" t="s">
        <v>422</v>
      </c>
      <c r="AI85" t="s">
        <v>422</v>
      </c>
      <c r="AJ85">
        <v>0</v>
      </c>
      <c r="AK85">
        <v>0</v>
      </c>
      <c r="AL85">
        <v>0</v>
      </c>
      <c r="AN85">
        <v>0</v>
      </c>
      <c r="AO85" t="s">
        <v>424</v>
      </c>
      <c r="AQ85" t="s">
        <v>424</v>
      </c>
      <c r="AR85" t="s">
        <v>424</v>
      </c>
      <c r="AS85" t="s">
        <v>424</v>
      </c>
      <c r="AU85">
        <v>0</v>
      </c>
      <c r="AV85">
        <v>0</v>
      </c>
      <c r="AW85">
        <v>0</v>
      </c>
      <c r="AX85">
        <v>0</v>
      </c>
      <c r="AY85">
        <v>2.85</v>
      </c>
      <c r="AZ85">
        <v>2.2160000000000002</v>
      </c>
      <c r="BA85" t="s">
        <v>420</v>
      </c>
      <c r="BB85">
        <v>1</v>
      </c>
      <c r="BC85">
        <v>0</v>
      </c>
      <c r="BD85" t="s">
        <v>446</v>
      </c>
      <c r="BE85">
        <v>0</v>
      </c>
      <c r="BF85">
        <v>0</v>
      </c>
      <c r="BG85">
        <v>0</v>
      </c>
      <c r="CK85">
        <v>2.5329999999999999</v>
      </c>
      <c r="CM85" t="s">
        <v>450</v>
      </c>
      <c r="CO85">
        <v>1.74431611527946</v>
      </c>
      <c r="CP85">
        <v>3.01</v>
      </c>
      <c r="CQ85">
        <v>2.37715805763973</v>
      </c>
      <c r="CR85">
        <v>-0.18</v>
      </c>
      <c r="CS85">
        <v>2.1971580576397298</v>
      </c>
      <c r="CT85">
        <v>0</v>
      </c>
      <c r="CU85">
        <v>1.22440686047875E-2</v>
      </c>
      <c r="CV85">
        <v>0</v>
      </c>
    </row>
    <row r="86" spans="1:100" x14ac:dyDescent="0.25">
      <c r="A86">
        <v>1302</v>
      </c>
      <c r="B86" t="s">
        <v>190</v>
      </c>
      <c r="C86" t="s">
        <v>290</v>
      </c>
      <c r="D86" t="s">
        <v>390</v>
      </c>
      <c r="E86" t="s">
        <v>395</v>
      </c>
      <c r="F86">
        <v>638676100</v>
      </c>
      <c r="G86">
        <v>13.483459999999999</v>
      </c>
      <c r="H86">
        <f>_xlfn.XLOOKUP(D86,[2]prices!$A$2:$A$6953,[2]prices!$E$2:$E$6953)</f>
        <v>11.560953534999999</v>
      </c>
      <c r="I86" t="s">
        <v>410</v>
      </c>
      <c r="J86">
        <v>8611563647.3059998</v>
      </c>
      <c r="K86" t="s">
        <v>416</v>
      </c>
      <c r="L86">
        <v>18512719.7292796</v>
      </c>
      <c r="M86">
        <v>0.85</v>
      </c>
      <c r="N86">
        <v>7319829100.2100992</v>
      </c>
      <c r="O86">
        <v>107597762567</v>
      </c>
      <c r="P86">
        <f>_xlfn.XLOOKUP(D86,[1]full_dataframe_final!$C$2:$C$101,[1]full_dataframe_final!$I$2:$I$101)</f>
        <v>4.556858341278119E-3</v>
      </c>
      <c r="Q86">
        <f t="shared" si="4"/>
        <v>194580362839.28183</v>
      </c>
      <c r="R86">
        <f t="shared" si="5"/>
        <v>12428470916.086369</v>
      </c>
      <c r="S86">
        <f t="shared" si="6"/>
        <v>921756798.03895807</v>
      </c>
      <c r="T86">
        <f t="shared" si="7"/>
        <v>16830823015</v>
      </c>
      <c r="U86">
        <v>55101010</v>
      </c>
      <c r="V86">
        <v>5510</v>
      </c>
      <c r="W86">
        <v>1.51093325943585</v>
      </c>
      <c r="Y86" t="s">
        <v>419</v>
      </c>
      <c r="Z86" t="s">
        <v>422</v>
      </c>
      <c r="AA86">
        <v>0</v>
      </c>
      <c r="AB86">
        <v>0</v>
      </c>
      <c r="AC86" t="s">
        <v>422</v>
      </c>
      <c r="AD86" t="s">
        <v>422</v>
      </c>
      <c r="AE86" t="s">
        <v>422</v>
      </c>
      <c r="AF86" t="s">
        <v>422</v>
      </c>
      <c r="AG86" t="s">
        <v>422</v>
      </c>
      <c r="AH86" t="s">
        <v>422</v>
      </c>
      <c r="AI86" t="s">
        <v>422</v>
      </c>
      <c r="AJ86">
        <v>0</v>
      </c>
      <c r="AK86">
        <v>0</v>
      </c>
      <c r="AL86">
        <v>0</v>
      </c>
      <c r="AN86">
        <v>0</v>
      </c>
      <c r="AO86" t="s">
        <v>424</v>
      </c>
      <c r="AQ86" t="s">
        <v>424</v>
      </c>
      <c r="AR86" t="s">
        <v>424</v>
      </c>
      <c r="AS86" t="s">
        <v>424</v>
      </c>
      <c r="AU86">
        <v>0</v>
      </c>
      <c r="AV86">
        <v>0</v>
      </c>
      <c r="AW86">
        <v>0</v>
      </c>
      <c r="AX86">
        <v>0</v>
      </c>
      <c r="AY86">
        <v>2.3260000000000001</v>
      </c>
      <c r="AZ86">
        <v>2.9609999999999999</v>
      </c>
      <c r="BA86" t="s">
        <v>420</v>
      </c>
      <c r="BB86">
        <v>1</v>
      </c>
      <c r="BC86">
        <v>0</v>
      </c>
      <c r="BD86" t="s">
        <v>434</v>
      </c>
      <c r="BE86">
        <v>0</v>
      </c>
      <c r="BF86">
        <v>0</v>
      </c>
      <c r="BG86">
        <v>0</v>
      </c>
      <c r="CK86">
        <v>2.6435</v>
      </c>
      <c r="CM86" t="s">
        <v>450</v>
      </c>
      <c r="CO86">
        <v>1.51093325943585</v>
      </c>
      <c r="CP86">
        <v>3.1</v>
      </c>
      <c r="CQ86">
        <v>2.3054666297179249</v>
      </c>
      <c r="CR86">
        <v>-0.24</v>
      </c>
      <c r="CS86">
        <v>2.0654666297179252</v>
      </c>
      <c r="CT86">
        <v>0</v>
      </c>
      <c r="CU86">
        <v>8.0736373164923304E-3</v>
      </c>
      <c r="CV86">
        <v>0</v>
      </c>
    </row>
    <row r="87" spans="1:100" x14ac:dyDescent="0.25">
      <c r="A87">
        <v>1316</v>
      </c>
      <c r="B87" t="s">
        <v>192</v>
      </c>
      <c r="C87" t="s">
        <v>292</v>
      </c>
      <c r="D87" t="s">
        <v>392</v>
      </c>
      <c r="E87" t="s">
        <v>398</v>
      </c>
      <c r="F87">
        <v>139772050</v>
      </c>
      <c r="G87">
        <v>98.02</v>
      </c>
      <c r="H87">
        <f>_xlfn.XLOOKUP(D87,[2]prices!$A$2:$A$6953,[2]prices!$E$2:$E$6953)</f>
        <v>95.88</v>
      </c>
      <c r="I87" t="s">
        <v>409</v>
      </c>
      <c r="J87">
        <v>13700456341</v>
      </c>
      <c r="K87" t="s">
        <v>415</v>
      </c>
      <c r="L87">
        <v>28548769.3108197</v>
      </c>
      <c r="M87">
        <v>0.9</v>
      </c>
      <c r="N87">
        <v>12330410706.9</v>
      </c>
      <c r="O87">
        <v>400027607100</v>
      </c>
      <c r="P87">
        <f>_xlfn.XLOOKUP(D87,[1]full_dataframe_final!$C$2:$C$101,[1]full_dataframe_final!$I$2:$I$101)</f>
        <v>8.7571573153888173E-3</v>
      </c>
      <c r="Q87">
        <f t="shared" si="4"/>
        <v>373935444170.75146</v>
      </c>
      <c r="R87">
        <f t="shared" si="5"/>
        <v>23884454343.466759</v>
      </c>
      <c r="S87">
        <f t="shared" si="6"/>
        <v>243669193.46528015</v>
      </c>
      <c r="T87">
        <f t="shared" si="7"/>
        <v>3900035921</v>
      </c>
      <c r="U87">
        <v>55201000</v>
      </c>
      <c r="V87">
        <v>5520</v>
      </c>
      <c r="W87">
        <v>1.92369051873579</v>
      </c>
      <c r="X87">
        <v>3.1</v>
      </c>
      <c r="Y87" t="s">
        <v>417</v>
      </c>
      <c r="Z87" t="s">
        <v>422</v>
      </c>
      <c r="AA87">
        <v>0</v>
      </c>
      <c r="AB87">
        <v>0</v>
      </c>
      <c r="AC87" t="s">
        <v>422</v>
      </c>
      <c r="AD87" t="s">
        <v>422</v>
      </c>
      <c r="AE87" t="s">
        <v>422</v>
      </c>
      <c r="AF87" t="s">
        <v>422</v>
      </c>
      <c r="AG87" t="s">
        <v>422</v>
      </c>
      <c r="AH87" t="s">
        <v>422</v>
      </c>
      <c r="AI87" t="s">
        <v>422</v>
      </c>
      <c r="AJ87">
        <v>0</v>
      </c>
      <c r="AK87">
        <v>0</v>
      </c>
      <c r="AL87">
        <v>0</v>
      </c>
      <c r="AN87">
        <v>0</v>
      </c>
      <c r="AO87" t="s">
        <v>424</v>
      </c>
      <c r="AQ87" t="s">
        <v>424</v>
      </c>
      <c r="AR87" t="s">
        <v>424</v>
      </c>
      <c r="AS87" t="s">
        <v>424</v>
      </c>
      <c r="AU87">
        <v>0</v>
      </c>
      <c r="AV87">
        <v>0</v>
      </c>
      <c r="AW87">
        <v>0</v>
      </c>
      <c r="AX87">
        <v>0</v>
      </c>
      <c r="AY87">
        <v>2.6389999999999998</v>
      </c>
      <c r="AZ87">
        <v>3.008</v>
      </c>
      <c r="BA87" t="s">
        <v>420</v>
      </c>
      <c r="BB87">
        <v>1</v>
      </c>
      <c r="BC87">
        <v>0</v>
      </c>
      <c r="BD87" t="s">
        <v>437</v>
      </c>
      <c r="BE87">
        <v>0</v>
      </c>
      <c r="BF87">
        <v>0</v>
      </c>
      <c r="BG87">
        <v>0</v>
      </c>
      <c r="CK87">
        <v>2.8235000000000001</v>
      </c>
      <c r="CM87" t="s">
        <v>450</v>
      </c>
      <c r="CO87">
        <v>1.92369051873579</v>
      </c>
      <c r="CP87">
        <v>3.1</v>
      </c>
      <c r="CQ87">
        <v>2.5118452593678948</v>
      </c>
      <c r="CR87">
        <v>-0.3</v>
      </c>
      <c r="CS87">
        <v>2.211845259367895</v>
      </c>
      <c r="CT87">
        <v>0</v>
      </c>
      <c r="CU87">
        <v>1.7932837900870649E-2</v>
      </c>
      <c r="CV87">
        <v>8.0357631437883055E-4</v>
      </c>
    </row>
    <row r="88" spans="1:100" x14ac:dyDescent="0.25">
      <c r="A88">
        <v>1336</v>
      </c>
      <c r="B88" t="s">
        <v>159</v>
      </c>
      <c r="C88" t="s">
        <v>259</v>
      </c>
      <c r="D88" t="s">
        <v>359</v>
      </c>
      <c r="E88" t="s">
        <v>403</v>
      </c>
      <c r="F88">
        <v>3540041300</v>
      </c>
      <c r="G88">
        <v>1.3824259999999999</v>
      </c>
      <c r="H88">
        <f>_xlfn.XLOOKUP(D88,[2]prices!$A$2:$A$6953,[2]prices!$E$2:$E$6953)</f>
        <v>1.2744814099999999</v>
      </c>
      <c r="I88" t="s">
        <v>413</v>
      </c>
      <c r="J88">
        <v>4893845134.1938</v>
      </c>
      <c r="K88" t="s">
        <v>416</v>
      </c>
      <c r="L88">
        <v>19580322.357266299</v>
      </c>
      <c r="M88">
        <v>1</v>
      </c>
      <c r="N88">
        <v>4893845134.1938</v>
      </c>
      <c r="O88">
        <v>11257331334000</v>
      </c>
      <c r="P88">
        <f>_xlfn.XLOOKUP(D88,[1]full_dataframe_final!$C$2:$C$101,[1]full_dataframe_final!$I$2:$I$101)</f>
        <v>3.2757753887907338E-3</v>
      </c>
      <c r="Q88">
        <f t="shared" si="4"/>
        <v>139877414655.84171</v>
      </c>
      <c r="R88">
        <f t="shared" si="5"/>
        <v>8934418430.0005913</v>
      </c>
      <c r="S88">
        <f t="shared" si="6"/>
        <v>6462854742.3157492</v>
      </c>
      <c r="T88">
        <f t="shared" si="7"/>
        <v>109752416597</v>
      </c>
      <c r="U88">
        <v>40202010</v>
      </c>
      <c r="V88">
        <v>4020</v>
      </c>
      <c r="W88">
        <v>1.7480510479370199</v>
      </c>
      <c r="X88">
        <v>1.5</v>
      </c>
      <c r="Y88" t="s">
        <v>419</v>
      </c>
      <c r="Z88" t="s">
        <v>422</v>
      </c>
      <c r="AA88">
        <v>0</v>
      </c>
      <c r="AB88">
        <v>0</v>
      </c>
      <c r="AC88" t="s">
        <v>422</v>
      </c>
      <c r="AD88" t="s">
        <v>422</v>
      </c>
      <c r="AE88" t="s">
        <v>422</v>
      </c>
      <c r="AF88" t="s">
        <v>422</v>
      </c>
      <c r="AG88" t="s">
        <v>422</v>
      </c>
      <c r="AH88" t="s">
        <v>422</v>
      </c>
      <c r="AI88" t="s">
        <v>422</v>
      </c>
      <c r="AJ88">
        <v>0</v>
      </c>
      <c r="AK88">
        <v>0</v>
      </c>
      <c r="AL88">
        <v>0</v>
      </c>
      <c r="AN88">
        <v>0</v>
      </c>
      <c r="AO88" t="s">
        <v>424</v>
      </c>
      <c r="AQ88" t="s">
        <v>424</v>
      </c>
      <c r="AR88" t="s">
        <v>424</v>
      </c>
      <c r="AS88" t="s">
        <v>424</v>
      </c>
      <c r="AU88">
        <v>0</v>
      </c>
      <c r="AV88">
        <v>0</v>
      </c>
      <c r="AW88">
        <v>0</v>
      </c>
      <c r="AX88">
        <v>0</v>
      </c>
      <c r="AY88">
        <v>2.4900000000000002</v>
      </c>
      <c r="AZ88">
        <v>2.7679999999999998</v>
      </c>
      <c r="BA88" t="s">
        <v>424</v>
      </c>
      <c r="BB88">
        <v>1</v>
      </c>
      <c r="BC88">
        <v>0</v>
      </c>
      <c r="BD88" t="s">
        <v>442</v>
      </c>
      <c r="BE88">
        <v>0</v>
      </c>
      <c r="BF88">
        <v>0</v>
      </c>
      <c r="BG88">
        <v>0</v>
      </c>
      <c r="CK88">
        <v>2.629</v>
      </c>
      <c r="CM88" t="s">
        <v>450</v>
      </c>
      <c r="CO88">
        <v>1.7480510479370199</v>
      </c>
      <c r="CP88">
        <v>1.5</v>
      </c>
      <c r="CQ88">
        <v>1.62402552396851</v>
      </c>
      <c r="CR88">
        <v>-0.24</v>
      </c>
      <c r="CS88">
        <v>1.38402552396851</v>
      </c>
      <c r="CT88">
        <v>1</v>
      </c>
      <c r="CU88">
        <v>0.1</v>
      </c>
      <c r="CV88">
        <v>0.25776023638449119</v>
      </c>
    </row>
    <row r="89" spans="1:100" x14ac:dyDescent="0.25">
      <c r="A89">
        <v>1348</v>
      </c>
      <c r="B89" t="s">
        <v>112</v>
      </c>
      <c r="C89" t="s">
        <v>212</v>
      </c>
      <c r="D89" t="s">
        <v>312</v>
      </c>
      <c r="E89" t="s">
        <v>401</v>
      </c>
      <c r="F89">
        <v>5670161600</v>
      </c>
      <c r="G89">
        <v>4.1740000000000004</v>
      </c>
      <c r="H89">
        <f>_xlfn.XLOOKUP(D89,[2]prices!$A$2:$A$6953,[2]prices!$E$2:$E$6953)</f>
        <v>4.1660000000000004</v>
      </c>
      <c r="I89" t="s">
        <v>409</v>
      </c>
      <c r="J89">
        <v>23667254518.400002</v>
      </c>
      <c r="K89" t="s">
        <v>415</v>
      </c>
      <c r="L89">
        <v>53268601.0030111</v>
      </c>
      <c r="M89">
        <v>0.7</v>
      </c>
      <c r="N89">
        <v>16567078162.879999</v>
      </c>
      <c r="O89">
        <v>12621779721600</v>
      </c>
      <c r="P89">
        <f>_xlfn.XLOOKUP(D89,[1]full_dataframe_final!$C$2:$C$101,[1]full_dataframe_final!$I$2:$I$101)</f>
        <v>1.2005631912801471E-2</v>
      </c>
      <c r="Q89">
        <f t="shared" si="4"/>
        <v>512647099986.99396</v>
      </c>
      <c r="R89">
        <f t="shared" si="5"/>
        <v>32744412023.051872</v>
      </c>
      <c r="S89">
        <f t="shared" si="6"/>
        <v>7844851946.1072998</v>
      </c>
      <c r="T89">
        <f t="shared" si="7"/>
        <v>123054992795</v>
      </c>
      <c r="U89">
        <v>15102015</v>
      </c>
      <c r="V89">
        <v>1510</v>
      </c>
      <c r="W89">
        <v>1.7233600828722999</v>
      </c>
      <c r="X89">
        <v>1.5</v>
      </c>
      <c r="Y89" t="s">
        <v>417</v>
      </c>
      <c r="Z89" t="s">
        <v>422</v>
      </c>
      <c r="AA89">
        <v>0</v>
      </c>
      <c r="AB89">
        <v>0</v>
      </c>
      <c r="AC89" t="s">
        <v>422</v>
      </c>
      <c r="AD89" t="s">
        <v>422</v>
      </c>
      <c r="AE89" t="s">
        <v>422</v>
      </c>
      <c r="AF89" t="s">
        <v>422</v>
      </c>
      <c r="AG89" t="s">
        <v>422</v>
      </c>
      <c r="AH89" t="s">
        <v>422</v>
      </c>
      <c r="AI89" t="s">
        <v>422</v>
      </c>
      <c r="AJ89">
        <v>0</v>
      </c>
      <c r="AK89">
        <v>0</v>
      </c>
      <c r="AL89">
        <v>0</v>
      </c>
      <c r="AN89">
        <v>0</v>
      </c>
      <c r="AO89" t="s">
        <v>424</v>
      </c>
      <c r="AQ89" t="s">
        <v>424</v>
      </c>
      <c r="AR89" t="s">
        <v>424</v>
      </c>
      <c r="AS89" t="s">
        <v>424</v>
      </c>
      <c r="AU89">
        <v>0</v>
      </c>
      <c r="AV89">
        <v>0</v>
      </c>
      <c r="AW89">
        <v>0</v>
      </c>
      <c r="AX89">
        <v>0</v>
      </c>
      <c r="AY89">
        <v>3.1030000000000002</v>
      </c>
      <c r="AZ89">
        <v>2.8849999999999998</v>
      </c>
      <c r="BA89" t="s">
        <v>426</v>
      </c>
      <c r="BB89">
        <v>0</v>
      </c>
      <c r="BC89">
        <v>0</v>
      </c>
      <c r="BD89" t="s">
        <v>440</v>
      </c>
      <c r="BE89">
        <v>0</v>
      </c>
      <c r="BF89">
        <v>0</v>
      </c>
      <c r="BG89">
        <v>0</v>
      </c>
      <c r="CK89">
        <v>2.9940000000000002</v>
      </c>
      <c r="CM89" t="s">
        <v>450</v>
      </c>
      <c r="CO89">
        <v>1.7233600828722999</v>
      </c>
      <c r="CP89">
        <v>1.5</v>
      </c>
      <c r="CQ89">
        <v>1.6116800414361501</v>
      </c>
      <c r="CR89">
        <v>-0.3</v>
      </c>
      <c r="CS89">
        <v>1.31168004143615</v>
      </c>
      <c r="CT89">
        <v>1</v>
      </c>
      <c r="CU89">
        <v>0.1</v>
      </c>
      <c r="CV89">
        <v>0.27960763511245967</v>
      </c>
    </row>
    <row r="90" spans="1:100" x14ac:dyDescent="0.25">
      <c r="A90">
        <v>1350</v>
      </c>
      <c r="B90" t="s">
        <v>115</v>
      </c>
      <c r="C90" t="s">
        <v>215</v>
      </c>
      <c r="D90" t="s">
        <v>315</v>
      </c>
      <c r="E90" t="s">
        <v>400</v>
      </c>
      <c r="F90">
        <v>1368349989</v>
      </c>
      <c r="G90">
        <v>12.142609999999999</v>
      </c>
      <c r="H90">
        <f>_xlfn.XLOOKUP(D90,[2]prices!$A$2:$A$6953,[2]prices!$E$2:$E$6953)</f>
        <v>12.230095868999999</v>
      </c>
      <c r="I90" t="s">
        <v>411</v>
      </c>
      <c r="J90">
        <v>16615340259.93129</v>
      </c>
      <c r="K90" t="s">
        <v>416</v>
      </c>
      <c r="L90">
        <v>14604406.268437199</v>
      </c>
      <c r="M90">
        <v>0.45</v>
      </c>
      <c r="N90">
        <v>7476903116.9690809</v>
      </c>
      <c r="O90">
        <v>1958108834259</v>
      </c>
      <c r="P90">
        <f>_xlfn.XLOOKUP(D90,[1]full_dataframe_final!$C$2:$C$101,[1]full_dataframe_final!$I$2:$I$101)</f>
        <v>1.3669475744492469E-3</v>
      </c>
      <c r="Q90">
        <f t="shared" si="4"/>
        <v>58369414868.40419</v>
      </c>
      <c r="R90">
        <f t="shared" si="5"/>
        <v>3728241455.0749755</v>
      </c>
      <c r="S90">
        <f t="shared" si="6"/>
        <v>307037898.365753</v>
      </c>
      <c r="T90">
        <f t="shared" si="7"/>
        <v>4772604850</v>
      </c>
      <c r="U90">
        <v>15102015</v>
      </c>
      <c r="V90">
        <v>1510</v>
      </c>
      <c r="W90">
        <v>1.692422773381</v>
      </c>
      <c r="X90">
        <v>2.7</v>
      </c>
      <c r="Y90" t="s">
        <v>419</v>
      </c>
      <c r="Z90" t="s">
        <v>422</v>
      </c>
      <c r="AA90">
        <v>0</v>
      </c>
      <c r="AB90">
        <v>0</v>
      </c>
      <c r="AC90" t="s">
        <v>422</v>
      </c>
      <c r="AD90" t="s">
        <v>422</v>
      </c>
      <c r="AE90" t="s">
        <v>422</v>
      </c>
      <c r="AF90" t="s">
        <v>422</v>
      </c>
      <c r="AG90" t="s">
        <v>422</v>
      </c>
      <c r="AH90" t="s">
        <v>422</v>
      </c>
      <c r="AI90" t="s">
        <v>422</v>
      </c>
      <c r="AJ90">
        <v>0</v>
      </c>
      <c r="AK90">
        <v>0</v>
      </c>
      <c r="AL90">
        <v>0</v>
      </c>
      <c r="AN90">
        <v>0</v>
      </c>
      <c r="AO90" t="s">
        <v>424</v>
      </c>
      <c r="AQ90" t="s">
        <v>424</v>
      </c>
      <c r="AR90" t="s">
        <v>424</v>
      </c>
      <c r="AS90" t="s">
        <v>424</v>
      </c>
      <c r="AU90">
        <v>0</v>
      </c>
      <c r="AV90">
        <v>0</v>
      </c>
      <c r="AW90">
        <v>0</v>
      </c>
      <c r="AX90">
        <v>0</v>
      </c>
      <c r="AY90">
        <v>2.3370000000000002</v>
      </c>
      <c r="AZ90">
        <v>2.9340000000000002</v>
      </c>
      <c r="BA90" t="s">
        <v>426</v>
      </c>
      <c r="BB90">
        <v>0</v>
      </c>
      <c r="BC90">
        <v>0</v>
      </c>
      <c r="BD90" t="s">
        <v>439</v>
      </c>
      <c r="BE90">
        <v>0</v>
      </c>
      <c r="BF90">
        <v>0</v>
      </c>
      <c r="BG90">
        <v>0</v>
      </c>
      <c r="CK90">
        <v>2.6355</v>
      </c>
      <c r="CM90" t="s">
        <v>450</v>
      </c>
      <c r="CO90">
        <v>1.692422773381</v>
      </c>
      <c r="CP90">
        <v>2.7</v>
      </c>
      <c r="CQ90">
        <v>2.1962113866905</v>
      </c>
      <c r="CR90">
        <v>-0.24</v>
      </c>
      <c r="CS90">
        <v>1.9562113866905</v>
      </c>
      <c r="CT90">
        <v>0</v>
      </c>
      <c r="CU90">
        <v>5.0238079696804293E-2</v>
      </c>
      <c r="CV90">
        <v>4.1475435935741961E-2</v>
      </c>
    </row>
    <row r="91" spans="1:100" x14ac:dyDescent="0.25">
      <c r="A91">
        <v>1359</v>
      </c>
      <c r="B91" t="s">
        <v>105</v>
      </c>
      <c r="C91" t="s">
        <v>205</v>
      </c>
      <c r="D91" t="s">
        <v>305</v>
      </c>
      <c r="E91" t="s">
        <v>404</v>
      </c>
      <c r="F91">
        <v>2009992000</v>
      </c>
      <c r="G91">
        <v>7.8259999999999996</v>
      </c>
      <c r="H91">
        <f>_xlfn.XLOOKUP(D91,[2]prices!$A$2:$A$6953,[2]prices!$E$2:$E$6953)</f>
        <v>8.3360000000000003</v>
      </c>
      <c r="I91" t="s">
        <v>409</v>
      </c>
      <c r="J91">
        <v>15730197392</v>
      </c>
      <c r="K91" t="s">
        <v>415</v>
      </c>
      <c r="L91">
        <v>30108575.329360701</v>
      </c>
      <c r="M91">
        <v>0.70000000000000007</v>
      </c>
      <c r="N91">
        <v>11011138174.4</v>
      </c>
      <c r="O91">
        <v>4474242192000</v>
      </c>
      <c r="P91">
        <f>_xlfn.XLOOKUP(D91,[1]full_dataframe_final!$C$2:$C$101,[1]full_dataframe_final!$I$2:$I$101)</f>
        <v>3.571428571428511E-3</v>
      </c>
      <c r="Q91">
        <f t="shared" si="4"/>
        <v>152501968513.73309</v>
      </c>
      <c r="R91">
        <f t="shared" si="5"/>
        <v>9740789114.9035034</v>
      </c>
      <c r="S91">
        <f t="shared" si="6"/>
        <v>1244670216.5734096</v>
      </c>
      <c r="T91">
        <f t="shared" si="7"/>
        <v>18294382019</v>
      </c>
      <c r="U91">
        <v>65101015</v>
      </c>
      <c r="V91">
        <v>6510</v>
      </c>
      <c r="W91">
        <v>1.7449210642355399</v>
      </c>
      <c r="Y91" t="s">
        <v>419</v>
      </c>
      <c r="Z91" t="s">
        <v>422</v>
      </c>
      <c r="AA91">
        <v>0</v>
      </c>
      <c r="AB91">
        <v>0</v>
      </c>
      <c r="AC91" t="s">
        <v>422</v>
      </c>
      <c r="AD91" t="s">
        <v>422</v>
      </c>
      <c r="AE91" t="s">
        <v>422</v>
      </c>
      <c r="AF91" t="s">
        <v>422</v>
      </c>
      <c r="AG91" t="s">
        <v>422</v>
      </c>
      <c r="AH91" t="s">
        <v>422</v>
      </c>
      <c r="AI91" t="s">
        <v>422</v>
      </c>
      <c r="AJ91">
        <v>0</v>
      </c>
      <c r="AK91">
        <v>0</v>
      </c>
      <c r="AL91">
        <v>0</v>
      </c>
      <c r="AN91">
        <v>0</v>
      </c>
      <c r="AO91" t="s">
        <v>424</v>
      </c>
      <c r="AQ91" t="s">
        <v>424</v>
      </c>
      <c r="AR91" t="s">
        <v>424</v>
      </c>
      <c r="AS91" t="s">
        <v>424</v>
      </c>
      <c r="AU91">
        <v>0</v>
      </c>
      <c r="AV91">
        <v>0</v>
      </c>
      <c r="AW91">
        <v>0</v>
      </c>
      <c r="AX91">
        <v>0</v>
      </c>
      <c r="AY91">
        <v>2.8530000000000002</v>
      </c>
      <c r="AZ91">
        <v>3.169</v>
      </c>
      <c r="BA91" t="s">
        <v>421</v>
      </c>
      <c r="BB91">
        <v>1</v>
      </c>
      <c r="BC91">
        <v>1</v>
      </c>
      <c r="BD91" t="s">
        <v>443</v>
      </c>
      <c r="BE91">
        <v>0</v>
      </c>
      <c r="BF91">
        <v>0</v>
      </c>
      <c r="BG91">
        <v>0</v>
      </c>
      <c r="CK91">
        <v>3.0110000000000001</v>
      </c>
      <c r="CM91" t="s">
        <v>450</v>
      </c>
      <c r="CO91">
        <v>1.7449210642355399</v>
      </c>
      <c r="CP91">
        <v>3.1</v>
      </c>
      <c r="CQ91">
        <v>2.4224605321177699</v>
      </c>
      <c r="CR91">
        <v>-0.24</v>
      </c>
      <c r="CS91">
        <v>2.1824605321177701</v>
      </c>
      <c r="CT91">
        <v>0</v>
      </c>
      <c r="CU91">
        <v>0.1</v>
      </c>
      <c r="CV91">
        <v>8.2200405457174275E-2</v>
      </c>
    </row>
    <row r="92" spans="1:100" x14ac:dyDescent="0.25">
      <c r="A92">
        <v>1419</v>
      </c>
      <c r="B92" t="s">
        <v>167</v>
      </c>
      <c r="C92" t="s">
        <v>267</v>
      </c>
      <c r="D92" t="s">
        <v>367</v>
      </c>
      <c r="E92" t="s">
        <v>398</v>
      </c>
      <c r="F92">
        <v>507431030</v>
      </c>
      <c r="G92">
        <v>6.5759999999999996</v>
      </c>
      <c r="H92">
        <f>_xlfn.XLOOKUP(D92,[2]prices!$A$2:$A$6953,[2]prices!$E$2:$E$6953)</f>
        <v>6.3079999999999998</v>
      </c>
      <c r="I92" t="s">
        <v>409</v>
      </c>
      <c r="J92">
        <v>3336866453.2800002</v>
      </c>
      <c r="K92" t="s">
        <v>415</v>
      </c>
      <c r="L92">
        <v>30812669.2248688</v>
      </c>
      <c r="M92">
        <v>0.9</v>
      </c>
      <c r="N92">
        <v>3003179807.9520001</v>
      </c>
      <c r="O92">
        <v>46308155797.800003</v>
      </c>
      <c r="P92">
        <f>_xlfn.XLOOKUP(D92,[1]full_dataframe_final!$C$2:$C$101,[1]full_dataframe_final!$I$2:$I$101)</f>
        <v>5.2290585649813765E-4</v>
      </c>
      <c r="Q92">
        <f t="shared" si="4"/>
        <v>22328368289.731552</v>
      </c>
      <c r="R92">
        <f t="shared" si="5"/>
        <v>1426184389.027003</v>
      </c>
      <c r="S92">
        <f t="shared" si="6"/>
        <v>216877188.11237884</v>
      </c>
      <c r="T92">
        <f t="shared" si="7"/>
        <v>3539690597</v>
      </c>
      <c r="U92">
        <v>40501015</v>
      </c>
      <c r="V92">
        <v>4050</v>
      </c>
      <c r="W92">
        <v>1.76815424438663</v>
      </c>
      <c r="X92">
        <v>1.5</v>
      </c>
      <c r="Y92" t="s">
        <v>417</v>
      </c>
      <c r="Z92" t="s">
        <v>422</v>
      </c>
      <c r="AA92">
        <v>0</v>
      </c>
      <c r="AB92">
        <v>0.01</v>
      </c>
      <c r="AC92" t="s">
        <v>422</v>
      </c>
      <c r="AD92" t="s">
        <v>422</v>
      </c>
      <c r="AE92" t="s">
        <v>422</v>
      </c>
      <c r="AF92" t="s">
        <v>422</v>
      </c>
      <c r="AG92" t="s">
        <v>422</v>
      </c>
      <c r="AH92" t="s">
        <v>422</v>
      </c>
      <c r="AI92" t="s">
        <v>422</v>
      </c>
      <c r="AJ92">
        <v>0</v>
      </c>
      <c r="AK92">
        <v>0</v>
      </c>
      <c r="AL92">
        <v>0</v>
      </c>
      <c r="AN92">
        <v>0</v>
      </c>
      <c r="AO92" t="s">
        <v>424</v>
      </c>
      <c r="AQ92" t="s">
        <v>424</v>
      </c>
      <c r="AR92" t="s">
        <v>424</v>
      </c>
      <c r="AS92" t="s">
        <v>424</v>
      </c>
      <c r="AU92">
        <v>0</v>
      </c>
      <c r="AV92">
        <v>0</v>
      </c>
      <c r="AW92">
        <v>0</v>
      </c>
      <c r="AX92">
        <v>0</v>
      </c>
      <c r="AY92">
        <v>2.5910000000000002</v>
      </c>
      <c r="AZ92">
        <v>2.93</v>
      </c>
      <c r="BA92" t="s">
        <v>432</v>
      </c>
      <c r="BB92">
        <v>0</v>
      </c>
      <c r="BC92">
        <v>0</v>
      </c>
      <c r="BD92" t="s">
        <v>437</v>
      </c>
      <c r="BE92">
        <v>0</v>
      </c>
      <c r="BF92">
        <v>0</v>
      </c>
      <c r="BG92">
        <v>0</v>
      </c>
      <c r="CK92">
        <v>2.7605</v>
      </c>
      <c r="CM92" t="s">
        <v>450</v>
      </c>
      <c r="CO92">
        <v>1.76815424438663</v>
      </c>
      <c r="CP92">
        <v>1.5</v>
      </c>
      <c r="CQ92">
        <v>1.634077122193315</v>
      </c>
      <c r="CR92">
        <v>-0.3</v>
      </c>
      <c r="CS92">
        <v>1.334077122193315</v>
      </c>
      <c r="CT92">
        <v>1</v>
      </c>
      <c r="CU92">
        <v>1.032828690438242E-2</v>
      </c>
      <c r="CV92">
        <v>0</v>
      </c>
    </row>
    <row r="93" spans="1:100" x14ac:dyDescent="0.25">
      <c r="A93">
        <v>1426</v>
      </c>
      <c r="B93" t="s">
        <v>121</v>
      </c>
      <c r="C93" t="s">
        <v>221</v>
      </c>
      <c r="D93" t="s">
        <v>321</v>
      </c>
      <c r="E93" t="s">
        <v>407</v>
      </c>
      <c r="F93">
        <v>194505658</v>
      </c>
      <c r="G93">
        <v>181.8</v>
      </c>
      <c r="H93">
        <f>_xlfn.XLOOKUP(D93,[2]prices!$A$2:$A$6953,[2]prices!$E$2:$E$6953)</f>
        <v>142.5</v>
      </c>
      <c r="I93" t="s">
        <v>409</v>
      </c>
      <c r="J93">
        <v>35361128624.400002</v>
      </c>
      <c r="K93" t="s">
        <v>415</v>
      </c>
      <c r="L93">
        <v>36834331.3722222</v>
      </c>
      <c r="M93">
        <v>0.65</v>
      </c>
      <c r="N93">
        <v>22984733605.860001</v>
      </c>
      <c r="O93">
        <v>12819867918.780001</v>
      </c>
      <c r="P93">
        <f>_xlfn.XLOOKUP(D93,[1]full_dataframe_final!$C$2:$C$101,[1]full_dataframe_final!$I$2:$I$101)</f>
        <v>3.2701882261433682E-3</v>
      </c>
      <c r="Q93">
        <f t="shared" si="4"/>
        <v>139638839731.24539</v>
      </c>
      <c r="R93">
        <f t="shared" si="5"/>
        <v>8919179885.5329685</v>
      </c>
      <c r="S93">
        <f t="shared" si="6"/>
        <v>49060395.409972318</v>
      </c>
      <c r="T93">
        <f t="shared" si="7"/>
        <v>979921682</v>
      </c>
      <c r="U93">
        <v>20103015</v>
      </c>
      <c r="V93">
        <v>2010</v>
      </c>
      <c r="W93">
        <v>1.74156423615151</v>
      </c>
      <c r="X93">
        <v>1.77</v>
      </c>
      <c r="Y93" t="s">
        <v>419</v>
      </c>
      <c r="Z93" t="s">
        <v>422</v>
      </c>
      <c r="AA93">
        <v>0</v>
      </c>
      <c r="AB93">
        <v>0</v>
      </c>
      <c r="AC93" t="s">
        <v>422</v>
      </c>
      <c r="AD93" t="s">
        <v>422</v>
      </c>
      <c r="AE93" t="s">
        <v>422</v>
      </c>
      <c r="AF93" t="s">
        <v>422</v>
      </c>
      <c r="AG93" t="s">
        <v>422</v>
      </c>
      <c r="AH93" t="s">
        <v>422</v>
      </c>
      <c r="AI93" t="s">
        <v>422</v>
      </c>
      <c r="AJ93">
        <v>0</v>
      </c>
      <c r="AK93">
        <v>0</v>
      </c>
      <c r="AL93">
        <v>0</v>
      </c>
      <c r="AN93">
        <v>0</v>
      </c>
      <c r="AO93" t="s">
        <v>424</v>
      </c>
      <c r="AQ93" t="s">
        <v>424</v>
      </c>
      <c r="AR93" t="s">
        <v>424</v>
      </c>
      <c r="AS93" t="s">
        <v>424</v>
      </c>
      <c r="AU93">
        <v>0</v>
      </c>
      <c r="AV93">
        <v>0</v>
      </c>
      <c r="AW93">
        <v>0</v>
      </c>
      <c r="AX93">
        <v>0</v>
      </c>
      <c r="AY93">
        <v>2.661</v>
      </c>
      <c r="AZ93">
        <v>2.8610000000000002</v>
      </c>
      <c r="BA93" t="s">
        <v>429</v>
      </c>
      <c r="BB93">
        <v>0</v>
      </c>
      <c r="BC93">
        <v>0</v>
      </c>
      <c r="BD93" t="s">
        <v>447</v>
      </c>
      <c r="BE93">
        <v>0</v>
      </c>
      <c r="BF93">
        <v>0</v>
      </c>
      <c r="BG93">
        <v>0</v>
      </c>
      <c r="CK93">
        <v>2.7610000000000001</v>
      </c>
      <c r="CM93" t="s">
        <v>450</v>
      </c>
      <c r="CO93">
        <v>1.74156423615151</v>
      </c>
      <c r="CP93">
        <v>1.77</v>
      </c>
      <c r="CQ93">
        <v>1.7557821180757549</v>
      </c>
      <c r="CR93">
        <v>-0.24</v>
      </c>
      <c r="CS93">
        <v>1.5157821180757549</v>
      </c>
      <c r="CT93">
        <v>1</v>
      </c>
      <c r="CU93">
        <v>1.1350526635048029E-2</v>
      </c>
      <c r="CV93">
        <v>0</v>
      </c>
    </row>
    <row r="94" spans="1:100" x14ac:dyDescent="0.25">
      <c r="A94">
        <v>1429</v>
      </c>
      <c r="B94" t="s">
        <v>153</v>
      </c>
      <c r="C94" t="s">
        <v>253</v>
      </c>
      <c r="D94" t="s">
        <v>353</v>
      </c>
      <c r="E94" t="s">
        <v>394</v>
      </c>
      <c r="F94">
        <v>142625428</v>
      </c>
      <c r="G94">
        <v>82.02</v>
      </c>
      <c r="H94">
        <f>_xlfn.XLOOKUP(D94,[2]prices!$A$2:$A$6953,[2]prices!$E$2:$E$6953)</f>
        <v>70.099999999999994</v>
      </c>
      <c r="I94" t="s">
        <v>409</v>
      </c>
      <c r="J94">
        <v>11698137604.559999</v>
      </c>
      <c r="K94" t="s">
        <v>415</v>
      </c>
      <c r="L94">
        <v>24417917.903809499</v>
      </c>
      <c r="M94">
        <v>0.85000000000000009</v>
      </c>
      <c r="N94">
        <v>9943416963.8760014</v>
      </c>
      <c r="O94">
        <v>12292885639.32</v>
      </c>
      <c r="P94">
        <f>_xlfn.XLOOKUP(D94,[1]full_dataframe_final!$C$2:$C$101,[1]full_dataframe_final!$I$2:$I$101)</f>
        <v>6.170298668163072E-3</v>
      </c>
      <c r="Q94">
        <f t="shared" si="4"/>
        <v>263475154099.51398</v>
      </c>
      <c r="R94">
        <f t="shared" si="5"/>
        <v>16829001868.713289</v>
      </c>
      <c r="S94">
        <f t="shared" si="6"/>
        <v>205181685.79265168</v>
      </c>
      <c r="T94">
        <f t="shared" si="7"/>
        <v>3758561399</v>
      </c>
      <c r="U94">
        <v>35102045</v>
      </c>
      <c r="V94">
        <v>3510</v>
      </c>
      <c r="W94">
        <v>1.7463750143176899</v>
      </c>
      <c r="X94">
        <v>2.7</v>
      </c>
      <c r="Y94" t="s">
        <v>417</v>
      </c>
      <c r="Z94" t="s">
        <v>422</v>
      </c>
      <c r="AA94">
        <v>0</v>
      </c>
      <c r="AB94">
        <v>0</v>
      </c>
      <c r="AC94" t="s">
        <v>422</v>
      </c>
      <c r="AD94" t="s">
        <v>422</v>
      </c>
      <c r="AE94" t="s">
        <v>422</v>
      </c>
      <c r="AF94" t="s">
        <v>422</v>
      </c>
      <c r="AG94" t="s">
        <v>422</v>
      </c>
      <c r="AH94" t="s">
        <v>422</v>
      </c>
      <c r="AI94" t="s">
        <v>422</v>
      </c>
      <c r="AJ94">
        <v>0</v>
      </c>
      <c r="AK94">
        <v>0</v>
      </c>
      <c r="AL94">
        <v>0</v>
      </c>
      <c r="AN94">
        <v>0</v>
      </c>
      <c r="AO94" t="s">
        <v>424</v>
      </c>
      <c r="AQ94" t="s">
        <v>424</v>
      </c>
      <c r="AR94" t="s">
        <v>424</v>
      </c>
      <c r="AS94" t="s">
        <v>424</v>
      </c>
      <c r="AU94">
        <v>0</v>
      </c>
      <c r="AV94">
        <v>0</v>
      </c>
      <c r="AW94">
        <v>0</v>
      </c>
      <c r="AX94">
        <v>0</v>
      </c>
      <c r="AY94">
        <v>2.6110000000000002</v>
      </c>
      <c r="AZ94">
        <v>3.1669999999999998</v>
      </c>
      <c r="BA94" t="s">
        <v>425</v>
      </c>
      <c r="BB94">
        <v>1</v>
      </c>
      <c r="BC94">
        <v>0</v>
      </c>
      <c r="BD94" t="s">
        <v>433</v>
      </c>
      <c r="BE94">
        <v>0</v>
      </c>
      <c r="BF94">
        <v>0</v>
      </c>
      <c r="BG94">
        <v>0</v>
      </c>
      <c r="CK94">
        <v>2.8889999999999998</v>
      </c>
      <c r="CM94" t="s">
        <v>450</v>
      </c>
      <c r="CO94">
        <v>1.7463750143176899</v>
      </c>
      <c r="CP94">
        <v>2.7</v>
      </c>
      <c r="CQ94">
        <v>2.2231875071588449</v>
      </c>
      <c r="CR94">
        <v>-0.3</v>
      </c>
      <c r="CS94">
        <v>1.9231875071588449</v>
      </c>
      <c r="CT94">
        <v>0</v>
      </c>
      <c r="CU94">
        <v>7.61326124845608E-3</v>
      </c>
      <c r="CV94">
        <v>0</v>
      </c>
    </row>
    <row r="95" spans="1:100" x14ac:dyDescent="0.25">
      <c r="A95">
        <v>1431</v>
      </c>
      <c r="B95" t="s">
        <v>136</v>
      </c>
      <c r="C95" t="s">
        <v>236</v>
      </c>
      <c r="D95" t="s">
        <v>336</v>
      </c>
      <c r="E95" t="s">
        <v>404</v>
      </c>
      <c r="F95">
        <v>1557675176</v>
      </c>
      <c r="G95">
        <v>47.784999999999997</v>
      </c>
      <c r="H95">
        <f>_xlfn.XLOOKUP(D95,[2]prices!$A$2:$A$6953,[2]prices!$E$2:$E$6953)</f>
        <v>49.65</v>
      </c>
      <c r="I95" t="s">
        <v>409</v>
      </c>
      <c r="J95">
        <v>74433508285.159988</v>
      </c>
      <c r="K95" t="s">
        <v>415</v>
      </c>
      <c r="L95">
        <v>328954382.36553299</v>
      </c>
      <c r="M95">
        <v>1</v>
      </c>
      <c r="N95">
        <v>74433508285.159988</v>
      </c>
      <c r="O95">
        <v>157948262846.39999</v>
      </c>
      <c r="P95">
        <f>_xlfn.XLOOKUP(D95,[1]full_dataframe_final!$C$2:$C$101,[1]full_dataframe_final!$I$2:$I$101)</f>
        <v>1.403810356727816E-2</v>
      </c>
      <c r="Q95">
        <f t="shared" si="4"/>
        <v>599434759898.69202</v>
      </c>
      <c r="R95">
        <f t="shared" si="5"/>
        <v>38287817798.169373</v>
      </c>
      <c r="S95">
        <f t="shared" si="6"/>
        <v>801251811.19952655</v>
      </c>
      <c r="T95">
        <f t="shared" si="7"/>
        <v>12073207651</v>
      </c>
      <c r="U95">
        <v>30101010</v>
      </c>
      <c r="V95">
        <v>3010</v>
      </c>
      <c r="W95">
        <v>3.4</v>
      </c>
      <c r="X95">
        <v>1.5</v>
      </c>
      <c r="Y95" t="s">
        <v>418</v>
      </c>
      <c r="Z95" t="s">
        <v>422</v>
      </c>
      <c r="AA95">
        <v>0</v>
      </c>
      <c r="AB95">
        <v>0</v>
      </c>
      <c r="AC95" t="s">
        <v>422</v>
      </c>
      <c r="AD95" t="s">
        <v>422</v>
      </c>
      <c r="AE95" t="s">
        <v>422</v>
      </c>
      <c r="AF95" t="s">
        <v>422</v>
      </c>
      <c r="AG95" t="s">
        <v>422</v>
      </c>
      <c r="AH95" t="s">
        <v>422</v>
      </c>
      <c r="AI95" t="s">
        <v>422</v>
      </c>
      <c r="AJ95">
        <v>0</v>
      </c>
      <c r="AK95">
        <v>0</v>
      </c>
      <c r="AL95">
        <v>0</v>
      </c>
      <c r="AN95">
        <v>0</v>
      </c>
      <c r="AO95" t="s">
        <v>424</v>
      </c>
      <c r="AQ95" t="s">
        <v>424</v>
      </c>
      <c r="AR95" t="s">
        <v>424</v>
      </c>
      <c r="AS95" t="s">
        <v>424</v>
      </c>
      <c r="AU95">
        <v>0</v>
      </c>
      <c r="AV95">
        <v>0</v>
      </c>
      <c r="AW95">
        <v>0</v>
      </c>
      <c r="AX95">
        <v>0</v>
      </c>
      <c r="AY95">
        <v>2.355</v>
      </c>
      <c r="AZ95">
        <v>3.0659999999999998</v>
      </c>
      <c r="BA95" t="s">
        <v>430</v>
      </c>
      <c r="BB95">
        <v>0</v>
      </c>
      <c r="BC95">
        <v>0</v>
      </c>
      <c r="BD95" t="s">
        <v>443</v>
      </c>
      <c r="BE95">
        <v>0</v>
      </c>
      <c r="BF95">
        <v>0</v>
      </c>
      <c r="BG95">
        <v>0</v>
      </c>
      <c r="CK95">
        <v>2.7105000000000001</v>
      </c>
      <c r="CM95" t="s">
        <v>450</v>
      </c>
      <c r="CO95">
        <v>3.4</v>
      </c>
      <c r="CP95">
        <v>1.5</v>
      </c>
      <c r="CQ95">
        <v>2.4500000000000002</v>
      </c>
      <c r="CR95">
        <v>-0.18</v>
      </c>
      <c r="CS95">
        <v>2.27</v>
      </c>
      <c r="CT95">
        <v>0</v>
      </c>
      <c r="CU95">
        <v>0.1</v>
      </c>
      <c r="CV95">
        <v>0</v>
      </c>
    </row>
    <row r="96" spans="1:100" x14ac:dyDescent="0.25">
      <c r="A96">
        <v>1442</v>
      </c>
      <c r="B96" t="s">
        <v>193</v>
      </c>
      <c r="C96" t="s">
        <v>293</v>
      </c>
      <c r="D96" t="s">
        <v>393</v>
      </c>
      <c r="E96" t="s">
        <v>403</v>
      </c>
      <c r="F96">
        <v>681888400</v>
      </c>
      <c r="G96">
        <v>11.622780000000001</v>
      </c>
      <c r="H96">
        <f>_xlfn.XLOOKUP(D96,[2]prices!$A$2:$A$6953,[2]prices!$E$2:$E$6953)</f>
        <v>12.885123979999999</v>
      </c>
      <c r="I96" t="s">
        <v>413</v>
      </c>
      <c r="J96">
        <v>7925438857.7520008</v>
      </c>
      <c r="K96" t="s">
        <v>416</v>
      </c>
      <c r="L96">
        <v>15580051.4032885</v>
      </c>
      <c r="M96">
        <v>1</v>
      </c>
      <c r="N96">
        <v>7925438857.7520008</v>
      </c>
      <c r="O96">
        <v>69143483760</v>
      </c>
      <c r="P96">
        <f>_xlfn.XLOOKUP(D96,[1]full_dataframe_final!$C$2:$C$101,[1]full_dataframe_final!$I$2:$I$101)</f>
        <v>6.3793170351677444E-3</v>
      </c>
      <c r="Q96">
        <f t="shared" si="4"/>
        <v>272400353578.16089</v>
      </c>
      <c r="R96">
        <f t="shared" si="5"/>
        <v>17399082942.270824</v>
      </c>
      <c r="S96">
        <f t="shared" si="6"/>
        <v>1496981181.9780486</v>
      </c>
      <c r="T96">
        <f t="shared" si="7"/>
        <v>21140685491</v>
      </c>
      <c r="U96">
        <v>65102030</v>
      </c>
      <c r="V96">
        <v>6510</v>
      </c>
      <c r="W96">
        <v>1.6963650110689901</v>
      </c>
      <c r="Y96" t="s">
        <v>417</v>
      </c>
      <c r="Z96" t="s">
        <v>422</v>
      </c>
      <c r="AA96">
        <v>0</v>
      </c>
      <c r="AB96">
        <v>0</v>
      </c>
      <c r="AC96" t="s">
        <v>422</v>
      </c>
      <c r="AD96" t="s">
        <v>422</v>
      </c>
      <c r="AE96" t="s">
        <v>422</v>
      </c>
      <c r="AF96" t="s">
        <v>422</v>
      </c>
      <c r="AG96" t="s">
        <v>422</v>
      </c>
      <c r="AH96" t="s">
        <v>422</v>
      </c>
      <c r="AI96" t="s">
        <v>422</v>
      </c>
      <c r="AJ96">
        <v>0</v>
      </c>
      <c r="AK96">
        <v>0</v>
      </c>
      <c r="AL96">
        <v>0</v>
      </c>
      <c r="AN96">
        <v>0</v>
      </c>
      <c r="AO96" t="s">
        <v>424</v>
      </c>
      <c r="AQ96" t="s">
        <v>424</v>
      </c>
      <c r="AR96" t="s">
        <v>424</v>
      </c>
      <c r="AS96" t="s">
        <v>424</v>
      </c>
      <c r="AU96">
        <v>0</v>
      </c>
      <c r="AV96">
        <v>0</v>
      </c>
      <c r="AW96">
        <v>0</v>
      </c>
      <c r="AX96">
        <v>0</v>
      </c>
      <c r="AY96">
        <v>2.96</v>
      </c>
      <c r="AZ96">
        <v>2.3919999999999999</v>
      </c>
      <c r="BA96" t="s">
        <v>428</v>
      </c>
      <c r="BB96">
        <v>1</v>
      </c>
      <c r="BC96">
        <v>0</v>
      </c>
      <c r="BD96" t="s">
        <v>442</v>
      </c>
      <c r="BE96">
        <v>0</v>
      </c>
      <c r="BF96">
        <v>0</v>
      </c>
      <c r="BG96">
        <v>0</v>
      </c>
      <c r="CK96">
        <v>2.6760000000000002</v>
      </c>
      <c r="CM96" t="s">
        <v>450</v>
      </c>
      <c r="CO96">
        <v>1.6963650110689901</v>
      </c>
      <c r="CP96">
        <v>3.1</v>
      </c>
      <c r="CQ96">
        <v>2.398182505534495</v>
      </c>
      <c r="CR96">
        <v>-0.3</v>
      </c>
      <c r="CS96">
        <v>2.0981825055344951</v>
      </c>
      <c r="CT96">
        <v>0</v>
      </c>
      <c r="CU96">
        <v>6.2932798530147159E-3</v>
      </c>
      <c r="CV96">
        <v>0</v>
      </c>
    </row>
    <row r="97" spans="1:100" x14ac:dyDescent="0.25">
      <c r="A97">
        <v>1462</v>
      </c>
      <c r="B97" t="s">
        <v>106</v>
      </c>
      <c r="C97" t="s">
        <v>206</v>
      </c>
      <c r="D97" t="s">
        <v>306</v>
      </c>
      <c r="E97" t="s">
        <v>402</v>
      </c>
      <c r="F97">
        <v>1009867250</v>
      </c>
      <c r="G97">
        <v>13.13903</v>
      </c>
      <c r="H97">
        <f>_xlfn.XLOOKUP(D97,[2]prices!$A$2:$A$6953,[2]prices!$E$2:$E$6953)</f>
        <v>12.136393668</v>
      </c>
      <c r="I97" t="s">
        <v>412</v>
      </c>
      <c r="J97">
        <v>13268676093.7675</v>
      </c>
      <c r="K97" t="s">
        <v>416</v>
      </c>
      <c r="L97">
        <v>50667588.035409801</v>
      </c>
      <c r="M97">
        <v>1</v>
      </c>
      <c r="N97">
        <v>13268676093.7675</v>
      </c>
      <c r="O97">
        <v>102400539150</v>
      </c>
      <c r="P97">
        <f>_xlfn.XLOOKUP(D97,[1]full_dataframe_final!$C$2:$C$101,[1]full_dataframe_final!$I$2:$I$101)</f>
        <v>1.428571428571414E-2</v>
      </c>
      <c r="Q97">
        <f t="shared" si="4"/>
        <v>610007874054.9364</v>
      </c>
      <c r="R97">
        <f t="shared" si="5"/>
        <v>38963156459.614281</v>
      </c>
      <c r="S97">
        <f t="shared" si="6"/>
        <v>2965451518.0811887</v>
      </c>
      <c r="T97">
        <f t="shared" si="7"/>
        <v>50262696707</v>
      </c>
      <c r="U97">
        <v>60102020</v>
      </c>
      <c r="V97">
        <v>6010</v>
      </c>
      <c r="W97">
        <v>1.9940728394311</v>
      </c>
      <c r="X97">
        <v>3.1</v>
      </c>
      <c r="Y97" t="s">
        <v>421</v>
      </c>
      <c r="Z97" t="s">
        <v>422</v>
      </c>
      <c r="AA97">
        <v>0</v>
      </c>
      <c r="AB97">
        <v>0</v>
      </c>
      <c r="AC97" t="s">
        <v>422</v>
      </c>
      <c r="AD97" t="s">
        <v>422</v>
      </c>
      <c r="AE97" t="s">
        <v>422</v>
      </c>
      <c r="AF97" t="s">
        <v>422</v>
      </c>
      <c r="AG97" t="s">
        <v>422</v>
      </c>
      <c r="AH97" t="s">
        <v>422</v>
      </c>
      <c r="AI97" t="s">
        <v>422</v>
      </c>
      <c r="AJ97">
        <v>0</v>
      </c>
      <c r="AK97">
        <v>0</v>
      </c>
      <c r="AL97">
        <v>0</v>
      </c>
      <c r="AN97">
        <v>0</v>
      </c>
      <c r="AO97" t="s">
        <v>424</v>
      </c>
      <c r="AQ97" t="s">
        <v>424</v>
      </c>
      <c r="AR97" t="s">
        <v>424</v>
      </c>
      <c r="AS97" t="s">
        <v>424</v>
      </c>
      <c r="AU97">
        <v>0</v>
      </c>
      <c r="AV97">
        <v>0</v>
      </c>
      <c r="AW97">
        <v>0</v>
      </c>
      <c r="AX97">
        <v>0</v>
      </c>
      <c r="AY97">
        <v>2.3039999999999998</v>
      </c>
      <c r="AZ97">
        <v>3.2229999999999999</v>
      </c>
      <c r="BA97" t="s">
        <v>420</v>
      </c>
      <c r="BB97">
        <v>1</v>
      </c>
      <c r="BC97">
        <v>1</v>
      </c>
      <c r="BD97" t="s">
        <v>441</v>
      </c>
      <c r="BE97">
        <v>0</v>
      </c>
      <c r="BF97">
        <v>0</v>
      </c>
      <c r="BG97">
        <v>0</v>
      </c>
      <c r="CK97">
        <v>2.7635000000000001</v>
      </c>
      <c r="CM97" t="s">
        <v>450</v>
      </c>
      <c r="CO97">
        <v>1.9940728394311</v>
      </c>
      <c r="CP97">
        <v>3.1</v>
      </c>
      <c r="CQ97">
        <v>2.5470364197155502</v>
      </c>
      <c r="CR97">
        <v>0.18</v>
      </c>
      <c r="CS97">
        <v>2.7270364197155499</v>
      </c>
      <c r="CT97">
        <v>0</v>
      </c>
      <c r="CU97">
        <v>4.0398799161253718E-2</v>
      </c>
      <c r="CV97">
        <v>0</v>
      </c>
    </row>
    <row r="98" spans="1:100" x14ac:dyDescent="0.25">
      <c r="A98">
        <v>1471</v>
      </c>
      <c r="B98" t="s">
        <v>113</v>
      </c>
      <c r="C98" t="s">
        <v>213</v>
      </c>
      <c r="D98" t="s">
        <v>313</v>
      </c>
      <c r="E98" t="s">
        <v>403</v>
      </c>
      <c r="F98">
        <v>25081295000</v>
      </c>
      <c r="G98">
        <v>0.80032029999999998</v>
      </c>
      <c r="H98">
        <f>_xlfn.XLOOKUP(D98,[2]prices!$A$2:$A$6953,[2]prices!$E$2:$E$6953)</f>
        <v>0.80982185740000001</v>
      </c>
      <c r="I98" t="s">
        <v>413</v>
      </c>
      <c r="J98">
        <v>20073069538.788502</v>
      </c>
      <c r="K98" t="s">
        <v>416</v>
      </c>
      <c r="L98">
        <v>51438057.273945697</v>
      </c>
      <c r="M98">
        <v>0.8</v>
      </c>
      <c r="N98">
        <v>16058455631.0308</v>
      </c>
      <c r="O98">
        <v>2034594650400</v>
      </c>
      <c r="P98">
        <f>_xlfn.XLOOKUP(D98,[1]full_dataframe_final!$C$2:$C$101,[1]full_dataframe_final!$I$2:$I$101)</f>
        <v>1.167856033694808E-2</v>
      </c>
      <c r="Q98">
        <f t="shared" si="4"/>
        <v>498680963421.48511</v>
      </c>
      <c r="R98">
        <f t="shared" si="5"/>
        <v>31852350154.209084</v>
      </c>
      <c r="S98">
        <f t="shared" si="6"/>
        <v>39799502966.76104</v>
      </c>
      <c r="T98">
        <f t="shared" si="7"/>
        <v>615790940766</v>
      </c>
      <c r="U98">
        <v>15102015</v>
      </c>
      <c r="V98">
        <v>1510</v>
      </c>
      <c r="W98">
        <v>1.72809052700944</v>
      </c>
      <c r="X98">
        <v>1.5</v>
      </c>
      <c r="Y98" t="s">
        <v>417</v>
      </c>
      <c r="Z98" t="s">
        <v>422</v>
      </c>
      <c r="AA98">
        <v>0</v>
      </c>
      <c r="AB98">
        <v>0</v>
      </c>
      <c r="AC98" t="s">
        <v>422</v>
      </c>
      <c r="AD98" t="s">
        <v>422</v>
      </c>
      <c r="AE98" t="s">
        <v>422</v>
      </c>
      <c r="AF98" t="s">
        <v>422</v>
      </c>
      <c r="AG98" t="s">
        <v>422</v>
      </c>
      <c r="AH98" t="s">
        <v>422</v>
      </c>
      <c r="AI98" t="s">
        <v>422</v>
      </c>
      <c r="AJ98">
        <v>0</v>
      </c>
      <c r="AK98">
        <v>0</v>
      </c>
      <c r="AL98">
        <v>0</v>
      </c>
      <c r="AN98">
        <v>0</v>
      </c>
      <c r="AO98" t="s">
        <v>424</v>
      </c>
      <c r="AQ98" t="s">
        <v>424</v>
      </c>
      <c r="AR98" t="s">
        <v>424</v>
      </c>
      <c r="AS98" t="s">
        <v>424</v>
      </c>
      <c r="AU98">
        <v>0</v>
      </c>
      <c r="AV98">
        <v>0</v>
      </c>
      <c r="AW98">
        <v>0</v>
      </c>
      <c r="AX98">
        <v>0</v>
      </c>
      <c r="AY98">
        <v>2.7650000000000001</v>
      </c>
      <c r="AZ98">
        <v>3.141</v>
      </c>
      <c r="BA98" t="s">
        <v>426</v>
      </c>
      <c r="BB98">
        <v>0</v>
      </c>
      <c r="BC98">
        <v>0</v>
      </c>
      <c r="BD98" t="s">
        <v>442</v>
      </c>
      <c r="BE98">
        <v>0</v>
      </c>
      <c r="BF98">
        <v>0</v>
      </c>
      <c r="BG98">
        <v>0</v>
      </c>
      <c r="CK98">
        <v>2.9529999999999998</v>
      </c>
      <c r="CM98" t="s">
        <v>450</v>
      </c>
      <c r="CO98">
        <v>1.72809052700944</v>
      </c>
      <c r="CP98">
        <v>1.5</v>
      </c>
      <c r="CQ98">
        <v>1.61404526350472</v>
      </c>
      <c r="CR98">
        <v>-0.3</v>
      </c>
      <c r="CS98">
        <v>1.31404526350472</v>
      </c>
      <c r="CT98">
        <v>1</v>
      </c>
      <c r="CU98">
        <v>6.3079388788922733E-2</v>
      </c>
      <c r="CV98">
        <v>3.2216554424555323E-2</v>
      </c>
    </row>
    <row r="99" spans="1:100" x14ac:dyDescent="0.25">
      <c r="A99">
        <v>1505</v>
      </c>
      <c r="B99" t="s">
        <v>107</v>
      </c>
      <c r="C99" t="s">
        <v>207</v>
      </c>
      <c r="D99" t="s">
        <v>307</v>
      </c>
      <c r="E99" t="s">
        <v>405</v>
      </c>
      <c r="F99">
        <v>111732346</v>
      </c>
      <c r="G99">
        <v>29.66</v>
      </c>
      <c r="H99">
        <f>_xlfn.XLOOKUP(D99,[2]prices!$A$2:$A$6953,[2]prices!$E$2:$E$6953)</f>
        <v>30.3</v>
      </c>
      <c r="I99" t="s">
        <v>409</v>
      </c>
      <c r="J99">
        <v>3313981382.3600001</v>
      </c>
      <c r="K99" t="s">
        <v>415</v>
      </c>
      <c r="L99">
        <v>6821360.8039344298</v>
      </c>
      <c r="M99">
        <v>1</v>
      </c>
      <c r="N99">
        <v>3313981382.3600001</v>
      </c>
      <c r="O99">
        <v>11329659884.4</v>
      </c>
      <c r="P99">
        <f>_xlfn.XLOOKUP(D99,[1]full_dataframe_final!$C$2:$C$101,[1]full_dataframe_final!$I$2:$I$101)</f>
        <v>3.5714285714286229E-3</v>
      </c>
      <c r="Q99">
        <f t="shared" si="4"/>
        <v>152501968513.73785</v>
      </c>
      <c r="R99">
        <f t="shared" si="5"/>
        <v>9740789114.9038086</v>
      </c>
      <c r="S99">
        <f t="shared" si="6"/>
        <v>328415007.2455768</v>
      </c>
      <c r="T99">
        <f t="shared" si="7"/>
        <v>5033068267</v>
      </c>
      <c r="U99">
        <v>50101035</v>
      </c>
      <c r="V99">
        <v>5010</v>
      </c>
      <c r="Y99" t="s">
        <v>418</v>
      </c>
      <c r="Z99" t="s">
        <v>422</v>
      </c>
      <c r="AA99">
        <v>0</v>
      </c>
      <c r="AB99">
        <v>0</v>
      </c>
      <c r="AC99" t="s">
        <v>422</v>
      </c>
      <c r="AD99" t="s">
        <v>422</v>
      </c>
      <c r="AE99" t="s">
        <v>422</v>
      </c>
      <c r="AF99" t="s">
        <v>422</v>
      </c>
      <c r="AG99" t="s">
        <v>422</v>
      </c>
      <c r="AH99" t="s">
        <v>422</v>
      </c>
      <c r="AI99" t="s">
        <v>422</v>
      </c>
      <c r="AJ99">
        <v>0</v>
      </c>
      <c r="AK99">
        <v>0</v>
      </c>
      <c r="AL99">
        <v>0</v>
      </c>
      <c r="AN99">
        <v>0</v>
      </c>
      <c r="AO99" t="s">
        <v>424</v>
      </c>
      <c r="AQ99" t="s">
        <v>424</v>
      </c>
      <c r="AR99" t="s">
        <v>424</v>
      </c>
      <c r="AS99" t="s">
        <v>424</v>
      </c>
      <c r="AU99">
        <v>0</v>
      </c>
      <c r="AV99">
        <v>0</v>
      </c>
      <c r="AW99">
        <v>0</v>
      </c>
      <c r="AX99">
        <v>0</v>
      </c>
      <c r="AY99">
        <v>2.4409999999999998</v>
      </c>
      <c r="AZ99">
        <v>3.4710000000000001</v>
      </c>
      <c r="BA99" t="s">
        <v>420</v>
      </c>
      <c r="BB99">
        <v>1</v>
      </c>
      <c r="BC99">
        <v>1</v>
      </c>
      <c r="BD99" t="s">
        <v>444</v>
      </c>
      <c r="BE99">
        <v>0</v>
      </c>
      <c r="BF99">
        <v>0</v>
      </c>
      <c r="BG99">
        <v>0</v>
      </c>
      <c r="CK99">
        <v>2.956</v>
      </c>
      <c r="CM99" t="s">
        <v>450</v>
      </c>
      <c r="CO99">
        <v>3.4</v>
      </c>
      <c r="CP99">
        <v>3.1</v>
      </c>
      <c r="CQ99">
        <v>3.25</v>
      </c>
      <c r="CR99">
        <v>-0.18</v>
      </c>
      <c r="CS99">
        <v>3.07</v>
      </c>
      <c r="CT99">
        <v>0</v>
      </c>
      <c r="CU99">
        <v>5.3813487912362729E-3</v>
      </c>
      <c r="CV99">
        <v>0</v>
      </c>
    </row>
    <row r="100" spans="1:100" x14ac:dyDescent="0.25">
      <c r="A100">
        <v>1512</v>
      </c>
      <c r="B100" t="s">
        <v>163</v>
      </c>
      <c r="C100" t="s">
        <v>263</v>
      </c>
      <c r="D100" t="s">
        <v>363</v>
      </c>
      <c r="E100" t="s">
        <v>396</v>
      </c>
      <c r="F100">
        <v>238516153</v>
      </c>
      <c r="G100">
        <v>172.6</v>
      </c>
      <c r="H100">
        <f>_xlfn.XLOOKUP(D100,[2]prices!$A$2:$A$6953,[2]prices!$E$2:$E$6953)</f>
        <v>152.30000000000001</v>
      </c>
      <c r="I100" t="s">
        <v>409</v>
      </c>
      <c r="J100">
        <v>41167888007.800003</v>
      </c>
      <c r="K100" t="s">
        <v>415</v>
      </c>
      <c r="L100">
        <v>74863714.427777797</v>
      </c>
      <c r="M100">
        <v>1</v>
      </c>
      <c r="N100">
        <v>41167888007.800003</v>
      </c>
      <c r="O100">
        <v>24185537914.200001</v>
      </c>
      <c r="P100">
        <f>_xlfn.XLOOKUP(D100,[1]full_dataframe_final!$C$2:$C$101,[1]full_dataframe_final!$I$2:$I$101)</f>
        <v>1.0237585475502929E-2</v>
      </c>
      <c r="Q100">
        <f t="shared" si="4"/>
        <v>437150542595.71106</v>
      </c>
      <c r="R100">
        <f t="shared" si="5"/>
        <v>27922205125.548954</v>
      </c>
      <c r="S100">
        <f t="shared" si="6"/>
        <v>161774073.72855711</v>
      </c>
      <c r="T100">
        <f t="shared" si="7"/>
        <v>2870325296</v>
      </c>
      <c r="U100">
        <v>40301030</v>
      </c>
      <c r="V100">
        <v>4030</v>
      </c>
      <c r="W100">
        <v>1.5670644957319</v>
      </c>
      <c r="X100">
        <v>1.5</v>
      </c>
      <c r="Y100" t="s">
        <v>418</v>
      </c>
      <c r="Z100" t="s">
        <v>422</v>
      </c>
      <c r="AA100">
        <v>0</v>
      </c>
      <c r="AB100">
        <v>0</v>
      </c>
      <c r="AC100" t="s">
        <v>422</v>
      </c>
      <c r="AD100" t="s">
        <v>422</v>
      </c>
      <c r="AE100" t="s">
        <v>422</v>
      </c>
      <c r="AF100" t="s">
        <v>422</v>
      </c>
      <c r="AG100" t="s">
        <v>422</v>
      </c>
      <c r="AH100" t="s">
        <v>422</v>
      </c>
      <c r="AI100" t="s">
        <v>422</v>
      </c>
      <c r="AJ100">
        <v>0</v>
      </c>
      <c r="AK100">
        <v>0</v>
      </c>
      <c r="AL100">
        <v>0</v>
      </c>
      <c r="AN100">
        <v>0</v>
      </c>
      <c r="AO100" t="s">
        <v>424</v>
      </c>
      <c r="AQ100" t="s">
        <v>424</v>
      </c>
      <c r="AR100" t="s">
        <v>424</v>
      </c>
      <c r="AS100" t="s">
        <v>424</v>
      </c>
      <c r="AU100">
        <v>0</v>
      </c>
      <c r="AV100">
        <v>0</v>
      </c>
      <c r="AW100">
        <v>0</v>
      </c>
      <c r="AX100">
        <v>0</v>
      </c>
      <c r="AY100">
        <v>2.13</v>
      </c>
      <c r="AZ100">
        <v>3.66</v>
      </c>
      <c r="BA100" t="s">
        <v>429</v>
      </c>
      <c r="BB100">
        <v>0</v>
      </c>
      <c r="BC100">
        <v>0</v>
      </c>
      <c r="BD100" t="s">
        <v>445</v>
      </c>
      <c r="BE100">
        <v>0</v>
      </c>
      <c r="BF100">
        <v>0</v>
      </c>
      <c r="BG100">
        <v>0</v>
      </c>
      <c r="CK100">
        <v>2.895</v>
      </c>
      <c r="CM100" t="s">
        <v>450</v>
      </c>
      <c r="CO100">
        <v>1.5670644957319</v>
      </c>
      <c r="CP100">
        <v>1.5</v>
      </c>
      <c r="CQ100">
        <v>1.5335322478659501</v>
      </c>
      <c r="CR100">
        <v>-0.18</v>
      </c>
      <c r="CS100">
        <v>1.3535322478659499</v>
      </c>
      <c r="CT100">
        <v>1</v>
      </c>
      <c r="CU100">
        <v>2.302551305724131E-2</v>
      </c>
      <c r="CV100">
        <v>0</v>
      </c>
    </row>
    <row r="101" spans="1:100" x14ac:dyDescent="0.25">
      <c r="A101">
        <v>1517</v>
      </c>
      <c r="B101" t="s">
        <v>164</v>
      </c>
      <c r="C101" t="s">
        <v>264</v>
      </c>
      <c r="D101" t="s">
        <v>364</v>
      </c>
      <c r="E101" t="s">
        <v>403</v>
      </c>
      <c r="F101">
        <v>1078802400</v>
      </c>
      <c r="G101">
        <v>9.1105959999999993</v>
      </c>
      <c r="H101">
        <f>_xlfn.XLOOKUP(D101,[2]prices!$A$2:$A$6953,[2]prices!$E$2:$E$6953)</f>
        <v>6.4776394599999998</v>
      </c>
      <c r="I101" t="s">
        <v>413</v>
      </c>
      <c r="J101">
        <v>9828532830.2304001</v>
      </c>
      <c r="K101" t="s">
        <v>416</v>
      </c>
      <c r="L101">
        <v>20881891.102371901</v>
      </c>
      <c r="M101">
        <v>0.95</v>
      </c>
      <c r="N101">
        <v>9337106188.7188797</v>
      </c>
      <c r="O101">
        <v>103921035192</v>
      </c>
      <c r="P101">
        <f>_xlfn.XLOOKUP(D101,[1]full_dataframe_final!$C$2:$C$101,[1]full_dataframe_final!$I$2:$I$101)</f>
        <v>1.2050208783711579E-3</v>
      </c>
      <c r="Q101">
        <f t="shared" si="4"/>
        <v>51455055694.490677</v>
      </c>
      <c r="R101">
        <f t="shared" si="5"/>
        <v>3286599191.4754415</v>
      </c>
      <c r="S101">
        <f t="shared" si="6"/>
        <v>360744696.77674675</v>
      </c>
      <c r="T101">
        <f t="shared" si="7"/>
        <v>7943488675</v>
      </c>
      <c r="U101">
        <v>40301020</v>
      </c>
      <c r="V101">
        <v>4030</v>
      </c>
      <c r="W101">
        <v>1.9934117984292601</v>
      </c>
      <c r="X101">
        <v>1.5</v>
      </c>
      <c r="Y101" t="s">
        <v>418</v>
      </c>
      <c r="Z101" t="s">
        <v>422</v>
      </c>
      <c r="AA101">
        <v>0</v>
      </c>
      <c r="AB101">
        <v>0</v>
      </c>
      <c r="AC101" t="s">
        <v>422</v>
      </c>
      <c r="AD101" t="s">
        <v>422</v>
      </c>
      <c r="AE101" t="s">
        <v>422</v>
      </c>
      <c r="AF101" t="s">
        <v>422</v>
      </c>
      <c r="AG101" t="s">
        <v>422</v>
      </c>
      <c r="AH101" t="s">
        <v>422</v>
      </c>
      <c r="AI101" t="s">
        <v>422</v>
      </c>
      <c r="AJ101">
        <v>0</v>
      </c>
      <c r="AK101">
        <v>0</v>
      </c>
      <c r="AL101">
        <v>0</v>
      </c>
      <c r="AN101">
        <v>0</v>
      </c>
      <c r="AO101" t="s">
        <v>424</v>
      </c>
      <c r="AQ101" t="s">
        <v>424</v>
      </c>
      <c r="AR101" t="s">
        <v>424</v>
      </c>
      <c r="AS101" t="s">
        <v>424</v>
      </c>
      <c r="AU101">
        <v>0</v>
      </c>
      <c r="AV101">
        <v>0</v>
      </c>
      <c r="AW101">
        <v>0</v>
      </c>
      <c r="AX101">
        <v>0</v>
      </c>
      <c r="AY101">
        <v>2.2429999999999999</v>
      </c>
      <c r="AZ101">
        <v>3.0659999999999998</v>
      </c>
      <c r="BA101" t="s">
        <v>429</v>
      </c>
      <c r="BB101">
        <v>0</v>
      </c>
      <c r="BC101">
        <v>0</v>
      </c>
      <c r="BD101" t="s">
        <v>448</v>
      </c>
      <c r="BE101">
        <v>0</v>
      </c>
      <c r="BF101">
        <v>0</v>
      </c>
      <c r="BG101">
        <v>0</v>
      </c>
      <c r="CK101">
        <v>2.6545000000000001</v>
      </c>
      <c r="CM101" t="s">
        <v>450</v>
      </c>
      <c r="CO101">
        <v>1.9934117984292601</v>
      </c>
      <c r="CP101">
        <v>1.5</v>
      </c>
      <c r="CQ101">
        <v>1.74670589921463</v>
      </c>
      <c r="CR101">
        <v>-0.18</v>
      </c>
      <c r="CS101">
        <v>1.5667058992146301</v>
      </c>
      <c r="CT101">
        <v>1</v>
      </c>
      <c r="CU101">
        <v>8.6982838123694072E-3</v>
      </c>
      <c r="CV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00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</v>
      </c>
      <c r="B2" t="s">
        <v>451</v>
      </c>
      <c r="C2" t="s">
        <v>850</v>
      </c>
      <c r="D2" t="s">
        <v>1249</v>
      </c>
      <c r="E2" t="s">
        <v>403</v>
      </c>
      <c r="F2">
        <v>973396500</v>
      </c>
      <c r="G2">
        <v>49.602939999999997</v>
      </c>
      <c r="H2" t="s">
        <v>413</v>
      </c>
      <c r="I2">
        <v>48283328185.709999</v>
      </c>
      <c r="J2" t="s">
        <v>416</v>
      </c>
      <c r="K2">
        <v>39423544.626821302</v>
      </c>
      <c r="L2">
        <v>1</v>
      </c>
      <c r="M2">
        <v>48283328185.709999</v>
      </c>
      <c r="N2">
        <v>4020127545000</v>
      </c>
      <c r="O2">
        <v>30202010</v>
      </c>
      <c r="P2">
        <v>3020</v>
      </c>
      <c r="Q2">
        <v>1.99407899017502</v>
      </c>
      <c r="R2">
        <v>1.5</v>
      </c>
      <c r="S2" t="s">
        <v>421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E2">
        <v>0.05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2.4060000000000001</v>
      </c>
      <c r="AT2">
        <v>3.0059999999999998</v>
      </c>
      <c r="AU2" t="s">
        <v>430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1670</v>
      </c>
      <c r="CH2" t="s">
        <v>68</v>
      </c>
      <c r="CI2">
        <v>1.99407899017502</v>
      </c>
      <c r="CJ2">
        <v>1.5</v>
      </c>
      <c r="CK2">
        <v>1.7470394950875101</v>
      </c>
      <c r="CL2">
        <v>0.18</v>
      </c>
      <c r="CM2">
        <v>1.92703949508751</v>
      </c>
    </row>
    <row r="3" spans="1:91" x14ac:dyDescent="0.25">
      <c r="A3">
        <v>5</v>
      </c>
      <c r="B3" t="s">
        <v>452</v>
      </c>
      <c r="C3" t="s">
        <v>851</v>
      </c>
      <c r="D3" t="s">
        <v>1250</v>
      </c>
      <c r="E3" t="s">
        <v>404</v>
      </c>
      <c r="F3">
        <v>3132905277</v>
      </c>
      <c r="G3">
        <v>2.145</v>
      </c>
      <c r="H3" t="s">
        <v>409</v>
      </c>
      <c r="I3">
        <v>6720081819.165</v>
      </c>
      <c r="J3" t="s">
        <v>415</v>
      </c>
      <c r="K3">
        <v>19527442.608131099</v>
      </c>
      <c r="L3">
        <v>0.5</v>
      </c>
      <c r="M3">
        <v>3360040909.5825</v>
      </c>
      <c r="N3">
        <v>6469449397005</v>
      </c>
      <c r="O3">
        <v>65101015</v>
      </c>
      <c r="P3">
        <v>6510</v>
      </c>
      <c r="Q3">
        <v>2</v>
      </c>
      <c r="R3">
        <v>2.93</v>
      </c>
      <c r="S3" t="s">
        <v>419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2.8999999999999998E-3</v>
      </c>
      <c r="AE3">
        <v>0.36899999999999999</v>
      </c>
      <c r="AF3">
        <v>8.9300000000000004E-2</v>
      </c>
      <c r="AH3">
        <v>0</v>
      </c>
      <c r="AI3" t="s">
        <v>424</v>
      </c>
      <c r="AK3" t="s">
        <v>424</v>
      </c>
      <c r="AL3" t="s">
        <v>424</v>
      </c>
      <c r="AM3" t="s">
        <v>1655</v>
      </c>
      <c r="AO3">
        <v>0</v>
      </c>
      <c r="AP3">
        <v>0</v>
      </c>
      <c r="AQ3">
        <v>0</v>
      </c>
      <c r="AR3">
        <v>0</v>
      </c>
      <c r="AS3">
        <v>2.448</v>
      </c>
      <c r="AT3">
        <v>2.9420000000000002</v>
      </c>
      <c r="AU3" t="s">
        <v>421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2.6949999999999998</v>
      </c>
      <c r="CG3" t="s">
        <v>1670</v>
      </c>
      <c r="CH3" t="s">
        <v>1671</v>
      </c>
      <c r="CI3">
        <v>2</v>
      </c>
      <c r="CJ3">
        <v>2.93</v>
      </c>
      <c r="CK3">
        <v>2.4649999999999999</v>
      </c>
      <c r="CL3">
        <v>-0.24</v>
      </c>
      <c r="CM3">
        <v>2.2250000000000001</v>
      </c>
    </row>
    <row r="4" spans="1:91" x14ac:dyDescent="0.25">
      <c r="A4">
        <v>7</v>
      </c>
      <c r="B4" t="s">
        <v>453</v>
      </c>
      <c r="C4" t="s">
        <v>852</v>
      </c>
      <c r="D4" t="s">
        <v>1251</v>
      </c>
      <c r="E4" t="s">
        <v>395</v>
      </c>
      <c r="F4">
        <v>259559200</v>
      </c>
      <c r="G4">
        <v>27.4255</v>
      </c>
      <c r="H4" t="s">
        <v>410</v>
      </c>
      <c r="I4">
        <v>7118540839.5999994</v>
      </c>
      <c r="J4" t="s">
        <v>416</v>
      </c>
      <c r="K4">
        <v>10069959.027504999</v>
      </c>
      <c r="L4">
        <v>0.7</v>
      </c>
      <c r="M4">
        <v>4982978587.7199993</v>
      </c>
      <c r="N4">
        <v>750385647200</v>
      </c>
      <c r="O4">
        <v>45102020</v>
      </c>
      <c r="P4">
        <v>4510</v>
      </c>
      <c r="Q4">
        <v>1.9643056478929399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2.42</v>
      </c>
      <c r="AT4">
        <v>3.1539999999999999</v>
      </c>
      <c r="AU4" t="s">
        <v>420</v>
      </c>
      <c r="AV4">
        <v>1</v>
      </c>
      <c r="AW4">
        <v>0</v>
      </c>
      <c r="AX4" t="s">
        <v>434</v>
      </c>
      <c r="AY4">
        <v>0</v>
      </c>
      <c r="AZ4">
        <v>0</v>
      </c>
      <c r="BA4">
        <v>0</v>
      </c>
      <c r="CE4">
        <v>2.7869999999999999</v>
      </c>
      <c r="CG4" t="s">
        <v>450</v>
      </c>
      <c r="CI4">
        <v>1.9643056478929399</v>
      </c>
      <c r="CJ4">
        <v>3.1</v>
      </c>
      <c r="CK4">
        <v>2.5321528239464701</v>
      </c>
      <c r="CL4">
        <v>0</v>
      </c>
      <c r="CM4">
        <v>2.5321528239464701</v>
      </c>
    </row>
    <row r="5" spans="1:91" x14ac:dyDescent="0.25">
      <c r="A5">
        <v>8</v>
      </c>
      <c r="B5" t="s">
        <v>454</v>
      </c>
      <c r="C5" t="s">
        <v>853</v>
      </c>
      <c r="D5" t="s">
        <v>1252</v>
      </c>
      <c r="E5" t="s">
        <v>396</v>
      </c>
      <c r="F5">
        <v>110580102</v>
      </c>
      <c r="G5">
        <v>36.299999999999997</v>
      </c>
      <c r="H5" t="s">
        <v>409</v>
      </c>
      <c r="I5">
        <v>4014057702.5999999</v>
      </c>
      <c r="J5" t="s">
        <v>415</v>
      </c>
      <c r="K5">
        <v>4806266.6241269801</v>
      </c>
      <c r="L5">
        <v>0.9</v>
      </c>
      <c r="M5">
        <v>3612651932.3400002</v>
      </c>
      <c r="N5">
        <v>411026239134</v>
      </c>
      <c r="O5">
        <v>50202020</v>
      </c>
      <c r="P5">
        <v>5020</v>
      </c>
      <c r="S5" t="s">
        <v>420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0.1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N5" t="s">
        <v>1653</v>
      </c>
      <c r="AO5">
        <v>0.01</v>
      </c>
      <c r="AP5">
        <v>0</v>
      </c>
      <c r="AQ5">
        <v>0</v>
      </c>
      <c r="AR5">
        <v>0</v>
      </c>
      <c r="AS5">
        <v>1.998</v>
      </c>
      <c r="AT5">
        <v>3.25</v>
      </c>
      <c r="AU5" t="s">
        <v>420</v>
      </c>
      <c r="AV5">
        <v>1</v>
      </c>
      <c r="AW5">
        <v>0</v>
      </c>
      <c r="AX5" t="s">
        <v>445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2.6240000000000001</v>
      </c>
      <c r="CG5" t="s">
        <v>1670</v>
      </c>
      <c r="CH5" t="s">
        <v>1672</v>
      </c>
      <c r="CI5">
        <v>3.4</v>
      </c>
      <c r="CJ5">
        <v>3.1</v>
      </c>
      <c r="CK5">
        <v>3.25</v>
      </c>
      <c r="CL5">
        <v>0</v>
      </c>
      <c r="CM5">
        <v>3.25</v>
      </c>
    </row>
    <row r="6" spans="1:91" x14ac:dyDescent="0.25">
      <c r="A6">
        <v>9</v>
      </c>
      <c r="B6" t="s">
        <v>455</v>
      </c>
      <c r="C6" t="s">
        <v>854</v>
      </c>
      <c r="D6" t="s">
        <v>1253</v>
      </c>
      <c r="E6" t="s">
        <v>407</v>
      </c>
      <c r="F6">
        <v>1797198523</v>
      </c>
      <c r="G6">
        <v>51.62</v>
      </c>
      <c r="H6" t="s">
        <v>409</v>
      </c>
      <c r="I6">
        <v>92771387757.259995</v>
      </c>
      <c r="J6" t="s">
        <v>415</v>
      </c>
      <c r="K6">
        <v>98018858.536269799</v>
      </c>
      <c r="L6">
        <v>0.55000000000000004</v>
      </c>
      <c r="M6">
        <v>51024263266.492996</v>
      </c>
      <c r="N6">
        <v>4082336444994.5</v>
      </c>
      <c r="O6">
        <v>45101010</v>
      </c>
      <c r="P6">
        <v>4510</v>
      </c>
      <c r="Q6">
        <v>2.1010789545867099</v>
      </c>
      <c r="R6">
        <v>2.7</v>
      </c>
      <c r="S6" t="s">
        <v>1648</v>
      </c>
      <c r="T6" t="s">
        <v>423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1.867</v>
      </c>
      <c r="AT6">
        <v>2.3519999999999999</v>
      </c>
      <c r="AU6" t="s">
        <v>420</v>
      </c>
      <c r="AV6">
        <v>1</v>
      </c>
      <c r="AW6">
        <v>0</v>
      </c>
      <c r="AX6" t="s">
        <v>447</v>
      </c>
      <c r="AY6">
        <v>0</v>
      </c>
      <c r="AZ6">
        <v>0</v>
      </c>
      <c r="BA6">
        <v>0</v>
      </c>
      <c r="CE6">
        <v>2.1095000000000002</v>
      </c>
      <c r="CF6" t="s">
        <v>83</v>
      </c>
      <c r="CG6" t="s">
        <v>1670</v>
      </c>
      <c r="CH6" t="s">
        <v>83</v>
      </c>
      <c r="CI6">
        <v>2.1010789545867099</v>
      </c>
      <c r="CJ6">
        <v>2.7</v>
      </c>
      <c r="CK6">
        <v>2.4005394772933548</v>
      </c>
      <c r="CL6">
        <v>0.3</v>
      </c>
      <c r="CM6">
        <v>2.7005394772933551</v>
      </c>
    </row>
    <row r="7" spans="1:91" x14ac:dyDescent="0.25">
      <c r="A7">
        <v>10</v>
      </c>
      <c r="B7" t="s">
        <v>456</v>
      </c>
      <c r="C7" t="s">
        <v>855</v>
      </c>
      <c r="D7" t="s">
        <v>1254</v>
      </c>
      <c r="E7" t="s">
        <v>395</v>
      </c>
      <c r="F7">
        <v>313943020</v>
      </c>
      <c r="G7">
        <v>19.728380000000001</v>
      </c>
      <c r="H7" t="s">
        <v>410</v>
      </c>
      <c r="I7">
        <v>6193587196.9076004</v>
      </c>
      <c r="J7" t="s">
        <v>416</v>
      </c>
      <c r="K7">
        <v>7671301.9088658895</v>
      </c>
      <c r="L7">
        <v>0.7</v>
      </c>
      <c r="M7">
        <v>4335511037.8353205</v>
      </c>
      <c r="N7">
        <v>907609270820</v>
      </c>
      <c r="O7">
        <v>35101010</v>
      </c>
      <c r="P7">
        <v>3510</v>
      </c>
      <c r="Q7">
        <v>3.2721025093432901</v>
      </c>
      <c r="S7" t="s">
        <v>424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1.9610000000000001</v>
      </c>
      <c r="AT7">
        <v>2.1190000000000002</v>
      </c>
      <c r="AU7" t="s">
        <v>425</v>
      </c>
      <c r="AV7">
        <v>1</v>
      </c>
      <c r="AW7">
        <v>0</v>
      </c>
      <c r="AX7" t="s">
        <v>434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1670</v>
      </c>
      <c r="CH7" t="s">
        <v>83</v>
      </c>
      <c r="CI7">
        <v>3.2721025093432901</v>
      </c>
      <c r="CJ7">
        <v>3.1</v>
      </c>
      <c r="CK7">
        <v>3.1860512546716451</v>
      </c>
      <c r="CL7">
        <v>0.3</v>
      </c>
      <c r="CM7">
        <v>3.4860512546716449</v>
      </c>
    </row>
    <row r="8" spans="1:91" x14ac:dyDescent="0.25">
      <c r="A8">
        <v>11</v>
      </c>
      <c r="B8" t="s">
        <v>457</v>
      </c>
      <c r="C8" t="s">
        <v>856</v>
      </c>
      <c r="D8" t="s">
        <v>1255</v>
      </c>
      <c r="E8" t="s">
        <v>406</v>
      </c>
      <c r="F8">
        <v>1860614900</v>
      </c>
      <c r="G8">
        <v>55.567399999999999</v>
      </c>
      <c r="H8" t="s">
        <v>414</v>
      </c>
      <c r="I8">
        <v>103389532394.25999</v>
      </c>
      <c r="J8" t="s">
        <v>416</v>
      </c>
      <c r="K8">
        <v>140238889.23849699</v>
      </c>
      <c r="L8">
        <v>0.85</v>
      </c>
      <c r="M8">
        <v>87881102535.120987</v>
      </c>
      <c r="N8">
        <v>6531688606450</v>
      </c>
      <c r="O8">
        <v>50202010</v>
      </c>
      <c r="P8">
        <v>5020</v>
      </c>
      <c r="Q8">
        <v>1.74910088253677</v>
      </c>
      <c r="R8">
        <v>1.5</v>
      </c>
      <c r="S8" t="s">
        <v>417</v>
      </c>
      <c r="T8" t="s">
        <v>423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0.01</v>
      </c>
      <c r="AE8">
        <v>0.15</v>
      </c>
      <c r="AF8">
        <v>0</v>
      </c>
      <c r="AH8">
        <v>0</v>
      </c>
      <c r="AI8" t="s">
        <v>1655</v>
      </c>
      <c r="AK8" t="s">
        <v>424</v>
      </c>
      <c r="AL8" t="s">
        <v>424</v>
      </c>
      <c r="AM8" t="s">
        <v>424</v>
      </c>
      <c r="AN8" t="s">
        <v>1653</v>
      </c>
      <c r="AO8">
        <v>0.04</v>
      </c>
      <c r="AP8">
        <v>0</v>
      </c>
      <c r="AQ8">
        <v>0</v>
      </c>
      <c r="AR8">
        <v>0</v>
      </c>
      <c r="AS8">
        <v>2.887</v>
      </c>
      <c r="AT8">
        <v>2.5019999999999998</v>
      </c>
      <c r="AU8" t="s">
        <v>420</v>
      </c>
      <c r="AV8">
        <v>1</v>
      </c>
      <c r="AW8">
        <v>0</v>
      </c>
      <c r="AX8" t="s">
        <v>446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2.6945000000000001</v>
      </c>
      <c r="CG8" t="s">
        <v>1670</v>
      </c>
      <c r="CH8" t="s">
        <v>1673</v>
      </c>
      <c r="CI8">
        <v>1.74910088253677</v>
      </c>
      <c r="CJ8">
        <v>1.5</v>
      </c>
      <c r="CK8">
        <v>1.6245504412683851</v>
      </c>
      <c r="CL8">
        <v>-0.3</v>
      </c>
      <c r="CM8">
        <v>1.3245504412683851</v>
      </c>
    </row>
    <row r="9" spans="1:91" x14ac:dyDescent="0.25">
      <c r="A9">
        <v>14</v>
      </c>
      <c r="B9" t="s">
        <v>458</v>
      </c>
      <c r="C9" t="s">
        <v>857</v>
      </c>
      <c r="D9" t="s">
        <v>1256</v>
      </c>
      <c r="E9" t="s">
        <v>396</v>
      </c>
      <c r="F9">
        <v>539163896</v>
      </c>
      <c r="G9">
        <v>17.8</v>
      </c>
      <c r="H9" t="s">
        <v>409</v>
      </c>
      <c r="I9">
        <v>9597117348.8000011</v>
      </c>
      <c r="J9" t="s">
        <v>415</v>
      </c>
      <c r="K9">
        <v>48401045.407301597</v>
      </c>
      <c r="L9">
        <v>1</v>
      </c>
      <c r="M9">
        <v>9597117348.8000011</v>
      </c>
      <c r="N9">
        <v>2226746890480</v>
      </c>
      <c r="O9">
        <v>30101010</v>
      </c>
      <c r="P9">
        <v>3010</v>
      </c>
      <c r="Q9">
        <v>3.2733333333333299</v>
      </c>
      <c r="S9" t="s">
        <v>420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2.3940000000000001</v>
      </c>
      <c r="AT9">
        <v>2.7789999999999999</v>
      </c>
      <c r="AU9" t="s">
        <v>430</v>
      </c>
      <c r="AV9">
        <v>0</v>
      </c>
      <c r="AW9">
        <v>0</v>
      </c>
      <c r="AX9" t="s">
        <v>445</v>
      </c>
      <c r="AY9">
        <v>0</v>
      </c>
      <c r="AZ9">
        <v>0</v>
      </c>
      <c r="BA9">
        <v>0</v>
      </c>
      <c r="CE9">
        <v>2.5865</v>
      </c>
      <c r="CG9" t="s">
        <v>450</v>
      </c>
      <c r="CI9">
        <v>3.2733333333333299</v>
      </c>
      <c r="CJ9">
        <v>3.1</v>
      </c>
      <c r="CK9">
        <v>3.1866666666666652</v>
      </c>
      <c r="CL9">
        <v>0</v>
      </c>
      <c r="CM9">
        <v>3.1866666666666652</v>
      </c>
    </row>
    <row r="10" spans="1:91" x14ac:dyDescent="0.25">
      <c r="A10">
        <v>15</v>
      </c>
      <c r="B10" t="s">
        <v>459</v>
      </c>
      <c r="C10" t="s">
        <v>858</v>
      </c>
      <c r="D10" t="s">
        <v>1257</v>
      </c>
      <c r="E10" t="s">
        <v>403</v>
      </c>
      <c r="F10">
        <v>1840742800</v>
      </c>
      <c r="G10">
        <v>1.908317</v>
      </c>
      <c r="H10" t="s">
        <v>413</v>
      </c>
      <c r="I10">
        <v>3512720777.8676</v>
      </c>
      <c r="J10" t="s">
        <v>416</v>
      </c>
      <c r="K10">
        <v>5431165.0947838696</v>
      </c>
      <c r="L10">
        <v>1</v>
      </c>
      <c r="M10">
        <v>3512720777.8676</v>
      </c>
      <c r="N10">
        <v>7602267764000</v>
      </c>
      <c r="O10">
        <v>30202010</v>
      </c>
      <c r="P10">
        <v>3020</v>
      </c>
      <c r="Q10">
        <v>3.0199999999999898</v>
      </c>
      <c r="S10" t="s">
        <v>420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2.1389999999999998</v>
      </c>
      <c r="AT10">
        <v>3.161</v>
      </c>
      <c r="AU10" t="s">
        <v>430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450</v>
      </c>
      <c r="CI10">
        <v>3.0199999999999898</v>
      </c>
      <c r="CJ10">
        <v>3.1</v>
      </c>
      <c r="CK10">
        <v>3.0599999999999952</v>
      </c>
      <c r="CL10">
        <v>0</v>
      </c>
      <c r="CM10">
        <v>3.0599999999999952</v>
      </c>
    </row>
    <row r="11" spans="1:91" x14ac:dyDescent="0.25">
      <c r="A11">
        <v>16</v>
      </c>
      <c r="B11" t="s">
        <v>460</v>
      </c>
      <c r="C11" t="s">
        <v>859</v>
      </c>
      <c r="D11" t="s">
        <v>1258</v>
      </c>
      <c r="E11" t="s">
        <v>406</v>
      </c>
      <c r="F11">
        <v>94500000</v>
      </c>
      <c r="G11">
        <v>45.657559999999997</v>
      </c>
      <c r="H11" t="s">
        <v>414</v>
      </c>
      <c r="I11">
        <v>4314639420</v>
      </c>
      <c r="J11" t="s">
        <v>416</v>
      </c>
      <c r="K11">
        <v>10718443.2627184</v>
      </c>
      <c r="L11">
        <v>1</v>
      </c>
      <c r="M11">
        <v>4314639420</v>
      </c>
      <c r="N11">
        <v>390285000000</v>
      </c>
      <c r="O11">
        <v>50204030</v>
      </c>
      <c r="P11">
        <v>5020</v>
      </c>
      <c r="S11" t="s">
        <v>424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0.43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2.4020000000000001</v>
      </c>
      <c r="AT11">
        <v>3.1869999999999998</v>
      </c>
      <c r="AU11" t="s">
        <v>420</v>
      </c>
      <c r="AV11">
        <v>1</v>
      </c>
      <c r="AW11">
        <v>0</v>
      </c>
      <c r="AX11" t="s">
        <v>446</v>
      </c>
      <c r="AY11">
        <v>0</v>
      </c>
      <c r="AZ11">
        <v>0</v>
      </c>
      <c r="BA11">
        <v>0</v>
      </c>
      <c r="BQ11" t="s">
        <v>68</v>
      </c>
      <c r="CE11">
        <v>2.7945000000000002</v>
      </c>
      <c r="CG11" t="s">
        <v>1670</v>
      </c>
      <c r="CH11" t="s">
        <v>68</v>
      </c>
      <c r="CI11">
        <v>3.4</v>
      </c>
      <c r="CJ11">
        <v>3.1</v>
      </c>
      <c r="CK11">
        <v>3.25</v>
      </c>
      <c r="CL11">
        <v>0.3</v>
      </c>
      <c r="CM11">
        <v>3.55</v>
      </c>
    </row>
    <row r="12" spans="1:91" x14ac:dyDescent="0.25">
      <c r="A12">
        <v>19</v>
      </c>
      <c r="B12" t="s">
        <v>461</v>
      </c>
      <c r="C12" t="s">
        <v>860</v>
      </c>
      <c r="D12" t="s">
        <v>1259</v>
      </c>
      <c r="E12" t="s">
        <v>394</v>
      </c>
      <c r="F12">
        <v>243667720</v>
      </c>
      <c r="G12">
        <v>46.43</v>
      </c>
      <c r="H12" t="s">
        <v>409</v>
      </c>
      <c r="I12">
        <v>11313492239.6</v>
      </c>
      <c r="J12" t="s">
        <v>415</v>
      </c>
      <c r="K12">
        <v>26555203.167381</v>
      </c>
      <c r="L12">
        <v>0.85000000000000009</v>
      </c>
      <c r="M12">
        <v>9616468403.6600018</v>
      </c>
      <c r="N12">
        <v>855395531060.00012</v>
      </c>
      <c r="O12">
        <v>40501025</v>
      </c>
      <c r="P12">
        <v>4050</v>
      </c>
      <c r="Q12">
        <v>1.7728124388961899</v>
      </c>
      <c r="R12">
        <v>3.01</v>
      </c>
      <c r="S12" t="s">
        <v>420</v>
      </c>
      <c r="T12" t="s">
        <v>422</v>
      </c>
      <c r="U12">
        <v>0</v>
      </c>
      <c r="V12">
        <v>0.01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2.754</v>
      </c>
      <c r="AT12">
        <v>3.0169999999999999</v>
      </c>
      <c r="AU12" t="s">
        <v>1657</v>
      </c>
      <c r="AV12">
        <v>0</v>
      </c>
      <c r="AW12">
        <v>0</v>
      </c>
      <c r="AX12" t="s">
        <v>433</v>
      </c>
      <c r="AY12">
        <v>0</v>
      </c>
      <c r="AZ12">
        <v>0</v>
      </c>
      <c r="BA12">
        <v>0</v>
      </c>
      <c r="CE12">
        <v>2.8855</v>
      </c>
      <c r="CG12" t="s">
        <v>450</v>
      </c>
      <c r="CI12">
        <v>1.7728124388961899</v>
      </c>
      <c r="CJ12">
        <v>3.01</v>
      </c>
      <c r="CK12">
        <v>2.3914062194480952</v>
      </c>
      <c r="CL12">
        <v>0</v>
      </c>
      <c r="CM12">
        <v>2.3914062194480952</v>
      </c>
    </row>
    <row r="13" spans="1:91" x14ac:dyDescent="0.25">
      <c r="A13">
        <v>20</v>
      </c>
      <c r="B13" t="s">
        <v>462</v>
      </c>
      <c r="C13" t="s">
        <v>861</v>
      </c>
      <c r="D13" t="s">
        <v>1260</v>
      </c>
      <c r="E13" t="s">
        <v>407</v>
      </c>
      <c r="F13">
        <v>33157750</v>
      </c>
      <c r="G13">
        <v>195.8</v>
      </c>
      <c r="H13" t="s">
        <v>409</v>
      </c>
      <c r="I13">
        <v>6492287450</v>
      </c>
      <c r="J13" t="s">
        <v>415</v>
      </c>
      <c r="K13">
        <v>4586713.0380952395</v>
      </c>
      <c r="L13">
        <v>0.65</v>
      </c>
      <c r="M13">
        <v>4219986842.5</v>
      </c>
      <c r="N13">
        <v>89011979875</v>
      </c>
      <c r="O13">
        <v>30202000</v>
      </c>
      <c r="P13">
        <v>3020</v>
      </c>
      <c r="Q13">
        <v>3.4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0.5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1.7909999999999999</v>
      </c>
      <c r="AT13">
        <v>1.9390000000000001</v>
      </c>
      <c r="AU13" t="s">
        <v>424</v>
      </c>
      <c r="AV13">
        <v>1</v>
      </c>
      <c r="AW13">
        <v>0</v>
      </c>
      <c r="AX13" t="s">
        <v>447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1670</v>
      </c>
      <c r="CH13" t="s">
        <v>1674</v>
      </c>
      <c r="CI13">
        <v>3.4</v>
      </c>
      <c r="CJ13">
        <v>3.1</v>
      </c>
      <c r="CK13">
        <v>3.25</v>
      </c>
      <c r="CL13">
        <v>-0.18</v>
      </c>
      <c r="CM13">
        <v>3.07</v>
      </c>
    </row>
    <row r="14" spans="1:91" x14ac:dyDescent="0.25">
      <c r="A14">
        <v>21</v>
      </c>
      <c r="B14" t="s">
        <v>463</v>
      </c>
      <c r="C14" t="s">
        <v>862</v>
      </c>
      <c r="D14" t="s">
        <v>1261</v>
      </c>
      <c r="E14" t="s">
        <v>401</v>
      </c>
      <c r="F14">
        <v>271664580</v>
      </c>
      <c r="G14">
        <v>51.55</v>
      </c>
      <c r="H14" t="s">
        <v>409</v>
      </c>
      <c r="I14">
        <v>14004309099</v>
      </c>
      <c r="J14" t="s">
        <v>415</v>
      </c>
      <c r="K14">
        <v>17744729.737776201</v>
      </c>
      <c r="L14">
        <v>0.85</v>
      </c>
      <c r="M14">
        <v>11903662734.15</v>
      </c>
      <c r="N14">
        <v>953678508090</v>
      </c>
      <c r="O14">
        <v>50101010</v>
      </c>
      <c r="P14">
        <v>5010</v>
      </c>
      <c r="Q14">
        <v>3.3115123685149501</v>
      </c>
      <c r="S14" t="s">
        <v>418</v>
      </c>
      <c r="T14" t="s">
        <v>423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E14">
        <v>0.05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N14" t="s">
        <v>1653</v>
      </c>
      <c r="AO14">
        <v>0.01</v>
      </c>
      <c r="AP14">
        <v>0</v>
      </c>
      <c r="AQ14">
        <v>0</v>
      </c>
      <c r="AR14">
        <v>0</v>
      </c>
      <c r="AS14">
        <v>2.375</v>
      </c>
      <c r="AT14">
        <v>2.7770000000000001</v>
      </c>
      <c r="AU14" t="s">
        <v>424</v>
      </c>
      <c r="AV14">
        <v>1</v>
      </c>
      <c r="AW14">
        <v>0</v>
      </c>
      <c r="AX14" t="s">
        <v>440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2.5760000000000001</v>
      </c>
      <c r="CG14" t="s">
        <v>1670</v>
      </c>
      <c r="CH14" t="s">
        <v>1672</v>
      </c>
      <c r="CI14">
        <v>3.3115123685149501</v>
      </c>
      <c r="CJ14">
        <v>3.1</v>
      </c>
      <c r="CK14">
        <v>3.2057561842574751</v>
      </c>
      <c r="CL14">
        <v>-0.18</v>
      </c>
      <c r="CM14">
        <v>3.0257561842574749</v>
      </c>
    </row>
    <row r="15" spans="1:91" x14ac:dyDescent="0.25">
      <c r="A15">
        <v>22</v>
      </c>
      <c r="B15" t="s">
        <v>464</v>
      </c>
      <c r="C15" t="s">
        <v>863</v>
      </c>
      <c r="D15" t="s">
        <v>1262</v>
      </c>
      <c r="E15" t="s">
        <v>395</v>
      </c>
      <c r="F15">
        <v>259908230</v>
      </c>
      <c r="G15">
        <v>30.30293</v>
      </c>
      <c r="H15" t="s">
        <v>410</v>
      </c>
      <c r="I15">
        <v>7875980900.1139002</v>
      </c>
      <c r="J15" t="s">
        <v>416</v>
      </c>
      <c r="K15">
        <v>8983765.3504125904</v>
      </c>
      <c r="L15">
        <v>1</v>
      </c>
      <c r="M15">
        <v>7875980900.1139002</v>
      </c>
      <c r="N15">
        <v>1073420989900</v>
      </c>
      <c r="O15">
        <v>50202010</v>
      </c>
      <c r="P15">
        <v>5020</v>
      </c>
      <c r="Q15">
        <v>1.7347786688414599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0.05</v>
      </c>
      <c r="AS15">
        <v>1.8140000000000001</v>
      </c>
      <c r="AT15">
        <v>2.2309999999999999</v>
      </c>
      <c r="AU15" t="s">
        <v>431</v>
      </c>
      <c r="AV15">
        <v>1</v>
      </c>
      <c r="AW15">
        <v>0</v>
      </c>
      <c r="AX15" t="s">
        <v>434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1670</v>
      </c>
      <c r="CH15" t="s">
        <v>1675</v>
      </c>
      <c r="CI15">
        <v>1.7347786688414599</v>
      </c>
      <c r="CJ15">
        <v>3.1</v>
      </c>
      <c r="CK15">
        <v>2.4173893344207298</v>
      </c>
      <c r="CL15">
        <v>0.3</v>
      </c>
      <c r="CM15">
        <v>2.7173893344207301</v>
      </c>
    </row>
    <row r="16" spans="1:91" x14ac:dyDescent="0.25">
      <c r="A16">
        <v>23</v>
      </c>
      <c r="B16" t="s">
        <v>465</v>
      </c>
      <c r="C16" t="s">
        <v>864</v>
      </c>
      <c r="D16" t="s">
        <v>1263</v>
      </c>
      <c r="E16" t="s">
        <v>406</v>
      </c>
      <c r="F16">
        <v>168426560</v>
      </c>
      <c r="G16">
        <v>24.583200000000001</v>
      </c>
      <c r="H16" t="s">
        <v>414</v>
      </c>
      <c r="I16">
        <v>4140463809.7919998</v>
      </c>
      <c r="J16" t="s">
        <v>416</v>
      </c>
      <c r="K16">
        <v>25898272.434684299</v>
      </c>
      <c r="L16">
        <v>0.85</v>
      </c>
      <c r="M16">
        <v>3519394238.3232002</v>
      </c>
      <c r="N16">
        <v>591261438880</v>
      </c>
      <c r="O16">
        <v>50205025</v>
      </c>
      <c r="P16">
        <v>5020</v>
      </c>
      <c r="Q16">
        <v>1.7457422138204</v>
      </c>
      <c r="R16">
        <v>1.77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1651</v>
      </c>
      <c r="AA16" t="s">
        <v>422</v>
      </c>
      <c r="AB16" t="s">
        <v>422</v>
      </c>
      <c r="AC16" t="s">
        <v>422</v>
      </c>
      <c r="AD16">
        <v>0</v>
      </c>
      <c r="AE16">
        <v>0.01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N16" t="s">
        <v>1653</v>
      </c>
      <c r="AO16">
        <v>0.01</v>
      </c>
      <c r="AP16">
        <v>0</v>
      </c>
      <c r="AQ16">
        <v>0</v>
      </c>
      <c r="AR16">
        <v>0</v>
      </c>
      <c r="AS16">
        <v>2.2789999999999999</v>
      </c>
      <c r="AT16">
        <v>3.3069999999999999</v>
      </c>
      <c r="AU16" t="s">
        <v>432</v>
      </c>
      <c r="AV16">
        <v>0</v>
      </c>
      <c r="AW16">
        <v>0</v>
      </c>
      <c r="AX16" t="s">
        <v>446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2.7930000000000001</v>
      </c>
      <c r="CG16" t="s">
        <v>1670</v>
      </c>
      <c r="CH16" t="s">
        <v>1676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 x14ac:dyDescent="0.25">
      <c r="A17">
        <v>24</v>
      </c>
      <c r="B17" t="s">
        <v>466</v>
      </c>
      <c r="C17" t="s">
        <v>865</v>
      </c>
      <c r="D17" t="s">
        <v>1264</v>
      </c>
      <c r="E17" t="s">
        <v>398</v>
      </c>
      <c r="F17">
        <v>180000000</v>
      </c>
      <c r="G17">
        <v>245.9</v>
      </c>
      <c r="H17" t="s">
        <v>409</v>
      </c>
      <c r="I17">
        <v>44262000000</v>
      </c>
      <c r="J17" t="s">
        <v>415</v>
      </c>
      <c r="K17">
        <v>95465480.766393393</v>
      </c>
      <c r="L17">
        <v>1</v>
      </c>
      <c r="M17">
        <v>44262000000</v>
      </c>
      <c r="N17">
        <v>743400000000</v>
      </c>
      <c r="O17">
        <v>40204025</v>
      </c>
      <c r="P17">
        <v>4020</v>
      </c>
      <c r="Q17">
        <v>1.74447151669083</v>
      </c>
      <c r="S17" t="s">
        <v>417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2.3519999999999999</v>
      </c>
      <c r="AT17">
        <v>2.7490000000000001</v>
      </c>
      <c r="AU17" t="s">
        <v>420</v>
      </c>
      <c r="AV17">
        <v>1</v>
      </c>
      <c r="AW17">
        <v>0</v>
      </c>
      <c r="AX17" t="s">
        <v>437</v>
      </c>
      <c r="AY17">
        <v>0</v>
      </c>
      <c r="AZ17">
        <v>0</v>
      </c>
      <c r="BA17">
        <v>0</v>
      </c>
      <c r="CE17">
        <v>2.5505</v>
      </c>
      <c r="CG17" t="s">
        <v>450</v>
      </c>
      <c r="CI17">
        <v>1.74447151669083</v>
      </c>
      <c r="CJ17">
        <v>3.1</v>
      </c>
      <c r="CK17">
        <v>2.422235758345415</v>
      </c>
      <c r="CL17">
        <v>-0.3</v>
      </c>
      <c r="CM17">
        <v>2.1222357583454148</v>
      </c>
    </row>
    <row r="18" spans="1:91" x14ac:dyDescent="0.25">
      <c r="A18">
        <v>25</v>
      </c>
      <c r="B18" t="s">
        <v>148</v>
      </c>
      <c r="C18" t="s">
        <v>248</v>
      </c>
      <c r="D18" t="s">
        <v>348</v>
      </c>
      <c r="E18" t="s">
        <v>403</v>
      </c>
      <c r="F18">
        <v>306304700</v>
      </c>
      <c r="G18">
        <v>33.850409999999997</v>
      </c>
      <c r="H18" t="s">
        <v>413</v>
      </c>
      <c r="I18">
        <v>10368539679.927</v>
      </c>
      <c r="J18" t="s">
        <v>416</v>
      </c>
      <c r="K18">
        <v>10015139.725619299</v>
      </c>
      <c r="L18">
        <v>0.7</v>
      </c>
      <c r="M18">
        <v>7257977775.9488983</v>
      </c>
      <c r="N18">
        <v>885526887700</v>
      </c>
      <c r="O18">
        <v>30302025</v>
      </c>
      <c r="P18">
        <v>3030</v>
      </c>
      <c r="Q18">
        <v>1.99880903325661</v>
      </c>
      <c r="R18">
        <v>2.7</v>
      </c>
      <c r="S18" t="s">
        <v>420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1.88</v>
      </c>
      <c r="AT18">
        <v>2.7</v>
      </c>
      <c r="AU18" t="s">
        <v>430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450</v>
      </c>
      <c r="CI18">
        <v>1.99880903325661</v>
      </c>
      <c r="CJ18">
        <v>2.7</v>
      </c>
      <c r="CK18">
        <v>2.3494045166283049</v>
      </c>
      <c r="CL18">
        <v>0</v>
      </c>
      <c r="CM18">
        <v>2.3494045166283049</v>
      </c>
    </row>
    <row r="19" spans="1:91" x14ac:dyDescent="0.25">
      <c r="A19">
        <v>27</v>
      </c>
      <c r="B19" t="s">
        <v>467</v>
      </c>
      <c r="C19" t="s">
        <v>866</v>
      </c>
      <c r="D19" t="s">
        <v>1265</v>
      </c>
      <c r="E19" t="s">
        <v>394</v>
      </c>
      <c r="F19">
        <v>98960602</v>
      </c>
      <c r="G19">
        <v>102.7</v>
      </c>
      <c r="H19" t="s">
        <v>409</v>
      </c>
      <c r="I19">
        <v>10163253825.4</v>
      </c>
      <c r="J19" t="s">
        <v>415</v>
      </c>
      <c r="K19">
        <v>10050109.132539701</v>
      </c>
      <c r="L19">
        <v>0.3</v>
      </c>
      <c r="M19">
        <v>3048976147.6199999</v>
      </c>
      <c r="N19">
        <v>122612185878</v>
      </c>
      <c r="O19">
        <v>50206060</v>
      </c>
      <c r="P19">
        <v>5020</v>
      </c>
      <c r="Q19">
        <v>1.7486174961126399</v>
      </c>
      <c r="S19" t="s">
        <v>417</v>
      </c>
      <c r="T19" t="s">
        <v>422</v>
      </c>
      <c r="U19">
        <v>0</v>
      </c>
      <c r="V19">
        <v>0.05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2.2290000000000001</v>
      </c>
      <c r="AT19">
        <v>3.0819999999999999</v>
      </c>
      <c r="AU19" t="s">
        <v>427</v>
      </c>
      <c r="AV19">
        <v>1</v>
      </c>
      <c r="AW19">
        <v>0</v>
      </c>
      <c r="AX19" t="s">
        <v>433</v>
      </c>
      <c r="AY19">
        <v>0</v>
      </c>
      <c r="AZ19">
        <v>0</v>
      </c>
      <c r="BA19">
        <v>0</v>
      </c>
      <c r="CE19">
        <v>2.6555</v>
      </c>
      <c r="CG19" t="s">
        <v>450</v>
      </c>
      <c r="CI19">
        <v>1.7486174961126399</v>
      </c>
      <c r="CJ19">
        <v>3.1</v>
      </c>
      <c r="CK19">
        <v>2.4243087480563199</v>
      </c>
      <c r="CL19">
        <v>-0.3</v>
      </c>
      <c r="CM19">
        <v>2.1243087480563201</v>
      </c>
    </row>
    <row r="20" spans="1:91" x14ac:dyDescent="0.25">
      <c r="A20">
        <v>31</v>
      </c>
      <c r="B20" t="s">
        <v>468</v>
      </c>
      <c r="C20" t="s">
        <v>867</v>
      </c>
      <c r="D20" t="s">
        <v>1266</v>
      </c>
      <c r="E20" t="s">
        <v>396</v>
      </c>
      <c r="F20">
        <v>31485187</v>
      </c>
      <c r="G20">
        <v>1787</v>
      </c>
      <c r="H20" t="s">
        <v>409</v>
      </c>
      <c r="I20">
        <v>56264029169</v>
      </c>
      <c r="J20" t="s">
        <v>415</v>
      </c>
      <c r="K20">
        <v>107681170.24920601</v>
      </c>
      <c r="L20">
        <v>0.95000000000000007</v>
      </c>
      <c r="M20">
        <v>53450827710.550003</v>
      </c>
      <c r="N20">
        <v>123532131194.5</v>
      </c>
      <c r="O20">
        <v>50205015</v>
      </c>
      <c r="P20">
        <v>5020</v>
      </c>
      <c r="Q20">
        <v>3.4</v>
      </c>
      <c r="S20" t="s">
        <v>424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1.867</v>
      </c>
      <c r="AT20">
        <v>2.238</v>
      </c>
      <c r="AU20" t="s">
        <v>430</v>
      </c>
      <c r="AV20">
        <v>0</v>
      </c>
      <c r="AW20">
        <v>0</v>
      </c>
      <c r="AX20" t="s">
        <v>445</v>
      </c>
      <c r="AY20">
        <v>0</v>
      </c>
      <c r="AZ20">
        <v>0</v>
      </c>
      <c r="BA20">
        <v>0</v>
      </c>
      <c r="CE20">
        <v>2.0525000000000002</v>
      </c>
      <c r="CF20" t="s">
        <v>83</v>
      </c>
      <c r="CG20" t="s">
        <v>1670</v>
      </c>
      <c r="CH20" t="s">
        <v>83</v>
      </c>
      <c r="CI20">
        <v>3.4</v>
      </c>
      <c r="CJ20">
        <v>3.1</v>
      </c>
      <c r="CK20">
        <v>3.25</v>
      </c>
      <c r="CL20">
        <v>0.3</v>
      </c>
      <c r="CM20">
        <v>3.55</v>
      </c>
    </row>
    <row r="21" spans="1:91" x14ac:dyDescent="0.25">
      <c r="A21">
        <v>32</v>
      </c>
      <c r="B21" t="s">
        <v>469</v>
      </c>
      <c r="C21" t="s">
        <v>868</v>
      </c>
      <c r="D21" t="s">
        <v>1267</v>
      </c>
      <c r="E21" t="s">
        <v>407</v>
      </c>
      <c r="F21">
        <v>47550119</v>
      </c>
      <c r="G21">
        <v>61.3</v>
      </c>
      <c r="H21" t="s">
        <v>409</v>
      </c>
      <c r="I21">
        <v>2914822294.6999998</v>
      </c>
      <c r="J21" t="s">
        <v>415</v>
      </c>
      <c r="K21">
        <v>3337881.6650793599</v>
      </c>
      <c r="L21">
        <v>1</v>
      </c>
      <c r="M21">
        <v>2914822294.6999998</v>
      </c>
      <c r="N21">
        <v>196381991470</v>
      </c>
      <c r="O21">
        <v>35102010</v>
      </c>
      <c r="P21">
        <v>3510</v>
      </c>
      <c r="Q21">
        <v>2.9403972222394801</v>
      </c>
      <c r="S21" t="s">
        <v>421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2.1819999999999999</v>
      </c>
      <c r="AT21">
        <v>2.1989999999999998</v>
      </c>
      <c r="AU21" t="s">
        <v>425</v>
      </c>
      <c r="AV21">
        <v>1</v>
      </c>
      <c r="AW21">
        <v>0</v>
      </c>
      <c r="AX21" t="s">
        <v>447</v>
      </c>
      <c r="AY21">
        <v>0</v>
      </c>
      <c r="AZ21">
        <v>0</v>
      </c>
      <c r="BA21">
        <v>0</v>
      </c>
      <c r="CE21">
        <v>2.1905000000000001</v>
      </c>
      <c r="CG21" t="s">
        <v>450</v>
      </c>
      <c r="CI21">
        <v>2.9403972222394801</v>
      </c>
      <c r="CJ21">
        <v>3.1</v>
      </c>
      <c r="CK21">
        <v>3.0201986111197399</v>
      </c>
      <c r="CL21">
        <v>0.18</v>
      </c>
      <c r="CM21">
        <v>3.20019861111974</v>
      </c>
    </row>
    <row r="22" spans="1:91" x14ac:dyDescent="0.25">
      <c r="A22">
        <v>33</v>
      </c>
      <c r="B22" t="s">
        <v>470</v>
      </c>
      <c r="C22" t="s">
        <v>869</v>
      </c>
      <c r="D22" t="s">
        <v>1268</v>
      </c>
      <c r="E22" t="s">
        <v>396</v>
      </c>
      <c r="F22">
        <v>1652797432</v>
      </c>
      <c r="G22">
        <v>5.8319999999999999</v>
      </c>
      <c r="H22" t="s">
        <v>409</v>
      </c>
      <c r="I22">
        <v>9639114623.4239998</v>
      </c>
      <c r="J22" t="s">
        <v>415</v>
      </c>
      <c r="K22">
        <v>27259477.492222201</v>
      </c>
      <c r="L22">
        <v>0.8</v>
      </c>
      <c r="M22">
        <v>7711291698.7392006</v>
      </c>
      <c r="N22">
        <v>5460842715328</v>
      </c>
      <c r="O22">
        <v>30301010</v>
      </c>
      <c r="P22">
        <v>3030</v>
      </c>
      <c r="Q22">
        <v>3.4</v>
      </c>
      <c r="S22" t="s">
        <v>421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2.1419999999999999</v>
      </c>
      <c r="AT22">
        <v>3.1560000000000001</v>
      </c>
      <c r="AU22" t="s">
        <v>430</v>
      </c>
      <c r="AV22">
        <v>0</v>
      </c>
      <c r="AW22">
        <v>0</v>
      </c>
      <c r="AX22" t="s">
        <v>1660</v>
      </c>
      <c r="AY22">
        <v>0</v>
      </c>
      <c r="AZ22">
        <v>0</v>
      </c>
      <c r="BA22">
        <v>0</v>
      </c>
      <c r="CE22">
        <v>2.649</v>
      </c>
      <c r="CG22" t="s">
        <v>450</v>
      </c>
      <c r="CI22">
        <v>3.4</v>
      </c>
      <c r="CJ22">
        <v>3.1</v>
      </c>
      <c r="CK22">
        <v>3.25</v>
      </c>
      <c r="CL22">
        <v>0.18</v>
      </c>
      <c r="CM22">
        <v>3.43</v>
      </c>
    </row>
    <row r="23" spans="1:91" x14ac:dyDescent="0.25">
      <c r="A23">
        <v>34</v>
      </c>
      <c r="B23" t="s">
        <v>471</v>
      </c>
      <c r="C23" t="s">
        <v>870</v>
      </c>
      <c r="D23" t="s">
        <v>1269</v>
      </c>
      <c r="E23" t="s">
        <v>401</v>
      </c>
      <c r="F23">
        <v>150000000</v>
      </c>
      <c r="G23">
        <v>211.4</v>
      </c>
      <c r="H23" t="s">
        <v>409</v>
      </c>
      <c r="I23">
        <v>31710000000</v>
      </c>
      <c r="J23" t="s">
        <v>415</v>
      </c>
      <c r="K23">
        <v>27930489.288095199</v>
      </c>
      <c r="L23">
        <v>0.5</v>
      </c>
      <c r="M23">
        <v>15855000000</v>
      </c>
      <c r="N23">
        <v>309750000000</v>
      </c>
      <c r="O23">
        <v>50206060</v>
      </c>
      <c r="P23">
        <v>5020</v>
      </c>
      <c r="Q23">
        <v>1.74674908413494</v>
      </c>
      <c r="S23" t="s">
        <v>419</v>
      </c>
      <c r="T23" t="s">
        <v>422</v>
      </c>
      <c r="U23">
        <v>0</v>
      </c>
      <c r="V23">
        <v>0.05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2.8759999999999999</v>
      </c>
      <c r="AT23">
        <v>3.2120000000000002</v>
      </c>
      <c r="AU23" t="s">
        <v>427</v>
      </c>
      <c r="AV23">
        <v>1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3.044</v>
      </c>
      <c r="CG23" t="s">
        <v>450</v>
      </c>
      <c r="CI23">
        <v>1.74674908413494</v>
      </c>
      <c r="CJ23">
        <v>3.1</v>
      </c>
      <c r="CK23">
        <v>2.4233745420674699</v>
      </c>
      <c r="CL23">
        <v>-0.24</v>
      </c>
      <c r="CM23">
        <v>2.1833745420674702</v>
      </c>
    </row>
    <row r="24" spans="1:91" x14ac:dyDescent="0.25">
      <c r="A24">
        <v>39</v>
      </c>
      <c r="B24" t="s">
        <v>472</v>
      </c>
      <c r="C24" t="s">
        <v>871</v>
      </c>
      <c r="D24" t="s">
        <v>1270</v>
      </c>
      <c r="E24" t="s">
        <v>407</v>
      </c>
      <c r="F24">
        <v>187971187</v>
      </c>
      <c r="G24">
        <v>51</v>
      </c>
      <c r="H24" t="s">
        <v>409</v>
      </c>
      <c r="I24">
        <v>9586530537</v>
      </c>
      <c r="J24" t="s">
        <v>415</v>
      </c>
      <c r="K24">
        <v>17348499.9225397</v>
      </c>
      <c r="L24">
        <v>0.8</v>
      </c>
      <c r="M24">
        <v>7669224429.6000004</v>
      </c>
      <c r="N24">
        <v>312784055.16799998</v>
      </c>
      <c r="O24">
        <v>30301010</v>
      </c>
      <c r="P24">
        <v>3030</v>
      </c>
      <c r="Q24">
        <v>3.4</v>
      </c>
      <c r="R24">
        <v>2.39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2.0579999999999998</v>
      </c>
      <c r="AT24">
        <v>3.0910000000000002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2.5745</v>
      </c>
      <c r="CG24" t="s">
        <v>450</v>
      </c>
      <c r="CI24">
        <v>3.4</v>
      </c>
      <c r="CJ24">
        <v>2.39</v>
      </c>
      <c r="CK24">
        <v>2.895</v>
      </c>
      <c r="CL24">
        <v>-0.18</v>
      </c>
      <c r="CM24">
        <v>2.7149999999999999</v>
      </c>
    </row>
    <row r="25" spans="1:91" x14ac:dyDescent="0.25">
      <c r="A25">
        <v>43</v>
      </c>
      <c r="B25" t="s">
        <v>473</v>
      </c>
      <c r="C25" t="s">
        <v>872</v>
      </c>
      <c r="D25" t="s">
        <v>1271</v>
      </c>
      <c r="E25" t="s">
        <v>396</v>
      </c>
      <c r="F25">
        <v>920493634</v>
      </c>
      <c r="G25">
        <v>33.630000000000003</v>
      </c>
      <c r="H25" t="s">
        <v>409</v>
      </c>
      <c r="I25">
        <v>30956200911.419998</v>
      </c>
      <c r="J25" t="s">
        <v>415</v>
      </c>
      <c r="K25">
        <v>71894764.911825404</v>
      </c>
      <c r="L25">
        <v>1</v>
      </c>
      <c r="M25">
        <v>30956200911.419998</v>
      </c>
      <c r="N25">
        <v>1914626758.72</v>
      </c>
      <c r="O25">
        <v>45201010</v>
      </c>
      <c r="P25">
        <v>4520</v>
      </c>
      <c r="Q25">
        <v>1.9797276032997899</v>
      </c>
      <c r="R25">
        <v>1.5</v>
      </c>
      <c r="S25" t="s">
        <v>419</v>
      </c>
      <c r="T25" t="s">
        <v>422</v>
      </c>
      <c r="U25">
        <v>0</v>
      </c>
      <c r="V25">
        <v>0.05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1.2999999999999999E-2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2.339</v>
      </c>
      <c r="AT25">
        <v>2.823</v>
      </c>
      <c r="AU25" t="s">
        <v>431</v>
      </c>
      <c r="AV25">
        <v>1</v>
      </c>
      <c r="AW25">
        <v>0</v>
      </c>
      <c r="AX25" t="s">
        <v>445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1670</v>
      </c>
      <c r="CH25" t="s">
        <v>68</v>
      </c>
      <c r="CI25">
        <v>1.9797276032997899</v>
      </c>
      <c r="CJ25">
        <v>1.5</v>
      </c>
      <c r="CK25">
        <v>1.7398638016498951</v>
      </c>
      <c r="CL25">
        <v>-0.24</v>
      </c>
      <c r="CM25">
        <v>1.4998638016498951</v>
      </c>
    </row>
    <row r="26" spans="1:91" x14ac:dyDescent="0.25">
      <c r="A26">
        <v>45</v>
      </c>
      <c r="B26" t="s">
        <v>128</v>
      </c>
      <c r="C26" t="s">
        <v>228</v>
      </c>
      <c r="D26" t="s">
        <v>328</v>
      </c>
      <c r="E26" t="s">
        <v>397</v>
      </c>
      <c r="F26">
        <v>2328438575</v>
      </c>
      <c r="G26">
        <v>6.34</v>
      </c>
      <c r="H26" t="s">
        <v>409</v>
      </c>
      <c r="I26">
        <v>14762300565.5</v>
      </c>
      <c r="J26" t="s">
        <v>415</v>
      </c>
      <c r="K26">
        <v>28502146.137509499</v>
      </c>
      <c r="L26">
        <v>0.9</v>
      </c>
      <c r="M26">
        <v>13286070508.950001</v>
      </c>
      <c r="N26">
        <v>4358837012.4000006</v>
      </c>
      <c r="O26">
        <v>30101010</v>
      </c>
      <c r="P26">
        <v>3010</v>
      </c>
      <c r="Q26">
        <v>1.99934707512142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2.4860000000000002</v>
      </c>
      <c r="AT26">
        <v>3.169</v>
      </c>
      <c r="AU26" t="s">
        <v>430</v>
      </c>
      <c r="AV26">
        <v>0</v>
      </c>
      <c r="AW26">
        <v>0</v>
      </c>
      <c r="AX26" t="s">
        <v>436</v>
      </c>
      <c r="AY26">
        <v>0</v>
      </c>
      <c r="AZ26">
        <v>0</v>
      </c>
      <c r="BA26">
        <v>0</v>
      </c>
      <c r="CE26">
        <v>2.8275000000000001</v>
      </c>
      <c r="CG26" t="s">
        <v>450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 x14ac:dyDescent="0.25">
      <c r="A27">
        <v>46</v>
      </c>
      <c r="B27" t="s">
        <v>474</v>
      </c>
      <c r="C27" t="s">
        <v>873</v>
      </c>
      <c r="D27" t="s">
        <v>1272</v>
      </c>
      <c r="E27" t="s">
        <v>394</v>
      </c>
      <c r="F27">
        <v>578264258</v>
      </c>
      <c r="G27">
        <v>178.4</v>
      </c>
      <c r="H27" t="s">
        <v>409</v>
      </c>
      <c r="I27">
        <v>103162343627.2</v>
      </c>
      <c r="J27" t="s">
        <v>415</v>
      </c>
      <c r="K27">
        <v>116156519.81888901</v>
      </c>
      <c r="L27">
        <v>1</v>
      </c>
      <c r="M27">
        <v>103162343627.2</v>
      </c>
      <c r="N27">
        <v>1202789656.6400001</v>
      </c>
      <c r="O27">
        <v>55201020</v>
      </c>
      <c r="P27">
        <v>5520</v>
      </c>
      <c r="Q27">
        <v>1.8514316693856601</v>
      </c>
      <c r="R27">
        <v>3.1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8.2000000000000003E-2</v>
      </c>
      <c r="AF27">
        <v>3.2000000000000001E-2</v>
      </c>
      <c r="AG27" t="s">
        <v>1653</v>
      </c>
      <c r="AH27">
        <v>0</v>
      </c>
      <c r="AI27" t="s">
        <v>424</v>
      </c>
      <c r="AJ27" t="s">
        <v>1653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2.2509999999999999</v>
      </c>
      <c r="AT27">
        <v>3.3220000000000001</v>
      </c>
      <c r="AU27" t="s">
        <v>420</v>
      </c>
      <c r="AV27">
        <v>1</v>
      </c>
      <c r="AW27">
        <v>0</v>
      </c>
      <c r="AX27" t="s">
        <v>433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2.7865000000000002</v>
      </c>
      <c r="CG27" t="s">
        <v>1670</v>
      </c>
      <c r="CH27" t="s">
        <v>1677</v>
      </c>
      <c r="CI27">
        <v>1.8514316693856601</v>
      </c>
      <c r="CJ27">
        <v>3.1</v>
      </c>
      <c r="CK27">
        <v>2.4757158346928301</v>
      </c>
      <c r="CL27">
        <v>-0.18</v>
      </c>
      <c r="CM27">
        <v>2.2957158346928299</v>
      </c>
    </row>
    <row r="28" spans="1:91" x14ac:dyDescent="0.25">
      <c r="A28">
        <v>50</v>
      </c>
      <c r="B28" t="s">
        <v>475</v>
      </c>
      <c r="C28" t="s">
        <v>874</v>
      </c>
      <c r="D28" t="s">
        <v>1273</v>
      </c>
      <c r="E28" t="s">
        <v>394</v>
      </c>
      <c r="F28">
        <v>792283683</v>
      </c>
      <c r="G28">
        <v>160</v>
      </c>
      <c r="H28" t="s">
        <v>409</v>
      </c>
      <c r="I28">
        <v>126765389280</v>
      </c>
      <c r="J28" t="s">
        <v>415</v>
      </c>
      <c r="K28">
        <v>183022547.999841</v>
      </c>
      <c r="L28">
        <v>0.75</v>
      </c>
      <c r="M28">
        <v>95074041960</v>
      </c>
      <c r="N28">
        <v>1235962545.48</v>
      </c>
      <c r="O28">
        <v>50201010</v>
      </c>
      <c r="P28">
        <v>5020</v>
      </c>
      <c r="Q28">
        <v>1.99912799862438</v>
      </c>
      <c r="R28">
        <v>1.5</v>
      </c>
      <c r="S28" t="s">
        <v>418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1651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2.3159999999999998</v>
      </c>
      <c r="AT28">
        <v>2.9849999999999999</v>
      </c>
      <c r="AU28" t="s">
        <v>420</v>
      </c>
      <c r="AV28">
        <v>1</v>
      </c>
      <c r="AW28">
        <v>0</v>
      </c>
      <c r="AX28" t="s">
        <v>445</v>
      </c>
      <c r="AY28">
        <v>0</v>
      </c>
      <c r="AZ28">
        <v>0</v>
      </c>
      <c r="BA28">
        <v>0</v>
      </c>
      <c r="BE28" t="s">
        <v>1663</v>
      </c>
      <c r="BK28" t="s">
        <v>62</v>
      </c>
      <c r="CE28">
        <v>2.6505000000000001</v>
      </c>
      <c r="CG28" t="s">
        <v>1670</v>
      </c>
      <c r="CH28" t="s">
        <v>1678</v>
      </c>
      <c r="CI28">
        <v>1.99912799862438</v>
      </c>
      <c r="CJ28">
        <v>1.5</v>
      </c>
      <c r="CK28">
        <v>1.7495639993121901</v>
      </c>
      <c r="CL28">
        <v>-0.18</v>
      </c>
      <c r="CM28">
        <v>1.5695639993121899</v>
      </c>
    </row>
    <row r="29" spans="1:91" x14ac:dyDescent="0.25">
      <c r="A29">
        <v>53</v>
      </c>
      <c r="B29" t="s">
        <v>476</v>
      </c>
      <c r="C29" t="s">
        <v>875</v>
      </c>
      <c r="D29" t="s">
        <v>1274</v>
      </c>
      <c r="E29" t="s">
        <v>400</v>
      </c>
      <c r="F29">
        <v>632022210</v>
      </c>
      <c r="G29">
        <v>20.484210000000001</v>
      </c>
      <c r="H29" t="s">
        <v>411</v>
      </c>
      <c r="I29">
        <v>12946475674.3041</v>
      </c>
      <c r="J29" t="s">
        <v>416</v>
      </c>
      <c r="K29">
        <v>23734561.884488899</v>
      </c>
      <c r="L29">
        <v>0.5</v>
      </c>
      <c r="M29">
        <v>6473237837.15205</v>
      </c>
      <c r="N29">
        <v>657303098.39999998</v>
      </c>
      <c r="O29">
        <v>60101010</v>
      </c>
      <c r="P29">
        <v>6010</v>
      </c>
      <c r="Q29">
        <v>3.3956336505458702</v>
      </c>
      <c r="R29">
        <v>3.1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0.99299999999999999</v>
      </c>
      <c r="AF29">
        <v>0</v>
      </c>
      <c r="AH29">
        <v>0</v>
      </c>
      <c r="AI29" t="s">
        <v>1655</v>
      </c>
      <c r="AJ29" t="s">
        <v>1654</v>
      </c>
      <c r="AK29" t="s">
        <v>424</v>
      </c>
      <c r="AL29" t="s">
        <v>1655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2.7389999999999999</v>
      </c>
      <c r="AT29">
        <v>3.1070000000000002</v>
      </c>
      <c r="AU29" t="s">
        <v>418</v>
      </c>
      <c r="AV29">
        <v>1</v>
      </c>
      <c r="AW29">
        <v>0</v>
      </c>
      <c r="AX29" t="s">
        <v>439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1670</v>
      </c>
      <c r="CH29" t="s">
        <v>1679</v>
      </c>
      <c r="CI29">
        <v>3.3956336505458702</v>
      </c>
      <c r="CJ29">
        <v>3.1</v>
      </c>
      <c r="CK29">
        <v>3.2478168252729351</v>
      </c>
      <c r="CL29">
        <v>-0.18</v>
      </c>
      <c r="CM29">
        <v>3.067816825272935</v>
      </c>
    </row>
    <row r="30" spans="1:91" x14ac:dyDescent="0.25">
      <c r="A30">
        <v>55</v>
      </c>
      <c r="B30" t="s">
        <v>477</v>
      </c>
      <c r="C30" t="s">
        <v>876</v>
      </c>
      <c r="D30" t="s">
        <v>1275</v>
      </c>
      <c r="E30" t="s">
        <v>396</v>
      </c>
      <c r="F30">
        <v>170784638</v>
      </c>
      <c r="G30">
        <v>58.06</v>
      </c>
      <c r="H30" t="s">
        <v>409</v>
      </c>
      <c r="I30">
        <v>9915756082.2800007</v>
      </c>
      <c r="J30" t="s">
        <v>415</v>
      </c>
      <c r="K30">
        <v>27577278.626984101</v>
      </c>
      <c r="L30">
        <v>1</v>
      </c>
      <c r="M30">
        <v>9915756082.2800007</v>
      </c>
      <c r="N30">
        <v>355232047.04000002</v>
      </c>
      <c r="O30">
        <v>55201020</v>
      </c>
      <c r="P30">
        <v>5520</v>
      </c>
      <c r="Q30">
        <v>1.9918618445692899</v>
      </c>
      <c r="S30" t="s">
        <v>420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0.05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2.3559999999999999</v>
      </c>
      <c r="AT30">
        <v>3.6030000000000002</v>
      </c>
      <c r="AU30" t="s">
        <v>420</v>
      </c>
      <c r="AV30">
        <v>1</v>
      </c>
      <c r="AW30">
        <v>0</v>
      </c>
      <c r="AX30" t="s">
        <v>445</v>
      </c>
      <c r="AY30">
        <v>0</v>
      </c>
      <c r="AZ30">
        <v>0</v>
      </c>
      <c r="BA30">
        <v>0</v>
      </c>
      <c r="BQ30" t="s">
        <v>68</v>
      </c>
      <c r="CE30">
        <v>2.9794999999999998</v>
      </c>
      <c r="CG30" t="s">
        <v>1670</v>
      </c>
      <c r="CH30" t="s">
        <v>68</v>
      </c>
      <c r="CI30">
        <v>1.9918618445692899</v>
      </c>
      <c r="CJ30">
        <v>3.1</v>
      </c>
      <c r="CK30">
        <v>2.5459309222846449</v>
      </c>
      <c r="CL30">
        <v>0</v>
      </c>
      <c r="CM30">
        <v>2.5459309222846449</v>
      </c>
    </row>
    <row r="31" spans="1:91" x14ac:dyDescent="0.25">
      <c r="A31">
        <v>56</v>
      </c>
      <c r="B31" t="s">
        <v>478</v>
      </c>
      <c r="C31" t="s">
        <v>877</v>
      </c>
      <c r="D31" t="s">
        <v>1276</v>
      </c>
      <c r="E31" t="s">
        <v>406</v>
      </c>
      <c r="F31">
        <v>499700000</v>
      </c>
      <c r="G31">
        <v>86.381460000000004</v>
      </c>
      <c r="H31" t="s">
        <v>414</v>
      </c>
      <c r="I31">
        <v>43164815562</v>
      </c>
      <c r="J31" t="s">
        <v>416</v>
      </c>
      <c r="K31">
        <v>63266427.994974203</v>
      </c>
      <c r="L31">
        <v>1</v>
      </c>
      <c r="M31">
        <v>43164815562</v>
      </c>
      <c r="N31">
        <v>1039376000</v>
      </c>
      <c r="O31">
        <v>20102015</v>
      </c>
      <c r="P31">
        <v>2010</v>
      </c>
      <c r="Q31">
        <v>3.4</v>
      </c>
      <c r="S31" t="s">
        <v>424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2.8130000000000002</v>
      </c>
      <c r="AT31">
        <v>3.153</v>
      </c>
      <c r="AU31" t="s">
        <v>420</v>
      </c>
      <c r="AV31">
        <v>1</v>
      </c>
      <c r="AW31">
        <v>0</v>
      </c>
      <c r="AX31" t="s">
        <v>446</v>
      </c>
      <c r="AY31">
        <v>0</v>
      </c>
      <c r="AZ31">
        <v>0</v>
      </c>
      <c r="BA31">
        <v>0</v>
      </c>
      <c r="CE31">
        <v>2.9830000000000001</v>
      </c>
      <c r="CG31" t="s">
        <v>450</v>
      </c>
      <c r="CI31">
        <v>3.4</v>
      </c>
      <c r="CJ31">
        <v>3.1</v>
      </c>
      <c r="CK31">
        <v>3.25</v>
      </c>
      <c r="CL31">
        <v>0.3</v>
      </c>
      <c r="CM31">
        <v>3.55</v>
      </c>
    </row>
    <row r="32" spans="1:91" x14ac:dyDescent="0.25">
      <c r="A32">
        <v>57</v>
      </c>
      <c r="B32" t="s">
        <v>479</v>
      </c>
      <c r="C32" t="s">
        <v>878</v>
      </c>
      <c r="D32" t="s">
        <v>1277</v>
      </c>
      <c r="E32" t="s">
        <v>395</v>
      </c>
      <c r="F32">
        <v>413326320</v>
      </c>
      <c r="G32">
        <v>42.199309999999997</v>
      </c>
      <c r="H32" t="s">
        <v>410</v>
      </c>
      <c r="I32">
        <v>17442085508.839199</v>
      </c>
      <c r="J32" t="s">
        <v>416</v>
      </c>
      <c r="K32">
        <v>23907875.210947201</v>
      </c>
      <c r="L32">
        <v>0.7</v>
      </c>
      <c r="M32">
        <v>12209459856.187441</v>
      </c>
      <c r="N32">
        <v>601803121.91999996</v>
      </c>
      <c r="O32">
        <v>50202020</v>
      </c>
      <c r="P32">
        <v>5020</v>
      </c>
      <c r="Q32">
        <v>1.74981683298021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0.01</v>
      </c>
      <c r="AE32">
        <v>0.2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N32" t="s">
        <v>1653</v>
      </c>
      <c r="AO32">
        <v>0.01</v>
      </c>
      <c r="AP32">
        <v>0</v>
      </c>
      <c r="AQ32">
        <v>0</v>
      </c>
      <c r="AR32">
        <v>0</v>
      </c>
      <c r="AS32">
        <v>2.3239999999999998</v>
      </c>
      <c r="AT32">
        <v>3.2919999999999998</v>
      </c>
      <c r="AU32" t="s">
        <v>420</v>
      </c>
      <c r="AV32">
        <v>1</v>
      </c>
      <c r="AW32">
        <v>0</v>
      </c>
      <c r="AX32" t="s">
        <v>434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2.8079999999999998</v>
      </c>
      <c r="CG32" t="s">
        <v>1670</v>
      </c>
      <c r="CH32" t="s">
        <v>1680</v>
      </c>
      <c r="CI32">
        <v>1.74981683298021</v>
      </c>
      <c r="CJ32">
        <v>3.1</v>
      </c>
      <c r="CK32">
        <v>2.4249084164901049</v>
      </c>
      <c r="CL32">
        <v>-0.18</v>
      </c>
      <c r="CM32">
        <v>2.2449084164901052</v>
      </c>
    </row>
    <row r="33" spans="1:91" x14ac:dyDescent="0.25">
      <c r="A33">
        <v>60</v>
      </c>
      <c r="B33" t="s">
        <v>480</v>
      </c>
      <c r="C33" t="s">
        <v>879</v>
      </c>
      <c r="D33" t="s">
        <v>1278</v>
      </c>
      <c r="E33" t="s">
        <v>398</v>
      </c>
      <c r="F33">
        <v>386166700</v>
      </c>
      <c r="G33">
        <v>320.2</v>
      </c>
      <c r="H33" t="s">
        <v>409</v>
      </c>
      <c r="I33">
        <v>123650577340</v>
      </c>
      <c r="J33" t="s">
        <v>415</v>
      </c>
      <c r="K33">
        <v>192557349.24016401</v>
      </c>
      <c r="L33">
        <v>1</v>
      </c>
      <c r="M33">
        <v>123650577340</v>
      </c>
      <c r="N33">
        <v>803226736</v>
      </c>
      <c r="O33">
        <v>30302010</v>
      </c>
      <c r="P33">
        <v>3030</v>
      </c>
      <c r="S33" t="s">
        <v>1648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2.419</v>
      </c>
      <c r="AT33">
        <v>2.8119999999999998</v>
      </c>
      <c r="AU33" t="s">
        <v>430</v>
      </c>
      <c r="AV33">
        <v>0</v>
      </c>
      <c r="AW33">
        <v>0</v>
      </c>
      <c r="AX33" t="s">
        <v>437</v>
      </c>
      <c r="AY33">
        <v>0</v>
      </c>
      <c r="AZ33">
        <v>0</v>
      </c>
      <c r="BA33">
        <v>0</v>
      </c>
      <c r="CE33">
        <v>2.6154999999999999</v>
      </c>
      <c r="CG33" t="s">
        <v>450</v>
      </c>
      <c r="CI33">
        <v>3.4</v>
      </c>
      <c r="CJ33">
        <v>3.1</v>
      </c>
      <c r="CK33">
        <v>3.25</v>
      </c>
      <c r="CL33">
        <v>0.3</v>
      </c>
      <c r="CM33">
        <v>3.55</v>
      </c>
    </row>
    <row r="34" spans="1:91" x14ac:dyDescent="0.25">
      <c r="A34">
        <v>61</v>
      </c>
      <c r="B34" t="s">
        <v>481</v>
      </c>
      <c r="C34" t="s">
        <v>880</v>
      </c>
      <c r="D34" t="s">
        <v>1279</v>
      </c>
      <c r="E34" t="s">
        <v>406</v>
      </c>
      <c r="F34">
        <v>16592821</v>
      </c>
      <c r="G34">
        <v>184.16139999999999</v>
      </c>
      <c r="H34" t="s">
        <v>414</v>
      </c>
      <c r="I34">
        <v>3055757145.3094001</v>
      </c>
      <c r="J34" t="s">
        <v>416</v>
      </c>
      <c r="K34">
        <v>5547061.9211534001</v>
      </c>
      <c r="L34">
        <v>0.95</v>
      </c>
      <c r="M34">
        <v>2902969288.0439301</v>
      </c>
      <c r="N34">
        <v>32787414.296</v>
      </c>
      <c r="O34">
        <v>35101010</v>
      </c>
      <c r="P34">
        <v>3510</v>
      </c>
      <c r="Q34">
        <v>3.2733333333333299</v>
      </c>
      <c r="S34" t="s">
        <v>418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1.81</v>
      </c>
      <c r="AT34">
        <v>2.5760000000000001</v>
      </c>
      <c r="AU34" t="s">
        <v>425</v>
      </c>
      <c r="AV34">
        <v>1</v>
      </c>
      <c r="AW34">
        <v>0</v>
      </c>
      <c r="AX34" t="s">
        <v>446</v>
      </c>
      <c r="AY34">
        <v>0</v>
      </c>
      <c r="AZ34">
        <v>0</v>
      </c>
      <c r="BA34">
        <v>0</v>
      </c>
      <c r="CE34">
        <v>2.1930000000000001</v>
      </c>
      <c r="CG34" t="s">
        <v>450</v>
      </c>
      <c r="CI34">
        <v>3.2733333333333299</v>
      </c>
      <c r="CJ34">
        <v>3.1</v>
      </c>
      <c r="CK34">
        <v>3.1866666666666652</v>
      </c>
      <c r="CL34">
        <v>-0.18</v>
      </c>
      <c r="CM34">
        <v>3.006666666666665</v>
      </c>
    </row>
    <row r="35" spans="1:91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412</v>
      </c>
      <c r="I35">
        <v>3218533728.539999</v>
      </c>
      <c r="J35" t="s">
        <v>416</v>
      </c>
      <c r="K35">
        <v>3702059.0405438901</v>
      </c>
      <c r="L35">
        <v>1</v>
      </c>
      <c r="M35">
        <v>3218533728.539999</v>
      </c>
      <c r="N35">
        <v>3205571200</v>
      </c>
      <c r="O35">
        <v>30302010</v>
      </c>
      <c r="P35">
        <v>3030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1.819</v>
      </c>
      <c r="AT35">
        <v>1.83</v>
      </c>
      <c r="AU35" t="s">
        <v>430</v>
      </c>
      <c r="AV35">
        <v>0</v>
      </c>
      <c r="AW35">
        <v>0</v>
      </c>
      <c r="AX35" t="s">
        <v>441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1670</v>
      </c>
      <c r="CH35" t="s">
        <v>83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67</v>
      </c>
      <c r="B36" t="s">
        <v>94</v>
      </c>
      <c r="C36" t="s">
        <v>194</v>
      </c>
      <c r="D36" t="s">
        <v>294</v>
      </c>
      <c r="E36" t="s">
        <v>394</v>
      </c>
      <c r="F36">
        <v>461510538</v>
      </c>
      <c r="G36">
        <v>20.09</v>
      </c>
      <c r="H36" t="s">
        <v>409</v>
      </c>
      <c r="I36">
        <v>9271746708.4200001</v>
      </c>
      <c r="J36" t="s">
        <v>415</v>
      </c>
      <c r="K36">
        <v>23095735.4445238</v>
      </c>
      <c r="L36">
        <v>0.75</v>
      </c>
      <c r="M36">
        <v>6953810031.3150005</v>
      </c>
      <c r="N36">
        <v>719956439.28000009</v>
      </c>
      <c r="O36">
        <v>50202010</v>
      </c>
      <c r="P36">
        <v>5020</v>
      </c>
      <c r="Q36">
        <v>1.99805211144036</v>
      </c>
      <c r="R36">
        <v>3.1</v>
      </c>
      <c r="S36" t="s">
        <v>417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2.7949999999999999</v>
      </c>
      <c r="AT36">
        <v>3.363</v>
      </c>
      <c r="AU36" t="s">
        <v>420</v>
      </c>
      <c r="AV36">
        <v>1</v>
      </c>
      <c r="AW36">
        <v>1</v>
      </c>
      <c r="AX36" t="s">
        <v>433</v>
      </c>
      <c r="AY36">
        <v>0</v>
      </c>
      <c r="AZ36">
        <v>0</v>
      </c>
      <c r="BA36">
        <v>0</v>
      </c>
      <c r="CE36">
        <v>3.0790000000000002</v>
      </c>
      <c r="CG36" t="s">
        <v>450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2.2490260557201802</v>
      </c>
    </row>
    <row r="37" spans="1:91" x14ac:dyDescent="0.25">
      <c r="A37">
        <v>68</v>
      </c>
      <c r="B37" t="s">
        <v>483</v>
      </c>
      <c r="C37" t="s">
        <v>882</v>
      </c>
      <c r="D37" t="s">
        <v>1281</v>
      </c>
      <c r="E37" t="s">
        <v>394</v>
      </c>
      <c r="F37">
        <v>35266866</v>
      </c>
      <c r="G37">
        <v>97.15</v>
      </c>
      <c r="H37" t="s">
        <v>409</v>
      </c>
      <c r="I37">
        <v>3426176031.9000001</v>
      </c>
      <c r="J37" t="s">
        <v>415</v>
      </c>
      <c r="K37">
        <v>3080266.8448412698</v>
      </c>
      <c r="L37">
        <v>0.85000000000000009</v>
      </c>
      <c r="M37">
        <v>2912249627.1149998</v>
      </c>
      <c r="N37">
        <v>62351819.088000007</v>
      </c>
      <c r="O37">
        <v>10101010</v>
      </c>
      <c r="P37">
        <v>1010</v>
      </c>
      <c r="Q37">
        <v>1.7332147011493499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1651</v>
      </c>
      <c r="AA37" t="s">
        <v>422</v>
      </c>
      <c r="AB37" t="s">
        <v>422</v>
      </c>
      <c r="AC37" t="s">
        <v>422</v>
      </c>
      <c r="AD37">
        <v>0</v>
      </c>
      <c r="AE37">
        <v>0.05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N37" t="s">
        <v>1653</v>
      </c>
      <c r="AO37">
        <v>0.05</v>
      </c>
      <c r="AP37">
        <v>0</v>
      </c>
      <c r="AQ37">
        <v>0</v>
      </c>
      <c r="AR37">
        <v>0</v>
      </c>
      <c r="AS37">
        <v>2.3130000000000002</v>
      </c>
      <c r="AT37">
        <v>2.73</v>
      </c>
      <c r="AU37" t="s">
        <v>429</v>
      </c>
      <c r="AV37">
        <v>0</v>
      </c>
      <c r="AW37">
        <v>0</v>
      </c>
      <c r="AX37" t="s">
        <v>433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2.5215000000000001</v>
      </c>
      <c r="CG37" t="s">
        <v>1670</v>
      </c>
      <c r="CH37" t="s">
        <v>1681</v>
      </c>
      <c r="CI37">
        <v>1.7332147011493499</v>
      </c>
      <c r="CJ37">
        <v>3.1</v>
      </c>
      <c r="CK37">
        <v>2.416607350574675</v>
      </c>
      <c r="CL37">
        <v>-0.24</v>
      </c>
      <c r="CM37">
        <v>2.1766073505746748</v>
      </c>
    </row>
    <row r="38" spans="1:91" x14ac:dyDescent="0.25">
      <c r="A38">
        <v>71</v>
      </c>
      <c r="B38" t="s">
        <v>484</v>
      </c>
      <c r="C38" t="s">
        <v>883</v>
      </c>
      <c r="D38" t="s">
        <v>1282</v>
      </c>
      <c r="E38" t="s">
        <v>401</v>
      </c>
      <c r="F38">
        <v>450499200</v>
      </c>
      <c r="G38">
        <v>69.459999999999994</v>
      </c>
      <c r="H38" t="s">
        <v>409</v>
      </c>
      <c r="I38">
        <v>31291674432</v>
      </c>
      <c r="J38" t="s">
        <v>415</v>
      </c>
      <c r="K38">
        <v>42461320.374285698</v>
      </c>
      <c r="L38">
        <v>1</v>
      </c>
      <c r="M38">
        <v>31291674432</v>
      </c>
      <c r="N38">
        <v>937038336</v>
      </c>
      <c r="O38">
        <v>10101010</v>
      </c>
      <c r="P38">
        <v>1010</v>
      </c>
      <c r="Q38">
        <v>1.7124185807336301</v>
      </c>
      <c r="R38">
        <v>3.01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2.5059999999999998</v>
      </c>
      <c r="AT38">
        <v>3.1360000000000001</v>
      </c>
      <c r="AU38" t="s">
        <v>432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2.8210000000000002</v>
      </c>
      <c r="CG38" t="s">
        <v>450</v>
      </c>
      <c r="CI38">
        <v>1.7124185807336301</v>
      </c>
      <c r="CJ38">
        <v>3.01</v>
      </c>
      <c r="CK38">
        <v>2.3612092903668152</v>
      </c>
      <c r="CL38">
        <v>-0.18</v>
      </c>
      <c r="CM38">
        <v>2.181209290366815</v>
      </c>
    </row>
    <row r="39" spans="1:91" x14ac:dyDescent="0.25">
      <c r="A39">
        <v>73</v>
      </c>
      <c r="B39" t="s">
        <v>123</v>
      </c>
      <c r="C39" t="s">
        <v>223</v>
      </c>
      <c r="D39" t="s">
        <v>323</v>
      </c>
      <c r="E39" t="s">
        <v>402</v>
      </c>
      <c r="F39">
        <v>234974400</v>
      </c>
      <c r="G39">
        <v>18.719290000000001</v>
      </c>
      <c r="H39" t="s">
        <v>412</v>
      </c>
      <c r="I39">
        <v>4398553936.1760006</v>
      </c>
      <c r="J39" t="s">
        <v>416</v>
      </c>
      <c r="K39">
        <v>7606684.1957903598</v>
      </c>
      <c r="L39">
        <v>0.85</v>
      </c>
      <c r="M39">
        <v>3738770845.7495999</v>
      </c>
      <c r="N39">
        <v>415434739.19999999</v>
      </c>
      <c r="O39">
        <v>20102010</v>
      </c>
      <c r="P39">
        <v>2010</v>
      </c>
      <c r="Q39">
        <v>1.91599093280441</v>
      </c>
      <c r="R39">
        <v>1.5</v>
      </c>
      <c r="S39" t="s">
        <v>421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2.6269999999999998</v>
      </c>
      <c r="AT39">
        <v>2.7530000000000001</v>
      </c>
      <c r="AU39" t="s">
        <v>420</v>
      </c>
      <c r="AV39">
        <v>1</v>
      </c>
      <c r="AW39">
        <v>0</v>
      </c>
      <c r="AX39" t="s">
        <v>441</v>
      </c>
      <c r="AY39">
        <v>0</v>
      </c>
      <c r="AZ39">
        <v>0</v>
      </c>
      <c r="BA39">
        <v>0</v>
      </c>
      <c r="CE39">
        <v>2.69</v>
      </c>
      <c r="CG39" t="s">
        <v>450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1.8879954664022049</v>
      </c>
    </row>
    <row r="40" spans="1:91" x14ac:dyDescent="0.25">
      <c r="A40">
        <v>85</v>
      </c>
      <c r="B40" t="s">
        <v>485</v>
      </c>
      <c r="C40" t="s">
        <v>884</v>
      </c>
      <c r="D40" t="s">
        <v>1283</v>
      </c>
      <c r="E40" t="s">
        <v>404</v>
      </c>
      <c r="F40">
        <v>226388620</v>
      </c>
      <c r="G40">
        <v>25.22</v>
      </c>
      <c r="H40" t="s">
        <v>409</v>
      </c>
      <c r="I40">
        <v>5709520996.3999996</v>
      </c>
      <c r="J40" t="s">
        <v>415</v>
      </c>
      <c r="K40">
        <v>16355031.9673771</v>
      </c>
      <c r="L40">
        <v>0.60000000000000009</v>
      </c>
      <c r="M40">
        <v>3425712597.8400002</v>
      </c>
      <c r="N40">
        <v>282532997.76000011</v>
      </c>
      <c r="O40">
        <v>20102015</v>
      </c>
      <c r="P40">
        <v>2010</v>
      </c>
      <c r="Q40">
        <v>3.2515364392638801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2.4340000000000002</v>
      </c>
      <c r="AT40">
        <v>2.496</v>
      </c>
      <c r="AU40" t="s">
        <v>431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2.4649999999999999</v>
      </c>
      <c r="CG40" t="s">
        <v>450</v>
      </c>
      <c r="CI40">
        <v>3.2515364392638801</v>
      </c>
      <c r="CJ40">
        <v>3.1</v>
      </c>
      <c r="CK40">
        <v>3.1757682196319399</v>
      </c>
      <c r="CL40">
        <v>-0.18</v>
      </c>
      <c r="CM40">
        <v>2.9957682196319402</v>
      </c>
    </row>
    <row r="41" spans="1:91" x14ac:dyDescent="0.25">
      <c r="A41">
        <v>87</v>
      </c>
      <c r="B41" t="s">
        <v>486</v>
      </c>
      <c r="C41" t="s">
        <v>885</v>
      </c>
      <c r="D41" t="s">
        <v>1284</v>
      </c>
      <c r="E41" t="s">
        <v>394</v>
      </c>
      <c r="F41">
        <v>205419262</v>
      </c>
      <c r="G41">
        <v>68.8</v>
      </c>
      <c r="H41" t="s">
        <v>409</v>
      </c>
      <c r="I41">
        <v>14132845225.6</v>
      </c>
      <c r="J41" t="s">
        <v>415</v>
      </c>
      <c r="K41">
        <v>10120375.6555556</v>
      </c>
      <c r="L41">
        <v>0.3</v>
      </c>
      <c r="M41">
        <v>4239853567.6799998</v>
      </c>
      <c r="N41">
        <v>128181619.48800001</v>
      </c>
      <c r="O41">
        <v>30202010</v>
      </c>
      <c r="P41">
        <v>3020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2.2250000000000001</v>
      </c>
      <c r="AT41">
        <v>2.4649999999999999</v>
      </c>
      <c r="AU41" t="s">
        <v>430</v>
      </c>
      <c r="AV41">
        <v>0</v>
      </c>
      <c r="AW41">
        <v>0</v>
      </c>
      <c r="AX41" t="s">
        <v>433</v>
      </c>
      <c r="AY41">
        <v>0</v>
      </c>
      <c r="AZ41">
        <v>0</v>
      </c>
      <c r="BA41">
        <v>0</v>
      </c>
      <c r="CE41">
        <v>2.3450000000000002</v>
      </c>
      <c r="CG41" t="s">
        <v>450</v>
      </c>
      <c r="CI41">
        <v>3.4</v>
      </c>
      <c r="CJ41">
        <v>3.1</v>
      </c>
      <c r="CK41">
        <v>3.25</v>
      </c>
      <c r="CL41">
        <v>-0.24</v>
      </c>
      <c r="CM41">
        <v>3.01</v>
      </c>
    </row>
    <row r="42" spans="1:91" x14ac:dyDescent="0.25">
      <c r="A42">
        <v>90</v>
      </c>
      <c r="B42" t="s">
        <v>487</v>
      </c>
      <c r="C42" t="s">
        <v>886</v>
      </c>
      <c r="D42" t="s">
        <v>1285</v>
      </c>
      <c r="E42" t="s">
        <v>405</v>
      </c>
      <c r="F42">
        <v>104000000</v>
      </c>
      <c r="G42">
        <v>56.75</v>
      </c>
      <c r="H42" t="s">
        <v>409</v>
      </c>
      <c r="I42">
        <v>5902000000</v>
      </c>
      <c r="J42" t="s">
        <v>415</v>
      </c>
      <c r="K42">
        <v>5651248.0652459003</v>
      </c>
      <c r="L42">
        <v>0.6</v>
      </c>
      <c r="M42">
        <v>3541200000</v>
      </c>
      <c r="N42">
        <v>129792000</v>
      </c>
      <c r="O42">
        <v>50204000</v>
      </c>
      <c r="P42">
        <v>5020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0.01</v>
      </c>
      <c r="AE42">
        <v>0.01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N42" t="s">
        <v>1653</v>
      </c>
      <c r="AO42">
        <v>0.01</v>
      </c>
      <c r="AP42">
        <v>0</v>
      </c>
      <c r="AQ42">
        <v>0</v>
      </c>
      <c r="AR42">
        <v>0</v>
      </c>
      <c r="AS42">
        <v>2.137</v>
      </c>
      <c r="AT42">
        <v>2.9430000000000001</v>
      </c>
      <c r="AU42" t="s">
        <v>420</v>
      </c>
      <c r="AV42">
        <v>1</v>
      </c>
      <c r="AW42">
        <v>0</v>
      </c>
      <c r="AX42" t="s">
        <v>444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1670</v>
      </c>
      <c r="CH42" t="s">
        <v>1680</v>
      </c>
      <c r="CI42">
        <v>3.4</v>
      </c>
      <c r="CJ42">
        <v>3.1</v>
      </c>
      <c r="CK42">
        <v>3.25</v>
      </c>
      <c r="CL42">
        <v>0</v>
      </c>
      <c r="CM42">
        <v>3.25</v>
      </c>
    </row>
    <row r="43" spans="1:91" x14ac:dyDescent="0.25">
      <c r="A43">
        <v>91</v>
      </c>
      <c r="B43" t="s">
        <v>488</v>
      </c>
      <c r="C43" t="s">
        <v>887</v>
      </c>
      <c r="D43" t="s">
        <v>1286</v>
      </c>
      <c r="E43" t="s">
        <v>403</v>
      </c>
      <c r="F43">
        <v>1337577900</v>
      </c>
      <c r="G43">
        <v>29.49821</v>
      </c>
      <c r="H43" t="s">
        <v>413</v>
      </c>
      <c r="I43">
        <v>39456153785.558998</v>
      </c>
      <c r="J43" t="s">
        <v>416</v>
      </c>
      <c r="K43">
        <v>50815466.317591503</v>
      </c>
      <c r="L43">
        <v>1</v>
      </c>
      <c r="M43">
        <v>39456153785.558998</v>
      </c>
      <c r="N43">
        <v>2782162032</v>
      </c>
      <c r="O43">
        <v>55102000</v>
      </c>
      <c r="P43">
        <v>5510</v>
      </c>
      <c r="Q43">
        <v>1.7357822733466399</v>
      </c>
      <c r="R43">
        <v>3.1</v>
      </c>
      <c r="S43" t="s">
        <v>419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0.128</v>
      </c>
      <c r="AE43">
        <v>0.15</v>
      </c>
      <c r="AF43">
        <v>0.01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2.9569999999999999</v>
      </c>
      <c r="AT43">
        <v>3.1280000000000001</v>
      </c>
      <c r="AU43" t="s">
        <v>418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1670</v>
      </c>
      <c r="CH43" t="s">
        <v>1682</v>
      </c>
      <c r="CI43">
        <v>1.7357822733466399</v>
      </c>
      <c r="CJ43">
        <v>3.1</v>
      </c>
      <c r="CK43">
        <v>2.4178911366733198</v>
      </c>
      <c r="CL43">
        <v>-0.24</v>
      </c>
      <c r="CM43">
        <v>2.17789113667332</v>
      </c>
    </row>
    <row r="44" spans="1:91" x14ac:dyDescent="0.25">
      <c r="A44">
        <v>94</v>
      </c>
      <c r="B44" t="s">
        <v>489</v>
      </c>
      <c r="C44" t="s">
        <v>888</v>
      </c>
      <c r="D44" t="s">
        <v>1287</v>
      </c>
      <c r="E44" t="s">
        <v>403</v>
      </c>
      <c r="F44">
        <v>985856700</v>
      </c>
      <c r="G44">
        <v>22.002770000000002</v>
      </c>
      <c r="H44" t="s">
        <v>413</v>
      </c>
      <c r="I44">
        <v>21691578223.058998</v>
      </c>
      <c r="J44" t="s">
        <v>416</v>
      </c>
      <c r="K44">
        <v>15462567.7601377</v>
      </c>
      <c r="L44">
        <v>0.4</v>
      </c>
      <c r="M44">
        <v>8676631289.2236004</v>
      </c>
      <c r="N44">
        <v>820232774.4000001</v>
      </c>
      <c r="O44">
        <v>55102040</v>
      </c>
      <c r="P44">
        <v>5510</v>
      </c>
      <c r="Q44">
        <v>2.66917264039561</v>
      </c>
      <c r="R44">
        <v>3.1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2.331</v>
      </c>
      <c r="AT44">
        <v>3.169</v>
      </c>
      <c r="AU44" t="s">
        <v>418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450</v>
      </c>
      <c r="CI44">
        <v>2.66917264039561</v>
      </c>
      <c r="CJ44">
        <v>3.1</v>
      </c>
      <c r="CK44">
        <v>2.8845863201978048</v>
      </c>
      <c r="CL44">
        <v>-0.18</v>
      </c>
      <c r="CM44">
        <v>2.7045863201978051</v>
      </c>
    </row>
    <row r="45" spans="1:91" x14ac:dyDescent="0.25">
      <c r="A45">
        <v>97</v>
      </c>
      <c r="B45" t="s">
        <v>490</v>
      </c>
      <c r="C45" t="s">
        <v>889</v>
      </c>
      <c r="D45" t="s">
        <v>1288</v>
      </c>
      <c r="E45" t="s">
        <v>402</v>
      </c>
      <c r="F45">
        <v>6072390</v>
      </c>
      <c r="G45">
        <v>1655.4480000000001</v>
      </c>
      <c r="H45" t="s">
        <v>412</v>
      </c>
      <c r="I45">
        <v>10052525880.719999</v>
      </c>
      <c r="J45" t="s">
        <v>416</v>
      </c>
      <c r="K45">
        <v>39712798.007349797</v>
      </c>
      <c r="L45">
        <v>0.7</v>
      </c>
      <c r="M45">
        <v>7036768116.5040007</v>
      </c>
      <c r="N45">
        <v>1161283863.5999999</v>
      </c>
      <c r="O45">
        <v>50206030</v>
      </c>
      <c r="P45">
        <v>5020</v>
      </c>
      <c r="Q45">
        <v>1.63959389180707</v>
      </c>
      <c r="R45">
        <v>2.39</v>
      </c>
      <c r="S45" t="s">
        <v>417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0.05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1.9850000000000001</v>
      </c>
      <c r="AT45">
        <v>2.657</v>
      </c>
      <c r="AU45" t="s">
        <v>427</v>
      </c>
      <c r="AV45">
        <v>1</v>
      </c>
      <c r="AW45">
        <v>0</v>
      </c>
      <c r="AX45" t="s">
        <v>441</v>
      </c>
      <c r="AY45">
        <v>0</v>
      </c>
      <c r="AZ45">
        <v>0</v>
      </c>
      <c r="BA45">
        <v>0</v>
      </c>
      <c r="BQ45" t="s">
        <v>68</v>
      </c>
      <c r="CE45">
        <v>2.3210000000000002</v>
      </c>
      <c r="CG45" t="s">
        <v>1670</v>
      </c>
      <c r="CH45" t="s">
        <v>68</v>
      </c>
      <c r="CI45">
        <v>1.63959389180707</v>
      </c>
      <c r="CJ45">
        <v>2.39</v>
      </c>
      <c r="CK45">
        <v>2.0147969459035351</v>
      </c>
      <c r="CL45">
        <v>-0.3</v>
      </c>
      <c r="CM45">
        <v>1.714796945903535</v>
      </c>
    </row>
    <row r="46" spans="1:91" x14ac:dyDescent="0.25">
      <c r="A46">
        <v>103</v>
      </c>
      <c r="B46" t="s">
        <v>491</v>
      </c>
      <c r="C46" t="s">
        <v>890</v>
      </c>
      <c r="D46" t="s">
        <v>1289</v>
      </c>
      <c r="E46" t="s">
        <v>396</v>
      </c>
      <c r="F46">
        <v>90442091</v>
      </c>
      <c r="G46">
        <v>49.48</v>
      </c>
      <c r="H46" t="s">
        <v>409</v>
      </c>
      <c r="I46">
        <v>4475074662.6799994</v>
      </c>
      <c r="J46" t="s">
        <v>415</v>
      </c>
      <c r="K46">
        <v>7945905.2520634905</v>
      </c>
      <c r="L46">
        <v>0.8</v>
      </c>
      <c r="M46">
        <v>3580059730.1440001</v>
      </c>
      <c r="N46">
        <v>19767023408.959999</v>
      </c>
      <c r="O46">
        <v>50101015</v>
      </c>
      <c r="P46">
        <v>5010</v>
      </c>
      <c r="Q46">
        <v>1.7463198015266299</v>
      </c>
      <c r="R46">
        <v>1.5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0.1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N46" t="s">
        <v>1653</v>
      </c>
      <c r="AO46">
        <v>0.01</v>
      </c>
      <c r="AP46">
        <v>0</v>
      </c>
      <c r="AQ46">
        <v>0</v>
      </c>
      <c r="AR46">
        <v>0</v>
      </c>
      <c r="AS46">
        <v>2.246</v>
      </c>
      <c r="AT46">
        <v>3.488</v>
      </c>
      <c r="AU46" t="s">
        <v>429</v>
      </c>
      <c r="AV46">
        <v>0</v>
      </c>
      <c r="AW46">
        <v>0</v>
      </c>
      <c r="AX46" t="s">
        <v>445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1670</v>
      </c>
      <c r="CH46" t="s">
        <v>1672</v>
      </c>
      <c r="CI46">
        <v>1.7463198015266299</v>
      </c>
      <c r="CJ46">
        <v>1.5</v>
      </c>
      <c r="CK46">
        <v>1.6231599007633151</v>
      </c>
      <c r="CL46">
        <v>-0.18</v>
      </c>
      <c r="CM46">
        <v>1.4431599007633149</v>
      </c>
    </row>
    <row r="47" spans="1:91" x14ac:dyDescent="0.25">
      <c r="A47">
        <v>104</v>
      </c>
      <c r="B47" t="s">
        <v>492</v>
      </c>
      <c r="C47" t="s">
        <v>891</v>
      </c>
      <c r="D47" t="s">
        <v>1290</v>
      </c>
      <c r="E47" t="s">
        <v>396</v>
      </c>
      <c r="F47">
        <v>852809772</v>
      </c>
      <c r="G47">
        <v>27.05</v>
      </c>
      <c r="H47" t="s">
        <v>409</v>
      </c>
      <c r="I47">
        <v>23068504332.599998</v>
      </c>
      <c r="J47" t="s">
        <v>415</v>
      </c>
      <c r="K47">
        <v>63586994.506746002</v>
      </c>
      <c r="L47">
        <v>0.5</v>
      </c>
      <c r="M47">
        <v>11534252166.299999</v>
      </c>
      <c r="N47">
        <v>116493814855.2</v>
      </c>
      <c r="O47">
        <v>55102010</v>
      </c>
      <c r="P47">
        <v>5510</v>
      </c>
      <c r="Q47">
        <v>3.4</v>
      </c>
      <c r="R47">
        <v>1.69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1651</v>
      </c>
      <c r="AA47" t="s">
        <v>422</v>
      </c>
      <c r="AB47" t="s">
        <v>422</v>
      </c>
      <c r="AC47" t="s">
        <v>422</v>
      </c>
      <c r="AD47">
        <v>1.2800000000000001E-2</v>
      </c>
      <c r="AE47">
        <v>0.05</v>
      </c>
      <c r="AF47">
        <v>3.8999999999999998E-3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N47" t="s">
        <v>1653</v>
      </c>
      <c r="AO47">
        <v>0.01</v>
      </c>
      <c r="AP47">
        <v>0</v>
      </c>
      <c r="AQ47">
        <v>0</v>
      </c>
      <c r="AR47">
        <v>0</v>
      </c>
      <c r="AS47">
        <v>2.3109999999999999</v>
      </c>
      <c r="AT47">
        <v>2.996</v>
      </c>
      <c r="AU47" t="s">
        <v>420</v>
      </c>
      <c r="AV47">
        <v>1</v>
      </c>
      <c r="AW47">
        <v>0</v>
      </c>
      <c r="AX47" t="s">
        <v>435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2.6535000000000002</v>
      </c>
      <c r="CG47" t="s">
        <v>1670</v>
      </c>
      <c r="CH47" t="s">
        <v>1683</v>
      </c>
      <c r="CI47">
        <v>3.4</v>
      </c>
      <c r="CJ47">
        <v>1.69</v>
      </c>
      <c r="CK47">
        <v>2.5449999999999999</v>
      </c>
      <c r="CL47">
        <v>-0.18</v>
      </c>
      <c r="CM47">
        <v>2.3650000000000002</v>
      </c>
    </row>
    <row r="48" spans="1:91" x14ac:dyDescent="0.25">
      <c r="A48">
        <v>108</v>
      </c>
      <c r="B48" t="s">
        <v>493</v>
      </c>
      <c r="C48" t="s">
        <v>892</v>
      </c>
      <c r="D48" t="s">
        <v>1291</v>
      </c>
      <c r="E48" t="s">
        <v>407</v>
      </c>
      <c r="F48">
        <v>60760957</v>
      </c>
      <c r="G48">
        <v>619.20000000000005</v>
      </c>
      <c r="H48" t="s">
        <v>409</v>
      </c>
      <c r="I48">
        <v>37623184574.400002</v>
      </c>
      <c r="J48" t="s">
        <v>415</v>
      </c>
      <c r="K48">
        <v>36004032.6809524</v>
      </c>
      <c r="L48">
        <v>1</v>
      </c>
      <c r="M48">
        <v>37623184574.400002</v>
      </c>
      <c r="N48">
        <v>16599893452.4</v>
      </c>
      <c r="O48">
        <v>20103010</v>
      </c>
      <c r="P48">
        <v>2010</v>
      </c>
      <c r="Q48">
        <v>3.4</v>
      </c>
      <c r="S48" t="s">
        <v>424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2.3410000000000002</v>
      </c>
      <c r="AT48">
        <v>3.0019999999999998</v>
      </c>
      <c r="AU48" t="s">
        <v>429</v>
      </c>
      <c r="AV48">
        <v>0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2.6715</v>
      </c>
      <c r="CG48" t="s">
        <v>450</v>
      </c>
      <c r="CI48">
        <v>3.4</v>
      </c>
      <c r="CJ48">
        <v>3.1</v>
      </c>
      <c r="CK48">
        <v>3.25</v>
      </c>
      <c r="CL48">
        <v>0.3</v>
      </c>
      <c r="CM48">
        <v>3.55</v>
      </c>
    </row>
    <row r="49" spans="1:91" x14ac:dyDescent="0.25">
      <c r="A49">
        <v>111</v>
      </c>
      <c r="B49" t="s">
        <v>494</v>
      </c>
      <c r="C49" t="s">
        <v>893</v>
      </c>
      <c r="D49" t="s">
        <v>1292</v>
      </c>
      <c r="E49" t="s">
        <v>394</v>
      </c>
      <c r="F49">
        <v>76060831</v>
      </c>
      <c r="G49">
        <v>81.2</v>
      </c>
      <c r="H49" t="s">
        <v>409</v>
      </c>
      <c r="I49">
        <v>6176139477.1999998</v>
      </c>
      <c r="J49" t="s">
        <v>415</v>
      </c>
      <c r="K49">
        <v>15307240.684126999</v>
      </c>
      <c r="L49">
        <v>0.8</v>
      </c>
      <c r="M49">
        <v>4940911581.7600002</v>
      </c>
      <c r="N49">
        <v>16623855223.360001</v>
      </c>
      <c r="O49">
        <v>55201000</v>
      </c>
      <c r="P49">
        <v>5520</v>
      </c>
      <c r="Q49">
        <v>1.98488938270121</v>
      </c>
      <c r="R49">
        <v>1.5</v>
      </c>
      <c r="S49" t="s">
        <v>417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0.05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2.6280000000000001</v>
      </c>
      <c r="AT49">
        <v>2.411</v>
      </c>
      <c r="AU49" t="s">
        <v>420</v>
      </c>
      <c r="AV49">
        <v>1</v>
      </c>
      <c r="AW49">
        <v>0</v>
      </c>
      <c r="AX49" t="s">
        <v>433</v>
      </c>
      <c r="AY49">
        <v>0</v>
      </c>
      <c r="AZ49">
        <v>0</v>
      </c>
      <c r="BA49">
        <v>0</v>
      </c>
      <c r="BQ49" t="s">
        <v>68</v>
      </c>
      <c r="CE49">
        <v>2.5194999999999999</v>
      </c>
      <c r="CG49" t="s">
        <v>1670</v>
      </c>
      <c r="CH49" t="s">
        <v>68</v>
      </c>
      <c r="CI49">
        <v>1.98488938270121</v>
      </c>
      <c r="CJ49">
        <v>1.5</v>
      </c>
      <c r="CK49">
        <v>1.7424446913506051</v>
      </c>
      <c r="CL49">
        <v>-0.3</v>
      </c>
      <c r="CM49">
        <v>1.442444691350605</v>
      </c>
    </row>
    <row r="50" spans="1:91" x14ac:dyDescent="0.25">
      <c r="A50">
        <v>117</v>
      </c>
      <c r="B50" t="s">
        <v>495</v>
      </c>
      <c r="C50" t="s">
        <v>894</v>
      </c>
      <c r="D50" t="s">
        <v>1293</v>
      </c>
      <c r="E50" t="s">
        <v>403</v>
      </c>
      <c r="F50">
        <v>435137880</v>
      </c>
      <c r="G50">
        <v>59.141489999999997</v>
      </c>
      <c r="H50" t="s">
        <v>413</v>
      </c>
      <c r="I50">
        <v>25734702578.641201</v>
      </c>
      <c r="J50" t="s">
        <v>416</v>
      </c>
      <c r="K50">
        <v>48165124.814670198</v>
      </c>
      <c r="L50">
        <v>1</v>
      </c>
      <c r="M50">
        <v>25734702578.641201</v>
      </c>
      <c r="N50">
        <v>118879668816</v>
      </c>
      <c r="O50">
        <v>50206050</v>
      </c>
      <c r="P50">
        <v>5020</v>
      </c>
      <c r="S50" t="s">
        <v>418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1.861</v>
      </c>
      <c r="AT50">
        <v>2.2010000000000001</v>
      </c>
      <c r="AU50" t="s">
        <v>432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2.0310000000000001</v>
      </c>
      <c r="CF50" t="s">
        <v>83</v>
      </c>
      <c r="CG50" t="s">
        <v>1670</v>
      </c>
      <c r="CH50" t="s">
        <v>83</v>
      </c>
      <c r="CI50">
        <v>3.4</v>
      </c>
      <c r="CJ50">
        <v>3.1</v>
      </c>
      <c r="CK50">
        <v>3.25</v>
      </c>
      <c r="CL50">
        <v>-0.18</v>
      </c>
      <c r="CM50">
        <v>3.07</v>
      </c>
    </row>
    <row r="51" spans="1:91" x14ac:dyDescent="0.25">
      <c r="A51">
        <v>119</v>
      </c>
      <c r="B51" t="s">
        <v>110</v>
      </c>
      <c r="C51" t="s">
        <v>210</v>
      </c>
      <c r="D51" t="s">
        <v>310</v>
      </c>
      <c r="E51" t="s">
        <v>396</v>
      </c>
      <c r="F51">
        <v>49328548</v>
      </c>
      <c r="G51">
        <v>569.79999999999995</v>
      </c>
      <c r="H51" t="s">
        <v>409</v>
      </c>
      <c r="I51">
        <v>28107406650.400002</v>
      </c>
      <c r="J51" t="s">
        <v>415</v>
      </c>
      <c r="K51">
        <v>78679459.003174603</v>
      </c>
      <c r="L51">
        <v>0.95000000000000007</v>
      </c>
      <c r="M51">
        <v>26702036317.880001</v>
      </c>
      <c r="N51">
        <v>12802731347.92</v>
      </c>
      <c r="O51">
        <v>10102020</v>
      </c>
      <c r="P51">
        <v>1010</v>
      </c>
      <c r="Q51">
        <v>1.7486641100579701</v>
      </c>
      <c r="R51">
        <v>3.1</v>
      </c>
      <c r="S51" t="s">
        <v>417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2.4460000000000002</v>
      </c>
      <c r="AT51">
        <v>3.2189999999999999</v>
      </c>
      <c r="AU51" t="s">
        <v>420</v>
      </c>
      <c r="AV51">
        <v>1</v>
      </c>
      <c r="AW51">
        <v>0</v>
      </c>
      <c r="AX51" t="s">
        <v>445</v>
      </c>
      <c r="AY51">
        <v>0</v>
      </c>
      <c r="AZ51">
        <v>0</v>
      </c>
      <c r="BA51">
        <v>0</v>
      </c>
      <c r="CE51">
        <v>2.8325</v>
      </c>
      <c r="CG51" t="s">
        <v>450</v>
      </c>
      <c r="CI51">
        <v>1.7486641100579701</v>
      </c>
      <c r="CJ51">
        <v>3.1</v>
      </c>
      <c r="CK51">
        <v>2.4243320550289851</v>
      </c>
      <c r="CL51">
        <v>-0.3</v>
      </c>
      <c r="CM51">
        <v>2.1243320550289848</v>
      </c>
    </row>
    <row r="52" spans="1:91" x14ac:dyDescent="0.25">
      <c r="A52">
        <v>120</v>
      </c>
      <c r="B52" t="s">
        <v>496</v>
      </c>
      <c r="C52" t="s">
        <v>895</v>
      </c>
      <c r="D52" t="s">
        <v>1294</v>
      </c>
      <c r="E52" t="s">
        <v>396</v>
      </c>
      <c r="F52">
        <v>393830692</v>
      </c>
      <c r="G52">
        <v>710.1</v>
      </c>
      <c r="H52" t="s">
        <v>409</v>
      </c>
      <c r="I52">
        <v>279659174389.20001</v>
      </c>
      <c r="J52" t="s">
        <v>415</v>
      </c>
      <c r="K52">
        <v>522122564.220635</v>
      </c>
      <c r="L52">
        <v>1</v>
      </c>
      <c r="M52">
        <v>279659174389.20001</v>
      </c>
      <c r="N52">
        <v>107594545054.39999</v>
      </c>
      <c r="O52">
        <v>10102020</v>
      </c>
      <c r="P52">
        <v>1010</v>
      </c>
      <c r="Q52">
        <v>1.9984585218575901</v>
      </c>
      <c r="S52" t="s">
        <v>419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2.5920000000000001</v>
      </c>
      <c r="AT52">
        <v>3.641</v>
      </c>
      <c r="AU52" t="s">
        <v>420</v>
      </c>
      <c r="AV52">
        <v>1</v>
      </c>
      <c r="AW52">
        <v>0</v>
      </c>
      <c r="AX52" t="s">
        <v>445</v>
      </c>
      <c r="AY52">
        <v>0</v>
      </c>
      <c r="AZ52">
        <v>0</v>
      </c>
      <c r="BA52">
        <v>0</v>
      </c>
      <c r="CE52">
        <v>3.1164999999999998</v>
      </c>
      <c r="CG52" t="s">
        <v>450</v>
      </c>
      <c r="CI52">
        <v>1.9984585218575901</v>
      </c>
      <c r="CJ52">
        <v>3.1</v>
      </c>
      <c r="CK52">
        <v>2.549229260928795</v>
      </c>
      <c r="CL52">
        <v>-0.24</v>
      </c>
      <c r="CM52">
        <v>2.3092292609287952</v>
      </c>
    </row>
    <row r="53" spans="1:91" x14ac:dyDescent="0.25">
      <c r="A53">
        <v>122</v>
      </c>
      <c r="B53" t="s">
        <v>497</v>
      </c>
      <c r="C53" t="s">
        <v>896</v>
      </c>
      <c r="D53" t="s">
        <v>1295</v>
      </c>
      <c r="E53" t="s">
        <v>396</v>
      </c>
      <c r="F53">
        <v>211326978</v>
      </c>
      <c r="G53">
        <v>48.4</v>
      </c>
      <c r="H53" t="s">
        <v>409</v>
      </c>
      <c r="I53">
        <v>10228225735.200001</v>
      </c>
      <c r="J53" t="s">
        <v>415</v>
      </c>
      <c r="K53">
        <v>18152462.072539698</v>
      </c>
      <c r="L53">
        <v>0.65</v>
      </c>
      <c r="M53">
        <v>6648346727.8799992</v>
      </c>
      <c r="N53">
        <v>37527444753.239998</v>
      </c>
      <c r="O53">
        <v>30302010</v>
      </c>
      <c r="P53">
        <v>3030</v>
      </c>
      <c r="Q53">
        <v>3.4</v>
      </c>
      <c r="S53" t="s">
        <v>418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2.133</v>
      </c>
      <c r="AT53">
        <v>3.2040000000000002</v>
      </c>
      <c r="AU53" t="s">
        <v>430</v>
      </c>
      <c r="AV53">
        <v>0</v>
      </c>
      <c r="AW53">
        <v>0</v>
      </c>
      <c r="AX53" t="s">
        <v>445</v>
      </c>
      <c r="AY53">
        <v>0</v>
      </c>
      <c r="AZ53">
        <v>0</v>
      </c>
      <c r="BA53">
        <v>0</v>
      </c>
      <c r="CE53">
        <v>2.6684999999999999</v>
      </c>
      <c r="CG53" t="s">
        <v>450</v>
      </c>
      <c r="CI53">
        <v>3.4</v>
      </c>
      <c r="CJ53">
        <v>3.1</v>
      </c>
      <c r="CK53">
        <v>3.25</v>
      </c>
      <c r="CL53">
        <v>-0.18</v>
      </c>
      <c r="CM53">
        <v>3.07</v>
      </c>
    </row>
    <row r="54" spans="1:91" x14ac:dyDescent="0.25">
      <c r="A54">
        <v>123</v>
      </c>
      <c r="B54" t="s">
        <v>179</v>
      </c>
      <c r="C54" t="s">
        <v>279</v>
      </c>
      <c r="D54" t="s">
        <v>379</v>
      </c>
      <c r="E54" t="s">
        <v>395</v>
      </c>
      <c r="F54">
        <v>1055050400</v>
      </c>
      <c r="G54">
        <v>29.5566</v>
      </c>
      <c r="H54" t="s">
        <v>410</v>
      </c>
      <c r="I54">
        <v>31183702652.639999</v>
      </c>
      <c r="J54" t="s">
        <v>416</v>
      </c>
      <c r="K54">
        <v>42342444.337286301</v>
      </c>
      <c r="L54">
        <v>0.95</v>
      </c>
      <c r="M54">
        <v>29624517520.007999</v>
      </c>
      <c r="N54">
        <v>273827780816</v>
      </c>
      <c r="O54">
        <v>50101035</v>
      </c>
      <c r="P54">
        <v>5010</v>
      </c>
      <c r="Q54">
        <v>1.74887448110706</v>
      </c>
      <c r="R54">
        <v>1.5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1.956</v>
      </c>
      <c r="AT54">
        <v>3.0419999999999998</v>
      </c>
      <c r="AU54" t="s">
        <v>432</v>
      </c>
      <c r="AV54">
        <v>0</v>
      </c>
      <c r="AW54">
        <v>0</v>
      </c>
      <c r="AX54" t="s">
        <v>434</v>
      </c>
      <c r="AY54">
        <v>0</v>
      </c>
      <c r="AZ54">
        <v>0</v>
      </c>
      <c r="BA54">
        <v>0</v>
      </c>
      <c r="CE54">
        <v>2.4990000000000001</v>
      </c>
      <c r="CG54" t="s">
        <v>450</v>
      </c>
      <c r="CI54">
        <v>1.74887448110706</v>
      </c>
      <c r="CJ54">
        <v>1.5</v>
      </c>
      <c r="CK54">
        <v>1.6244372405535299</v>
      </c>
      <c r="CL54">
        <v>-0.18</v>
      </c>
      <c r="CM54">
        <v>1.44443724055353</v>
      </c>
    </row>
    <row r="55" spans="1:91" x14ac:dyDescent="0.25">
      <c r="A55">
        <v>124</v>
      </c>
      <c r="B55" t="s">
        <v>498</v>
      </c>
      <c r="C55" t="s">
        <v>897</v>
      </c>
      <c r="D55" t="s">
        <v>1296</v>
      </c>
      <c r="E55" t="s">
        <v>403</v>
      </c>
      <c r="F55">
        <v>728033000</v>
      </c>
      <c r="G55">
        <v>23.102900000000002</v>
      </c>
      <c r="H55" t="s">
        <v>413</v>
      </c>
      <c r="I55">
        <v>16819673595.700001</v>
      </c>
      <c r="J55" t="s">
        <v>416</v>
      </c>
      <c r="K55">
        <v>20593004.536175001</v>
      </c>
      <c r="L55">
        <v>0.4</v>
      </c>
      <c r="M55">
        <v>6727869438.2800007</v>
      </c>
      <c r="N55">
        <v>79559446240</v>
      </c>
      <c r="O55">
        <v>45102020</v>
      </c>
      <c r="P55">
        <v>4510</v>
      </c>
      <c r="Q55">
        <v>2.3866666666666601</v>
      </c>
      <c r="R55">
        <v>2.08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2.008</v>
      </c>
      <c r="AT55">
        <v>2.8860000000000001</v>
      </c>
      <c r="AU55" t="s">
        <v>431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2.4470000000000001</v>
      </c>
      <c r="CG55" t="s">
        <v>450</v>
      </c>
      <c r="CI55">
        <v>2.3866666666666601</v>
      </c>
      <c r="CJ55">
        <v>2.08</v>
      </c>
      <c r="CK55">
        <v>2.2333333333333298</v>
      </c>
      <c r="CL55">
        <v>-0.18</v>
      </c>
      <c r="CM55">
        <v>2.0533333333333301</v>
      </c>
    </row>
    <row r="56" spans="1:91" x14ac:dyDescent="0.25">
      <c r="A56">
        <v>126</v>
      </c>
      <c r="B56" t="s">
        <v>119</v>
      </c>
      <c r="C56" t="s">
        <v>219</v>
      </c>
      <c r="D56" t="s">
        <v>319</v>
      </c>
      <c r="E56" t="s">
        <v>403</v>
      </c>
      <c r="F56">
        <v>1550581200</v>
      </c>
      <c r="G56">
        <v>141.54310000000001</v>
      </c>
      <c r="H56" t="s">
        <v>413</v>
      </c>
      <c r="I56">
        <v>219474069849.72</v>
      </c>
      <c r="J56" t="s">
        <v>416</v>
      </c>
      <c r="K56">
        <v>175769656.35404101</v>
      </c>
      <c r="L56">
        <v>1</v>
      </c>
      <c r="M56">
        <v>219474069849.72</v>
      </c>
      <c r="N56">
        <v>423618783840</v>
      </c>
      <c r="O56">
        <v>20103015</v>
      </c>
      <c r="P56">
        <v>2010</v>
      </c>
      <c r="Q56">
        <v>1.74009250374075</v>
      </c>
      <c r="R56">
        <v>1.5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2.7770000000000001</v>
      </c>
      <c r="AT56">
        <v>2.399</v>
      </c>
      <c r="AU56" t="s">
        <v>420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2.5880000000000001</v>
      </c>
      <c r="CG56" t="s">
        <v>450</v>
      </c>
      <c r="CI56">
        <v>1.74009250374075</v>
      </c>
      <c r="CJ56">
        <v>1.5</v>
      </c>
      <c r="CK56">
        <v>1.6200462518703751</v>
      </c>
      <c r="CL56">
        <v>-0.3</v>
      </c>
      <c r="CM56">
        <v>1.3200462518703751</v>
      </c>
    </row>
    <row r="57" spans="1:91" x14ac:dyDescent="0.25">
      <c r="A57">
        <v>130</v>
      </c>
      <c r="B57" t="s">
        <v>499</v>
      </c>
      <c r="C57" t="s">
        <v>898</v>
      </c>
      <c r="D57" t="s">
        <v>1297</v>
      </c>
      <c r="E57" t="s">
        <v>395</v>
      </c>
      <c r="F57">
        <v>3357576400</v>
      </c>
      <c r="G57">
        <v>16.707080000000001</v>
      </c>
      <c r="H57" t="s">
        <v>410</v>
      </c>
      <c r="I57">
        <v>56095297520.912003</v>
      </c>
      <c r="J57" t="s">
        <v>416</v>
      </c>
      <c r="K57">
        <v>64764648.862512402</v>
      </c>
      <c r="L57">
        <v>0.75</v>
      </c>
      <c r="M57">
        <v>42071473140.684013</v>
      </c>
      <c r="N57">
        <v>687967404360</v>
      </c>
      <c r="O57">
        <v>50204020</v>
      </c>
      <c r="P57">
        <v>5020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0.05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N57" t="s">
        <v>1653</v>
      </c>
      <c r="AO57">
        <v>0.01</v>
      </c>
      <c r="AP57">
        <v>0</v>
      </c>
      <c r="AQ57">
        <v>0</v>
      </c>
      <c r="AR57">
        <v>0</v>
      </c>
      <c r="AS57">
        <v>2.6269999999999998</v>
      </c>
      <c r="AT57">
        <v>3.0139999999999998</v>
      </c>
      <c r="AU57" t="s">
        <v>420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1670</v>
      </c>
      <c r="CH57" t="s">
        <v>1672</v>
      </c>
      <c r="CI57">
        <v>3.4</v>
      </c>
      <c r="CJ57">
        <v>3.1</v>
      </c>
      <c r="CK57">
        <v>3.25</v>
      </c>
      <c r="CL57">
        <v>-0.18</v>
      </c>
      <c r="CM57">
        <v>3.07</v>
      </c>
    </row>
    <row r="58" spans="1:91" x14ac:dyDescent="0.25">
      <c r="A58">
        <v>136</v>
      </c>
      <c r="B58" t="s">
        <v>500</v>
      </c>
      <c r="C58" t="s">
        <v>899</v>
      </c>
      <c r="D58" t="s">
        <v>1298</v>
      </c>
      <c r="E58" t="s">
        <v>403</v>
      </c>
      <c r="F58">
        <v>882395300</v>
      </c>
      <c r="G58">
        <v>9.3378759999999996</v>
      </c>
      <c r="H58" t="s">
        <v>413</v>
      </c>
      <c r="I58">
        <v>8239697894.3828001</v>
      </c>
      <c r="J58" t="s">
        <v>416</v>
      </c>
      <c r="K58">
        <v>16195575.448846901</v>
      </c>
      <c r="L58">
        <v>1</v>
      </c>
      <c r="M58">
        <v>8239697894.3828001</v>
      </c>
      <c r="N58">
        <v>241070395960</v>
      </c>
      <c r="O58">
        <v>10101020</v>
      </c>
      <c r="P58">
        <v>1010</v>
      </c>
      <c r="Q58">
        <v>1.74882941432336</v>
      </c>
      <c r="S58" t="s">
        <v>420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1.909</v>
      </c>
      <c r="AT58">
        <v>2.2320000000000002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1670</v>
      </c>
      <c r="CH58" t="s">
        <v>83</v>
      </c>
      <c r="CI58">
        <v>1.74882941432336</v>
      </c>
      <c r="CJ58">
        <v>3.1</v>
      </c>
      <c r="CK58">
        <v>2.4244147071616799</v>
      </c>
      <c r="CL58">
        <v>0</v>
      </c>
      <c r="CM58">
        <v>2.4244147071616799</v>
      </c>
    </row>
    <row r="59" spans="1:91" x14ac:dyDescent="0.25">
      <c r="A59">
        <v>142</v>
      </c>
      <c r="B59" t="s">
        <v>501</v>
      </c>
      <c r="C59" t="s">
        <v>900</v>
      </c>
      <c r="D59" t="s">
        <v>1299</v>
      </c>
      <c r="E59" t="s">
        <v>395</v>
      </c>
      <c r="F59">
        <v>157236950</v>
      </c>
      <c r="G59">
        <v>30.078130000000002</v>
      </c>
      <c r="H59" t="s">
        <v>410</v>
      </c>
      <c r="I59">
        <v>4729393422.9035006</v>
      </c>
      <c r="J59" t="s">
        <v>416</v>
      </c>
      <c r="K59">
        <v>8967483.0466652308</v>
      </c>
      <c r="L59">
        <v>0.75</v>
      </c>
      <c r="M59">
        <v>3547045067.1776261</v>
      </c>
      <c r="N59">
        <v>3209992334.25</v>
      </c>
      <c r="O59">
        <v>30101010</v>
      </c>
      <c r="P59">
        <v>3010</v>
      </c>
      <c r="Q59">
        <v>1.9434610102243199</v>
      </c>
      <c r="S59" t="s">
        <v>424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2.1560000000000001</v>
      </c>
      <c r="AT59">
        <v>2.677</v>
      </c>
      <c r="AU59" t="s">
        <v>430</v>
      </c>
      <c r="AV59">
        <v>0</v>
      </c>
      <c r="AW59">
        <v>0</v>
      </c>
      <c r="AX59" t="s">
        <v>434</v>
      </c>
      <c r="AY59">
        <v>0</v>
      </c>
      <c r="AZ59">
        <v>0</v>
      </c>
      <c r="BA59">
        <v>0</v>
      </c>
      <c r="CE59">
        <v>2.4165000000000001</v>
      </c>
      <c r="CG59" t="s">
        <v>450</v>
      </c>
      <c r="CI59">
        <v>1.9434610102243199</v>
      </c>
      <c r="CJ59">
        <v>3.1</v>
      </c>
      <c r="CK59">
        <v>2.5217305051121599</v>
      </c>
      <c r="CL59">
        <v>0.3</v>
      </c>
      <c r="CM59">
        <v>2.8217305051121602</v>
      </c>
    </row>
    <row r="60" spans="1:91" x14ac:dyDescent="0.25">
      <c r="A60">
        <v>143</v>
      </c>
      <c r="B60" t="s">
        <v>150</v>
      </c>
      <c r="C60" t="s">
        <v>250</v>
      </c>
      <c r="D60" t="s">
        <v>350</v>
      </c>
      <c r="E60" t="s">
        <v>403</v>
      </c>
      <c r="F60">
        <v>2677649400</v>
      </c>
      <c r="G60">
        <v>6.0277909999999997</v>
      </c>
      <c r="H60" t="s">
        <v>413</v>
      </c>
      <c r="I60">
        <v>16140310954.475401</v>
      </c>
      <c r="J60" t="s">
        <v>416</v>
      </c>
      <c r="K60">
        <v>29758651.104662601</v>
      </c>
      <c r="L60">
        <v>1</v>
      </c>
      <c r="M60">
        <v>16140310954.475401</v>
      </c>
      <c r="N60">
        <v>72885616668</v>
      </c>
      <c r="O60">
        <v>30301010</v>
      </c>
      <c r="P60">
        <v>3030</v>
      </c>
      <c r="Q60">
        <v>1.9994209635284099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2.2200000000000002</v>
      </c>
      <c r="AT60">
        <v>3.3250000000000002</v>
      </c>
      <c r="AU60" t="s">
        <v>430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450</v>
      </c>
      <c r="CI60">
        <v>1.9994209635284099</v>
      </c>
      <c r="CJ60">
        <v>3.1</v>
      </c>
      <c r="CK60">
        <v>2.5497104817642051</v>
      </c>
      <c r="CL60">
        <v>-0.18</v>
      </c>
      <c r="CM60">
        <v>2.369710481764205</v>
      </c>
    </row>
    <row r="61" spans="1:91" x14ac:dyDescent="0.25">
      <c r="A61">
        <v>144</v>
      </c>
      <c r="B61" t="s">
        <v>502</v>
      </c>
      <c r="C61" t="s">
        <v>901</v>
      </c>
      <c r="D61" t="s">
        <v>1300</v>
      </c>
      <c r="E61" t="s">
        <v>406</v>
      </c>
      <c r="F61">
        <v>146509670</v>
      </c>
      <c r="G61">
        <v>43.275799999999997</v>
      </c>
      <c r="H61" t="s">
        <v>414</v>
      </c>
      <c r="I61">
        <v>6340323176.9859991</v>
      </c>
      <c r="J61" t="s">
        <v>416</v>
      </c>
      <c r="K61">
        <v>12545870.2273711</v>
      </c>
      <c r="L61">
        <v>0.65</v>
      </c>
      <c r="M61">
        <v>4121210065.0409002</v>
      </c>
      <c r="N61">
        <v>2592195591.3099999</v>
      </c>
      <c r="O61">
        <v>40401030</v>
      </c>
      <c r="P61">
        <v>4040</v>
      </c>
      <c r="Q61">
        <v>1.9665679700218801</v>
      </c>
      <c r="S61" t="s">
        <v>424</v>
      </c>
      <c r="T61" t="s">
        <v>422</v>
      </c>
      <c r="U61">
        <v>0</v>
      </c>
      <c r="V61">
        <v>0.108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1.827</v>
      </c>
      <c r="AT61">
        <v>2.641</v>
      </c>
      <c r="AU61" t="s">
        <v>431</v>
      </c>
      <c r="AV61">
        <v>1</v>
      </c>
      <c r="AW61">
        <v>0</v>
      </c>
      <c r="AX61" t="s">
        <v>446</v>
      </c>
      <c r="AY61">
        <v>0</v>
      </c>
      <c r="AZ61">
        <v>0</v>
      </c>
      <c r="BA61">
        <v>0</v>
      </c>
      <c r="BH61" t="s">
        <v>1669</v>
      </c>
      <c r="CE61">
        <v>2.234</v>
      </c>
      <c r="CG61" t="s">
        <v>1670</v>
      </c>
      <c r="CH61" t="s">
        <v>1669</v>
      </c>
      <c r="CI61">
        <v>1.9665679700218801</v>
      </c>
      <c r="CJ61">
        <v>3.1</v>
      </c>
      <c r="CK61">
        <v>2.5332839850109399</v>
      </c>
      <c r="CL61">
        <v>0.3</v>
      </c>
      <c r="CM61">
        <v>2.8332839850109401</v>
      </c>
    </row>
    <row r="62" spans="1:91" x14ac:dyDescent="0.25">
      <c r="A62">
        <v>145</v>
      </c>
      <c r="B62" t="s">
        <v>151</v>
      </c>
      <c r="C62" t="s">
        <v>251</v>
      </c>
      <c r="D62" t="s">
        <v>351</v>
      </c>
      <c r="E62" t="s">
        <v>394</v>
      </c>
      <c r="F62">
        <v>2214797873</v>
      </c>
      <c r="G62">
        <v>36.979999999999997</v>
      </c>
      <c r="H62" t="s">
        <v>409</v>
      </c>
      <c r="I62">
        <v>81903225343.539993</v>
      </c>
      <c r="J62" t="s">
        <v>415</v>
      </c>
      <c r="K62">
        <v>141293081.09468201</v>
      </c>
      <c r="L62">
        <v>0.85000000000000009</v>
      </c>
      <c r="M62">
        <v>69617741542.009003</v>
      </c>
      <c r="N62">
        <v>51243778387.601013</v>
      </c>
      <c r="O62">
        <v>30302010</v>
      </c>
      <c r="P62">
        <v>3030</v>
      </c>
      <c r="Q62">
        <v>3.2733333333333299</v>
      </c>
      <c r="R62">
        <v>1.5</v>
      </c>
      <c r="S62" t="s">
        <v>420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2.3420000000000001</v>
      </c>
      <c r="AT62">
        <v>2.6240000000000001</v>
      </c>
      <c r="AU62" t="s">
        <v>430</v>
      </c>
      <c r="AV62">
        <v>0</v>
      </c>
      <c r="AW62">
        <v>0</v>
      </c>
      <c r="AX62" t="s">
        <v>433</v>
      </c>
      <c r="AY62">
        <v>0</v>
      </c>
      <c r="AZ62">
        <v>0</v>
      </c>
      <c r="BA62">
        <v>0</v>
      </c>
      <c r="CE62">
        <v>2.4830000000000001</v>
      </c>
      <c r="CG62" t="s">
        <v>450</v>
      </c>
      <c r="CI62">
        <v>3.2733333333333299</v>
      </c>
      <c r="CJ62">
        <v>1.5</v>
      </c>
      <c r="CK62">
        <v>2.3866666666666649</v>
      </c>
      <c r="CL62">
        <v>0</v>
      </c>
      <c r="CM62">
        <v>2.3866666666666649</v>
      </c>
    </row>
    <row r="63" spans="1:91" x14ac:dyDescent="0.25">
      <c r="A63">
        <v>148</v>
      </c>
      <c r="B63" t="s">
        <v>503</v>
      </c>
      <c r="C63" t="s">
        <v>902</v>
      </c>
      <c r="D63" t="s">
        <v>1301</v>
      </c>
      <c r="E63" t="s">
        <v>407</v>
      </c>
      <c r="F63">
        <v>243921719</v>
      </c>
      <c r="G63">
        <v>20.420000000000002</v>
      </c>
      <c r="H63" t="s">
        <v>409</v>
      </c>
      <c r="I63">
        <v>4980881501.9799995</v>
      </c>
      <c r="J63" t="s">
        <v>415</v>
      </c>
      <c r="K63">
        <v>5317765.4685714301</v>
      </c>
      <c r="L63">
        <v>0.65</v>
      </c>
      <c r="M63">
        <v>3237572976.2870011</v>
      </c>
      <c r="N63">
        <v>4315706974.2670002</v>
      </c>
      <c r="O63">
        <v>55201000</v>
      </c>
      <c r="P63">
        <v>5520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0.01</v>
      </c>
      <c r="AF63">
        <v>0</v>
      </c>
      <c r="AH63">
        <v>0</v>
      </c>
      <c r="AI63" t="s">
        <v>424</v>
      </c>
      <c r="AJ63" t="s">
        <v>1653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2.08</v>
      </c>
      <c r="AT63">
        <v>2.8929999999999998</v>
      </c>
      <c r="AU63" t="s">
        <v>431</v>
      </c>
      <c r="AV63">
        <v>1</v>
      </c>
      <c r="AW63">
        <v>0</v>
      </c>
      <c r="AX63" t="s">
        <v>447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2.4864999999999999</v>
      </c>
      <c r="CG63" t="s">
        <v>1670</v>
      </c>
      <c r="CH63" t="s">
        <v>1684</v>
      </c>
      <c r="CI63">
        <v>3.4</v>
      </c>
      <c r="CJ63">
        <v>3.1</v>
      </c>
      <c r="CK63">
        <v>3.25</v>
      </c>
      <c r="CL63">
        <v>-0.18</v>
      </c>
      <c r="CM63">
        <v>3.07</v>
      </c>
    </row>
    <row r="64" spans="1:91" x14ac:dyDescent="0.25">
      <c r="A64">
        <v>149</v>
      </c>
      <c r="B64" t="s">
        <v>504</v>
      </c>
      <c r="C64" t="s">
        <v>903</v>
      </c>
      <c r="D64" t="s">
        <v>1302</v>
      </c>
      <c r="E64" t="s">
        <v>404</v>
      </c>
      <c r="F64">
        <v>143254497</v>
      </c>
      <c r="G64">
        <v>25.91</v>
      </c>
      <c r="H64" t="s">
        <v>409</v>
      </c>
      <c r="I64">
        <v>3711724017.27</v>
      </c>
      <c r="J64" t="s">
        <v>415</v>
      </c>
      <c r="K64">
        <v>17658868.7832787</v>
      </c>
      <c r="L64">
        <v>0.8</v>
      </c>
      <c r="M64">
        <v>2969379213.816</v>
      </c>
      <c r="N64">
        <v>3119509926.6719999</v>
      </c>
      <c r="O64">
        <v>30202010</v>
      </c>
      <c r="P64">
        <v>3020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1.663</v>
      </c>
      <c r="AT64">
        <v>2.262</v>
      </c>
      <c r="AU64" t="s">
        <v>430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1.9624999999999999</v>
      </c>
      <c r="CF64" t="s">
        <v>83</v>
      </c>
      <c r="CG64" t="s">
        <v>1670</v>
      </c>
      <c r="CH64" t="s">
        <v>83</v>
      </c>
      <c r="CI64">
        <v>3.4</v>
      </c>
      <c r="CJ64">
        <v>3.1</v>
      </c>
      <c r="CK64">
        <v>3.25</v>
      </c>
      <c r="CL64">
        <v>0</v>
      </c>
      <c r="CM64">
        <v>3.25</v>
      </c>
    </row>
    <row r="65" spans="1:91" x14ac:dyDescent="0.25">
      <c r="A65">
        <v>150</v>
      </c>
      <c r="B65" t="s">
        <v>505</v>
      </c>
      <c r="C65" t="s">
        <v>904</v>
      </c>
      <c r="D65" t="s">
        <v>1303</v>
      </c>
      <c r="E65" t="s">
        <v>403</v>
      </c>
      <c r="F65">
        <v>1003783940</v>
      </c>
      <c r="G65">
        <v>3.5168149999999998</v>
      </c>
      <c r="H65" t="s">
        <v>413</v>
      </c>
      <c r="I65">
        <v>3530122416.9510999</v>
      </c>
      <c r="J65" t="s">
        <v>416</v>
      </c>
      <c r="K65">
        <v>13037440.7525615</v>
      </c>
      <c r="L65">
        <v>1</v>
      </c>
      <c r="M65">
        <v>3530122416.9510999</v>
      </c>
      <c r="N65">
        <v>27322998846.799999</v>
      </c>
      <c r="O65">
        <v>40401010</v>
      </c>
      <c r="P65">
        <v>4040</v>
      </c>
      <c r="Q65">
        <v>1.98373914379092</v>
      </c>
      <c r="S65" t="s">
        <v>418</v>
      </c>
      <c r="T65" t="s">
        <v>422</v>
      </c>
      <c r="U65">
        <v>0</v>
      </c>
      <c r="V65">
        <v>0.01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1.7050000000000001</v>
      </c>
      <c r="AT65">
        <v>2.0649999999999999</v>
      </c>
      <c r="AU65" t="s">
        <v>431</v>
      </c>
      <c r="AV65">
        <v>1</v>
      </c>
      <c r="AW65">
        <v>0</v>
      </c>
      <c r="AX65" t="s">
        <v>435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1670</v>
      </c>
      <c r="CH65" t="s">
        <v>83</v>
      </c>
      <c r="CI65">
        <v>1.98373914379092</v>
      </c>
      <c r="CJ65">
        <v>3.1</v>
      </c>
      <c r="CK65">
        <v>2.54186957189546</v>
      </c>
      <c r="CL65">
        <v>-0.18</v>
      </c>
      <c r="CM65">
        <v>2.3618695718954599</v>
      </c>
    </row>
    <row r="66" spans="1:91" x14ac:dyDescent="0.25">
      <c r="A66">
        <v>151</v>
      </c>
      <c r="B66" t="s">
        <v>506</v>
      </c>
      <c r="C66" t="s">
        <v>905</v>
      </c>
      <c r="D66" t="s">
        <v>1304</v>
      </c>
      <c r="E66" t="s">
        <v>408</v>
      </c>
      <c r="F66">
        <v>15113989952</v>
      </c>
      <c r="G66">
        <v>0.54979999999999996</v>
      </c>
      <c r="H66" t="s">
        <v>409</v>
      </c>
      <c r="I66">
        <v>8309671675.6095991</v>
      </c>
      <c r="J66" t="s">
        <v>415</v>
      </c>
      <c r="K66">
        <v>29346586.367082499</v>
      </c>
      <c r="L66">
        <v>0.60000000000000009</v>
      </c>
      <c r="M66">
        <v>4985803005.3657598</v>
      </c>
      <c r="N66">
        <v>246841683896.064</v>
      </c>
      <c r="O66">
        <v>30101010</v>
      </c>
      <c r="P66">
        <v>3010</v>
      </c>
      <c r="Q66">
        <v>3.4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2.1379999999999999</v>
      </c>
      <c r="AT66">
        <v>2.69</v>
      </c>
      <c r="AU66" t="s">
        <v>430</v>
      </c>
      <c r="AV66">
        <v>0</v>
      </c>
      <c r="AW66">
        <v>0</v>
      </c>
      <c r="AX66" t="s">
        <v>449</v>
      </c>
      <c r="AY66">
        <v>0</v>
      </c>
      <c r="AZ66">
        <v>0</v>
      </c>
      <c r="BA66">
        <v>0</v>
      </c>
      <c r="CE66">
        <v>2.4140000000000001</v>
      </c>
      <c r="CG66" t="s">
        <v>450</v>
      </c>
      <c r="CI66">
        <v>3.4</v>
      </c>
      <c r="CJ66">
        <v>3.1</v>
      </c>
      <c r="CK66">
        <v>3.25</v>
      </c>
      <c r="CL66">
        <v>-0.18</v>
      </c>
      <c r="CM66">
        <v>3.07</v>
      </c>
    </row>
    <row r="67" spans="1:91" x14ac:dyDescent="0.25">
      <c r="A67">
        <v>152</v>
      </c>
      <c r="B67" t="s">
        <v>507</v>
      </c>
      <c r="C67" t="s">
        <v>906</v>
      </c>
      <c r="D67" t="s">
        <v>1305</v>
      </c>
      <c r="E67" t="s">
        <v>403</v>
      </c>
      <c r="F67">
        <v>505596600</v>
      </c>
      <c r="G67">
        <v>7.7372360000000002</v>
      </c>
      <c r="H67" t="s">
        <v>413</v>
      </c>
      <c r="I67">
        <v>3911920214.9976001</v>
      </c>
      <c r="J67" t="s">
        <v>416</v>
      </c>
      <c r="K67">
        <v>4235082.40176001</v>
      </c>
      <c r="L67">
        <v>0.9</v>
      </c>
      <c r="M67">
        <v>3520728193.4978399</v>
      </c>
      <c r="N67">
        <v>12386105506.799999</v>
      </c>
      <c r="O67">
        <v>50201020</v>
      </c>
      <c r="P67">
        <v>5020</v>
      </c>
      <c r="S67" t="s">
        <v>420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1651</v>
      </c>
      <c r="AA67" t="s">
        <v>423</v>
      </c>
      <c r="AB67" t="s">
        <v>422</v>
      </c>
      <c r="AC67" t="s">
        <v>422</v>
      </c>
      <c r="AD67">
        <v>0</v>
      </c>
      <c r="AE67">
        <v>0.05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N67" t="s">
        <v>1653</v>
      </c>
      <c r="AO67">
        <v>4.2000000000000003E-2</v>
      </c>
      <c r="AP67">
        <v>0</v>
      </c>
      <c r="AQ67">
        <v>0</v>
      </c>
      <c r="AR67">
        <v>0</v>
      </c>
      <c r="AS67">
        <v>2.1989999999999998</v>
      </c>
      <c r="AT67">
        <v>2.8420000000000001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1664</v>
      </c>
      <c r="BK67" t="s">
        <v>62</v>
      </c>
      <c r="BM67" t="s">
        <v>64</v>
      </c>
      <c r="BQ67" t="s">
        <v>68</v>
      </c>
      <c r="BZ67" t="s">
        <v>77</v>
      </c>
      <c r="CE67">
        <v>2.5205000000000002</v>
      </c>
      <c r="CG67" t="s">
        <v>1670</v>
      </c>
      <c r="CH67" t="s">
        <v>1685</v>
      </c>
      <c r="CI67">
        <v>3.4</v>
      </c>
      <c r="CJ67">
        <v>3.1</v>
      </c>
      <c r="CK67">
        <v>3.25</v>
      </c>
      <c r="CL67">
        <v>0</v>
      </c>
      <c r="CM67">
        <v>3.25</v>
      </c>
    </row>
    <row r="68" spans="1:91" x14ac:dyDescent="0.25">
      <c r="A68">
        <v>153</v>
      </c>
      <c r="B68" t="s">
        <v>508</v>
      </c>
      <c r="C68" t="s">
        <v>907</v>
      </c>
      <c r="D68" t="s">
        <v>1306</v>
      </c>
      <c r="E68" t="s">
        <v>403</v>
      </c>
      <c r="F68">
        <v>3007100600</v>
      </c>
      <c r="G68">
        <v>15.178280000000001</v>
      </c>
      <c r="H68" t="s">
        <v>413</v>
      </c>
      <c r="I68">
        <v>45642614894.968002</v>
      </c>
      <c r="J68" t="s">
        <v>416</v>
      </c>
      <c r="K68">
        <v>74698924.269767806</v>
      </c>
      <c r="L68">
        <v>1</v>
      </c>
      <c r="M68">
        <v>45642614894.968002</v>
      </c>
      <c r="N68">
        <v>81853278332</v>
      </c>
      <c r="O68">
        <v>50201020</v>
      </c>
      <c r="P68">
        <v>5020</v>
      </c>
      <c r="Q68">
        <v>1.7487774131171401</v>
      </c>
      <c r="R68">
        <v>1.5</v>
      </c>
      <c r="S68" t="s">
        <v>418</v>
      </c>
      <c r="T68" t="s">
        <v>423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1651</v>
      </c>
      <c r="AA68" t="s">
        <v>423</v>
      </c>
      <c r="AB68" t="s">
        <v>423</v>
      </c>
      <c r="AC68" t="s">
        <v>423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1.8009999999999999</v>
      </c>
      <c r="AT68">
        <v>3.18</v>
      </c>
      <c r="AU68" t="s">
        <v>420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1664</v>
      </c>
      <c r="BK68" t="s">
        <v>62</v>
      </c>
      <c r="BM68" t="s">
        <v>64</v>
      </c>
      <c r="BN68" t="s">
        <v>65</v>
      </c>
      <c r="BO68" t="s">
        <v>66</v>
      </c>
      <c r="CE68">
        <v>2.4904999999999999</v>
      </c>
      <c r="CG68" t="s">
        <v>1670</v>
      </c>
      <c r="CH68" t="s">
        <v>1686</v>
      </c>
      <c r="CI68">
        <v>1.7487774131171401</v>
      </c>
      <c r="CJ68">
        <v>1.5</v>
      </c>
      <c r="CK68">
        <v>1.62438870655857</v>
      </c>
      <c r="CL68">
        <v>-0.18</v>
      </c>
      <c r="CM68">
        <v>1.4443887065585701</v>
      </c>
    </row>
    <row r="69" spans="1:91" x14ac:dyDescent="0.25">
      <c r="A69">
        <v>155</v>
      </c>
      <c r="B69" t="s">
        <v>509</v>
      </c>
      <c r="C69" t="s">
        <v>908</v>
      </c>
      <c r="D69" t="s">
        <v>1307</v>
      </c>
      <c r="E69" t="s">
        <v>406</v>
      </c>
      <c r="F69">
        <v>45800000</v>
      </c>
      <c r="G69">
        <v>178.20699999999999</v>
      </c>
      <c r="H69" t="s">
        <v>414</v>
      </c>
      <c r="I69">
        <v>8161880600</v>
      </c>
      <c r="J69" t="s">
        <v>416</v>
      </c>
      <c r="K69">
        <v>12889251.209706601</v>
      </c>
      <c r="L69">
        <v>0.95</v>
      </c>
      <c r="M69">
        <v>7753786570</v>
      </c>
      <c r="N69">
        <v>1184342200</v>
      </c>
      <c r="O69">
        <v>30302010</v>
      </c>
      <c r="P69">
        <v>3030</v>
      </c>
      <c r="Q69">
        <v>3.4</v>
      </c>
      <c r="S69" t="s">
        <v>420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1.931</v>
      </c>
      <c r="AT69">
        <v>2.6989999999999998</v>
      </c>
      <c r="AU69" t="s">
        <v>430</v>
      </c>
      <c r="AV69">
        <v>0</v>
      </c>
      <c r="AW69">
        <v>0</v>
      </c>
      <c r="AX69" t="s">
        <v>446</v>
      </c>
      <c r="AY69">
        <v>0</v>
      </c>
      <c r="AZ69">
        <v>0</v>
      </c>
      <c r="BA69">
        <v>0</v>
      </c>
      <c r="CE69">
        <v>2.3149999999999999</v>
      </c>
      <c r="CG69" t="s">
        <v>450</v>
      </c>
      <c r="CI69">
        <v>3.4</v>
      </c>
      <c r="CJ69">
        <v>3.1</v>
      </c>
      <c r="CK69">
        <v>3.25</v>
      </c>
      <c r="CL69">
        <v>0</v>
      </c>
      <c r="CM69">
        <v>3.25</v>
      </c>
    </row>
    <row r="70" spans="1:91" x14ac:dyDescent="0.25">
      <c r="A70">
        <v>157</v>
      </c>
      <c r="B70" t="s">
        <v>510</v>
      </c>
      <c r="C70" t="s">
        <v>909</v>
      </c>
      <c r="D70" t="s">
        <v>1308</v>
      </c>
      <c r="E70" t="s">
        <v>404</v>
      </c>
      <c r="F70">
        <v>745343391</v>
      </c>
      <c r="G70">
        <v>13.54</v>
      </c>
      <c r="H70" t="s">
        <v>409</v>
      </c>
      <c r="I70">
        <v>10091949514.139999</v>
      </c>
      <c r="J70" t="s">
        <v>415</v>
      </c>
      <c r="K70">
        <v>13825196.131885201</v>
      </c>
      <c r="L70">
        <v>0.3</v>
      </c>
      <c r="M70">
        <v>3027584854.2420001</v>
      </c>
      <c r="N70">
        <v>6086474130.9060011</v>
      </c>
      <c r="O70">
        <v>30202000</v>
      </c>
      <c r="P70">
        <v>3020</v>
      </c>
      <c r="Q70">
        <v>3.4</v>
      </c>
      <c r="S70" t="s">
        <v>420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2.23</v>
      </c>
      <c r="AT70">
        <v>2.9359999999999999</v>
      </c>
      <c r="AU70" t="s">
        <v>430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2.5830000000000002</v>
      </c>
      <c r="CG70" t="s">
        <v>450</v>
      </c>
      <c r="CI70">
        <v>3.4</v>
      </c>
      <c r="CJ70">
        <v>3.1</v>
      </c>
      <c r="CK70">
        <v>3.25</v>
      </c>
      <c r="CL70">
        <v>0</v>
      </c>
      <c r="CM70">
        <v>3.25</v>
      </c>
    </row>
    <row r="71" spans="1:91" x14ac:dyDescent="0.25">
      <c r="A71">
        <v>158</v>
      </c>
      <c r="B71" t="s">
        <v>511</v>
      </c>
      <c r="C71" t="s">
        <v>910</v>
      </c>
      <c r="D71" t="s">
        <v>1309</v>
      </c>
      <c r="E71" t="s">
        <v>404</v>
      </c>
      <c r="F71">
        <v>1259689706</v>
      </c>
      <c r="G71">
        <v>6.43</v>
      </c>
      <c r="H71" t="s">
        <v>409</v>
      </c>
      <c r="I71">
        <v>8099804809.5799999</v>
      </c>
      <c r="J71" t="s">
        <v>415</v>
      </c>
      <c r="K71">
        <v>101530512.28059</v>
      </c>
      <c r="L71">
        <v>0.70000000000000007</v>
      </c>
      <c r="M71">
        <v>5669863366.7060003</v>
      </c>
      <c r="N71">
        <v>24002127658.124001</v>
      </c>
      <c r="O71">
        <v>30101010</v>
      </c>
      <c r="P71">
        <v>3010</v>
      </c>
      <c r="Q71">
        <v>3.4</v>
      </c>
      <c r="S71" t="s">
        <v>424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2.1349999999999998</v>
      </c>
      <c r="AT71">
        <v>2.6760000000000002</v>
      </c>
      <c r="AU71" t="s">
        <v>430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450</v>
      </c>
      <c r="CI71">
        <v>3.4</v>
      </c>
      <c r="CJ71">
        <v>3.1</v>
      </c>
      <c r="CK71">
        <v>3.25</v>
      </c>
      <c r="CL71">
        <v>0.3</v>
      </c>
      <c r="CM71">
        <v>3.55</v>
      </c>
    </row>
    <row r="72" spans="1:91" x14ac:dyDescent="0.25">
      <c r="A72">
        <v>159</v>
      </c>
      <c r="B72" t="s">
        <v>512</v>
      </c>
      <c r="C72" t="s">
        <v>911</v>
      </c>
      <c r="D72" t="s">
        <v>1310</v>
      </c>
      <c r="E72" t="s">
        <v>404</v>
      </c>
      <c r="F72">
        <v>1515182126</v>
      </c>
      <c r="G72">
        <v>9.0960000000000001</v>
      </c>
      <c r="H72" t="s">
        <v>409</v>
      </c>
      <c r="I72">
        <v>13782096618.096001</v>
      </c>
      <c r="J72" t="s">
        <v>415</v>
      </c>
      <c r="K72">
        <v>107595421.248656</v>
      </c>
      <c r="L72">
        <v>0.8</v>
      </c>
      <c r="M72">
        <v>11025677294.476801</v>
      </c>
      <c r="N72">
        <v>32994605975.776001</v>
      </c>
      <c r="O72">
        <v>30101010</v>
      </c>
      <c r="P72">
        <v>3010</v>
      </c>
      <c r="Q72">
        <v>3.4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2.3959999999999999</v>
      </c>
      <c r="AT72">
        <v>2.5619999999999998</v>
      </c>
      <c r="AU72" t="s">
        <v>430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2.4790000000000001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 x14ac:dyDescent="0.25">
      <c r="A73">
        <v>160</v>
      </c>
      <c r="B73" t="s">
        <v>513</v>
      </c>
      <c r="C73" t="s">
        <v>912</v>
      </c>
      <c r="D73" t="s">
        <v>1311</v>
      </c>
      <c r="E73" t="s">
        <v>401</v>
      </c>
      <c r="F73">
        <v>5440221700</v>
      </c>
      <c r="G73">
        <v>2.52</v>
      </c>
      <c r="H73" t="s">
        <v>409</v>
      </c>
      <c r="I73">
        <v>13709358684</v>
      </c>
      <c r="J73" t="s">
        <v>415</v>
      </c>
      <c r="K73">
        <v>27278072.916000001</v>
      </c>
      <c r="L73">
        <v>1</v>
      </c>
      <c r="M73">
        <v>13709358684</v>
      </c>
      <c r="N73">
        <v>148082834674</v>
      </c>
      <c r="O73">
        <v>30101010</v>
      </c>
      <c r="P73">
        <v>3010</v>
      </c>
      <c r="Q73">
        <v>3.06327446033775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2.6110000000000002</v>
      </c>
      <c r="AT73">
        <v>3.254</v>
      </c>
      <c r="AU73" t="s">
        <v>430</v>
      </c>
      <c r="AV73">
        <v>0</v>
      </c>
      <c r="AW73">
        <v>0</v>
      </c>
      <c r="AX73" t="s">
        <v>440</v>
      </c>
      <c r="AY73">
        <v>0</v>
      </c>
      <c r="AZ73">
        <v>0</v>
      </c>
      <c r="BA73">
        <v>0</v>
      </c>
      <c r="CE73">
        <v>2.9325000000000001</v>
      </c>
      <c r="CG73" t="s">
        <v>450</v>
      </c>
      <c r="CI73">
        <v>3.06327446033775</v>
      </c>
      <c r="CJ73">
        <v>3.1</v>
      </c>
      <c r="CK73">
        <v>3.0816372301688748</v>
      </c>
      <c r="CL73">
        <v>-0.18</v>
      </c>
      <c r="CM73">
        <v>2.9016372301688751</v>
      </c>
    </row>
    <row r="74" spans="1:91" x14ac:dyDescent="0.25">
      <c r="A74">
        <v>161</v>
      </c>
      <c r="B74" t="s">
        <v>132</v>
      </c>
      <c r="C74" t="s">
        <v>232</v>
      </c>
      <c r="D74" t="s">
        <v>332</v>
      </c>
      <c r="E74" t="s">
        <v>401</v>
      </c>
      <c r="F74">
        <v>15152492000</v>
      </c>
      <c r="G74">
        <v>5.8840000000000003</v>
      </c>
      <c r="H74" t="s">
        <v>409</v>
      </c>
      <c r="I74">
        <v>89157262928</v>
      </c>
      <c r="J74" t="s">
        <v>415</v>
      </c>
      <c r="K74">
        <v>149229392.385506</v>
      </c>
      <c r="L74">
        <v>1</v>
      </c>
      <c r="M74">
        <v>89157262928</v>
      </c>
      <c r="N74">
        <v>412450832240</v>
      </c>
      <c r="O74">
        <v>30101010</v>
      </c>
      <c r="P74">
        <v>3010</v>
      </c>
      <c r="Q74">
        <v>3.1466666666666598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2.3980000000000001</v>
      </c>
      <c r="AT74">
        <v>3.1459999999999999</v>
      </c>
      <c r="AU74" t="s">
        <v>430</v>
      </c>
      <c r="AV74">
        <v>0</v>
      </c>
      <c r="AW74">
        <v>0</v>
      </c>
      <c r="AX74" t="s">
        <v>440</v>
      </c>
      <c r="AY74">
        <v>0</v>
      </c>
      <c r="AZ74">
        <v>0</v>
      </c>
      <c r="BA74">
        <v>0</v>
      </c>
      <c r="CE74">
        <v>2.7719999999999998</v>
      </c>
      <c r="CG74" t="s">
        <v>450</v>
      </c>
      <c r="CI74">
        <v>3.1466666666666598</v>
      </c>
      <c r="CJ74">
        <v>1.5</v>
      </c>
      <c r="CK74">
        <v>2.3233333333333301</v>
      </c>
      <c r="CL74">
        <v>-0.3</v>
      </c>
      <c r="CM74">
        <v>2.0233333333333299</v>
      </c>
    </row>
    <row r="75" spans="1:91" x14ac:dyDescent="0.25">
      <c r="A75">
        <v>165</v>
      </c>
      <c r="B75" t="s">
        <v>138</v>
      </c>
      <c r="C75" t="s">
        <v>238</v>
      </c>
      <c r="D75" t="s">
        <v>338</v>
      </c>
      <c r="E75" t="s">
        <v>397</v>
      </c>
      <c r="F75">
        <v>1003409101</v>
      </c>
      <c r="G75">
        <v>10.44</v>
      </c>
      <c r="H75" t="s">
        <v>409</v>
      </c>
      <c r="I75">
        <v>10475591014.440001</v>
      </c>
      <c r="J75" t="s">
        <v>415</v>
      </c>
      <c r="K75">
        <v>17800026.3292921</v>
      </c>
      <c r="L75">
        <v>1</v>
      </c>
      <c r="M75">
        <v>10475591014.440001</v>
      </c>
      <c r="N75">
        <v>27312795729.220001</v>
      </c>
      <c r="O75">
        <v>30101010</v>
      </c>
      <c r="P75">
        <v>3010</v>
      </c>
      <c r="Q75">
        <v>1.9796332440151201</v>
      </c>
      <c r="S75" t="s">
        <v>420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2.3170000000000002</v>
      </c>
      <c r="AT75">
        <v>2.5430000000000001</v>
      </c>
      <c r="AU75" t="s">
        <v>430</v>
      </c>
      <c r="AV75">
        <v>0</v>
      </c>
      <c r="AW75">
        <v>0</v>
      </c>
      <c r="AX75" t="s">
        <v>436</v>
      </c>
      <c r="AY75">
        <v>0</v>
      </c>
      <c r="AZ75">
        <v>0</v>
      </c>
      <c r="BA75">
        <v>0</v>
      </c>
      <c r="CE75">
        <v>2.4300000000000002</v>
      </c>
      <c r="CG75" t="s">
        <v>450</v>
      </c>
      <c r="CI75">
        <v>1.9796332440151201</v>
      </c>
      <c r="CJ75">
        <v>3.1</v>
      </c>
      <c r="CK75">
        <v>2.5398166220075602</v>
      </c>
      <c r="CL75">
        <v>0</v>
      </c>
      <c r="CM75">
        <v>2.5398166220075602</v>
      </c>
    </row>
    <row r="76" spans="1:91" x14ac:dyDescent="0.25">
      <c r="A76">
        <v>169</v>
      </c>
      <c r="B76" t="s">
        <v>514</v>
      </c>
      <c r="C76" t="s">
        <v>913</v>
      </c>
      <c r="D76" t="s">
        <v>1312</v>
      </c>
      <c r="E76" t="s">
        <v>401</v>
      </c>
      <c r="F76">
        <v>898866150</v>
      </c>
      <c r="G76">
        <v>8.968</v>
      </c>
      <c r="H76" t="s">
        <v>409</v>
      </c>
      <c r="I76">
        <v>8061031633.1999998</v>
      </c>
      <c r="J76" t="s">
        <v>415</v>
      </c>
      <c r="K76">
        <v>16669299.799092099</v>
      </c>
      <c r="L76">
        <v>0.7</v>
      </c>
      <c r="M76">
        <v>5642722143.2399998</v>
      </c>
      <c r="N76">
        <v>17126995622.1</v>
      </c>
      <c r="O76">
        <v>30101010</v>
      </c>
      <c r="P76">
        <v>3010</v>
      </c>
      <c r="Q76">
        <v>3.4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2.4279999999999999</v>
      </c>
      <c r="AT76">
        <v>2.2440000000000002</v>
      </c>
      <c r="AU76" t="s">
        <v>430</v>
      </c>
      <c r="AV76">
        <v>0</v>
      </c>
      <c r="AW76">
        <v>0</v>
      </c>
      <c r="AX76" t="s">
        <v>440</v>
      </c>
      <c r="AY76">
        <v>0</v>
      </c>
      <c r="AZ76">
        <v>0</v>
      </c>
      <c r="BA76">
        <v>0</v>
      </c>
      <c r="CE76">
        <v>2.3359999999999999</v>
      </c>
      <c r="CG76" t="s">
        <v>450</v>
      </c>
      <c r="CI76">
        <v>3.4</v>
      </c>
      <c r="CJ76">
        <v>3.1</v>
      </c>
      <c r="CK76">
        <v>3.25</v>
      </c>
      <c r="CL76">
        <v>-0.24</v>
      </c>
      <c r="CM76">
        <v>3.01</v>
      </c>
    </row>
    <row r="77" spans="1:91" x14ac:dyDescent="0.25">
      <c r="A77">
        <v>170</v>
      </c>
      <c r="B77" t="s">
        <v>515</v>
      </c>
      <c r="C77" t="s">
        <v>914</v>
      </c>
      <c r="D77" t="s">
        <v>1313</v>
      </c>
      <c r="E77" t="s">
        <v>403</v>
      </c>
      <c r="F77">
        <v>14406017000</v>
      </c>
      <c r="G77">
        <v>3.6727690000000002</v>
      </c>
      <c r="H77" t="s">
        <v>413</v>
      </c>
      <c r="I77">
        <v>52909972651.073013</v>
      </c>
      <c r="J77" t="s">
        <v>416</v>
      </c>
      <c r="K77">
        <v>97848428.157194898</v>
      </c>
      <c r="L77">
        <v>1</v>
      </c>
      <c r="M77">
        <v>52909972651.073013</v>
      </c>
      <c r="N77">
        <v>392131782740</v>
      </c>
      <c r="O77">
        <v>30101010</v>
      </c>
      <c r="P77">
        <v>3010</v>
      </c>
      <c r="Q77">
        <v>3.0199999999999898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2.387</v>
      </c>
      <c r="AT77">
        <v>3.5019999999999998</v>
      </c>
      <c r="AU77" t="s">
        <v>430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2.9445000000000001</v>
      </c>
      <c r="CG77" t="s">
        <v>450</v>
      </c>
      <c r="CI77">
        <v>3.0199999999999898</v>
      </c>
      <c r="CJ77">
        <v>3.1</v>
      </c>
      <c r="CK77">
        <v>3.0599999999999952</v>
      </c>
      <c r="CL77">
        <v>-0.24</v>
      </c>
      <c r="CM77">
        <v>2.819999999999995</v>
      </c>
    </row>
    <row r="78" spans="1:91" x14ac:dyDescent="0.25">
      <c r="A78">
        <v>171</v>
      </c>
      <c r="B78" t="s">
        <v>160</v>
      </c>
      <c r="C78" t="s">
        <v>260</v>
      </c>
      <c r="D78" t="s">
        <v>360</v>
      </c>
      <c r="E78" t="s">
        <v>403</v>
      </c>
      <c r="F78">
        <v>1450318700</v>
      </c>
      <c r="G78">
        <v>5.1331730000000002</v>
      </c>
      <c r="H78" t="s">
        <v>413</v>
      </c>
      <c r="I78">
        <v>7444736792.2351007</v>
      </c>
      <c r="J78" t="s">
        <v>416</v>
      </c>
      <c r="K78">
        <v>20081175.638739999</v>
      </c>
      <c r="L78">
        <v>1</v>
      </c>
      <c r="M78">
        <v>7444736792.2351007</v>
      </c>
      <c r="N78">
        <v>39477675014</v>
      </c>
      <c r="O78">
        <v>40202010</v>
      </c>
      <c r="P78">
        <v>4020</v>
      </c>
      <c r="Q78">
        <v>1.7482663894438499</v>
      </c>
      <c r="R78">
        <v>1.77</v>
      </c>
      <c r="S78" t="s">
        <v>417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2.4900000000000002</v>
      </c>
      <c r="AT78">
        <v>3.2989999999999999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2.8944999999999999</v>
      </c>
      <c r="CG78" t="s">
        <v>450</v>
      </c>
      <c r="CI78">
        <v>1.7482663894438499</v>
      </c>
      <c r="CJ78">
        <v>1.77</v>
      </c>
      <c r="CK78">
        <v>1.7591331947219251</v>
      </c>
      <c r="CL78">
        <v>-0.3</v>
      </c>
      <c r="CM78">
        <v>1.459133194721925</v>
      </c>
    </row>
    <row r="79" spans="1:91" x14ac:dyDescent="0.25">
      <c r="A79">
        <v>173</v>
      </c>
      <c r="B79" t="s">
        <v>172</v>
      </c>
      <c r="C79" t="s">
        <v>272</v>
      </c>
      <c r="D79" t="s">
        <v>372</v>
      </c>
      <c r="E79" t="s">
        <v>406</v>
      </c>
      <c r="F79">
        <v>5488858</v>
      </c>
      <c r="G79">
        <v>1126.021</v>
      </c>
      <c r="H79" t="s">
        <v>414</v>
      </c>
      <c r="I79">
        <v>6180569374.0179996</v>
      </c>
      <c r="J79" t="s">
        <v>416</v>
      </c>
      <c r="K79">
        <v>21337047.627355602</v>
      </c>
      <c r="L79">
        <v>0.7</v>
      </c>
      <c r="M79">
        <v>4326398561.8125992</v>
      </c>
      <c r="N79">
        <v>104584700.332</v>
      </c>
      <c r="O79">
        <v>45102020</v>
      </c>
      <c r="P79">
        <v>4510</v>
      </c>
      <c r="Q79">
        <v>1.7426036975708401</v>
      </c>
      <c r="R79">
        <v>1.5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1.829</v>
      </c>
      <c r="AT79">
        <v>2.5819999999999999</v>
      </c>
      <c r="AU79" t="s">
        <v>420</v>
      </c>
      <c r="AV79">
        <v>1</v>
      </c>
      <c r="AW79">
        <v>0</v>
      </c>
      <c r="AX79" t="s">
        <v>446</v>
      </c>
      <c r="AY79">
        <v>0</v>
      </c>
      <c r="AZ79">
        <v>0</v>
      </c>
      <c r="BA79">
        <v>0</v>
      </c>
      <c r="CE79">
        <v>2.2054999999999998</v>
      </c>
      <c r="CG79" t="s">
        <v>450</v>
      </c>
      <c r="CI79">
        <v>1.7426036975708401</v>
      </c>
      <c r="CJ79">
        <v>1.5</v>
      </c>
      <c r="CK79">
        <v>1.6213018487854201</v>
      </c>
      <c r="CL79">
        <v>-0.3</v>
      </c>
      <c r="CM79">
        <v>1.32130184878542</v>
      </c>
    </row>
    <row r="80" spans="1:91" x14ac:dyDescent="0.25">
      <c r="A80">
        <v>174</v>
      </c>
      <c r="B80" t="s">
        <v>516</v>
      </c>
      <c r="C80" t="s">
        <v>915</v>
      </c>
      <c r="D80" t="s">
        <v>1314</v>
      </c>
      <c r="E80" t="s">
        <v>398</v>
      </c>
      <c r="F80">
        <v>893854900</v>
      </c>
      <c r="G80">
        <v>48.91</v>
      </c>
      <c r="H80" t="s">
        <v>409</v>
      </c>
      <c r="I80">
        <v>43718443159</v>
      </c>
      <c r="J80" t="s">
        <v>415</v>
      </c>
      <c r="K80">
        <v>118759342.534959</v>
      </c>
      <c r="L80">
        <v>1</v>
      </c>
      <c r="M80">
        <v>43718443159</v>
      </c>
      <c r="N80">
        <v>50109505694</v>
      </c>
      <c r="O80">
        <v>55201000</v>
      </c>
      <c r="P80">
        <v>5520</v>
      </c>
      <c r="Q80">
        <v>2.7790984601687598</v>
      </c>
      <c r="R80">
        <v>1.77</v>
      </c>
      <c r="S80" t="s">
        <v>418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2.9999999999999997E-4</v>
      </c>
      <c r="AE80">
        <v>0.1</v>
      </c>
      <c r="AF80">
        <v>8.3000000000000001E-3</v>
      </c>
      <c r="AG80" t="s">
        <v>1654</v>
      </c>
      <c r="AH80">
        <v>0</v>
      </c>
      <c r="AI80" t="s">
        <v>1655</v>
      </c>
      <c r="AJ80" t="s">
        <v>1654</v>
      </c>
      <c r="AK80" t="s">
        <v>424</v>
      </c>
      <c r="AL80" t="s">
        <v>1655</v>
      </c>
      <c r="AM80" t="s">
        <v>424</v>
      </c>
      <c r="AN80" t="s">
        <v>1653</v>
      </c>
      <c r="AO80">
        <v>0.01</v>
      </c>
      <c r="AP80">
        <v>0</v>
      </c>
      <c r="AQ80">
        <v>0</v>
      </c>
      <c r="AR80">
        <v>0</v>
      </c>
      <c r="AS80">
        <v>2.4260000000000002</v>
      </c>
      <c r="AT80">
        <v>2.9569999999999999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1670</v>
      </c>
      <c r="CH80" t="s">
        <v>1687</v>
      </c>
      <c r="CI80">
        <v>2.7790984601687598</v>
      </c>
      <c r="CJ80">
        <v>1.77</v>
      </c>
      <c r="CK80">
        <v>2.2745492300843799</v>
      </c>
      <c r="CL80">
        <v>-0.18</v>
      </c>
      <c r="CM80">
        <v>2.0945492300843802</v>
      </c>
    </row>
    <row r="81" spans="1:91" x14ac:dyDescent="0.25">
      <c r="A81">
        <v>175</v>
      </c>
      <c r="B81" t="s">
        <v>517</v>
      </c>
      <c r="C81" t="s">
        <v>916</v>
      </c>
      <c r="D81" t="s">
        <v>1315</v>
      </c>
      <c r="E81" t="s">
        <v>405</v>
      </c>
      <c r="F81">
        <v>78600000</v>
      </c>
      <c r="G81">
        <v>93</v>
      </c>
      <c r="H81" t="s">
        <v>409</v>
      </c>
      <c r="I81">
        <v>7309800000</v>
      </c>
      <c r="J81" t="s">
        <v>415</v>
      </c>
      <c r="K81">
        <v>9725314.9336065501</v>
      </c>
      <c r="L81">
        <v>1</v>
      </c>
      <c r="M81">
        <v>7309800000</v>
      </c>
      <c r="N81">
        <v>4406316000</v>
      </c>
      <c r="O81">
        <v>30101010</v>
      </c>
      <c r="P81">
        <v>3010</v>
      </c>
      <c r="S81" t="s">
        <v>420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2.157</v>
      </c>
      <c r="AT81">
        <v>2.3650000000000002</v>
      </c>
      <c r="AU81" t="s">
        <v>430</v>
      </c>
      <c r="AV81">
        <v>0</v>
      </c>
      <c r="AW81">
        <v>0</v>
      </c>
      <c r="AX81" t="s">
        <v>444</v>
      </c>
      <c r="AY81">
        <v>0</v>
      </c>
      <c r="AZ81">
        <v>0</v>
      </c>
      <c r="BA81">
        <v>0</v>
      </c>
      <c r="CE81">
        <v>2.2610000000000001</v>
      </c>
      <c r="CG81" t="s">
        <v>450</v>
      </c>
      <c r="CI81">
        <v>3.4</v>
      </c>
      <c r="CJ81">
        <v>3.1</v>
      </c>
      <c r="CK81">
        <v>3.25</v>
      </c>
      <c r="CL81">
        <v>0</v>
      </c>
      <c r="CM81">
        <v>3.25</v>
      </c>
    </row>
    <row r="82" spans="1:91" x14ac:dyDescent="0.25">
      <c r="A82">
        <v>178</v>
      </c>
      <c r="B82" t="s">
        <v>518</v>
      </c>
      <c r="C82" t="s">
        <v>917</v>
      </c>
      <c r="D82" t="s">
        <v>1316</v>
      </c>
      <c r="E82" t="s">
        <v>398</v>
      </c>
      <c r="F82">
        <v>982424100</v>
      </c>
      <c r="G82">
        <v>22.05</v>
      </c>
      <c r="H82" t="s">
        <v>409</v>
      </c>
      <c r="I82">
        <v>21662451405</v>
      </c>
      <c r="J82" t="s">
        <v>415</v>
      </c>
      <c r="K82">
        <v>74110033.456483603</v>
      </c>
      <c r="L82">
        <v>1</v>
      </c>
      <c r="M82">
        <v>21662451405</v>
      </c>
      <c r="N82">
        <v>55074695046</v>
      </c>
      <c r="O82">
        <v>20103015</v>
      </c>
      <c r="P82">
        <v>2010</v>
      </c>
      <c r="Q82">
        <v>1.6931442341836</v>
      </c>
      <c r="R82">
        <v>3.1</v>
      </c>
      <c r="S82" t="s">
        <v>418</v>
      </c>
      <c r="T82" t="s">
        <v>423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2.6280000000000001</v>
      </c>
      <c r="AT82">
        <v>3.1920000000000002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2.91</v>
      </c>
      <c r="CG82" t="s">
        <v>450</v>
      </c>
      <c r="CI82">
        <v>1.6931442341836</v>
      </c>
      <c r="CJ82">
        <v>3.1</v>
      </c>
      <c r="CK82">
        <v>2.3965721170918002</v>
      </c>
      <c r="CL82">
        <v>-0.18</v>
      </c>
      <c r="CM82">
        <v>2.2165721170918</v>
      </c>
    </row>
    <row r="83" spans="1:91" x14ac:dyDescent="0.25">
      <c r="A83">
        <v>179</v>
      </c>
      <c r="B83" t="s">
        <v>519</v>
      </c>
      <c r="C83" t="s">
        <v>918</v>
      </c>
      <c r="D83" t="s">
        <v>1317</v>
      </c>
      <c r="E83" t="s">
        <v>401</v>
      </c>
      <c r="F83">
        <v>5763285600</v>
      </c>
      <c r="G83">
        <v>12.29</v>
      </c>
      <c r="H83" t="s">
        <v>409</v>
      </c>
      <c r="I83">
        <v>70830780024</v>
      </c>
      <c r="J83" t="s">
        <v>415</v>
      </c>
      <c r="K83">
        <v>93971375.653579399</v>
      </c>
      <c r="L83">
        <v>1</v>
      </c>
      <c r="M83">
        <v>70830780024</v>
      </c>
      <c r="N83">
        <v>323089790736</v>
      </c>
      <c r="O83">
        <v>30101010</v>
      </c>
      <c r="P83">
        <v>3010</v>
      </c>
      <c r="Q83">
        <v>3.4</v>
      </c>
      <c r="S83" t="s">
        <v>418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2.3730000000000002</v>
      </c>
      <c r="AT83">
        <v>3.2530000000000001</v>
      </c>
      <c r="AU83" t="s">
        <v>430</v>
      </c>
      <c r="AV83">
        <v>0</v>
      </c>
      <c r="AW83">
        <v>0</v>
      </c>
      <c r="AX83" t="s">
        <v>440</v>
      </c>
      <c r="AY83">
        <v>0</v>
      </c>
      <c r="AZ83">
        <v>0</v>
      </c>
      <c r="BA83">
        <v>0</v>
      </c>
      <c r="CE83">
        <v>2.8130000000000002</v>
      </c>
      <c r="CG83" t="s">
        <v>450</v>
      </c>
      <c r="CI83">
        <v>3.4</v>
      </c>
      <c r="CJ83">
        <v>3.1</v>
      </c>
      <c r="CK83">
        <v>3.25</v>
      </c>
      <c r="CL83">
        <v>-0.18</v>
      </c>
      <c r="CM83">
        <v>3.07</v>
      </c>
    </row>
    <row r="84" spans="1:91" x14ac:dyDescent="0.25">
      <c r="A84">
        <v>180</v>
      </c>
      <c r="B84" t="s">
        <v>520</v>
      </c>
      <c r="C84" t="s">
        <v>919</v>
      </c>
      <c r="D84" t="s">
        <v>1318</v>
      </c>
      <c r="E84" t="s">
        <v>404</v>
      </c>
      <c r="F84">
        <v>453385777</v>
      </c>
      <c r="G84">
        <v>10.09</v>
      </c>
      <c r="H84" t="s">
        <v>409</v>
      </c>
      <c r="I84">
        <v>4574662489.9300003</v>
      </c>
      <c r="J84" t="s">
        <v>415</v>
      </c>
      <c r="K84">
        <v>20030570.2642623</v>
      </c>
      <c r="L84">
        <v>0.8</v>
      </c>
      <c r="M84">
        <v>3659729991.9439998</v>
      </c>
      <c r="N84">
        <v>20333445326.896</v>
      </c>
      <c r="O84">
        <v>30101010</v>
      </c>
      <c r="P84">
        <v>3010</v>
      </c>
      <c r="Q84">
        <v>3.4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2.2709999999999999</v>
      </c>
      <c r="AT84">
        <v>2.4420000000000002</v>
      </c>
      <c r="AU84" t="s">
        <v>430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450</v>
      </c>
      <c r="CI84">
        <v>3.4</v>
      </c>
      <c r="CJ84">
        <v>3.1</v>
      </c>
      <c r="CK84">
        <v>3.25</v>
      </c>
      <c r="CL84">
        <v>-0.18</v>
      </c>
      <c r="CM84">
        <v>3.07</v>
      </c>
    </row>
    <row r="85" spans="1:91" x14ac:dyDescent="0.25">
      <c r="A85">
        <v>182</v>
      </c>
      <c r="B85" t="s">
        <v>521</v>
      </c>
      <c r="C85" t="s">
        <v>920</v>
      </c>
      <c r="D85" t="s">
        <v>1319</v>
      </c>
      <c r="E85" t="s">
        <v>396</v>
      </c>
      <c r="F85">
        <v>81146738</v>
      </c>
      <c r="G85">
        <v>119.7</v>
      </c>
      <c r="H85" t="s">
        <v>409</v>
      </c>
      <c r="I85">
        <v>9713264538.6000004</v>
      </c>
      <c r="J85" t="s">
        <v>415</v>
      </c>
      <c r="K85">
        <v>60641140.8782539</v>
      </c>
      <c r="L85">
        <v>1</v>
      </c>
      <c r="M85">
        <v>9713264538.6000004</v>
      </c>
      <c r="N85">
        <v>4549086132.2799997</v>
      </c>
      <c r="O85">
        <v>10102010</v>
      </c>
      <c r="P85">
        <v>1010</v>
      </c>
      <c r="S85" t="s">
        <v>420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2.1389999999999998</v>
      </c>
      <c r="AT85">
        <v>2.9660000000000002</v>
      </c>
      <c r="AU85" t="s">
        <v>420</v>
      </c>
      <c r="AV85">
        <v>1</v>
      </c>
      <c r="AW85">
        <v>0</v>
      </c>
      <c r="AX85" t="s">
        <v>445</v>
      </c>
      <c r="AY85">
        <v>0</v>
      </c>
      <c r="AZ85">
        <v>0</v>
      </c>
      <c r="BA85">
        <v>0</v>
      </c>
      <c r="CE85">
        <v>2.5525000000000002</v>
      </c>
      <c r="CG85" t="s">
        <v>450</v>
      </c>
      <c r="CI85">
        <v>3.4</v>
      </c>
      <c r="CJ85">
        <v>3.1</v>
      </c>
      <c r="CK85">
        <v>3.25</v>
      </c>
      <c r="CL85">
        <v>0</v>
      </c>
      <c r="CM85">
        <v>3.25</v>
      </c>
    </row>
    <row r="86" spans="1:91" x14ac:dyDescent="0.25">
      <c r="A86">
        <v>183</v>
      </c>
      <c r="B86" t="s">
        <v>522</v>
      </c>
      <c r="C86" t="s">
        <v>921</v>
      </c>
      <c r="D86" t="s">
        <v>1320</v>
      </c>
      <c r="E86" t="s">
        <v>403</v>
      </c>
      <c r="F86">
        <v>639002140</v>
      </c>
      <c r="G86">
        <v>9.8952000000000009</v>
      </c>
      <c r="H86" t="s">
        <v>413</v>
      </c>
      <c r="I86">
        <v>6323053975.7280006</v>
      </c>
      <c r="J86" t="s">
        <v>416</v>
      </c>
      <c r="K86">
        <v>9064286.72148728</v>
      </c>
      <c r="L86">
        <v>1</v>
      </c>
      <c r="M86">
        <v>6323053975.7280006</v>
      </c>
      <c r="N86">
        <v>35822459968.400002</v>
      </c>
      <c r="O86">
        <v>30302025</v>
      </c>
      <c r="P86">
        <v>3030</v>
      </c>
      <c r="S86" t="s">
        <v>421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1.873</v>
      </c>
      <c r="AT86">
        <v>2.3090000000000002</v>
      </c>
      <c r="AU86" t="s">
        <v>430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2.0910000000000002</v>
      </c>
      <c r="CF86" t="s">
        <v>83</v>
      </c>
      <c r="CG86" t="s">
        <v>1670</v>
      </c>
      <c r="CH86" t="s">
        <v>83</v>
      </c>
      <c r="CI86">
        <v>3.4</v>
      </c>
      <c r="CJ86">
        <v>3.1</v>
      </c>
      <c r="CK86">
        <v>3.25</v>
      </c>
      <c r="CL86">
        <v>0.18</v>
      </c>
      <c r="CM86">
        <v>3.43</v>
      </c>
    </row>
    <row r="87" spans="1:91" x14ac:dyDescent="0.25">
      <c r="A87">
        <v>186</v>
      </c>
      <c r="B87" t="s">
        <v>177</v>
      </c>
      <c r="C87" t="s">
        <v>277</v>
      </c>
      <c r="D87" t="s">
        <v>377</v>
      </c>
      <c r="E87" t="s">
        <v>398</v>
      </c>
      <c r="F87">
        <v>248000000</v>
      </c>
      <c r="G87">
        <v>128.15</v>
      </c>
      <c r="H87" t="s">
        <v>409</v>
      </c>
      <c r="I87">
        <v>31781200000</v>
      </c>
      <c r="J87" t="s">
        <v>415</v>
      </c>
      <c r="K87">
        <v>25987102.558196701</v>
      </c>
      <c r="L87">
        <v>0.4</v>
      </c>
      <c r="M87">
        <v>12712480000</v>
      </c>
      <c r="N87">
        <v>5561152000</v>
      </c>
      <c r="O87">
        <v>45201020</v>
      </c>
      <c r="P87">
        <v>4520</v>
      </c>
      <c r="Q87">
        <v>1.7450134819631999</v>
      </c>
      <c r="R87">
        <v>1.5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2.3719999999999999</v>
      </c>
      <c r="AT87">
        <v>2.4630000000000001</v>
      </c>
      <c r="AU87" t="s">
        <v>420</v>
      </c>
      <c r="AV87">
        <v>1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2.4175</v>
      </c>
      <c r="CG87" t="s">
        <v>450</v>
      </c>
      <c r="CI87">
        <v>1.7450134819631999</v>
      </c>
      <c r="CJ87">
        <v>1.5</v>
      </c>
      <c r="CK87">
        <v>1.6225067409816001</v>
      </c>
      <c r="CL87">
        <v>-0.24</v>
      </c>
      <c r="CM87">
        <v>1.3825067409816001</v>
      </c>
    </row>
    <row r="88" spans="1:91" x14ac:dyDescent="0.25">
      <c r="A88">
        <v>187</v>
      </c>
      <c r="B88" t="s">
        <v>523</v>
      </c>
      <c r="C88" t="s">
        <v>922</v>
      </c>
      <c r="D88" t="s">
        <v>1321</v>
      </c>
      <c r="E88" t="s">
        <v>395</v>
      </c>
      <c r="F88">
        <v>481135530</v>
      </c>
      <c r="G88">
        <v>15.088520000000001</v>
      </c>
      <c r="H88" t="s">
        <v>410</v>
      </c>
      <c r="I88">
        <v>7259623067.1156006</v>
      </c>
      <c r="J88" t="s">
        <v>416</v>
      </c>
      <c r="K88">
        <v>10842068.6779061</v>
      </c>
      <c r="L88">
        <v>0.75</v>
      </c>
      <c r="M88">
        <v>5444717300.3367004</v>
      </c>
      <c r="N88">
        <v>20229343358.849998</v>
      </c>
      <c r="O88">
        <v>50204050</v>
      </c>
      <c r="P88">
        <v>5020</v>
      </c>
      <c r="Q88">
        <v>1.9980188053264101</v>
      </c>
      <c r="S88" t="s">
        <v>424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1.4490000000000001</v>
      </c>
      <c r="AT88">
        <v>2.6339999999999999</v>
      </c>
      <c r="AU88" t="s">
        <v>420</v>
      </c>
      <c r="AV88">
        <v>1</v>
      </c>
      <c r="AW88">
        <v>0</v>
      </c>
      <c r="AX88" t="s">
        <v>434</v>
      </c>
      <c r="AY88">
        <v>0</v>
      </c>
      <c r="AZ88">
        <v>0</v>
      </c>
      <c r="BA88">
        <v>0</v>
      </c>
      <c r="CE88">
        <v>2.0415000000000001</v>
      </c>
      <c r="CF88" t="s">
        <v>83</v>
      </c>
      <c r="CG88" t="s">
        <v>1670</v>
      </c>
      <c r="CH88" t="s">
        <v>83</v>
      </c>
      <c r="CI88">
        <v>1.9980188053264101</v>
      </c>
      <c r="CJ88">
        <v>3.1</v>
      </c>
      <c r="CK88">
        <v>2.5490094026632049</v>
      </c>
      <c r="CL88">
        <v>0.3</v>
      </c>
      <c r="CM88">
        <v>2.8490094026632051</v>
      </c>
    </row>
    <row r="89" spans="1:91" x14ac:dyDescent="0.25">
      <c r="A89">
        <v>188</v>
      </c>
      <c r="B89" t="s">
        <v>524</v>
      </c>
      <c r="C89" t="s">
        <v>923</v>
      </c>
      <c r="D89" t="s">
        <v>1322</v>
      </c>
      <c r="E89" t="s">
        <v>406</v>
      </c>
      <c r="F89">
        <v>12300000</v>
      </c>
      <c r="G89">
        <v>707.08609999999999</v>
      </c>
      <c r="H89" t="s">
        <v>414</v>
      </c>
      <c r="I89">
        <v>8697159030</v>
      </c>
      <c r="J89" t="s">
        <v>416</v>
      </c>
      <c r="K89">
        <v>15549111.580239899</v>
      </c>
      <c r="L89">
        <v>0.8</v>
      </c>
      <c r="M89">
        <v>6957727224</v>
      </c>
      <c r="N89">
        <v>551630400</v>
      </c>
      <c r="O89">
        <v>50101025</v>
      </c>
      <c r="P89">
        <v>5010</v>
      </c>
      <c r="Q89">
        <v>3.4</v>
      </c>
      <c r="S89" t="s">
        <v>424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2.1949999999999998</v>
      </c>
      <c r="AT89">
        <v>2.375</v>
      </c>
      <c r="AU89" t="s">
        <v>420</v>
      </c>
      <c r="AV89">
        <v>1</v>
      </c>
      <c r="AW89">
        <v>0</v>
      </c>
      <c r="AX89" t="s">
        <v>446</v>
      </c>
      <c r="AY89">
        <v>0</v>
      </c>
      <c r="AZ89">
        <v>0</v>
      </c>
      <c r="BA89">
        <v>0</v>
      </c>
      <c r="CE89">
        <v>2.2850000000000001</v>
      </c>
      <c r="CG89" t="s">
        <v>450</v>
      </c>
      <c r="CI89">
        <v>3.4</v>
      </c>
      <c r="CJ89">
        <v>3.1</v>
      </c>
      <c r="CK89">
        <v>3.25</v>
      </c>
      <c r="CL89">
        <v>0.3</v>
      </c>
      <c r="CM89">
        <v>3.55</v>
      </c>
    </row>
    <row r="90" spans="1:91" x14ac:dyDescent="0.25">
      <c r="A90">
        <v>189</v>
      </c>
      <c r="B90" t="s">
        <v>162</v>
      </c>
      <c r="C90" t="s">
        <v>262</v>
      </c>
      <c r="D90" t="s">
        <v>362</v>
      </c>
      <c r="E90" t="s">
        <v>403</v>
      </c>
      <c r="F90">
        <v>118657364</v>
      </c>
      <c r="G90">
        <v>28.04748</v>
      </c>
      <c r="H90" t="s">
        <v>413</v>
      </c>
      <c r="I90">
        <v>3328040043.6427202</v>
      </c>
      <c r="J90" t="s">
        <v>416</v>
      </c>
      <c r="K90">
        <v>10092470.100475</v>
      </c>
      <c r="L90">
        <v>1</v>
      </c>
      <c r="M90">
        <v>3328040043.6427202</v>
      </c>
      <c r="N90">
        <v>6651931825.8400002</v>
      </c>
      <c r="O90">
        <v>40202010</v>
      </c>
      <c r="P90">
        <v>4020</v>
      </c>
      <c r="Q90">
        <v>1.9966860020732899</v>
      </c>
      <c r="R90">
        <v>2.08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1.786</v>
      </c>
      <c r="AT90">
        <v>2.78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2.2829999999999999</v>
      </c>
      <c r="CG90" t="s">
        <v>450</v>
      </c>
      <c r="CI90">
        <v>1.9966860020732899</v>
      </c>
      <c r="CJ90">
        <v>2.08</v>
      </c>
      <c r="CK90">
        <v>2.0383430010366448</v>
      </c>
      <c r="CL90">
        <v>-0.18</v>
      </c>
      <c r="CM90">
        <v>1.8583430010366451</v>
      </c>
    </row>
    <row r="91" spans="1:91" x14ac:dyDescent="0.25">
      <c r="A91">
        <v>191</v>
      </c>
      <c r="B91" t="s">
        <v>525</v>
      </c>
      <c r="C91" t="s">
        <v>924</v>
      </c>
      <c r="D91" t="s">
        <v>1323</v>
      </c>
      <c r="E91" t="s">
        <v>403</v>
      </c>
      <c r="F91">
        <v>100455185</v>
      </c>
      <c r="G91">
        <v>45.141939999999998</v>
      </c>
      <c r="H91" t="s">
        <v>413</v>
      </c>
      <c r="I91">
        <v>4534741933.9588985</v>
      </c>
      <c r="J91" t="s">
        <v>416</v>
      </c>
      <c r="K91">
        <v>14477487.1262723</v>
      </c>
      <c r="L91">
        <v>1</v>
      </c>
      <c r="M91">
        <v>4534741933.9588985</v>
      </c>
      <c r="N91">
        <v>5631517671.1000004</v>
      </c>
      <c r="O91">
        <v>40202010</v>
      </c>
      <c r="P91">
        <v>4020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2.3650000000000002</v>
      </c>
      <c r="AT91">
        <v>2.5289999999999999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2.4470000000000001</v>
      </c>
      <c r="CG91" t="s">
        <v>450</v>
      </c>
      <c r="CI91">
        <v>3.4</v>
      </c>
      <c r="CJ91">
        <v>3.1</v>
      </c>
      <c r="CK91">
        <v>3.25</v>
      </c>
      <c r="CL91">
        <v>-0.18</v>
      </c>
      <c r="CM91">
        <v>3.07</v>
      </c>
    </row>
    <row r="92" spans="1:91" x14ac:dyDescent="0.25">
      <c r="A92">
        <v>196</v>
      </c>
      <c r="B92" t="s">
        <v>526</v>
      </c>
      <c r="C92" t="s">
        <v>925</v>
      </c>
      <c r="D92" t="s">
        <v>1324</v>
      </c>
      <c r="E92" t="s">
        <v>394</v>
      </c>
      <c r="F92">
        <v>118361220</v>
      </c>
      <c r="G92">
        <v>112.5</v>
      </c>
      <c r="H92" t="s">
        <v>409</v>
      </c>
      <c r="I92">
        <v>13315637250</v>
      </c>
      <c r="J92" t="s">
        <v>415</v>
      </c>
      <c r="K92">
        <v>10533264.3742064</v>
      </c>
      <c r="L92">
        <v>0.4</v>
      </c>
      <c r="M92">
        <v>5326254900</v>
      </c>
      <c r="N92">
        <v>2654131997.2800002</v>
      </c>
      <c r="O92">
        <v>20102010</v>
      </c>
      <c r="P92">
        <v>2010</v>
      </c>
      <c r="S92" t="s">
        <v>420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2.8940000000000001</v>
      </c>
      <c r="AT92">
        <v>2.8130000000000002</v>
      </c>
      <c r="AU92" t="s">
        <v>420</v>
      </c>
      <c r="AV92">
        <v>1</v>
      </c>
      <c r="AW92">
        <v>0</v>
      </c>
      <c r="AX92" t="s">
        <v>433</v>
      </c>
      <c r="AY92">
        <v>0</v>
      </c>
      <c r="AZ92">
        <v>0</v>
      </c>
      <c r="BA92">
        <v>0</v>
      </c>
      <c r="CE92">
        <v>2.8534999999999999</v>
      </c>
      <c r="CG92" t="s">
        <v>450</v>
      </c>
      <c r="CI92">
        <v>3.4</v>
      </c>
      <c r="CJ92">
        <v>3.1</v>
      </c>
      <c r="CK92">
        <v>3.25</v>
      </c>
      <c r="CL92">
        <v>0</v>
      </c>
      <c r="CM92">
        <v>3.25</v>
      </c>
    </row>
    <row r="93" spans="1:91" x14ac:dyDescent="0.25">
      <c r="A93">
        <v>197</v>
      </c>
      <c r="B93" t="s">
        <v>527</v>
      </c>
      <c r="C93" t="s">
        <v>926</v>
      </c>
      <c r="D93" t="s">
        <v>1325</v>
      </c>
      <c r="E93" t="s">
        <v>406</v>
      </c>
      <c r="F93">
        <v>52800000</v>
      </c>
      <c r="G93">
        <v>162.04499999999999</v>
      </c>
      <c r="H93" t="s">
        <v>414</v>
      </c>
      <c r="I93">
        <v>8555975999.999999</v>
      </c>
      <c r="J93" t="s">
        <v>416</v>
      </c>
      <c r="K93">
        <v>6954705.7130941097</v>
      </c>
      <c r="L93">
        <v>0.35</v>
      </c>
      <c r="M93">
        <v>2994591600</v>
      </c>
      <c r="N93">
        <v>1035988800</v>
      </c>
      <c r="O93">
        <v>65101015</v>
      </c>
      <c r="P93">
        <v>6510</v>
      </c>
      <c r="S93" t="s">
        <v>418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1.89E-2</v>
      </c>
      <c r="AE93">
        <v>7.8E-2</v>
      </c>
      <c r="AF93">
        <v>7.7799999999999994E-2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N93" t="s">
        <v>1654</v>
      </c>
      <c r="AO93">
        <v>0.109</v>
      </c>
      <c r="AP93">
        <v>0</v>
      </c>
      <c r="AQ93">
        <v>0</v>
      </c>
      <c r="AR93">
        <v>0</v>
      </c>
      <c r="AS93">
        <v>1.9730000000000001</v>
      </c>
      <c r="AT93">
        <v>2.4940000000000002</v>
      </c>
      <c r="AU93" t="s">
        <v>421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2.2334999999999998</v>
      </c>
      <c r="CG93" t="s">
        <v>1670</v>
      </c>
      <c r="CH93" t="s">
        <v>1688</v>
      </c>
      <c r="CI93">
        <v>3.4</v>
      </c>
      <c r="CJ93">
        <v>3.1</v>
      </c>
      <c r="CK93">
        <v>3.25</v>
      </c>
      <c r="CL93">
        <v>-0.18</v>
      </c>
      <c r="CM93">
        <v>3.07</v>
      </c>
    </row>
    <row r="94" spans="1:91" x14ac:dyDescent="0.25">
      <c r="A94">
        <v>202</v>
      </c>
      <c r="B94" t="s">
        <v>156</v>
      </c>
      <c r="C94" t="s">
        <v>256</v>
      </c>
      <c r="D94" t="s">
        <v>356</v>
      </c>
      <c r="E94" t="s">
        <v>398</v>
      </c>
      <c r="F94">
        <v>579795650</v>
      </c>
      <c r="G94">
        <v>82.58</v>
      </c>
      <c r="H94" t="s">
        <v>409</v>
      </c>
      <c r="I94">
        <v>47879524777</v>
      </c>
      <c r="J94" t="s">
        <v>415</v>
      </c>
      <c r="K94">
        <v>97231108.921311393</v>
      </c>
      <c r="L94">
        <v>0.5</v>
      </c>
      <c r="M94">
        <v>23939762388.5</v>
      </c>
      <c r="N94">
        <v>16251672069.5</v>
      </c>
      <c r="O94">
        <v>40101020</v>
      </c>
      <c r="P94">
        <v>4010</v>
      </c>
      <c r="Q94">
        <v>1.7483805263697001</v>
      </c>
      <c r="R94">
        <v>1.5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2.3959999999999999</v>
      </c>
      <c r="AT94">
        <v>2.3119999999999998</v>
      </c>
      <c r="AU94" t="s">
        <v>420</v>
      </c>
      <c r="AV94">
        <v>1</v>
      </c>
      <c r="AW94">
        <v>0</v>
      </c>
      <c r="AX94" t="s">
        <v>437</v>
      </c>
      <c r="AY94">
        <v>0</v>
      </c>
      <c r="AZ94">
        <v>0</v>
      </c>
      <c r="BA94">
        <v>0</v>
      </c>
      <c r="CE94">
        <v>2.3540000000000001</v>
      </c>
      <c r="CG94" t="s">
        <v>450</v>
      </c>
      <c r="CI94">
        <v>1.7483805263697001</v>
      </c>
      <c r="CJ94">
        <v>1.5</v>
      </c>
      <c r="CK94">
        <v>1.6241902631848499</v>
      </c>
      <c r="CL94">
        <v>-0.24</v>
      </c>
      <c r="CM94">
        <v>1.3841902631848499</v>
      </c>
    </row>
    <row r="95" spans="1:91" x14ac:dyDescent="0.25">
      <c r="A95">
        <v>203</v>
      </c>
      <c r="B95" t="s">
        <v>134</v>
      </c>
      <c r="C95" t="s">
        <v>234</v>
      </c>
      <c r="D95" t="s">
        <v>334</v>
      </c>
      <c r="E95" t="s">
        <v>394</v>
      </c>
      <c r="F95">
        <v>1130810671</v>
      </c>
      <c r="G95">
        <v>71.12</v>
      </c>
      <c r="H95" t="s">
        <v>409</v>
      </c>
      <c r="I95">
        <v>80423254921.520004</v>
      </c>
      <c r="J95" t="s">
        <v>415</v>
      </c>
      <c r="K95">
        <v>181499028.285079</v>
      </c>
      <c r="L95">
        <v>0.95000000000000007</v>
      </c>
      <c r="M95">
        <v>76402092175.444016</v>
      </c>
      <c r="N95">
        <v>60223583905.447006</v>
      </c>
      <c r="O95">
        <v>30101010</v>
      </c>
      <c r="P95">
        <v>3010</v>
      </c>
      <c r="Q95">
        <v>3.3054605885148698</v>
      </c>
      <c r="R95">
        <v>1.5</v>
      </c>
      <c r="S95" t="s">
        <v>419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2.3250000000000002</v>
      </c>
      <c r="AT95">
        <v>3.2959999999999998</v>
      </c>
      <c r="AU95" t="s">
        <v>430</v>
      </c>
      <c r="AV95">
        <v>0</v>
      </c>
      <c r="AW95">
        <v>0</v>
      </c>
      <c r="AX95" t="s">
        <v>433</v>
      </c>
      <c r="AY95">
        <v>0</v>
      </c>
      <c r="AZ95">
        <v>0</v>
      </c>
      <c r="BA95">
        <v>0</v>
      </c>
      <c r="CE95">
        <v>2.8105000000000002</v>
      </c>
      <c r="CG95" t="s">
        <v>450</v>
      </c>
      <c r="CI95">
        <v>3.3054605885148698</v>
      </c>
      <c r="CJ95">
        <v>1.5</v>
      </c>
      <c r="CK95">
        <v>2.4027302942574349</v>
      </c>
      <c r="CL95">
        <v>-0.24</v>
      </c>
      <c r="CM95">
        <v>2.1627302942574351</v>
      </c>
    </row>
    <row r="96" spans="1:91" x14ac:dyDescent="0.25">
      <c r="A96">
        <v>205</v>
      </c>
      <c r="B96" t="s">
        <v>528</v>
      </c>
      <c r="C96" t="s">
        <v>927</v>
      </c>
      <c r="D96" t="s">
        <v>1326</v>
      </c>
      <c r="E96" t="s">
        <v>395</v>
      </c>
      <c r="F96">
        <v>273511170</v>
      </c>
      <c r="G96">
        <v>34.493189999999998</v>
      </c>
      <c r="H96" t="s">
        <v>410</v>
      </c>
      <c r="I96">
        <v>9434272753.9322987</v>
      </c>
      <c r="J96" t="s">
        <v>416</v>
      </c>
      <c r="K96">
        <v>33893772.8540629</v>
      </c>
      <c r="L96">
        <v>1</v>
      </c>
      <c r="M96">
        <v>9434272753.9322987</v>
      </c>
      <c r="N96">
        <v>15333036190.200001</v>
      </c>
      <c r="O96">
        <v>55102000</v>
      </c>
      <c r="P96">
        <v>5510</v>
      </c>
      <c r="Q96">
        <v>1.76625317553127</v>
      </c>
      <c r="S96" t="s">
        <v>424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2.722</v>
      </c>
      <c r="AT96">
        <v>3.0819999999999999</v>
      </c>
      <c r="AU96" t="s">
        <v>420</v>
      </c>
      <c r="AV96">
        <v>1</v>
      </c>
      <c r="AW96">
        <v>0</v>
      </c>
      <c r="AX96" t="s">
        <v>434</v>
      </c>
      <c r="AY96">
        <v>0</v>
      </c>
      <c r="AZ96">
        <v>0</v>
      </c>
      <c r="BA96">
        <v>0</v>
      </c>
      <c r="CE96">
        <v>2.9020000000000001</v>
      </c>
      <c r="CG96" t="s">
        <v>450</v>
      </c>
      <c r="CI96">
        <v>1.76625317553127</v>
      </c>
      <c r="CJ96">
        <v>3.1</v>
      </c>
      <c r="CK96">
        <v>2.433126587765635</v>
      </c>
      <c r="CL96">
        <v>0.3</v>
      </c>
      <c r="CM96">
        <v>2.7331265877656352</v>
      </c>
    </row>
    <row r="97" spans="1:91" x14ac:dyDescent="0.25">
      <c r="A97">
        <v>206</v>
      </c>
      <c r="B97" t="s">
        <v>529</v>
      </c>
      <c r="C97" t="s">
        <v>928</v>
      </c>
      <c r="D97" t="s">
        <v>1327</v>
      </c>
      <c r="E97" t="s">
        <v>394</v>
      </c>
      <c r="F97">
        <v>2852174816</v>
      </c>
      <c r="G97">
        <v>5.835</v>
      </c>
      <c r="H97" t="s">
        <v>409</v>
      </c>
      <c r="I97">
        <v>16642440051.360001</v>
      </c>
      <c r="J97" t="s">
        <v>415</v>
      </c>
      <c r="K97">
        <v>5550011.3808333399</v>
      </c>
      <c r="L97">
        <v>0.2</v>
      </c>
      <c r="M97">
        <v>3328488010.2719998</v>
      </c>
      <c r="N97">
        <v>31978584036.992001</v>
      </c>
      <c r="O97">
        <v>40301010</v>
      </c>
      <c r="P97">
        <v>4030</v>
      </c>
      <c r="Q97">
        <v>2.1881891393233102</v>
      </c>
      <c r="R97">
        <v>3.1</v>
      </c>
      <c r="S97" t="s">
        <v>418</v>
      </c>
      <c r="T97" t="s">
        <v>423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0.20399999999999999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2.1040000000000001</v>
      </c>
      <c r="AT97">
        <v>2.9279999999999999</v>
      </c>
      <c r="AU97" t="s">
        <v>426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1670</v>
      </c>
      <c r="CH97" t="s">
        <v>68</v>
      </c>
      <c r="CI97">
        <v>2.1881891393233102</v>
      </c>
      <c r="CJ97">
        <v>3.1</v>
      </c>
      <c r="CK97">
        <v>2.6440945696616551</v>
      </c>
      <c r="CL97">
        <v>-0.18</v>
      </c>
      <c r="CM97">
        <v>2.464094569661655</v>
      </c>
    </row>
    <row r="98" spans="1:91" x14ac:dyDescent="0.25">
      <c r="A98">
        <v>209</v>
      </c>
      <c r="B98" t="s">
        <v>530</v>
      </c>
      <c r="C98" t="s">
        <v>929</v>
      </c>
      <c r="D98" t="s">
        <v>1328</v>
      </c>
      <c r="E98" t="s">
        <v>394</v>
      </c>
      <c r="F98">
        <v>378957797</v>
      </c>
      <c r="G98">
        <v>32.08</v>
      </c>
      <c r="H98" t="s">
        <v>409</v>
      </c>
      <c r="I98">
        <v>12156966127.76</v>
      </c>
      <c r="J98" t="s">
        <v>415</v>
      </c>
      <c r="K98">
        <v>23203077.1277778</v>
      </c>
      <c r="L98">
        <v>0.5</v>
      </c>
      <c r="M98">
        <v>6078483063.8800001</v>
      </c>
      <c r="N98">
        <v>10622187049.91</v>
      </c>
      <c r="O98">
        <v>50101010</v>
      </c>
      <c r="P98">
        <v>5010</v>
      </c>
      <c r="Q98">
        <v>1.95111168937556</v>
      </c>
      <c r="R98">
        <v>1.5</v>
      </c>
      <c r="S98" t="s">
        <v>418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0.05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N98" t="s">
        <v>1653</v>
      </c>
      <c r="AO98">
        <v>0.05</v>
      </c>
      <c r="AP98">
        <v>0</v>
      </c>
      <c r="AQ98">
        <v>0</v>
      </c>
      <c r="AR98">
        <v>0</v>
      </c>
      <c r="AS98">
        <v>2.3140000000000001</v>
      </c>
      <c r="AT98">
        <v>2.9649999999999999</v>
      </c>
      <c r="AU98" t="s">
        <v>424</v>
      </c>
      <c r="AV98">
        <v>1</v>
      </c>
      <c r="AW98">
        <v>0</v>
      </c>
      <c r="AX98" t="s">
        <v>433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1670</v>
      </c>
      <c r="CH98" t="s">
        <v>1689</v>
      </c>
      <c r="CI98">
        <v>1.95111168937556</v>
      </c>
      <c r="CJ98">
        <v>1.5</v>
      </c>
      <c r="CK98">
        <v>1.7255558446877799</v>
      </c>
      <c r="CL98">
        <v>-0.18</v>
      </c>
      <c r="CM98">
        <v>1.54555584468778</v>
      </c>
    </row>
    <row r="99" spans="1:91" x14ac:dyDescent="0.25">
      <c r="A99">
        <v>210</v>
      </c>
      <c r="B99" t="s">
        <v>531</v>
      </c>
      <c r="C99" t="s">
        <v>930</v>
      </c>
      <c r="D99" t="s">
        <v>1329</v>
      </c>
      <c r="E99" t="s">
        <v>403</v>
      </c>
      <c r="F99">
        <v>16006063000</v>
      </c>
      <c r="G99">
        <v>5.4100200000000003</v>
      </c>
      <c r="H99" t="s">
        <v>413</v>
      </c>
      <c r="I99">
        <v>86593120951.26001</v>
      </c>
      <c r="J99" t="s">
        <v>416</v>
      </c>
      <c r="K99">
        <v>153841955.41591901</v>
      </c>
      <c r="L99">
        <v>1</v>
      </c>
      <c r="M99">
        <v>86593120951.26001</v>
      </c>
      <c r="N99">
        <v>897299891780</v>
      </c>
      <c r="O99">
        <v>60101000</v>
      </c>
      <c r="P99">
        <v>6010</v>
      </c>
      <c r="Q99">
        <v>3.3080794444478898</v>
      </c>
      <c r="R99">
        <v>1.5</v>
      </c>
      <c r="S99" t="s">
        <v>418</v>
      </c>
      <c r="T99" t="s">
        <v>422</v>
      </c>
      <c r="U99">
        <v>0</v>
      </c>
      <c r="V99">
        <v>0.01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0.85699999999999998</v>
      </c>
      <c r="AF99">
        <v>3.2000000000000002E-3</v>
      </c>
      <c r="AG99" t="s">
        <v>1654</v>
      </c>
      <c r="AH99">
        <v>0</v>
      </c>
      <c r="AI99" t="s">
        <v>1655</v>
      </c>
      <c r="AJ99" t="s">
        <v>1654</v>
      </c>
      <c r="AK99" t="s">
        <v>424</v>
      </c>
      <c r="AL99" t="s">
        <v>1655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2.3580000000000001</v>
      </c>
      <c r="AT99">
        <v>3.593</v>
      </c>
      <c r="AU99" t="s">
        <v>420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2.9754999999999998</v>
      </c>
      <c r="CG99" t="s">
        <v>1670</v>
      </c>
      <c r="CH99" t="s">
        <v>1690</v>
      </c>
      <c r="CI99">
        <v>3.3080794444478898</v>
      </c>
      <c r="CJ99">
        <v>1.5</v>
      </c>
      <c r="CK99">
        <v>2.4040397222239451</v>
      </c>
      <c r="CL99">
        <v>-0.18</v>
      </c>
      <c r="CM99">
        <v>2.224039722223945</v>
      </c>
    </row>
    <row r="100" spans="1:91" x14ac:dyDescent="0.25">
      <c r="A100">
        <v>211</v>
      </c>
      <c r="B100" t="s">
        <v>532</v>
      </c>
      <c r="C100" t="s">
        <v>931</v>
      </c>
      <c r="D100" t="s">
        <v>1330</v>
      </c>
      <c r="E100" t="s">
        <v>404</v>
      </c>
      <c r="F100">
        <v>1421624324</v>
      </c>
      <c r="G100">
        <v>6.8019999999999996</v>
      </c>
      <c r="H100" t="s">
        <v>409</v>
      </c>
      <c r="I100">
        <v>9669888651.8479996</v>
      </c>
      <c r="J100" t="s">
        <v>415</v>
      </c>
      <c r="K100">
        <v>111966595.383213</v>
      </c>
      <c r="L100">
        <v>0.70000000000000007</v>
      </c>
      <c r="M100">
        <v>6768922056.2936001</v>
      </c>
      <c r="N100">
        <v>55787381722.407997</v>
      </c>
      <c r="O100">
        <v>30101010</v>
      </c>
      <c r="P100">
        <v>3010</v>
      </c>
      <c r="Q100">
        <v>3.4</v>
      </c>
      <c r="R100">
        <v>3.1</v>
      </c>
      <c r="S100" t="s">
        <v>420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2.3929999999999998</v>
      </c>
      <c r="AT100">
        <v>3.008</v>
      </c>
      <c r="AU100" t="s">
        <v>430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2.7004999999999999</v>
      </c>
      <c r="CG100" t="s">
        <v>450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 x14ac:dyDescent="0.25">
      <c r="A101">
        <v>212</v>
      </c>
      <c r="B101" t="s">
        <v>135</v>
      </c>
      <c r="C101" t="s">
        <v>235</v>
      </c>
      <c r="D101" t="s">
        <v>335</v>
      </c>
      <c r="E101" t="s">
        <v>406</v>
      </c>
      <c r="F101">
        <v>86061900</v>
      </c>
      <c r="G101">
        <v>100.7996</v>
      </c>
      <c r="H101" t="s">
        <v>414</v>
      </c>
      <c r="I101">
        <v>8675005095.2399998</v>
      </c>
      <c r="J101" t="s">
        <v>416</v>
      </c>
      <c r="K101">
        <v>7565856.8700409401</v>
      </c>
      <c r="L101">
        <v>0.35</v>
      </c>
      <c r="M101">
        <v>3036251783.3340001</v>
      </c>
      <c r="N101">
        <v>1688620539.9000001</v>
      </c>
      <c r="O101">
        <v>30101010</v>
      </c>
      <c r="P101">
        <v>3010</v>
      </c>
      <c r="Q101">
        <v>2.7183589714236498</v>
      </c>
      <c r="R101">
        <v>2.08</v>
      </c>
      <c r="S101" t="s">
        <v>418</v>
      </c>
      <c r="T101" t="s">
        <v>422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2.3719999999999999</v>
      </c>
      <c r="AT101">
        <v>2.5950000000000002</v>
      </c>
      <c r="AU101" t="s">
        <v>430</v>
      </c>
      <c r="AV101">
        <v>0</v>
      </c>
      <c r="AW101">
        <v>0</v>
      </c>
      <c r="AX101" t="s">
        <v>446</v>
      </c>
      <c r="AY101">
        <v>0</v>
      </c>
      <c r="AZ101">
        <v>0</v>
      </c>
      <c r="BA101">
        <v>0</v>
      </c>
      <c r="CE101">
        <v>2.4834999999999998</v>
      </c>
      <c r="CG101" t="s">
        <v>450</v>
      </c>
      <c r="CI101">
        <v>2.7183589714236498</v>
      </c>
      <c r="CJ101">
        <v>2.08</v>
      </c>
      <c r="CK101">
        <v>2.3991794857118252</v>
      </c>
      <c r="CL101">
        <v>-0.18</v>
      </c>
      <c r="CM101">
        <v>2.219179485711825</v>
      </c>
    </row>
    <row r="102" spans="1:91" x14ac:dyDescent="0.25">
      <c r="A102">
        <v>214</v>
      </c>
      <c r="B102" t="s">
        <v>533</v>
      </c>
      <c r="C102" t="s">
        <v>932</v>
      </c>
      <c r="D102" t="s">
        <v>1331</v>
      </c>
      <c r="E102" t="s">
        <v>398</v>
      </c>
      <c r="F102">
        <v>144385380</v>
      </c>
      <c r="G102">
        <v>63.78</v>
      </c>
      <c r="H102" t="s">
        <v>409</v>
      </c>
      <c r="I102">
        <v>9208899536.3999996</v>
      </c>
      <c r="J102" t="s">
        <v>415</v>
      </c>
      <c r="K102">
        <v>14772640.9057377</v>
      </c>
      <c r="L102">
        <v>0.85</v>
      </c>
      <c r="M102">
        <v>7827564605.9399996</v>
      </c>
      <c r="N102">
        <v>6880107742.3800001</v>
      </c>
      <c r="O102">
        <v>55201000</v>
      </c>
      <c r="P102">
        <v>5520</v>
      </c>
      <c r="Q102">
        <v>3.38998095518081</v>
      </c>
      <c r="R102">
        <v>3.1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0.05</v>
      </c>
      <c r="AF102">
        <v>0</v>
      </c>
      <c r="AG102" t="s">
        <v>1653</v>
      </c>
      <c r="AH102">
        <v>0</v>
      </c>
      <c r="AI102" t="s">
        <v>424</v>
      </c>
      <c r="AJ102" t="s">
        <v>1653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2.492</v>
      </c>
      <c r="AT102">
        <v>3.3679999999999999</v>
      </c>
      <c r="AU102" t="s">
        <v>431</v>
      </c>
      <c r="AV102">
        <v>1</v>
      </c>
      <c r="AW102">
        <v>0</v>
      </c>
      <c r="AX102" t="s">
        <v>437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1670</v>
      </c>
      <c r="CH102" t="s">
        <v>1691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3.0649904775904049</v>
      </c>
    </row>
    <row r="103" spans="1:91" x14ac:dyDescent="0.25">
      <c r="A103">
        <v>215</v>
      </c>
      <c r="B103" t="s">
        <v>534</v>
      </c>
      <c r="C103" t="s">
        <v>933</v>
      </c>
      <c r="D103" t="s">
        <v>1332</v>
      </c>
      <c r="E103" t="s">
        <v>403</v>
      </c>
      <c r="F103">
        <v>823930970</v>
      </c>
      <c r="G103">
        <v>4.4755079999999996</v>
      </c>
      <c r="H103" t="s">
        <v>413</v>
      </c>
      <c r="I103">
        <v>3687509647.6827598</v>
      </c>
      <c r="J103" t="s">
        <v>416</v>
      </c>
      <c r="K103">
        <v>1563913.1787421501</v>
      </c>
      <c r="L103">
        <v>0.85</v>
      </c>
      <c r="M103">
        <v>3134383200.5303459</v>
      </c>
      <c r="N103">
        <v>39261134651.470001</v>
      </c>
      <c r="O103">
        <v>30202010</v>
      </c>
      <c r="P103">
        <v>3020</v>
      </c>
      <c r="S103" t="s">
        <v>424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2.0019999999999998</v>
      </c>
      <c r="AT103">
        <v>1.9470000000000001</v>
      </c>
      <c r="AU103" t="s">
        <v>430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1.9744999999999999</v>
      </c>
      <c r="CF103" t="s">
        <v>83</v>
      </c>
      <c r="CG103" t="s">
        <v>1670</v>
      </c>
      <c r="CH103" t="s">
        <v>83</v>
      </c>
      <c r="CI103">
        <v>3.4</v>
      </c>
      <c r="CJ103">
        <v>3.1</v>
      </c>
      <c r="CK103">
        <v>3.25</v>
      </c>
      <c r="CL103">
        <v>0.3</v>
      </c>
      <c r="CM103">
        <v>3.55</v>
      </c>
    </row>
    <row r="104" spans="1:91" x14ac:dyDescent="0.25">
      <c r="A104">
        <v>218</v>
      </c>
      <c r="B104" t="s">
        <v>535</v>
      </c>
      <c r="C104" t="s">
        <v>934</v>
      </c>
      <c r="D104" t="s">
        <v>1333</v>
      </c>
      <c r="E104" t="s">
        <v>403</v>
      </c>
      <c r="F104">
        <v>2205075000</v>
      </c>
      <c r="G104">
        <v>35.84516</v>
      </c>
      <c r="H104" t="s">
        <v>413</v>
      </c>
      <c r="I104">
        <v>79041266187</v>
      </c>
      <c r="J104" t="s">
        <v>416</v>
      </c>
      <c r="K104">
        <v>132061608.846582</v>
      </c>
      <c r="L104">
        <v>0.8</v>
      </c>
      <c r="M104">
        <v>63233012949.600014</v>
      </c>
      <c r="N104">
        <v>98893203600</v>
      </c>
      <c r="O104">
        <v>45103010</v>
      </c>
      <c r="P104">
        <v>4510</v>
      </c>
      <c r="Q104">
        <v>1.9628814264651</v>
      </c>
      <c r="R104">
        <v>2.39</v>
      </c>
      <c r="S104" t="s">
        <v>417</v>
      </c>
      <c r="T104" t="s">
        <v>422</v>
      </c>
      <c r="U104">
        <v>0.98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1.9830000000000001</v>
      </c>
      <c r="AT104">
        <v>3.1389999999999998</v>
      </c>
      <c r="AU104" t="s">
        <v>420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1665</v>
      </c>
      <c r="BG104" t="s">
        <v>1668</v>
      </c>
      <c r="CE104">
        <v>2.5609999999999999</v>
      </c>
      <c r="CG104" t="s">
        <v>1670</v>
      </c>
      <c r="CH104" t="s">
        <v>1692</v>
      </c>
      <c r="CI104">
        <v>1.9628814264651</v>
      </c>
      <c r="CJ104">
        <v>2.39</v>
      </c>
      <c r="CK104">
        <v>2.1764407132325498</v>
      </c>
      <c r="CL104">
        <v>-0.3</v>
      </c>
      <c r="CM104">
        <v>1.87644071323255</v>
      </c>
    </row>
    <row r="105" spans="1:91" x14ac:dyDescent="0.25">
      <c r="A105">
        <v>219</v>
      </c>
      <c r="B105" t="s">
        <v>536</v>
      </c>
      <c r="C105" t="s">
        <v>935</v>
      </c>
      <c r="D105" t="s">
        <v>1334</v>
      </c>
      <c r="E105" t="s">
        <v>403</v>
      </c>
      <c r="F105">
        <v>999154240</v>
      </c>
      <c r="G105">
        <v>4.3884629999999998</v>
      </c>
      <c r="H105" t="s">
        <v>413</v>
      </c>
      <c r="I105">
        <v>4384751413.5331202</v>
      </c>
      <c r="J105" t="s">
        <v>416</v>
      </c>
      <c r="K105">
        <v>12488362.472988101</v>
      </c>
      <c r="L105">
        <v>1</v>
      </c>
      <c r="M105">
        <v>4384751413.5331202</v>
      </c>
      <c r="N105">
        <v>56012586694.400002</v>
      </c>
      <c r="O105">
        <v>35102000</v>
      </c>
      <c r="P105">
        <v>3510</v>
      </c>
      <c r="Q105">
        <v>1.9949620053206301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2.6419999999999999</v>
      </c>
      <c r="AT105">
        <v>2.9609999999999999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2.8014999999999999</v>
      </c>
      <c r="CG105" t="s">
        <v>450</v>
      </c>
      <c r="CI105">
        <v>1.9949620053206301</v>
      </c>
      <c r="CJ105">
        <v>3.1</v>
      </c>
      <c r="CK105">
        <v>2.547481002660315</v>
      </c>
      <c r="CL105">
        <v>-0.18</v>
      </c>
      <c r="CM105">
        <v>2.3674810026603148</v>
      </c>
    </row>
    <row r="106" spans="1:91" x14ac:dyDescent="0.25">
      <c r="A106">
        <v>226</v>
      </c>
      <c r="B106" t="s">
        <v>537</v>
      </c>
      <c r="C106" t="s">
        <v>936</v>
      </c>
      <c r="D106" t="s">
        <v>1335</v>
      </c>
      <c r="E106" t="s">
        <v>404</v>
      </c>
      <c r="F106">
        <v>68000000</v>
      </c>
      <c r="G106">
        <v>126.6</v>
      </c>
      <c r="H106" t="s">
        <v>409</v>
      </c>
      <c r="I106">
        <v>8608800000</v>
      </c>
      <c r="J106" t="s">
        <v>415</v>
      </c>
      <c r="K106">
        <v>21164567.774590202</v>
      </c>
      <c r="L106">
        <v>0.5</v>
      </c>
      <c r="M106">
        <v>4304400000</v>
      </c>
      <c r="N106">
        <v>1906040000</v>
      </c>
      <c r="O106">
        <v>40204020</v>
      </c>
      <c r="P106">
        <v>4020</v>
      </c>
      <c r="Q106">
        <v>1.7390900627903201</v>
      </c>
      <c r="S106" t="s">
        <v>418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1.8169999999999999</v>
      </c>
      <c r="AT106">
        <v>2.6819999999999999</v>
      </c>
      <c r="AU106" t="s">
        <v>431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2.2494999999999998</v>
      </c>
      <c r="CG106" t="s">
        <v>450</v>
      </c>
      <c r="CI106">
        <v>1.7390900627903201</v>
      </c>
      <c r="CJ106">
        <v>3.1</v>
      </c>
      <c r="CK106">
        <v>2.4195450313951601</v>
      </c>
      <c r="CL106">
        <v>-0.18</v>
      </c>
      <c r="CM106">
        <v>2.2395450313951599</v>
      </c>
    </row>
    <row r="107" spans="1:91" x14ac:dyDescent="0.25">
      <c r="A107">
        <v>227</v>
      </c>
      <c r="B107" t="s">
        <v>538</v>
      </c>
      <c r="C107" t="s">
        <v>937</v>
      </c>
      <c r="D107" t="s">
        <v>1336</v>
      </c>
      <c r="E107" t="s">
        <v>403</v>
      </c>
      <c r="F107">
        <v>9956837000</v>
      </c>
      <c r="G107">
        <v>1.820668</v>
      </c>
      <c r="H107" t="s">
        <v>413</v>
      </c>
      <c r="I107">
        <v>18128094507.116001</v>
      </c>
      <c r="J107" t="s">
        <v>416</v>
      </c>
      <c r="K107">
        <v>22456253.843416799</v>
      </c>
      <c r="L107">
        <v>0.4</v>
      </c>
      <c r="M107">
        <v>7251237802.8464012</v>
      </c>
      <c r="N107">
        <v>223272112888</v>
      </c>
      <c r="O107">
        <v>15102015</v>
      </c>
      <c r="P107">
        <v>1510</v>
      </c>
      <c r="Q107">
        <v>2.3119389045162899</v>
      </c>
      <c r="R107">
        <v>2.39</v>
      </c>
      <c r="S107" t="s">
        <v>417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2.762</v>
      </c>
      <c r="AT107">
        <v>2.5619999999999998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2.6619999999999999</v>
      </c>
      <c r="CG107" t="s">
        <v>450</v>
      </c>
      <c r="CI107">
        <v>2.3119389045162899</v>
      </c>
      <c r="CJ107">
        <v>2.39</v>
      </c>
      <c r="CK107">
        <v>2.3509694522581448</v>
      </c>
      <c r="CL107">
        <v>-0.3</v>
      </c>
      <c r="CM107">
        <v>2.050969452258145</v>
      </c>
    </row>
    <row r="108" spans="1:91" x14ac:dyDescent="0.25">
      <c r="A108">
        <v>228</v>
      </c>
      <c r="B108" t="s">
        <v>188</v>
      </c>
      <c r="C108" t="s">
        <v>288</v>
      </c>
      <c r="D108" t="s">
        <v>388</v>
      </c>
      <c r="E108" t="s">
        <v>403</v>
      </c>
      <c r="F108">
        <v>329765630</v>
      </c>
      <c r="G108">
        <v>40.693019999999997</v>
      </c>
      <c r="H108" t="s">
        <v>413</v>
      </c>
      <c r="I108">
        <v>13419159376.902599</v>
      </c>
      <c r="J108" t="s">
        <v>416</v>
      </c>
      <c r="K108">
        <v>20420662.454890098</v>
      </c>
      <c r="L108">
        <v>1</v>
      </c>
      <c r="M108">
        <v>13419159376.902599</v>
      </c>
      <c r="N108">
        <v>18486661217.799999</v>
      </c>
      <c r="O108">
        <v>50203000</v>
      </c>
      <c r="P108">
        <v>5020</v>
      </c>
      <c r="Q108">
        <v>1.74632403309423</v>
      </c>
      <c r="R108">
        <v>2.39</v>
      </c>
      <c r="S108" t="s">
        <v>418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2.0009999999999999</v>
      </c>
      <c r="AT108">
        <v>2.996</v>
      </c>
      <c r="AU108" t="s">
        <v>431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2.4984999999999999</v>
      </c>
      <c r="CG108" t="s">
        <v>450</v>
      </c>
      <c r="CI108">
        <v>1.74632403309423</v>
      </c>
      <c r="CJ108">
        <v>2.39</v>
      </c>
      <c r="CK108">
        <v>2.0681620165471148</v>
      </c>
      <c r="CL108">
        <v>-0.18</v>
      </c>
      <c r="CM108">
        <v>1.8881620165471149</v>
      </c>
    </row>
    <row r="109" spans="1:91" x14ac:dyDescent="0.25">
      <c r="A109">
        <v>229</v>
      </c>
      <c r="B109" t="s">
        <v>539</v>
      </c>
      <c r="C109" t="s">
        <v>938</v>
      </c>
      <c r="D109" t="s">
        <v>1337</v>
      </c>
      <c r="E109" t="s">
        <v>403</v>
      </c>
      <c r="F109">
        <v>358583600</v>
      </c>
      <c r="G109">
        <v>12.85107</v>
      </c>
      <c r="H109" t="s">
        <v>413</v>
      </c>
      <c r="I109">
        <v>4608182944.4519997</v>
      </c>
      <c r="J109" t="s">
        <v>416</v>
      </c>
      <c r="K109">
        <v>15235019.3876136</v>
      </c>
      <c r="L109">
        <v>1</v>
      </c>
      <c r="M109">
        <v>4608182944.4519997</v>
      </c>
      <c r="N109">
        <v>20102196616</v>
      </c>
      <c r="O109">
        <v>40204020</v>
      </c>
      <c r="P109">
        <v>4020</v>
      </c>
      <c r="Q109">
        <v>1.73983973665924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2.5539999999999998</v>
      </c>
      <c r="AT109">
        <v>3.0510000000000002</v>
      </c>
      <c r="AU109" t="s">
        <v>420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2.8025000000000002</v>
      </c>
      <c r="CG109" t="s">
        <v>450</v>
      </c>
      <c r="CI109">
        <v>1.73983973665924</v>
      </c>
      <c r="CJ109">
        <v>3.1</v>
      </c>
      <c r="CK109">
        <v>2.4199198683296199</v>
      </c>
      <c r="CL109">
        <v>-0.24</v>
      </c>
      <c r="CM109">
        <v>2.1799198683296201</v>
      </c>
    </row>
    <row r="110" spans="1:91" x14ac:dyDescent="0.25">
      <c r="A110">
        <v>230</v>
      </c>
      <c r="B110" t="s">
        <v>540</v>
      </c>
      <c r="C110" t="s">
        <v>939</v>
      </c>
      <c r="D110" t="s">
        <v>1338</v>
      </c>
      <c r="E110" t="s">
        <v>394</v>
      </c>
      <c r="F110">
        <v>453871520</v>
      </c>
      <c r="G110">
        <v>30.94</v>
      </c>
      <c r="H110" t="s">
        <v>409</v>
      </c>
      <c r="I110">
        <v>14042784828.799999</v>
      </c>
      <c r="J110" t="s">
        <v>415</v>
      </c>
      <c r="K110">
        <v>31346418.276507899</v>
      </c>
      <c r="L110">
        <v>0.75</v>
      </c>
      <c r="M110">
        <v>10532088621.6</v>
      </c>
      <c r="N110">
        <v>19083028058.400002</v>
      </c>
      <c r="O110">
        <v>50205020</v>
      </c>
      <c r="P110">
        <v>5020</v>
      </c>
      <c r="Q110">
        <v>1.9554510967391101</v>
      </c>
      <c r="R110">
        <v>3.1</v>
      </c>
      <c r="S110" t="s">
        <v>417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0.01</v>
      </c>
      <c r="AE110">
        <v>0.15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N110" t="s">
        <v>1653</v>
      </c>
      <c r="AO110">
        <v>0.01</v>
      </c>
      <c r="AP110">
        <v>0</v>
      </c>
      <c r="AQ110">
        <v>0</v>
      </c>
      <c r="AR110">
        <v>0</v>
      </c>
      <c r="AS110">
        <v>2.4</v>
      </c>
      <c r="AT110">
        <v>2.8759999999999999</v>
      </c>
      <c r="AU110" t="s">
        <v>429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2.6379999999999999</v>
      </c>
      <c r="CG110" t="s">
        <v>1670</v>
      </c>
      <c r="CH110" t="s">
        <v>1680</v>
      </c>
      <c r="CI110">
        <v>1.9554510967391101</v>
      </c>
      <c r="CJ110">
        <v>3.1</v>
      </c>
      <c r="CK110">
        <v>2.5277255483695549</v>
      </c>
      <c r="CL110">
        <v>-0.3</v>
      </c>
      <c r="CM110">
        <v>2.2277255483695551</v>
      </c>
    </row>
    <row r="111" spans="1:91" x14ac:dyDescent="0.25">
      <c r="A111">
        <v>231</v>
      </c>
      <c r="B111" t="s">
        <v>541</v>
      </c>
      <c r="C111" t="s">
        <v>940</v>
      </c>
      <c r="D111" t="s">
        <v>1339</v>
      </c>
      <c r="E111" t="s">
        <v>403</v>
      </c>
      <c r="F111">
        <v>219421900</v>
      </c>
      <c r="G111">
        <v>14.77328</v>
      </c>
      <c r="H111" t="s">
        <v>413</v>
      </c>
      <c r="I111">
        <v>3241581166.8319998</v>
      </c>
      <c r="J111" t="s">
        <v>416</v>
      </c>
      <c r="K111">
        <v>1613213.2464775599</v>
      </c>
      <c r="L111">
        <v>0.9</v>
      </c>
      <c r="M111">
        <v>2917423050.1487999</v>
      </c>
      <c r="N111">
        <v>11070712542.6</v>
      </c>
      <c r="O111">
        <v>30202010</v>
      </c>
      <c r="P111">
        <v>3020</v>
      </c>
      <c r="Q111">
        <v>3.4</v>
      </c>
      <c r="S111" t="s">
        <v>424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 t="s">
        <v>1652</v>
      </c>
      <c r="AT111" t="s">
        <v>1652</v>
      </c>
      <c r="AU111" t="s">
        <v>430</v>
      </c>
      <c r="AV111">
        <v>0</v>
      </c>
      <c r="AW111">
        <v>0</v>
      </c>
      <c r="AX111" t="s">
        <v>1661</v>
      </c>
      <c r="AY111">
        <v>0</v>
      </c>
      <c r="AZ111">
        <v>0</v>
      </c>
      <c r="BA111">
        <v>0</v>
      </c>
      <c r="CG111" t="s">
        <v>450</v>
      </c>
      <c r="CI111">
        <v>3.4</v>
      </c>
      <c r="CJ111">
        <v>3.1</v>
      </c>
      <c r="CK111">
        <v>3.25</v>
      </c>
      <c r="CL111">
        <v>0.3</v>
      </c>
      <c r="CM111">
        <v>3.55</v>
      </c>
    </row>
    <row r="112" spans="1:91" x14ac:dyDescent="0.25">
      <c r="A112">
        <v>232</v>
      </c>
      <c r="B112" t="s">
        <v>542</v>
      </c>
      <c r="C112" t="s">
        <v>941</v>
      </c>
      <c r="D112" t="s">
        <v>1340</v>
      </c>
      <c r="E112" t="s">
        <v>404</v>
      </c>
      <c r="F112">
        <v>192626154</v>
      </c>
      <c r="G112">
        <v>43.34</v>
      </c>
      <c r="H112" t="s">
        <v>409</v>
      </c>
      <c r="I112">
        <v>8348417514.3600006</v>
      </c>
      <c r="J112" t="s">
        <v>415</v>
      </c>
      <c r="K112">
        <v>17802475.344590198</v>
      </c>
      <c r="L112">
        <v>0.4</v>
      </c>
      <c r="M112">
        <v>3339367005.744</v>
      </c>
      <c r="N112">
        <v>4319448877.2959995</v>
      </c>
      <c r="O112">
        <v>50101030</v>
      </c>
      <c r="P112">
        <v>5010</v>
      </c>
      <c r="S112" t="s">
        <v>418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1.859</v>
      </c>
      <c r="AT112">
        <v>2.4820000000000002</v>
      </c>
      <c r="AU112" t="s">
        <v>420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2.1705000000000001</v>
      </c>
      <c r="CG112" t="s">
        <v>450</v>
      </c>
      <c r="CI112">
        <v>3.4</v>
      </c>
      <c r="CJ112">
        <v>3.1</v>
      </c>
      <c r="CK112">
        <v>3.25</v>
      </c>
      <c r="CL112">
        <v>-0.18</v>
      </c>
      <c r="CM112">
        <v>3.07</v>
      </c>
    </row>
    <row r="113" spans="1:91" x14ac:dyDescent="0.25">
      <c r="A113">
        <v>234</v>
      </c>
      <c r="B113" t="s">
        <v>543</v>
      </c>
      <c r="C113" t="s">
        <v>942</v>
      </c>
      <c r="D113" t="s">
        <v>1341</v>
      </c>
      <c r="E113" t="s">
        <v>401</v>
      </c>
      <c r="F113">
        <v>7174938000</v>
      </c>
      <c r="G113">
        <v>6.4960000000000004</v>
      </c>
      <c r="H113" t="s">
        <v>409</v>
      </c>
      <c r="I113">
        <v>46608397248</v>
      </c>
      <c r="J113" t="s">
        <v>415</v>
      </c>
      <c r="K113">
        <v>56714187.6754127</v>
      </c>
      <c r="L113">
        <v>0.5</v>
      </c>
      <c r="M113">
        <v>23304198624</v>
      </c>
      <c r="N113">
        <v>201113512140</v>
      </c>
      <c r="O113">
        <v>30101010</v>
      </c>
      <c r="P113">
        <v>3010</v>
      </c>
      <c r="Q113">
        <v>3.3263230654218598</v>
      </c>
      <c r="S113" t="s">
        <v>419</v>
      </c>
      <c r="T113" t="s">
        <v>422</v>
      </c>
      <c r="U113">
        <v>0</v>
      </c>
      <c r="V113">
        <v>0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2.9020000000000001</v>
      </c>
      <c r="AT113">
        <v>2.9740000000000002</v>
      </c>
      <c r="AU113" t="s">
        <v>430</v>
      </c>
      <c r="AV113">
        <v>0</v>
      </c>
      <c r="AW113">
        <v>0</v>
      </c>
      <c r="AX113" t="s">
        <v>440</v>
      </c>
      <c r="AY113">
        <v>0</v>
      </c>
      <c r="AZ113">
        <v>0</v>
      </c>
      <c r="BA113">
        <v>0</v>
      </c>
      <c r="CE113">
        <v>2.9380000000000002</v>
      </c>
      <c r="CG113" t="s">
        <v>450</v>
      </c>
      <c r="CI113">
        <v>3.3263230654218598</v>
      </c>
      <c r="CJ113">
        <v>3.1</v>
      </c>
      <c r="CK113">
        <v>3.21316153271093</v>
      </c>
      <c r="CL113">
        <v>-0.24</v>
      </c>
      <c r="CM113">
        <v>2.9731615327109302</v>
      </c>
    </row>
    <row r="114" spans="1:91" x14ac:dyDescent="0.25">
      <c r="A114">
        <v>236</v>
      </c>
      <c r="B114" t="s">
        <v>544</v>
      </c>
      <c r="C114" t="s">
        <v>943</v>
      </c>
      <c r="D114" t="s">
        <v>1342</v>
      </c>
      <c r="E114" t="s">
        <v>404</v>
      </c>
      <c r="F114">
        <v>1231267738</v>
      </c>
      <c r="G114">
        <v>5.7</v>
      </c>
      <c r="H114" t="s">
        <v>409</v>
      </c>
      <c r="I114">
        <v>7018226106.6000004</v>
      </c>
      <c r="J114" t="s">
        <v>415</v>
      </c>
      <c r="K114">
        <v>44776209.1487213</v>
      </c>
      <c r="L114">
        <v>0.5</v>
      </c>
      <c r="M114">
        <v>3509113053.3000002</v>
      </c>
      <c r="N114">
        <v>34512434696.139999</v>
      </c>
      <c r="O114">
        <v>45101015</v>
      </c>
      <c r="P114">
        <v>4510</v>
      </c>
      <c r="Q114">
        <v>1.60969936166303</v>
      </c>
      <c r="S114" t="s">
        <v>418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1.9710000000000001</v>
      </c>
      <c r="AT114">
        <v>2.6190000000000002</v>
      </c>
      <c r="AU114" t="s">
        <v>420</v>
      </c>
      <c r="AV114">
        <v>1</v>
      </c>
      <c r="AW114">
        <v>0</v>
      </c>
      <c r="AX114" t="s">
        <v>445</v>
      </c>
      <c r="AY114">
        <v>0</v>
      </c>
      <c r="AZ114">
        <v>0</v>
      </c>
      <c r="BA114">
        <v>0</v>
      </c>
      <c r="CE114">
        <v>2.2949999999999999</v>
      </c>
      <c r="CG114" t="s">
        <v>450</v>
      </c>
      <c r="CI114">
        <v>1.60969936166303</v>
      </c>
      <c r="CJ114">
        <v>3.1</v>
      </c>
      <c r="CK114">
        <v>2.3548496808315149</v>
      </c>
      <c r="CL114">
        <v>-0.18</v>
      </c>
      <c r="CM114">
        <v>2.1748496808315152</v>
      </c>
    </row>
    <row r="115" spans="1:91" x14ac:dyDescent="0.25">
      <c r="A115">
        <v>242</v>
      </c>
      <c r="B115" t="s">
        <v>545</v>
      </c>
      <c r="C115" t="s">
        <v>944</v>
      </c>
      <c r="D115" t="s">
        <v>1343</v>
      </c>
      <c r="E115" t="s">
        <v>394</v>
      </c>
      <c r="F115">
        <v>171347471</v>
      </c>
      <c r="G115">
        <v>164</v>
      </c>
      <c r="H115" t="s">
        <v>409</v>
      </c>
      <c r="I115">
        <v>28100985244</v>
      </c>
      <c r="J115" t="s">
        <v>415</v>
      </c>
      <c r="K115">
        <v>75769727.640476197</v>
      </c>
      <c r="L115">
        <v>0.9</v>
      </c>
      <c r="M115">
        <v>25290886719.599998</v>
      </c>
      <c r="N115">
        <v>8645165301.8339996</v>
      </c>
      <c r="O115">
        <v>10101010</v>
      </c>
      <c r="P115">
        <v>1010</v>
      </c>
      <c r="Q115">
        <v>1.7441534969425401</v>
      </c>
      <c r="R115">
        <v>1.5</v>
      </c>
      <c r="S115" t="s">
        <v>417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423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2.859</v>
      </c>
      <c r="AT115">
        <v>3.5550000000000002</v>
      </c>
      <c r="AU115" t="s">
        <v>426</v>
      </c>
      <c r="AV115">
        <v>0</v>
      </c>
      <c r="AW115">
        <v>0</v>
      </c>
      <c r="AX115" t="s">
        <v>433</v>
      </c>
      <c r="AY115">
        <v>0</v>
      </c>
      <c r="AZ115">
        <v>0</v>
      </c>
      <c r="BA115">
        <v>0</v>
      </c>
      <c r="BK115" t="s">
        <v>62</v>
      </c>
      <c r="CE115">
        <v>3.2069999999999999</v>
      </c>
      <c r="CG115" t="s">
        <v>1670</v>
      </c>
      <c r="CH115" t="s">
        <v>62</v>
      </c>
      <c r="CI115">
        <v>1.7441534969425401</v>
      </c>
      <c r="CJ115">
        <v>1.5</v>
      </c>
      <c r="CK115">
        <v>1.6220767484712699</v>
      </c>
      <c r="CL115">
        <v>-0.3</v>
      </c>
      <c r="CM115">
        <v>1.3220767484712701</v>
      </c>
    </row>
    <row r="116" spans="1:91" x14ac:dyDescent="0.25">
      <c r="A116">
        <v>249</v>
      </c>
      <c r="B116" t="s">
        <v>546</v>
      </c>
      <c r="C116" t="s">
        <v>945</v>
      </c>
      <c r="D116" t="s">
        <v>1344</v>
      </c>
      <c r="E116" t="s">
        <v>402</v>
      </c>
      <c r="F116">
        <v>100557556</v>
      </c>
      <c r="G116">
        <v>117.959</v>
      </c>
      <c r="H116" t="s">
        <v>412</v>
      </c>
      <c r="I116">
        <v>11861668748.204</v>
      </c>
      <c r="J116" t="s">
        <v>416</v>
      </c>
      <c r="K116">
        <v>25662798.684428599</v>
      </c>
      <c r="L116">
        <v>0.95</v>
      </c>
      <c r="M116">
        <v>11268585310.7938</v>
      </c>
      <c r="N116">
        <v>5355393759.8920002</v>
      </c>
      <c r="O116">
        <v>45101010</v>
      </c>
      <c r="P116">
        <v>4510</v>
      </c>
      <c r="Q116">
        <v>2.72535870450786</v>
      </c>
      <c r="R116">
        <v>1.5</v>
      </c>
      <c r="S116" t="s">
        <v>418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1.9850000000000001</v>
      </c>
      <c r="AT116">
        <v>3.2629999999999999</v>
      </c>
      <c r="AU116" t="s">
        <v>420</v>
      </c>
      <c r="AV116">
        <v>1</v>
      </c>
      <c r="AW116">
        <v>0</v>
      </c>
      <c r="AX116" t="s">
        <v>441</v>
      </c>
      <c r="AY116">
        <v>0</v>
      </c>
      <c r="AZ116">
        <v>0</v>
      </c>
      <c r="BA116">
        <v>0</v>
      </c>
      <c r="CE116">
        <v>2.6240000000000001</v>
      </c>
      <c r="CG116" t="s">
        <v>450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1.9326793522539301</v>
      </c>
    </row>
    <row r="117" spans="1:91" x14ac:dyDescent="0.25">
      <c r="A117">
        <v>251</v>
      </c>
      <c r="B117" t="s">
        <v>547</v>
      </c>
      <c r="C117" t="s">
        <v>946</v>
      </c>
      <c r="D117" t="s">
        <v>1345</v>
      </c>
      <c r="E117" t="s">
        <v>394</v>
      </c>
      <c r="F117">
        <v>677969188</v>
      </c>
      <c r="G117">
        <v>12.51</v>
      </c>
      <c r="H117" t="s">
        <v>409</v>
      </c>
      <c r="I117">
        <v>8481394541.8800001</v>
      </c>
      <c r="J117" t="s">
        <v>415</v>
      </c>
      <c r="K117">
        <v>33314545.427579399</v>
      </c>
      <c r="L117">
        <v>0.85000000000000009</v>
      </c>
      <c r="M117">
        <v>7209185360.5980005</v>
      </c>
      <c r="N117">
        <v>32305909777.388</v>
      </c>
      <c r="O117">
        <v>45201010</v>
      </c>
      <c r="P117">
        <v>4520</v>
      </c>
      <c r="Q117">
        <v>1.99688767329008</v>
      </c>
      <c r="R117">
        <v>1.5</v>
      </c>
      <c r="S117" t="s">
        <v>418</v>
      </c>
      <c r="T117" t="s">
        <v>423</v>
      </c>
      <c r="U117">
        <v>0</v>
      </c>
      <c r="V117">
        <v>0.05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0.01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2.161</v>
      </c>
      <c r="AT117">
        <v>2.9249999999999998</v>
      </c>
      <c r="AU117" t="s">
        <v>431</v>
      </c>
      <c r="AV117">
        <v>1</v>
      </c>
      <c r="AW117">
        <v>0</v>
      </c>
      <c r="AX117" t="s">
        <v>433</v>
      </c>
      <c r="AY117">
        <v>0</v>
      </c>
      <c r="AZ117">
        <v>0</v>
      </c>
      <c r="BA117">
        <v>0</v>
      </c>
      <c r="BQ117" t="s">
        <v>68</v>
      </c>
      <c r="CE117">
        <v>2.5430000000000001</v>
      </c>
      <c r="CG117" t="s">
        <v>1670</v>
      </c>
      <c r="CH117" t="s">
        <v>68</v>
      </c>
      <c r="CI117">
        <v>1.99688767329008</v>
      </c>
      <c r="CJ117">
        <v>1.5</v>
      </c>
      <c r="CK117">
        <v>1.7484438366450401</v>
      </c>
      <c r="CL117">
        <v>-0.18</v>
      </c>
      <c r="CM117">
        <v>1.5684438366450399</v>
      </c>
    </row>
    <row r="118" spans="1:91" x14ac:dyDescent="0.25">
      <c r="A118">
        <v>254</v>
      </c>
      <c r="B118" t="s">
        <v>95</v>
      </c>
      <c r="C118" t="s">
        <v>195</v>
      </c>
      <c r="D118" t="s">
        <v>295</v>
      </c>
      <c r="E118" t="s">
        <v>395</v>
      </c>
      <c r="F118">
        <v>492601440</v>
      </c>
      <c r="G118">
        <v>10.556570000000001</v>
      </c>
      <c r="H118" t="s">
        <v>410</v>
      </c>
      <c r="I118">
        <v>5200181583.4608002</v>
      </c>
      <c r="J118" t="s">
        <v>416</v>
      </c>
      <c r="K118">
        <v>15217501.354249701</v>
      </c>
      <c r="L118">
        <v>0.9</v>
      </c>
      <c r="M118">
        <v>4680163425.1147203</v>
      </c>
      <c r="N118">
        <v>24853713053.759998</v>
      </c>
      <c r="O118">
        <v>35101010</v>
      </c>
      <c r="P118">
        <v>3510</v>
      </c>
      <c r="Q118">
        <v>1.9835888454470301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2.359</v>
      </c>
      <c r="AT118">
        <v>2.6629999999999998</v>
      </c>
      <c r="AU118" t="s">
        <v>425</v>
      </c>
      <c r="AV118">
        <v>1</v>
      </c>
      <c r="AW118">
        <v>1</v>
      </c>
      <c r="AX118" t="s">
        <v>434</v>
      </c>
      <c r="AY118">
        <v>0</v>
      </c>
      <c r="AZ118">
        <v>0</v>
      </c>
      <c r="BA118">
        <v>0</v>
      </c>
      <c r="CE118">
        <v>2.5110000000000001</v>
      </c>
      <c r="CG118" t="s">
        <v>450</v>
      </c>
      <c r="CI118">
        <v>1.9835888454470301</v>
      </c>
      <c r="CJ118">
        <v>3.1</v>
      </c>
      <c r="CK118">
        <v>2.5417944227235152</v>
      </c>
      <c r="CL118">
        <v>-0.3</v>
      </c>
      <c r="CM118">
        <v>2.2417944227235149</v>
      </c>
    </row>
    <row r="119" spans="1:91" x14ac:dyDescent="0.25">
      <c r="A119">
        <v>258</v>
      </c>
      <c r="B119" t="s">
        <v>548</v>
      </c>
      <c r="C119" t="s">
        <v>947</v>
      </c>
      <c r="D119" t="s">
        <v>1346</v>
      </c>
      <c r="E119" t="s">
        <v>401</v>
      </c>
      <c r="F119">
        <v>706475400</v>
      </c>
      <c r="G119">
        <v>31.76</v>
      </c>
      <c r="H119" t="s">
        <v>409</v>
      </c>
      <c r="I119">
        <v>22437658704</v>
      </c>
      <c r="J119" t="s">
        <v>415</v>
      </c>
      <c r="K119">
        <v>41901141.976885699</v>
      </c>
      <c r="L119">
        <v>0.85</v>
      </c>
      <c r="M119">
        <v>19072009898.400002</v>
      </c>
      <c r="N119">
        <v>33664259285.400002</v>
      </c>
      <c r="O119">
        <v>15102015</v>
      </c>
      <c r="P119">
        <v>1510</v>
      </c>
      <c r="Q119">
        <v>1.95381713589362</v>
      </c>
      <c r="S119" t="s">
        <v>417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2.464</v>
      </c>
      <c r="AT119">
        <v>3.2919999999999998</v>
      </c>
      <c r="AU119" t="s">
        <v>424</v>
      </c>
      <c r="AV119">
        <v>1</v>
      </c>
      <c r="AW119">
        <v>0</v>
      </c>
      <c r="AX119" t="s">
        <v>440</v>
      </c>
      <c r="AY119">
        <v>0</v>
      </c>
      <c r="AZ119">
        <v>0</v>
      </c>
      <c r="BA119">
        <v>0</v>
      </c>
      <c r="CE119">
        <v>2.8780000000000001</v>
      </c>
      <c r="CG119" t="s">
        <v>450</v>
      </c>
      <c r="CI119">
        <v>1.95381713589362</v>
      </c>
      <c r="CJ119">
        <v>3.1</v>
      </c>
      <c r="CK119">
        <v>2.5269085679468102</v>
      </c>
      <c r="CL119">
        <v>-0.3</v>
      </c>
      <c r="CM119">
        <v>2.2269085679468099</v>
      </c>
    </row>
    <row r="120" spans="1:91" x14ac:dyDescent="0.25">
      <c r="A120">
        <v>259</v>
      </c>
      <c r="B120" t="s">
        <v>549</v>
      </c>
      <c r="C120" t="s">
        <v>948</v>
      </c>
      <c r="D120" t="s">
        <v>1347</v>
      </c>
      <c r="E120" t="s">
        <v>406</v>
      </c>
      <c r="F120">
        <v>30000000</v>
      </c>
      <c r="G120">
        <v>100.0022</v>
      </c>
      <c r="H120" t="s">
        <v>414</v>
      </c>
      <c r="I120">
        <v>3000066000</v>
      </c>
      <c r="J120" t="s">
        <v>416</v>
      </c>
      <c r="K120">
        <v>6899526.1283943802</v>
      </c>
      <c r="L120">
        <v>1</v>
      </c>
      <c r="M120">
        <v>3000066000</v>
      </c>
      <c r="N120">
        <v>1681800000</v>
      </c>
      <c r="O120">
        <v>30101010</v>
      </c>
      <c r="P120">
        <v>3010</v>
      </c>
      <c r="Q120">
        <v>3.4</v>
      </c>
      <c r="S120" t="s">
        <v>424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2.125</v>
      </c>
      <c r="AT120">
        <v>3.0369999999999999</v>
      </c>
      <c r="AU120" t="s">
        <v>430</v>
      </c>
      <c r="AV120">
        <v>0</v>
      </c>
      <c r="AW120">
        <v>0</v>
      </c>
      <c r="AX120" t="s">
        <v>446</v>
      </c>
      <c r="AY120">
        <v>0</v>
      </c>
      <c r="AZ120">
        <v>0</v>
      </c>
      <c r="BA120">
        <v>0</v>
      </c>
      <c r="CE120">
        <v>2.581</v>
      </c>
      <c r="CG120" t="s">
        <v>450</v>
      </c>
      <c r="CI120">
        <v>3.4</v>
      </c>
      <c r="CJ120">
        <v>3.1</v>
      </c>
      <c r="CK120">
        <v>3.25</v>
      </c>
      <c r="CL120">
        <v>0.3</v>
      </c>
      <c r="CM120">
        <v>3.55</v>
      </c>
    </row>
    <row r="121" spans="1:91" x14ac:dyDescent="0.25">
      <c r="A121">
        <v>265</v>
      </c>
      <c r="B121" t="s">
        <v>550</v>
      </c>
      <c r="C121" t="s">
        <v>949</v>
      </c>
      <c r="D121" t="s">
        <v>1348</v>
      </c>
      <c r="E121" t="s">
        <v>403</v>
      </c>
      <c r="F121">
        <v>5050308000</v>
      </c>
      <c r="G121">
        <v>1.754176</v>
      </c>
      <c r="H121" t="s">
        <v>413</v>
      </c>
      <c r="I121">
        <v>8859129086.2080002</v>
      </c>
      <c r="J121" t="s">
        <v>416</v>
      </c>
      <c r="K121">
        <v>21723379.367348999</v>
      </c>
      <c r="L121">
        <v>1</v>
      </c>
      <c r="M121">
        <v>8859129086.2080002</v>
      </c>
      <c r="N121">
        <v>283120266480</v>
      </c>
      <c r="O121">
        <v>65102000</v>
      </c>
      <c r="P121">
        <v>6510</v>
      </c>
      <c r="Q121">
        <v>2.6222375806624898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0.36399999999999999</v>
      </c>
      <c r="AF121">
        <v>1.3599999999999999E-2</v>
      </c>
      <c r="AH121">
        <v>0</v>
      </c>
      <c r="AI121" t="s">
        <v>424</v>
      </c>
      <c r="AK121" t="s">
        <v>424</v>
      </c>
      <c r="AL121" t="s">
        <v>424</v>
      </c>
      <c r="AM121" t="s">
        <v>1655</v>
      </c>
      <c r="AN121" t="s">
        <v>1654</v>
      </c>
      <c r="AO121">
        <v>2.5999999999999999E-2</v>
      </c>
      <c r="AP121">
        <v>0</v>
      </c>
      <c r="AQ121">
        <v>0</v>
      </c>
      <c r="AR121">
        <v>0</v>
      </c>
      <c r="AS121">
        <v>2.7639999999999998</v>
      </c>
      <c r="AT121">
        <v>3.577</v>
      </c>
      <c r="AU121" t="s">
        <v>421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3.1705000000000001</v>
      </c>
      <c r="CG121" t="s">
        <v>1670</v>
      </c>
      <c r="CH121" t="s">
        <v>1693</v>
      </c>
      <c r="CI121">
        <v>2.6222375806624898</v>
      </c>
      <c r="CJ121">
        <v>3.1</v>
      </c>
      <c r="CK121">
        <v>2.8611187903312452</v>
      </c>
      <c r="CL121">
        <v>-0.18</v>
      </c>
      <c r="CM121">
        <v>2.681118790331245</v>
      </c>
    </row>
    <row r="122" spans="1:91" x14ac:dyDescent="0.25">
      <c r="A122">
        <v>280</v>
      </c>
      <c r="B122" t="s">
        <v>551</v>
      </c>
      <c r="C122" t="s">
        <v>950</v>
      </c>
      <c r="D122" t="s">
        <v>1349</v>
      </c>
      <c r="E122" t="s">
        <v>406</v>
      </c>
      <c r="F122">
        <v>537582100</v>
      </c>
      <c r="G122">
        <v>191.76390000000001</v>
      </c>
      <c r="H122" t="s">
        <v>414</v>
      </c>
      <c r="I122">
        <v>103088840066.19</v>
      </c>
      <c r="J122" t="s">
        <v>416</v>
      </c>
      <c r="K122">
        <v>192618578.12260699</v>
      </c>
      <c r="L122">
        <v>1</v>
      </c>
      <c r="M122">
        <v>103088840066.19</v>
      </c>
      <c r="N122">
        <v>30136852526</v>
      </c>
      <c r="O122">
        <v>40204030</v>
      </c>
      <c r="P122">
        <v>4020</v>
      </c>
      <c r="S122" t="s">
        <v>418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0.05</v>
      </c>
      <c r="AR122">
        <v>0.05</v>
      </c>
      <c r="AS122">
        <v>2.2709999999999999</v>
      </c>
      <c r="AT122">
        <v>2.8340000000000001</v>
      </c>
      <c r="AU122" t="s">
        <v>420</v>
      </c>
      <c r="AV122">
        <v>1</v>
      </c>
      <c r="AW122">
        <v>0</v>
      </c>
      <c r="AX122" t="s">
        <v>446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2.5525000000000002</v>
      </c>
      <c r="CG122" t="s">
        <v>1670</v>
      </c>
      <c r="CH122" t="s">
        <v>1694</v>
      </c>
      <c r="CI122">
        <v>3.4</v>
      </c>
      <c r="CJ122">
        <v>3.1</v>
      </c>
      <c r="CK122">
        <v>3.25</v>
      </c>
      <c r="CL122">
        <v>-0.18</v>
      </c>
      <c r="CM122">
        <v>3.07</v>
      </c>
    </row>
    <row r="123" spans="1:91" x14ac:dyDescent="0.25">
      <c r="A123">
        <v>299</v>
      </c>
      <c r="B123" t="s">
        <v>170</v>
      </c>
      <c r="C123" t="s">
        <v>270</v>
      </c>
      <c r="D123" t="s">
        <v>370</v>
      </c>
      <c r="E123" t="s">
        <v>403</v>
      </c>
      <c r="F123">
        <v>362188870</v>
      </c>
      <c r="G123">
        <v>39.991840000000003</v>
      </c>
      <c r="H123" t="s">
        <v>413</v>
      </c>
      <c r="I123">
        <v>14484599338.820801</v>
      </c>
      <c r="J123" t="s">
        <v>416</v>
      </c>
      <c r="K123">
        <v>14412050.783097999</v>
      </c>
      <c r="L123">
        <v>0.55000000000000004</v>
      </c>
      <c r="M123">
        <v>7966529636.3514414</v>
      </c>
      <c r="N123">
        <v>11167369428.709999</v>
      </c>
      <c r="O123">
        <v>45101020</v>
      </c>
      <c r="P123">
        <v>4510</v>
      </c>
      <c r="Q123">
        <v>1.7271705380618301</v>
      </c>
      <c r="R123">
        <v>1.5</v>
      </c>
      <c r="S123" t="s">
        <v>417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2.3450000000000002</v>
      </c>
      <c r="AT123">
        <v>2.57</v>
      </c>
      <c r="AU123" t="s">
        <v>420</v>
      </c>
      <c r="AV123">
        <v>1</v>
      </c>
      <c r="AW123">
        <v>0</v>
      </c>
      <c r="AX123" t="s">
        <v>446</v>
      </c>
      <c r="AY123">
        <v>0</v>
      </c>
      <c r="AZ123">
        <v>0</v>
      </c>
      <c r="BA123">
        <v>0</v>
      </c>
      <c r="CE123">
        <v>2.4575</v>
      </c>
      <c r="CG123" t="s">
        <v>450</v>
      </c>
      <c r="CI123">
        <v>1.7271705380618301</v>
      </c>
      <c r="CJ123">
        <v>1.5</v>
      </c>
      <c r="CK123">
        <v>1.6135852690309149</v>
      </c>
      <c r="CL123">
        <v>-0.3</v>
      </c>
      <c r="CM123">
        <v>1.3135852690309151</v>
      </c>
    </row>
    <row r="124" spans="1:91" x14ac:dyDescent="0.25">
      <c r="A124">
        <v>306</v>
      </c>
      <c r="B124" t="s">
        <v>552</v>
      </c>
      <c r="C124" t="s">
        <v>951</v>
      </c>
      <c r="D124" t="s">
        <v>1350</v>
      </c>
      <c r="E124" t="s">
        <v>402</v>
      </c>
      <c r="F124">
        <v>210200000</v>
      </c>
      <c r="G124">
        <v>107.1014</v>
      </c>
      <c r="H124" t="s">
        <v>412</v>
      </c>
      <c r="I124">
        <v>22512714280</v>
      </c>
      <c r="J124" t="s">
        <v>416</v>
      </c>
      <c r="K124">
        <v>21750532.031447802</v>
      </c>
      <c r="L124">
        <v>0.75</v>
      </c>
      <c r="M124">
        <v>16884535710</v>
      </c>
      <c r="N124">
        <v>8837859000</v>
      </c>
      <c r="O124">
        <v>20102015</v>
      </c>
      <c r="P124">
        <v>2010</v>
      </c>
      <c r="S124" t="s">
        <v>418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2.875</v>
      </c>
      <c r="AT124">
        <v>2.4889999999999999</v>
      </c>
      <c r="AU124" t="s">
        <v>420</v>
      </c>
      <c r="AV124">
        <v>1</v>
      </c>
      <c r="AW124">
        <v>0</v>
      </c>
      <c r="AX124" t="s">
        <v>441</v>
      </c>
      <c r="AY124">
        <v>0</v>
      </c>
      <c r="AZ124">
        <v>0</v>
      </c>
      <c r="BA124">
        <v>0</v>
      </c>
      <c r="CE124">
        <v>2.6819999999999999</v>
      </c>
      <c r="CG124" t="s">
        <v>450</v>
      </c>
      <c r="CI124">
        <v>3.4</v>
      </c>
      <c r="CJ124">
        <v>3.1</v>
      </c>
      <c r="CK124">
        <v>3.25</v>
      </c>
      <c r="CL124">
        <v>-0.18</v>
      </c>
      <c r="CM124">
        <v>3.07</v>
      </c>
    </row>
    <row r="125" spans="1:91" x14ac:dyDescent="0.25">
      <c r="A125">
        <v>309</v>
      </c>
      <c r="B125" t="s">
        <v>127</v>
      </c>
      <c r="C125" t="s">
        <v>227</v>
      </c>
      <c r="D125" t="s">
        <v>327</v>
      </c>
      <c r="E125" t="s">
        <v>398</v>
      </c>
      <c r="F125">
        <v>1184669100</v>
      </c>
      <c r="G125">
        <v>19.524999999999999</v>
      </c>
      <c r="H125" t="s">
        <v>409</v>
      </c>
      <c r="I125">
        <v>23130664177.5</v>
      </c>
      <c r="J125" t="s">
        <v>415</v>
      </c>
      <c r="K125">
        <v>92864872.3770082</v>
      </c>
      <c r="L125">
        <v>0.8</v>
      </c>
      <c r="M125">
        <v>18504531342</v>
      </c>
      <c r="N125">
        <v>53130039796.800003</v>
      </c>
      <c r="O125">
        <v>30101010</v>
      </c>
      <c r="P125">
        <v>3010</v>
      </c>
      <c r="Q125">
        <v>1.9118214423098601</v>
      </c>
      <c r="R125">
        <v>1.5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2.3889999999999998</v>
      </c>
      <c r="AT125">
        <v>2.794</v>
      </c>
      <c r="AU125" t="s">
        <v>430</v>
      </c>
      <c r="AV125">
        <v>0</v>
      </c>
      <c r="AW125">
        <v>0</v>
      </c>
      <c r="AX125" t="s">
        <v>437</v>
      </c>
      <c r="AY125">
        <v>0</v>
      </c>
      <c r="AZ125">
        <v>0</v>
      </c>
      <c r="BA125">
        <v>0</v>
      </c>
      <c r="CE125">
        <v>2.5914999999999999</v>
      </c>
      <c r="CG125" t="s">
        <v>450</v>
      </c>
      <c r="CI125">
        <v>1.9118214423098601</v>
      </c>
      <c r="CJ125">
        <v>1.5</v>
      </c>
      <c r="CK125">
        <v>1.70591072115493</v>
      </c>
      <c r="CL125">
        <v>-0.18</v>
      </c>
      <c r="CM125">
        <v>1.5259107211549301</v>
      </c>
    </row>
    <row r="126" spans="1:91" x14ac:dyDescent="0.25">
      <c r="A126">
        <v>311</v>
      </c>
      <c r="B126" t="s">
        <v>553</v>
      </c>
      <c r="C126" t="s">
        <v>952</v>
      </c>
      <c r="D126" t="s">
        <v>1351</v>
      </c>
      <c r="E126" t="s">
        <v>403</v>
      </c>
      <c r="F126">
        <v>1697430200</v>
      </c>
      <c r="G126">
        <v>33.77787</v>
      </c>
      <c r="H126" t="s">
        <v>413</v>
      </c>
      <c r="I126">
        <v>57335576629.674004</v>
      </c>
      <c r="J126" t="s">
        <v>416</v>
      </c>
      <c r="K126">
        <v>64523516.076364703</v>
      </c>
      <c r="L126">
        <v>1</v>
      </c>
      <c r="M126">
        <v>57335576629.674004</v>
      </c>
      <c r="N126">
        <v>357139314080</v>
      </c>
      <c r="O126">
        <v>40201060</v>
      </c>
      <c r="P126">
        <v>4020</v>
      </c>
      <c r="Q126">
        <v>1.99376491722917</v>
      </c>
      <c r="R126">
        <v>3.1</v>
      </c>
      <c r="S126" t="s">
        <v>418</v>
      </c>
      <c r="T126" t="s">
        <v>423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1.742</v>
      </c>
      <c r="AT126">
        <v>2.7650000000000001</v>
      </c>
      <c r="AU126" t="s">
        <v>1657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2.2534999999999998</v>
      </c>
      <c r="CG126" t="s">
        <v>450</v>
      </c>
      <c r="CI126">
        <v>1.99376491722917</v>
      </c>
      <c r="CJ126">
        <v>3.1</v>
      </c>
      <c r="CK126">
        <v>2.5468824586145851</v>
      </c>
      <c r="CL126">
        <v>-0.18</v>
      </c>
      <c r="CM126">
        <v>2.3668824586145849</v>
      </c>
    </row>
    <row r="127" spans="1:91" x14ac:dyDescent="0.25">
      <c r="A127">
        <v>321</v>
      </c>
      <c r="B127" t="s">
        <v>157</v>
      </c>
      <c r="C127" t="s">
        <v>257</v>
      </c>
      <c r="D127" t="s">
        <v>357</v>
      </c>
      <c r="E127" t="s">
        <v>398</v>
      </c>
      <c r="F127">
        <v>200005980</v>
      </c>
      <c r="G127">
        <v>69</v>
      </c>
      <c r="H127" t="s">
        <v>409</v>
      </c>
      <c r="I127">
        <v>13800412620</v>
      </c>
      <c r="J127" t="s">
        <v>415</v>
      </c>
      <c r="K127">
        <v>24556942.140819699</v>
      </c>
      <c r="L127">
        <v>0.55000000000000004</v>
      </c>
      <c r="M127">
        <v>7590226941.000001</v>
      </c>
      <c r="N127">
        <v>23144692005.599998</v>
      </c>
      <c r="O127">
        <v>40101025</v>
      </c>
      <c r="P127">
        <v>4010</v>
      </c>
      <c r="Q127">
        <v>1.99537761888822</v>
      </c>
      <c r="R127">
        <v>1.5</v>
      </c>
      <c r="S127" t="s">
        <v>419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2.4060000000000001</v>
      </c>
      <c r="AT127">
        <v>2.6320000000000001</v>
      </c>
      <c r="AU127" t="s">
        <v>420</v>
      </c>
      <c r="AV127">
        <v>1</v>
      </c>
      <c r="AW127">
        <v>0</v>
      </c>
      <c r="AX127" t="s">
        <v>437</v>
      </c>
      <c r="AY127">
        <v>0</v>
      </c>
      <c r="AZ127">
        <v>0</v>
      </c>
      <c r="BA127">
        <v>0</v>
      </c>
      <c r="CE127">
        <v>2.5190000000000001</v>
      </c>
      <c r="CG127" t="s">
        <v>450</v>
      </c>
      <c r="CI127">
        <v>1.99537761888822</v>
      </c>
      <c r="CJ127">
        <v>1.5</v>
      </c>
      <c r="CK127">
        <v>1.7476888094441101</v>
      </c>
      <c r="CL127">
        <v>-0.24</v>
      </c>
      <c r="CM127">
        <v>1.5076888094441101</v>
      </c>
    </row>
    <row r="128" spans="1:91" x14ac:dyDescent="0.25">
      <c r="A128">
        <v>322</v>
      </c>
      <c r="B128" t="s">
        <v>122</v>
      </c>
      <c r="C128" t="s">
        <v>222</v>
      </c>
      <c r="D128" t="s">
        <v>322</v>
      </c>
      <c r="E128" t="s">
        <v>403</v>
      </c>
      <c r="F128">
        <v>2049789600</v>
      </c>
      <c r="G128">
        <v>2.9909249999999998</v>
      </c>
      <c r="H128" t="s">
        <v>413</v>
      </c>
      <c r="I128">
        <v>6130766959.3800001</v>
      </c>
      <c r="J128" t="s">
        <v>416</v>
      </c>
      <c r="K128">
        <v>9155054.9499982595</v>
      </c>
      <c r="L128">
        <v>0.8</v>
      </c>
      <c r="M128">
        <v>4904613567.5040007</v>
      </c>
      <c r="N128">
        <v>345020585472</v>
      </c>
      <c r="O128">
        <v>20102015</v>
      </c>
      <c r="P128">
        <v>2010</v>
      </c>
      <c r="Q128">
        <v>1.97423180401412</v>
      </c>
      <c r="R128">
        <v>1.5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2.786</v>
      </c>
      <c r="AT128">
        <v>3.0009999999999999</v>
      </c>
      <c r="AU128" t="s">
        <v>420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450</v>
      </c>
      <c r="CI128">
        <v>1.97423180401412</v>
      </c>
      <c r="CJ128">
        <v>1.5</v>
      </c>
      <c r="CK128">
        <v>1.7371159020070599</v>
      </c>
      <c r="CL128">
        <v>-0.18</v>
      </c>
      <c r="CM128">
        <v>1.55711590200706</v>
      </c>
    </row>
    <row r="129" spans="1:91" x14ac:dyDescent="0.25">
      <c r="A129">
        <v>335</v>
      </c>
      <c r="B129" t="s">
        <v>554</v>
      </c>
      <c r="C129" t="s">
        <v>953</v>
      </c>
      <c r="D129" t="s">
        <v>1352</v>
      </c>
      <c r="E129" t="s">
        <v>398</v>
      </c>
      <c r="F129">
        <v>189000000</v>
      </c>
      <c r="G129">
        <v>58.7</v>
      </c>
      <c r="H129" t="s">
        <v>409</v>
      </c>
      <c r="I129">
        <v>11094300000</v>
      </c>
      <c r="J129" t="s">
        <v>415</v>
      </c>
      <c r="K129">
        <v>15370226.237376999</v>
      </c>
      <c r="L129">
        <v>0.9</v>
      </c>
      <c r="M129">
        <v>9984870000</v>
      </c>
      <c r="N129">
        <v>35789040000</v>
      </c>
      <c r="O129">
        <v>55201020</v>
      </c>
      <c r="P129">
        <v>5520</v>
      </c>
      <c r="Q129">
        <v>3.4</v>
      </c>
      <c r="R129">
        <v>3.01</v>
      </c>
      <c r="S129" t="s">
        <v>420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2.5539999999999998</v>
      </c>
      <c r="AT129">
        <v>2.633</v>
      </c>
      <c r="AU129" t="s">
        <v>420</v>
      </c>
      <c r="AV129">
        <v>1</v>
      </c>
      <c r="AW129">
        <v>0</v>
      </c>
      <c r="AX129" t="s">
        <v>437</v>
      </c>
      <c r="AY129">
        <v>0</v>
      </c>
      <c r="AZ129">
        <v>0</v>
      </c>
      <c r="BA129">
        <v>0</v>
      </c>
      <c r="CE129">
        <v>2.5935000000000001</v>
      </c>
      <c r="CG129" t="s">
        <v>450</v>
      </c>
      <c r="CI129">
        <v>3.4</v>
      </c>
      <c r="CJ129">
        <v>3.01</v>
      </c>
      <c r="CK129">
        <v>3.2050000000000001</v>
      </c>
      <c r="CL129">
        <v>0</v>
      </c>
      <c r="CM129">
        <v>3.2050000000000001</v>
      </c>
    </row>
    <row r="130" spans="1:91" x14ac:dyDescent="0.25">
      <c r="A130">
        <v>337</v>
      </c>
      <c r="B130" t="s">
        <v>555</v>
      </c>
      <c r="C130" t="s">
        <v>954</v>
      </c>
      <c r="D130" t="s">
        <v>1353</v>
      </c>
      <c r="E130" t="s">
        <v>403</v>
      </c>
      <c r="F130">
        <v>54295612</v>
      </c>
      <c r="G130">
        <v>59.60089</v>
      </c>
      <c r="H130" t="s">
        <v>413</v>
      </c>
      <c r="I130">
        <v>3236066798.2946801</v>
      </c>
      <c r="J130" t="s">
        <v>416</v>
      </c>
      <c r="K130">
        <v>4656583.6078323498</v>
      </c>
      <c r="L130">
        <v>1</v>
      </c>
      <c r="M130">
        <v>3236066798.2946801</v>
      </c>
      <c r="N130">
        <v>11423796764.799999</v>
      </c>
      <c r="O130">
        <v>45102020</v>
      </c>
      <c r="P130">
        <v>4510</v>
      </c>
      <c r="Q130">
        <v>1.9863210229255801</v>
      </c>
      <c r="R130">
        <v>1.77</v>
      </c>
      <c r="S130" t="s">
        <v>418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D130">
        <v>0</v>
      </c>
      <c r="AE130">
        <v>0</v>
      </c>
      <c r="AF130">
        <v>0</v>
      </c>
      <c r="AH130">
        <v>0</v>
      </c>
      <c r="AI130" t="s">
        <v>424</v>
      </c>
      <c r="AK130" t="s">
        <v>424</v>
      </c>
      <c r="AL130" t="s">
        <v>424</v>
      </c>
      <c r="AM130" t="s">
        <v>424</v>
      </c>
      <c r="AO130">
        <v>0</v>
      </c>
      <c r="AP130">
        <v>0</v>
      </c>
      <c r="AQ130">
        <v>0</v>
      </c>
      <c r="AR130">
        <v>0</v>
      </c>
      <c r="AS130">
        <v>2.1629999999999998</v>
      </c>
      <c r="AT130">
        <v>3.1230000000000002</v>
      </c>
      <c r="AU130" t="s">
        <v>420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2.6429999999999998</v>
      </c>
      <c r="CG130" t="s">
        <v>450</v>
      </c>
      <c r="CI130">
        <v>1.9863210229255801</v>
      </c>
      <c r="CJ130">
        <v>1.77</v>
      </c>
      <c r="CK130">
        <v>1.8781605114627899</v>
      </c>
      <c r="CL130">
        <v>-0.18</v>
      </c>
      <c r="CM130">
        <v>1.69816051146279</v>
      </c>
    </row>
    <row r="131" spans="1:91" x14ac:dyDescent="0.25">
      <c r="A131">
        <v>338</v>
      </c>
      <c r="B131" t="s">
        <v>133</v>
      </c>
      <c r="C131" t="s">
        <v>233</v>
      </c>
      <c r="D131" t="s">
        <v>333</v>
      </c>
      <c r="E131" t="s">
        <v>394</v>
      </c>
      <c r="F131">
        <v>3025902350</v>
      </c>
      <c r="G131">
        <v>15.64</v>
      </c>
      <c r="H131" t="s">
        <v>409</v>
      </c>
      <c r="I131">
        <v>47325112754</v>
      </c>
      <c r="J131" t="s">
        <v>415</v>
      </c>
      <c r="K131">
        <v>92791251.722857103</v>
      </c>
      <c r="L131">
        <v>0.3</v>
      </c>
      <c r="M131">
        <v>14197533826.200001</v>
      </c>
      <c r="N131">
        <v>190994956332</v>
      </c>
      <c r="O131">
        <v>30101010</v>
      </c>
      <c r="P131">
        <v>3010</v>
      </c>
      <c r="Q131">
        <v>3.2733333333333299</v>
      </c>
      <c r="R131">
        <v>1.5</v>
      </c>
      <c r="S131" t="s">
        <v>419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2.1840000000000002</v>
      </c>
      <c r="AT131">
        <v>2.8410000000000002</v>
      </c>
      <c r="AU131" t="s">
        <v>430</v>
      </c>
      <c r="AV131">
        <v>0</v>
      </c>
      <c r="AW131">
        <v>0</v>
      </c>
      <c r="AX131" t="s">
        <v>433</v>
      </c>
      <c r="AY131">
        <v>0</v>
      </c>
      <c r="AZ131">
        <v>0</v>
      </c>
      <c r="BA131">
        <v>0</v>
      </c>
      <c r="CE131">
        <v>2.5125000000000002</v>
      </c>
      <c r="CG131" t="s">
        <v>450</v>
      </c>
      <c r="CI131">
        <v>3.2733333333333299</v>
      </c>
      <c r="CJ131">
        <v>1.5</v>
      </c>
      <c r="CK131">
        <v>2.3866666666666649</v>
      </c>
      <c r="CL131">
        <v>-0.24</v>
      </c>
      <c r="CM131">
        <v>2.1466666666666652</v>
      </c>
    </row>
    <row r="132" spans="1:91" x14ac:dyDescent="0.25">
      <c r="A132">
        <v>341</v>
      </c>
      <c r="B132" t="s">
        <v>556</v>
      </c>
      <c r="C132" t="s">
        <v>955</v>
      </c>
      <c r="D132" t="s">
        <v>1354</v>
      </c>
      <c r="E132" t="s">
        <v>403</v>
      </c>
      <c r="F132">
        <v>139635440</v>
      </c>
      <c r="G132">
        <v>38.625729999999997</v>
      </c>
      <c r="H132" t="s">
        <v>413</v>
      </c>
      <c r="I132">
        <v>5393520803.8711996</v>
      </c>
      <c r="J132" t="s">
        <v>416</v>
      </c>
      <c r="K132">
        <v>13931708.9106241</v>
      </c>
      <c r="L132">
        <v>0.9</v>
      </c>
      <c r="M132">
        <v>4854168723.4840794</v>
      </c>
      <c r="N132">
        <v>26441366918.400002</v>
      </c>
      <c r="O132">
        <v>55201000</v>
      </c>
      <c r="P132">
        <v>5520</v>
      </c>
      <c r="Q132">
        <v>1.95739384437404</v>
      </c>
      <c r="R132">
        <v>3.01</v>
      </c>
      <c r="S132" t="s">
        <v>419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2.4449999999999998</v>
      </c>
      <c r="AT132">
        <v>3.11</v>
      </c>
      <c r="AU132" t="s">
        <v>420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2.7774999999999999</v>
      </c>
      <c r="CG132" t="s">
        <v>450</v>
      </c>
      <c r="CI132">
        <v>1.95739384437404</v>
      </c>
      <c r="CJ132">
        <v>3.01</v>
      </c>
      <c r="CK132">
        <v>2.4836969221870202</v>
      </c>
      <c r="CL132">
        <v>-0.24</v>
      </c>
      <c r="CM132">
        <v>2.24369692218702</v>
      </c>
    </row>
    <row r="133" spans="1:91" x14ac:dyDescent="0.25">
      <c r="A133">
        <v>346</v>
      </c>
      <c r="B133" t="s">
        <v>557</v>
      </c>
      <c r="C133" t="s">
        <v>956</v>
      </c>
      <c r="D133" t="s">
        <v>1355</v>
      </c>
      <c r="E133" t="s">
        <v>398</v>
      </c>
      <c r="F133">
        <v>96000000</v>
      </c>
      <c r="G133">
        <v>104.1</v>
      </c>
      <c r="H133" t="s">
        <v>409</v>
      </c>
      <c r="I133">
        <v>9993600000</v>
      </c>
      <c r="J133" t="s">
        <v>415</v>
      </c>
      <c r="K133">
        <v>11613082.650409799</v>
      </c>
      <c r="L133">
        <v>0.6</v>
      </c>
      <c r="M133">
        <v>5996160000</v>
      </c>
      <c r="N133">
        <v>12119040000</v>
      </c>
      <c r="O133">
        <v>40301010</v>
      </c>
      <c r="P133">
        <v>4030</v>
      </c>
      <c r="Q133">
        <v>3.4</v>
      </c>
      <c r="S133" t="s">
        <v>424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1.5389999999999999</v>
      </c>
      <c r="AT133">
        <v>1.4450000000000001</v>
      </c>
      <c r="AU133" t="s">
        <v>1658</v>
      </c>
      <c r="AV133">
        <v>0</v>
      </c>
      <c r="AW133">
        <v>0</v>
      </c>
      <c r="AX133" t="s">
        <v>437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1670</v>
      </c>
      <c r="CH133" t="s">
        <v>83</v>
      </c>
      <c r="CI133">
        <v>3.4</v>
      </c>
      <c r="CJ133">
        <v>3.1</v>
      </c>
      <c r="CK133">
        <v>3.25</v>
      </c>
      <c r="CL133">
        <v>0.3</v>
      </c>
      <c r="CM133">
        <v>3.55</v>
      </c>
    </row>
    <row r="134" spans="1:91" x14ac:dyDescent="0.25">
      <c r="A134">
        <v>348</v>
      </c>
      <c r="B134" t="s">
        <v>558</v>
      </c>
      <c r="C134" t="s">
        <v>957</v>
      </c>
      <c r="D134" t="s">
        <v>1356</v>
      </c>
      <c r="E134" t="s">
        <v>396</v>
      </c>
      <c r="F134">
        <v>1062984492</v>
      </c>
      <c r="G134">
        <v>23.24</v>
      </c>
      <c r="H134" t="s">
        <v>409</v>
      </c>
      <c r="I134">
        <v>24703759594.080002</v>
      </c>
      <c r="J134" t="s">
        <v>415</v>
      </c>
      <c r="K134">
        <v>18722175.1288095</v>
      </c>
      <c r="L134">
        <v>0.25</v>
      </c>
      <c r="M134">
        <v>6175939898.5200005</v>
      </c>
      <c r="N134">
        <v>55912984279.199997</v>
      </c>
      <c r="O134">
        <v>30202010</v>
      </c>
      <c r="P134">
        <v>3020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 t="s">
        <v>1652</v>
      </c>
      <c r="AT134" t="s">
        <v>1652</v>
      </c>
      <c r="AU134" t="s">
        <v>430</v>
      </c>
      <c r="AV134">
        <v>0</v>
      </c>
      <c r="AW134">
        <v>0</v>
      </c>
      <c r="AX134" t="s">
        <v>448</v>
      </c>
      <c r="AY134">
        <v>0</v>
      </c>
      <c r="AZ134">
        <v>0</v>
      </c>
      <c r="BA134">
        <v>0</v>
      </c>
      <c r="CG134" t="s">
        <v>450</v>
      </c>
      <c r="CI134">
        <v>3.4</v>
      </c>
      <c r="CJ134">
        <v>3.1</v>
      </c>
      <c r="CK134">
        <v>3.25</v>
      </c>
      <c r="CL134">
        <v>0.3</v>
      </c>
      <c r="CM134">
        <v>3.55</v>
      </c>
    </row>
    <row r="135" spans="1:91" x14ac:dyDescent="0.25">
      <c r="A135">
        <v>358</v>
      </c>
      <c r="B135" t="s">
        <v>559</v>
      </c>
      <c r="C135" t="s">
        <v>958</v>
      </c>
      <c r="D135" t="s">
        <v>1357</v>
      </c>
      <c r="E135" t="s">
        <v>398</v>
      </c>
      <c r="F135">
        <v>791868300</v>
      </c>
      <c r="G135">
        <v>41.55</v>
      </c>
      <c r="H135" t="s">
        <v>409</v>
      </c>
      <c r="I135">
        <v>32902127865</v>
      </c>
      <c r="J135" t="s">
        <v>415</v>
      </c>
      <c r="K135">
        <v>48774963.215819702</v>
      </c>
      <c r="L135">
        <v>0.6</v>
      </c>
      <c r="M135">
        <v>19741276719</v>
      </c>
      <c r="N135">
        <v>99965454192</v>
      </c>
      <c r="O135">
        <v>50206015</v>
      </c>
      <c r="P135">
        <v>5020</v>
      </c>
      <c r="S135" t="s">
        <v>418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2.5630000000000002</v>
      </c>
      <c r="AT135">
        <v>3.1709999999999998</v>
      </c>
      <c r="AU135" t="s">
        <v>420</v>
      </c>
      <c r="AV135">
        <v>1</v>
      </c>
      <c r="AW135">
        <v>0</v>
      </c>
      <c r="AX135" t="s">
        <v>437</v>
      </c>
      <c r="AY135">
        <v>0</v>
      </c>
      <c r="AZ135">
        <v>0</v>
      </c>
      <c r="BA135">
        <v>0</v>
      </c>
      <c r="CE135">
        <v>2.867</v>
      </c>
      <c r="CG135" t="s">
        <v>450</v>
      </c>
      <c r="CI135">
        <v>3.4</v>
      </c>
      <c r="CJ135">
        <v>3.1</v>
      </c>
      <c r="CK135">
        <v>3.25</v>
      </c>
      <c r="CL135">
        <v>-0.18</v>
      </c>
      <c r="CM135">
        <v>3.07</v>
      </c>
    </row>
    <row r="136" spans="1:91" x14ac:dyDescent="0.25">
      <c r="A136">
        <v>364</v>
      </c>
      <c r="B136" t="s">
        <v>171</v>
      </c>
      <c r="C136" t="s">
        <v>271</v>
      </c>
      <c r="D136" t="s">
        <v>371</v>
      </c>
      <c r="E136" t="s">
        <v>394</v>
      </c>
      <c r="F136">
        <v>679553991</v>
      </c>
      <c r="G136">
        <v>68.48</v>
      </c>
      <c r="H136" t="s">
        <v>409</v>
      </c>
      <c r="I136">
        <v>46535857303.68</v>
      </c>
      <c r="J136" t="s">
        <v>415</v>
      </c>
      <c r="K136">
        <v>73768688.648571402</v>
      </c>
      <c r="L136">
        <v>0.95000000000000007</v>
      </c>
      <c r="M136">
        <v>44209064438.496002</v>
      </c>
      <c r="N136">
        <v>135829251721.08</v>
      </c>
      <c r="O136">
        <v>45102020</v>
      </c>
      <c r="P136">
        <v>4510</v>
      </c>
      <c r="Q136">
        <v>1.7387876622748</v>
      </c>
      <c r="R136">
        <v>1.5</v>
      </c>
      <c r="S136" t="s">
        <v>417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2.4980000000000002</v>
      </c>
      <c r="AT136">
        <v>2.8370000000000002</v>
      </c>
      <c r="AU136" t="s">
        <v>420</v>
      </c>
      <c r="AV136">
        <v>1</v>
      </c>
      <c r="AW136">
        <v>0</v>
      </c>
      <c r="AX136" t="s">
        <v>433</v>
      </c>
      <c r="AY136">
        <v>0</v>
      </c>
      <c r="AZ136">
        <v>0</v>
      </c>
      <c r="BA136">
        <v>0</v>
      </c>
      <c r="CE136">
        <v>2.6675</v>
      </c>
      <c r="CG136" t="s">
        <v>450</v>
      </c>
      <c r="CI136">
        <v>1.7387876622748</v>
      </c>
      <c r="CJ136">
        <v>1.5</v>
      </c>
      <c r="CK136">
        <v>1.6193938311374001</v>
      </c>
      <c r="CL136">
        <v>-0.3</v>
      </c>
      <c r="CM136">
        <v>1.3193938311374001</v>
      </c>
    </row>
    <row r="137" spans="1:91" x14ac:dyDescent="0.25">
      <c r="A137">
        <v>365</v>
      </c>
      <c r="B137" t="s">
        <v>560</v>
      </c>
      <c r="C137" t="s">
        <v>959</v>
      </c>
      <c r="D137" t="s">
        <v>1358</v>
      </c>
      <c r="E137" t="s">
        <v>402</v>
      </c>
      <c r="F137">
        <v>862184630</v>
      </c>
      <c r="G137">
        <v>31.647870000000001</v>
      </c>
      <c r="H137" t="s">
        <v>412</v>
      </c>
      <c r="I137">
        <v>27286307086.238098</v>
      </c>
      <c r="J137" t="s">
        <v>416</v>
      </c>
      <c r="K137">
        <v>35639717.664424598</v>
      </c>
      <c r="L137">
        <v>0.8</v>
      </c>
      <c r="M137">
        <v>21829045668.990479</v>
      </c>
      <c r="N137">
        <v>145122916921.60001</v>
      </c>
      <c r="O137">
        <v>30101010</v>
      </c>
      <c r="P137">
        <v>3010</v>
      </c>
      <c r="Q137">
        <v>3.14451855129867</v>
      </c>
      <c r="R137">
        <v>3.1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2.302</v>
      </c>
      <c r="AT137">
        <v>2.782</v>
      </c>
      <c r="AU137" t="s">
        <v>430</v>
      </c>
      <c r="AV137">
        <v>0</v>
      </c>
      <c r="AW137">
        <v>0</v>
      </c>
      <c r="AX137" t="s">
        <v>441</v>
      </c>
      <c r="AY137">
        <v>0</v>
      </c>
      <c r="AZ137">
        <v>0</v>
      </c>
      <c r="BA137">
        <v>0</v>
      </c>
      <c r="CE137">
        <v>2.5419999999999998</v>
      </c>
      <c r="CG137" t="s">
        <v>450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2.9422592756493349</v>
      </c>
    </row>
    <row r="138" spans="1:91" x14ac:dyDescent="0.25">
      <c r="A138">
        <v>367</v>
      </c>
      <c r="B138" t="s">
        <v>561</v>
      </c>
      <c r="C138" t="s">
        <v>960</v>
      </c>
      <c r="D138" t="s">
        <v>1359</v>
      </c>
      <c r="E138" t="s">
        <v>394</v>
      </c>
      <c r="F138">
        <v>78595561</v>
      </c>
      <c r="G138">
        <v>234</v>
      </c>
      <c r="H138" t="s">
        <v>409</v>
      </c>
      <c r="I138">
        <v>18391361274</v>
      </c>
      <c r="J138" t="s">
        <v>415</v>
      </c>
      <c r="K138">
        <v>8041745.4722222202</v>
      </c>
      <c r="L138">
        <v>0.25</v>
      </c>
      <c r="M138">
        <v>4597840318.5</v>
      </c>
      <c r="N138">
        <v>4134126508.5999999</v>
      </c>
      <c r="O138">
        <v>50201010</v>
      </c>
      <c r="P138">
        <v>5020</v>
      </c>
      <c r="Q138">
        <v>3.4</v>
      </c>
      <c r="S138" t="s">
        <v>424</v>
      </c>
      <c r="T138" t="s">
        <v>423</v>
      </c>
      <c r="U138">
        <v>0</v>
      </c>
      <c r="V138">
        <v>0</v>
      </c>
      <c r="W138" t="s">
        <v>422</v>
      </c>
      <c r="X138" t="s">
        <v>422</v>
      </c>
      <c r="Y138" t="s">
        <v>423</v>
      </c>
      <c r="Z138" t="s">
        <v>423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1.7230000000000001</v>
      </c>
      <c r="AT138">
        <v>2.3740000000000001</v>
      </c>
      <c r="AU138" t="s">
        <v>420</v>
      </c>
      <c r="AV138">
        <v>1</v>
      </c>
      <c r="AW138">
        <v>0</v>
      </c>
      <c r="AX138" t="s">
        <v>433</v>
      </c>
      <c r="AY138">
        <v>0</v>
      </c>
      <c r="AZ138">
        <v>0</v>
      </c>
      <c r="BA138">
        <v>0</v>
      </c>
      <c r="BE138" t="s">
        <v>1663</v>
      </c>
      <c r="BK138" t="s">
        <v>62</v>
      </c>
      <c r="BL138" t="s">
        <v>63</v>
      </c>
      <c r="CE138">
        <v>2.0485000000000002</v>
      </c>
      <c r="CF138" t="s">
        <v>83</v>
      </c>
      <c r="CG138" t="s">
        <v>1670</v>
      </c>
      <c r="CH138" t="s">
        <v>1695</v>
      </c>
      <c r="CI138">
        <v>3.4</v>
      </c>
      <c r="CJ138">
        <v>3.1</v>
      </c>
      <c r="CK138">
        <v>3.25</v>
      </c>
      <c r="CL138">
        <v>0.3</v>
      </c>
      <c r="CM138">
        <v>3.55</v>
      </c>
    </row>
    <row r="139" spans="1:91" x14ac:dyDescent="0.25">
      <c r="A139">
        <v>368</v>
      </c>
      <c r="B139" t="s">
        <v>96</v>
      </c>
      <c r="C139" t="s">
        <v>196</v>
      </c>
      <c r="D139" t="s">
        <v>296</v>
      </c>
      <c r="E139" t="s">
        <v>394</v>
      </c>
      <c r="F139">
        <v>1338435363</v>
      </c>
      <c r="G139">
        <v>39.72</v>
      </c>
      <c r="H139" t="s">
        <v>409</v>
      </c>
      <c r="I139">
        <v>53162652618.360001</v>
      </c>
      <c r="J139" t="s">
        <v>415</v>
      </c>
      <c r="K139">
        <v>57311402.692936502</v>
      </c>
      <c r="L139">
        <v>0.5</v>
      </c>
      <c r="M139">
        <v>26581326309.18</v>
      </c>
      <c r="N139">
        <v>140803400187.60001</v>
      </c>
      <c r="O139">
        <v>10101015</v>
      </c>
      <c r="P139">
        <v>1010</v>
      </c>
      <c r="Q139">
        <v>1.99432374876754</v>
      </c>
      <c r="S139" t="s">
        <v>418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2.6360000000000001</v>
      </c>
      <c r="AT139">
        <v>3.3039999999999998</v>
      </c>
      <c r="AU139" t="s">
        <v>426</v>
      </c>
      <c r="AV139">
        <v>0</v>
      </c>
      <c r="AW139">
        <v>1</v>
      </c>
      <c r="AX139" t="s">
        <v>433</v>
      </c>
      <c r="AY139">
        <v>0</v>
      </c>
      <c r="AZ139">
        <v>0</v>
      </c>
      <c r="BA139">
        <v>0</v>
      </c>
      <c r="CE139">
        <v>2.97</v>
      </c>
      <c r="CG139" t="s">
        <v>450</v>
      </c>
      <c r="CI139">
        <v>1.99432374876754</v>
      </c>
      <c r="CJ139">
        <v>3.1</v>
      </c>
      <c r="CK139">
        <v>2.5471618743837698</v>
      </c>
      <c r="CL139">
        <v>-0.18</v>
      </c>
      <c r="CM139">
        <v>2.3671618743837701</v>
      </c>
    </row>
    <row r="140" spans="1:91" x14ac:dyDescent="0.25">
      <c r="A140">
        <v>371</v>
      </c>
      <c r="B140" t="s">
        <v>562</v>
      </c>
      <c r="C140" t="s">
        <v>961</v>
      </c>
      <c r="D140" t="s">
        <v>1360</v>
      </c>
      <c r="E140" t="s">
        <v>403</v>
      </c>
      <c r="F140">
        <v>98965820</v>
      </c>
      <c r="G140">
        <v>64.859800000000007</v>
      </c>
      <c r="H140" t="s">
        <v>413</v>
      </c>
      <c r="I140">
        <v>6418903292.0360003</v>
      </c>
      <c r="J140" t="s">
        <v>416</v>
      </c>
      <c r="K140">
        <v>14258447.725384099</v>
      </c>
      <c r="L140">
        <v>1</v>
      </c>
      <c r="M140">
        <v>6418903292.0360003</v>
      </c>
      <c r="N140">
        <v>4133802301.4000001</v>
      </c>
      <c r="O140">
        <v>50205010</v>
      </c>
      <c r="P140">
        <v>5020</v>
      </c>
      <c r="Q140">
        <v>3.4</v>
      </c>
      <c r="R140">
        <v>1.5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0.71599999999999997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1655</v>
      </c>
      <c r="AO140">
        <v>0</v>
      </c>
      <c r="AP140">
        <v>0</v>
      </c>
      <c r="AQ140">
        <v>0</v>
      </c>
      <c r="AR140">
        <v>0</v>
      </c>
      <c r="AS140">
        <v>2.0499999999999998</v>
      </c>
      <c r="AT140">
        <v>3.194</v>
      </c>
      <c r="AU140" t="s">
        <v>431</v>
      </c>
      <c r="AV140">
        <v>1</v>
      </c>
      <c r="AW140">
        <v>0</v>
      </c>
      <c r="AX140" t="s">
        <v>436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2.6219999999999999</v>
      </c>
      <c r="CG140" t="s">
        <v>1670</v>
      </c>
      <c r="CH140" t="s">
        <v>1696</v>
      </c>
      <c r="CI140">
        <v>3.4</v>
      </c>
      <c r="CJ140">
        <v>1.5</v>
      </c>
      <c r="CK140">
        <v>2.4500000000000002</v>
      </c>
      <c r="CL140">
        <v>-0.18</v>
      </c>
      <c r="CM140">
        <v>2.27</v>
      </c>
    </row>
    <row r="141" spans="1:91" x14ac:dyDescent="0.25">
      <c r="A141">
        <v>375</v>
      </c>
      <c r="B141" t="s">
        <v>563</v>
      </c>
      <c r="C141" t="s">
        <v>962</v>
      </c>
      <c r="D141" t="s">
        <v>1361</v>
      </c>
      <c r="E141" t="s">
        <v>398</v>
      </c>
      <c r="F141">
        <v>289818700</v>
      </c>
      <c r="G141">
        <v>27.49</v>
      </c>
      <c r="H141" t="s">
        <v>409</v>
      </c>
      <c r="I141">
        <v>7967116063</v>
      </c>
      <c r="J141" t="s">
        <v>415</v>
      </c>
      <c r="K141">
        <v>23609328.206721298</v>
      </c>
      <c r="L141">
        <v>0.75</v>
      </c>
      <c r="M141">
        <v>5975337047.25</v>
      </c>
      <c r="N141">
        <v>9079295324.25</v>
      </c>
      <c r="O141">
        <v>40201070</v>
      </c>
      <c r="P141">
        <v>4020</v>
      </c>
      <c r="Q141">
        <v>1.98806559331167</v>
      </c>
      <c r="S141" t="s">
        <v>418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1.694</v>
      </c>
      <c r="AT141">
        <v>2.355</v>
      </c>
      <c r="AU141" t="s">
        <v>426</v>
      </c>
      <c r="AV141">
        <v>0</v>
      </c>
      <c r="AW141">
        <v>0</v>
      </c>
      <c r="AX141" t="s">
        <v>437</v>
      </c>
      <c r="AY141">
        <v>0</v>
      </c>
      <c r="AZ141">
        <v>0</v>
      </c>
      <c r="BA141">
        <v>0</v>
      </c>
      <c r="CE141">
        <v>2.0245000000000002</v>
      </c>
      <c r="CF141" t="s">
        <v>83</v>
      </c>
      <c r="CG141" t="s">
        <v>1670</v>
      </c>
      <c r="CH141" t="s">
        <v>83</v>
      </c>
      <c r="CI141">
        <v>1.98806559331167</v>
      </c>
      <c r="CJ141">
        <v>3.1</v>
      </c>
      <c r="CK141">
        <v>2.5440327966558351</v>
      </c>
      <c r="CL141">
        <v>-0.18</v>
      </c>
      <c r="CM141">
        <v>2.364032796655835</v>
      </c>
    </row>
    <row r="142" spans="1:91" x14ac:dyDescent="0.25">
      <c r="A142">
        <v>379</v>
      </c>
      <c r="B142" t="s">
        <v>564</v>
      </c>
      <c r="C142" t="s">
        <v>963</v>
      </c>
      <c r="D142" t="s">
        <v>1362</v>
      </c>
      <c r="E142" t="s">
        <v>402</v>
      </c>
      <c r="F142">
        <v>221089800</v>
      </c>
      <c r="G142">
        <v>35.655799999999999</v>
      </c>
      <c r="H142" t="s">
        <v>412</v>
      </c>
      <c r="I142">
        <v>7883133690.8400002</v>
      </c>
      <c r="J142" t="s">
        <v>416</v>
      </c>
      <c r="K142">
        <v>10220216.057256401</v>
      </c>
      <c r="L142">
        <v>0.4</v>
      </c>
      <c r="M142">
        <v>3153253476.336</v>
      </c>
      <c r="N142">
        <v>3693968378.4000001</v>
      </c>
      <c r="O142">
        <v>20102010</v>
      </c>
      <c r="P142">
        <v>2010</v>
      </c>
      <c r="Q142">
        <v>1.71986019485342</v>
      </c>
      <c r="S142" t="s">
        <v>424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2.673</v>
      </c>
      <c r="AT142">
        <v>3.101</v>
      </c>
      <c r="AU142" t="s">
        <v>420</v>
      </c>
      <c r="AV142">
        <v>1</v>
      </c>
      <c r="AW142">
        <v>0</v>
      </c>
      <c r="AX142" t="s">
        <v>441</v>
      </c>
      <c r="AY142">
        <v>0</v>
      </c>
      <c r="AZ142">
        <v>0</v>
      </c>
      <c r="BA142">
        <v>0</v>
      </c>
      <c r="CE142">
        <v>2.887</v>
      </c>
      <c r="CG142" t="s">
        <v>450</v>
      </c>
      <c r="CI142">
        <v>1.71986019485342</v>
      </c>
      <c r="CJ142">
        <v>3.1</v>
      </c>
      <c r="CK142">
        <v>2.4099300974267099</v>
      </c>
      <c r="CL142">
        <v>0.3</v>
      </c>
      <c r="CM142">
        <v>2.7099300974267102</v>
      </c>
    </row>
    <row r="143" spans="1:91" x14ac:dyDescent="0.25">
      <c r="A143">
        <v>383</v>
      </c>
      <c r="B143" t="s">
        <v>565</v>
      </c>
      <c r="C143" t="s">
        <v>964</v>
      </c>
      <c r="D143" t="s">
        <v>1363</v>
      </c>
      <c r="E143" t="s">
        <v>398</v>
      </c>
      <c r="F143">
        <v>1948252900</v>
      </c>
      <c r="G143">
        <v>19.641999999999999</v>
      </c>
      <c r="H143" t="s">
        <v>409</v>
      </c>
      <c r="I143">
        <v>38267583461.800003</v>
      </c>
      <c r="J143" t="s">
        <v>415</v>
      </c>
      <c r="K143">
        <v>129324709.25982</v>
      </c>
      <c r="L143">
        <v>1</v>
      </c>
      <c r="M143">
        <v>38267583461.800003</v>
      </c>
      <c r="N143">
        <v>81378523633</v>
      </c>
      <c r="O143">
        <v>30101010</v>
      </c>
      <c r="P143">
        <v>3010</v>
      </c>
      <c r="S143" t="s">
        <v>418</v>
      </c>
      <c r="T143" t="s">
        <v>422</v>
      </c>
      <c r="U143">
        <v>0</v>
      </c>
      <c r="V143">
        <v>0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2.238</v>
      </c>
      <c r="AT143">
        <v>3.1379999999999999</v>
      </c>
      <c r="AU143" t="s">
        <v>430</v>
      </c>
      <c r="AV143">
        <v>0</v>
      </c>
      <c r="AW143">
        <v>0</v>
      </c>
      <c r="AX143" t="s">
        <v>437</v>
      </c>
      <c r="AY143">
        <v>0</v>
      </c>
      <c r="AZ143">
        <v>0</v>
      </c>
      <c r="BA143">
        <v>0</v>
      </c>
      <c r="CE143">
        <v>2.6880000000000002</v>
      </c>
      <c r="CG143" t="s">
        <v>450</v>
      </c>
      <c r="CI143">
        <v>3.4</v>
      </c>
      <c r="CJ143">
        <v>3.1</v>
      </c>
      <c r="CK143">
        <v>3.25</v>
      </c>
      <c r="CL143">
        <v>-0.18</v>
      </c>
      <c r="CM143">
        <v>3.07</v>
      </c>
    </row>
    <row r="144" spans="1:91" x14ac:dyDescent="0.25">
      <c r="A144">
        <v>384</v>
      </c>
      <c r="B144" t="s">
        <v>141</v>
      </c>
      <c r="C144" t="s">
        <v>241</v>
      </c>
      <c r="D144" t="s">
        <v>341</v>
      </c>
      <c r="E144" t="s">
        <v>398</v>
      </c>
      <c r="F144">
        <v>188300000</v>
      </c>
      <c r="G144">
        <v>246.4</v>
      </c>
      <c r="H144" t="s">
        <v>409</v>
      </c>
      <c r="I144">
        <v>46397120000</v>
      </c>
      <c r="J144" t="s">
        <v>415</v>
      </c>
      <c r="K144">
        <v>64953417.481147498</v>
      </c>
      <c r="L144">
        <v>1</v>
      </c>
      <c r="M144">
        <v>46397120000</v>
      </c>
      <c r="N144">
        <v>7865291000.000001</v>
      </c>
      <c r="O144">
        <v>30202015</v>
      </c>
      <c r="P144">
        <v>3020</v>
      </c>
      <c r="Q144">
        <v>1.73908167025175</v>
      </c>
      <c r="S144" t="s">
        <v>418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2.3820000000000001</v>
      </c>
      <c r="AT144">
        <v>3.2309999999999999</v>
      </c>
      <c r="AU144" t="s">
        <v>430</v>
      </c>
      <c r="AV144">
        <v>0</v>
      </c>
      <c r="AW144">
        <v>0</v>
      </c>
      <c r="AX144" t="s">
        <v>437</v>
      </c>
      <c r="AY144">
        <v>0</v>
      </c>
      <c r="AZ144">
        <v>0</v>
      </c>
      <c r="BA144">
        <v>0</v>
      </c>
      <c r="CE144">
        <v>2.8065000000000002</v>
      </c>
      <c r="CG144" t="s">
        <v>450</v>
      </c>
      <c r="CI144">
        <v>1.73908167025175</v>
      </c>
      <c r="CJ144">
        <v>3.1</v>
      </c>
      <c r="CK144">
        <v>2.4195408351258751</v>
      </c>
      <c r="CL144">
        <v>-0.18</v>
      </c>
      <c r="CM144">
        <v>2.239540835125875</v>
      </c>
    </row>
    <row r="145" spans="1:91" x14ac:dyDescent="0.25">
      <c r="A145">
        <v>385</v>
      </c>
      <c r="B145" t="s">
        <v>566</v>
      </c>
      <c r="C145" t="s">
        <v>965</v>
      </c>
      <c r="D145" t="s">
        <v>1364</v>
      </c>
      <c r="E145" t="s">
        <v>398</v>
      </c>
      <c r="F145">
        <v>1200000000</v>
      </c>
      <c r="G145">
        <v>36.840000000000003</v>
      </c>
      <c r="H145" t="s">
        <v>409</v>
      </c>
      <c r="I145">
        <v>44208000000.000008</v>
      </c>
      <c r="J145" t="s">
        <v>415</v>
      </c>
      <c r="K145">
        <v>86506590.769590095</v>
      </c>
      <c r="L145">
        <v>0.85</v>
      </c>
      <c r="M145">
        <v>37576800000.000008</v>
      </c>
      <c r="N145">
        <v>42605400000</v>
      </c>
      <c r="O145">
        <v>50206040</v>
      </c>
      <c r="P145">
        <v>5020</v>
      </c>
      <c r="Q145">
        <v>1.7007509769763101</v>
      </c>
      <c r="R145">
        <v>3.1</v>
      </c>
      <c r="S145" t="s">
        <v>418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2.085</v>
      </c>
      <c r="AT145">
        <v>2.8919999999999999</v>
      </c>
      <c r="AU145" t="s">
        <v>427</v>
      </c>
      <c r="AV145">
        <v>1</v>
      </c>
      <c r="AW145">
        <v>0</v>
      </c>
      <c r="AX145" t="s">
        <v>437</v>
      </c>
      <c r="AY145">
        <v>0</v>
      </c>
      <c r="AZ145">
        <v>0</v>
      </c>
      <c r="BA145">
        <v>0</v>
      </c>
      <c r="CE145">
        <v>2.4885000000000002</v>
      </c>
      <c r="CG145" t="s">
        <v>450</v>
      </c>
      <c r="CI145">
        <v>1.7007509769763101</v>
      </c>
      <c r="CJ145">
        <v>3.1</v>
      </c>
      <c r="CK145">
        <v>2.4003754884881552</v>
      </c>
      <c r="CL145">
        <v>-0.18</v>
      </c>
      <c r="CM145">
        <v>2.220375488488155</v>
      </c>
    </row>
    <row r="146" spans="1:91" x14ac:dyDescent="0.25">
      <c r="A146">
        <v>386</v>
      </c>
      <c r="B146" t="s">
        <v>567</v>
      </c>
      <c r="C146" t="s">
        <v>966</v>
      </c>
      <c r="D146" t="s">
        <v>1365</v>
      </c>
      <c r="E146" t="s">
        <v>398</v>
      </c>
      <c r="F146">
        <v>4986458500</v>
      </c>
      <c r="G146">
        <v>34.520000000000003</v>
      </c>
      <c r="H146" t="s">
        <v>409</v>
      </c>
      <c r="I146">
        <v>172132547420</v>
      </c>
      <c r="J146" t="s">
        <v>415</v>
      </c>
      <c r="K146">
        <v>206808355.30581999</v>
      </c>
      <c r="L146">
        <v>0.75</v>
      </c>
      <c r="M146">
        <v>129099410565</v>
      </c>
      <c r="N146">
        <v>156213278658.75</v>
      </c>
      <c r="O146">
        <v>15102015</v>
      </c>
      <c r="P146">
        <v>1510</v>
      </c>
      <c r="Q146">
        <v>1.74534618126999</v>
      </c>
      <c r="S146" t="s">
        <v>417</v>
      </c>
      <c r="T146" t="s">
        <v>423</v>
      </c>
      <c r="U146">
        <v>0</v>
      </c>
      <c r="V146">
        <v>0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2.673</v>
      </c>
      <c r="AT146">
        <v>3.2040000000000002</v>
      </c>
      <c r="AU146" t="s">
        <v>426</v>
      </c>
      <c r="AV146">
        <v>0</v>
      </c>
      <c r="AW146">
        <v>0</v>
      </c>
      <c r="AX146" t="s">
        <v>437</v>
      </c>
      <c r="AY146">
        <v>0</v>
      </c>
      <c r="AZ146">
        <v>0</v>
      </c>
      <c r="BA146">
        <v>0</v>
      </c>
      <c r="CE146">
        <v>2.9384999999999999</v>
      </c>
      <c r="CG146" t="s">
        <v>450</v>
      </c>
      <c r="CI146">
        <v>1.74534618126999</v>
      </c>
      <c r="CJ146">
        <v>3.1</v>
      </c>
      <c r="CK146">
        <v>2.4226730906349951</v>
      </c>
      <c r="CL146">
        <v>-0.3</v>
      </c>
      <c r="CM146">
        <v>2.1226730906349949</v>
      </c>
    </row>
    <row r="147" spans="1:91" x14ac:dyDescent="0.25">
      <c r="A147">
        <v>391</v>
      </c>
      <c r="B147" t="s">
        <v>175</v>
      </c>
      <c r="C147" t="s">
        <v>275</v>
      </c>
      <c r="D147" t="s">
        <v>375</v>
      </c>
      <c r="E147" t="s">
        <v>403</v>
      </c>
      <c r="F147">
        <v>2225173800</v>
      </c>
      <c r="G147">
        <v>26.475850000000001</v>
      </c>
      <c r="H147" t="s">
        <v>413</v>
      </c>
      <c r="I147">
        <v>58913367752.730003</v>
      </c>
      <c r="J147" t="s">
        <v>416</v>
      </c>
      <c r="K147">
        <v>91262542.967915595</v>
      </c>
      <c r="L147">
        <v>1</v>
      </c>
      <c r="M147">
        <v>58913367752.730003</v>
      </c>
      <c r="N147">
        <v>92945509626</v>
      </c>
      <c r="O147">
        <v>45101015</v>
      </c>
      <c r="P147">
        <v>4510</v>
      </c>
      <c r="Q147">
        <v>1.96375273677233</v>
      </c>
      <c r="R147">
        <v>1.5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2.117</v>
      </c>
      <c r="AT147">
        <v>3.198</v>
      </c>
      <c r="AU147" t="s">
        <v>420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2.6575000000000002</v>
      </c>
      <c r="CG147" t="s">
        <v>450</v>
      </c>
      <c r="CI147">
        <v>1.96375273677233</v>
      </c>
      <c r="CJ147">
        <v>1.5</v>
      </c>
      <c r="CK147">
        <v>1.7318763683861651</v>
      </c>
      <c r="CL147">
        <v>-0.18</v>
      </c>
      <c r="CM147">
        <v>1.5518763683861649</v>
      </c>
    </row>
    <row r="148" spans="1:91" x14ac:dyDescent="0.25">
      <c r="A148">
        <v>394</v>
      </c>
      <c r="B148" t="s">
        <v>568</v>
      </c>
      <c r="C148" t="s">
        <v>967</v>
      </c>
      <c r="D148" t="s">
        <v>1366</v>
      </c>
      <c r="E148" t="s">
        <v>407</v>
      </c>
      <c r="F148">
        <v>53708999</v>
      </c>
      <c r="G148">
        <v>162.19999999999999</v>
      </c>
      <c r="H148" t="s">
        <v>409</v>
      </c>
      <c r="I148">
        <v>8711599637.7999992</v>
      </c>
      <c r="J148" t="s">
        <v>415</v>
      </c>
      <c r="K148">
        <v>12319207.047619</v>
      </c>
      <c r="L148">
        <v>0.4</v>
      </c>
      <c r="M148">
        <v>3484639855.1199999</v>
      </c>
      <c r="N148">
        <v>897369955.29200006</v>
      </c>
      <c r="O148">
        <v>40101010</v>
      </c>
      <c r="P148">
        <v>4010</v>
      </c>
      <c r="Q148">
        <v>1.99982757230766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1.661</v>
      </c>
      <c r="AT148">
        <v>2.4409999999999998</v>
      </c>
      <c r="AU148" t="s">
        <v>431</v>
      </c>
      <c r="AV148">
        <v>1</v>
      </c>
      <c r="AW148">
        <v>0</v>
      </c>
      <c r="AX148" t="s">
        <v>447</v>
      </c>
      <c r="AY148">
        <v>0</v>
      </c>
      <c r="AZ148">
        <v>0</v>
      </c>
      <c r="BA148">
        <v>0</v>
      </c>
      <c r="CE148">
        <v>2.0510000000000002</v>
      </c>
      <c r="CF148" t="s">
        <v>83</v>
      </c>
      <c r="CG148" t="s">
        <v>1670</v>
      </c>
      <c r="CH148" t="s">
        <v>83</v>
      </c>
      <c r="CI148">
        <v>1.99982757230766</v>
      </c>
      <c r="CJ148">
        <v>3.1</v>
      </c>
      <c r="CK148">
        <v>2.5499137861538301</v>
      </c>
      <c r="CL148">
        <v>0</v>
      </c>
      <c r="CM148">
        <v>2.5499137861538301</v>
      </c>
    </row>
    <row r="149" spans="1:91" x14ac:dyDescent="0.25">
      <c r="A149">
        <v>396</v>
      </c>
      <c r="B149" t="s">
        <v>569</v>
      </c>
      <c r="C149" t="s">
        <v>968</v>
      </c>
      <c r="D149" t="s">
        <v>1367</v>
      </c>
      <c r="E149" t="s">
        <v>403</v>
      </c>
      <c r="F149">
        <v>134176210</v>
      </c>
      <c r="G149">
        <v>56.046599999999998</v>
      </c>
      <c r="H149" t="s">
        <v>413</v>
      </c>
      <c r="I149">
        <v>7520120371.3859997</v>
      </c>
      <c r="J149" t="s">
        <v>416</v>
      </c>
      <c r="K149">
        <v>10091508.8565965</v>
      </c>
      <c r="L149">
        <v>1</v>
      </c>
      <c r="M149">
        <v>7520120371.3859997</v>
      </c>
      <c r="N149">
        <v>5604540291.7000008</v>
      </c>
      <c r="O149">
        <v>50205010</v>
      </c>
      <c r="P149">
        <v>5020</v>
      </c>
      <c r="Q149">
        <v>1.68158953539178</v>
      </c>
      <c r="S149" t="s">
        <v>418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0.05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0.05</v>
      </c>
      <c r="AS149">
        <v>1.7689999999999999</v>
      </c>
      <c r="AT149">
        <v>2.4249999999999998</v>
      </c>
      <c r="AU149" t="s">
        <v>420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1670</v>
      </c>
      <c r="CH149" t="s">
        <v>1697</v>
      </c>
      <c r="CI149">
        <v>1.68158953539178</v>
      </c>
      <c r="CJ149">
        <v>3.1</v>
      </c>
      <c r="CK149">
        <v>2.3907947676958901</v>
      </c>
      <c r="CL149">
        <v>-0.18</v>
      </c>
      <c r="CM149">
        <v>2.2107947676958899</v>
      </c>
    </row>
    <row r="150" spans="1:91" x14ac:dyDescent="0.25">
      <c r="A150">
        <v>397</v>
      </c>
      <c r="B150" t="s">
        <v>149</v>
      </c>
      <c r="C150" t="s">
        <v>249</v>
      </c>
      <c r="D150" t="s">
        <v>349</v>
      </c>
      <c r="E150" t="s">
        <v>403</v>
      </c>
      <c r="F150">
        <v>1311388200</v>
      </c>
      <c r="G150">
        <v>3.1891919999999998</v>
      </c>
      <c r="H150" t="s">
        <v>413</v>
      </c>
      <c r="I150">
        <v>4182268756.3344002</v>
      </c>
      <c r="J150" t="s">
        <v>416</v>
      </c>
      <c r="K150">
        <v>12673712.369872499</v>
      </c>
      <c r="L150">
        <v>1</v>
      </c>
      <c r="M150">
        <v>4182268756.3344002</v>
      </c>
      <c r="N150">
        <v>54776685114.000008</v>
      </c>
      <c r="O150">
        <v>30302025</v>
      </c>
      <c r="P150">
        <v>3030</v>
      </c>
      <c r="Q150">
        <v>1.99264326473623</v>
      </c>
      <c r="S150" t="s">
        <v>418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1.8839999999999999</v>
      </c>
      <c r="AT150">
        <v>2.6429999999999998</v>
      </c>
      <c r="AU150" t="s">
        <v>430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2.2635000000000001</v>
      </c>
      <c r="CG150" t="s">
        <v>450</v>
      </c>
      <c r="CI150">
        <v>1.99264326473623</v>
      </c>
      <c r="CJ150">
        <v>3.1</v>
      </c>
      <c r="CK150">
        <v>2.546321632368115</v>
      </c>
      <c r="CL150">
        <v>-0.18</v>
      </c>
      <c r="CM150">
        <v>2.3663216323681149</v>
      </c>
    </row>
    <row r="151" spans="1:91" x14ac:dyDescent="0.25">
      <c r="A151">
        <v>401</v>
      </c>
      <c r="B151" t="s">
        <v>570</v>
      </c>
      <c r="C151" t="s">
        <v>969</v>
      </c>
      <c r="D151" t="s">
        <v>1368</v>
      </c>
      <c r="E151" t="s">
        <v>400</v>
      </c>
      <c r="F151">
        <v>1492530286</v>
      </c>
      <c r="G151">
        <v>21.722549999999998</v>
      </c>
      <c r="H151" t="s">
        <v>411</v>
      </c>
      <c r="I151">
        <v>32421563764.1493</v>
      </c>
      <c r="J151" t="s">
        <v>416</v>
      </c>
      <c r="K151">
        <v>28339201.280232199</v>
      </c>
      <c r="L151">
        <v>0.55000000000000004</v>
      </c>
      <c r="M151">
        <v>17831860070.28212</v>
      </c>
      <c r="N151">
        <v>34288644525.421009</v>
      </c>
      <c r="O151">
        <v>30101010</v>
      </c>
      <c r="P151">
        <v>3010</v>
      </c>
      <c r="Q151">
        <v>3.4</v>
      </c>
      <c r="S151" t="s">
        <v>419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2.2930000000000001</v>
      </c>
      <c r="AT151">
        <v>3.117</v>
      </c>
      <c r="AU151" t="s">
        <v>430</v>
      </c>
      <c r="AV151">
        <v>0</v>
      </c>
      <c r="AW151">
        <v>0</v>
      </c>
      <c r="AX151" t="s">
        <v>439</v>
      </c>
      <c r="AY151">
        <v>0</v>
      </c>
      <c r="AZ151">
        <v>0</v>
      </c>
      <c r="BA151">
        <v>0</v>
      </c>
      <c r="CE151">
        <v>2.7050000000000001</v>
      </c>
      <c r="CG151" t="s">
        <v>450</v>
      </c>
      <c r="CI151">
        <v>3.4</v>
      </c>
      <c r="CJ151">
        <v>3.1</v>
      </c>
      <c r="CK151">
        <v>3.25</v>
      </c>
      <c r="CL151">
        <v>-0.24</v>
      </c>
      <c r="CM151">
        <v>3.01</v>
      </c>
    </row>
    <row r="152" spans="1:91" x14ac:dyDescent="0.25">
      <c r="A152">
        <v>410</v>
      </c>
      <c r="B152" t="s">
        <v>571</v>
      </c>
      <c r="C152" t="s">
        <v>970</v>
      </c>
      <c r="D152" t="s">
        <v>1369</v>
      </c>
      <c r="E152" t="s">
        <v>396</v>
      </c>
      <c r="F152">
        <v>265676388</v>
      </c>
      <c r="G152">
        <v>101.1</v>
      </c>
      <c r="H152" t="s">
        <v>409</v>
      </c>
      <c r="I152">
        <v>26859882826.799999</v>
      </c>
      <c r="J152" t="s">
        <v>415</v>
      </c>
      <c r="K152">
        <v>44080142.052063502</v>
      </c>
      <c r="L152">
        <v>0.8</v>
      </c>
      <c r="M152">
        <v>21487906261.439999</v>
      </c>
      <c r="N152">
        <v>8877842181.4080009</v>
      </c>
      <c r="O152">
        <v>45102020</v>
      </c>
      <c r="P152">
        <v>4510</v>
      </c>
      <c r="Q152">
        <v>1.75</v>
      </c>
      <c r="S152" t="s">
        <v>1649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2.3959999999999999</v>
      </c>
      <c r="AT152">
        <v>3.2669999999999999</v>
      </c>
      <c r="AU152" t="s">
        <v>420</v>
      </c>
      <c r="AV152">
        <v>1</v>
      </c>
      <c r="AW152">
        <v>0</v>
      </c>
      <c r="AX152" t="s">
        <v>446</v>
      </c>
      <c r="AY152">
        <v>0</v>
      </c>
      <c r="AZ152">
        <v>0</v>
      </c>
      <c r="BA152">
        <v>0</v>
      </c>
      <c r="CE152">
        <v>2.8315000000000001</v>
      </c>
      <c r="CG152" t="s">
        <v>450</v>
      </c>
      <c r="CI152">
        <v>1.75</v>
      </c>
      <c r="CJ152">
        <v>3.1</v>
      </c>
      <c r="CK152">
        <v>2.4249999999999998</v>
      </c>
      <c r="CL152">
        <v>0.3</v>
      </c>
      <c r="CM152">
        <v>2.7250000000000001</v>
      </c>
    </row>
    <row r="153" spans="1:91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412</v>
      </c>
      <c r="I153">
        <v>46508221725.519997</v>
      </c>
      <c r="J153" t="s">
        <v>416</v>
      </c>
      <c r="K153">
        <v>55041555.716175199</v>
      </c>
      <c r="L153">
        <v>0.85</v>
      </c>
      <c r="M153">
        <v>39531988466.691994</v>
      </c>
      <c r="N153">
        <v>8536862460.3400011</v>
      </c>
      <c r="O153">
        <v>50206060</v>
      </c>
      <c r="P153">
        <v>5020</v>
      </c>
      <c r="Q153">
        <v>1.9892651222634901</v>
      </c>
      <c r="S153" t="s">
        <v>418</v>
      </c>
      <c r="T153" t="s">
        <v>422</v>
      </c>
      <c r="U153">
        <v>0</v>
      </c>
      <c r="V153">
        <v>0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1.829</v>
      </c>
      <c r="AT153">
        <v>2.8250000000000002</v>
      </c>
      <c r="AU153" t="s">
        <v>427</v>
      </c>
      <c r="AV153">
        <v>1</v>
      </c>
      <c r="AW153">
        <v>0</v>
      </c>
      <c r="AX153" t="s">
        <v>441</v>
      </c>
      <c r="AY153">
        <v>0</v>
      </c>
      <c r="AZ153">
        <v>0</v>
      </c>
      <c r="BA153">
        <v>0</v>
      </c>
      <c r="CE153">
        <v>2.327</v>
      </c>
      <c r="CG153" t="s">
        <v>450</v>
      </c>
      <c r="CI153">
        <v>1.9892651222634901</v>
      </c>
      <c r="CJ153">
        <v>3.1</v>
      </c>
      <c r="CK153">
        <v>2.5446325611317451</v>
      </c>
      <c r="CL153">
        <v>-0.18</v>
      </c>
      <c r="CM153">
        <v>2.3646325611317449</v>
      </c>
    </row>
    <row r="154" spans="1:91" x14ac:dyDescent="0.25">
      <c r="A154">
        <v>416</v>
      </c>
      <c r="B154" t="s">
        <v>573</v>
      </c>
      <c r="C154" t="s">
        <v>972</v>
      </c>
      <c r="D154" t="s">
        <v>1371</v>
      </c>
      <c r="E154" t="s">
        <v>398</v>
      </c>
      <c r="F154">
        <v>2641318800</v>
      </c>
      <c r="G154">
        <v>11.72</v>
      </c>
      <c r="H154" t="s">
        <v>409</v>
      </c>
      <c r="I154">
        <v>30956256336</v>
      </c>
      <c r="J154" t="s">
        <v>415</v>
      </c>
      <c r="K154">
        <v>66701910.419385202</v>
      </c>
      <c r="L154">
        <v>0.85</v>
      </c>
      <c r="M154">
        <v>26312817885.599998</v>
      </c>
      <c r="N154">
        <v>93778703334.600006</v>
      </c>
      <c r="O154">
        <v>65102000</v>
      </c>
      <c r="P154">
        <v>6510</v>
      </c>
      <c r="Q154">
        <v>1.95346280474392</v>
      </c>
      <c r="R154">
        <v>2.62</v>
      </c>
      <c r="S154" t="s">
        <v>419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1.11E-2</v>
      </c>
      <c r="AE154">
        <v>0.26600000000000001</v>
      </c>
      <c r="AF154">
        <v>3.0999999999999999E-3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N154" t="s">
        <v>1656</v>
      </c>
      <c r="AO154">
        <v>4.0000000000000001E-3</v>
      </c>
      <c r="AP154">
        <v>0</v>
      </c>
      <c r="AQ154">
        <v>0</v>
      </c>
      <c r="AR154">
        <v>0</v>
      </c>
      <c r="AS154">
        <v>2.4670000000000001</v>
      </c>
      <c r="AT154">
        <v>3.052</v>
      </c>
      <c r="AU154" t="s">
        <v>421</v>
      </c>
      <c r="AV154">
        <v>1</v>
      </c>
      <c r="AW154">
        <v>0</v>
      </c>
      <c r="AX154" t="s">
        <v>437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2.7595000000000001</v>
      </c>
      <c r="CG154" t="s">
        <v>1670</v>
      </c>
      <c r="CH154" t="s">
        <v>1682</v>
      </c>
      <c r="CI154">
        <v>1.95346280474392</v>
      </c>
      <c r="CJ154">
        <v>2.62</v>
      </c>
      <c r="CK154">
        <v>2.2867314023719598</v>
      </c>
      <c r="CL154">
        <v>-0.24</v>
      </c>
      <c r="CM154">
        <v>2.0467314023719601</v>
      </c>
    </row>
    <row r="155" spans="1:91" x14ac:dyDescent="0.25">
      <c r="A155">
        <v>418</v>
      </c>
      <c r="B155" t="s">
        <v>574</v>
      </c>
      <c r="C155" t="s">
        <v>973</v>
      </c>
      <c r="D155" t="s">
        <v>1372</v>
      </c>
      <c r="E155" t="s">
        <v>403</v>
      </c>
      <c r="F155">
        <v>758010000</v>
      </c>
      <c r="G155">
        <v>5.955254</v>
      </c>
      <c r="H155" t="s">
        <v>413</v>
      </c>
      <c r="I155">
        <v>4514142084.54</v>
      </c>
      <c r="J155" t="s">
        <v>416</v>
      </c>
      <c r="K155">
        <v>23260381.7895534</v>
      </c>
      <c r="L155">
        <v>1</v>
      </c>
      <c r="M155">
        <v>4514142084.54</v>
      </c>
      <c r="N155">
        <v>31662077700</v>
      </c>
      <c r="O155">
        <v>40501010</v>
      </c>
      <c r="P155">
        <v>4050</v>
      </c>
      <c r="Q155">
        <v>1.8218730736953901</v>
      </c>
      <c r="R155">
        <v>2.7</v>
      </c>
      <c r="S155" t="s">
        <v>418</v>
      </c>
      <c r="T155" t="s">
        <v>422</v>
      </c>
      <c r="U155">
        <v>0</v>
      </c>
      <c r="V155">
        <v>0.05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2.2069999999999999</v>
      </c>
      <c r="AT155">
        <v>2.6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2.4035000000000002</v>
      </c>
      <c r="CG155" t="s">
        <v>450</v>
      </c>
      <c r="CI155">
        <v>1.8218730736953901</v>
      </c>
      <c r="CJ155">
        <v>2.7</v>
      </c>
      <c r="CK155">
        <v>2.2609365368476948</v>
      </c>
      <c r="CL155">
        <v>-0.18</v>
      </c>
      <c r="CM155">
        <v>2.0809365368476951</v>
      </c>
    </row>
    <row r="156" spans="1:91" x14ac:dyDescent="0.25">
      <c r="A156">
        <v>424</v>
      </c>
      <c r="B156" t="s">
        <v>575</v>
      </c>
      <c r="C156" t="s">
        <v>974</v>
      </c>
      <c r="D156" t="s">
        <v>1373</v>
      </c>
      <c r="E156" t="s">
        <v>394</v>
      </c>
      <c r="F156">
        <v>241973980</v>
      </c>
      <c r="G156">
        <v>30.71</v>
      </c>
      <c r="H156" t="s">
        <v>409</v>
      </c>
      <c r="I156">
        <v>7431020925.8000002</v>
      </c>
      <c r="J156" t="s">
        <v>415</v>
      </c>
      <c r="K156">
        <v>21613060.3680159</v>
      </c>
      <c r="L156">
        <v>1</v>
      </c>
      <c r="M156">
        <v>7431020925.8000002</v>
      </c>
      <c r="N156">
        <v>10107253144.6</v>
      </c>
      <c r="O156">
        <v>50205015</v>
      </c>
      <c r="P156">
        <v>5020</v>
      </c>
      <c r="Q156">
        <v>1.74987130219174</v>
      </c>
      <c r="S156" t="s">
        <v>418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2.609</v>
      </c>
      <c r="AT156">
        <v>2.3250000000000002</v>
      </c>
      <c r="AU156" t="s">
        <v>430</v>
      </c>
      <c r="AV156">
        <v>0</v>
      </c>
      <c r="AW156">
        <v>0</v>
      </c>
      <c r="AX156" t="s">
        <v>433</v>
      </c>
      <c r="AY156">
        <v>0</v>
      </c>
      <c r="AZ156">
        <v>0</v>
      </c>
      <c r="BA156">
        <v>0</v>
      </c>
      <c r="CE156">
        <v>2.4670000000000001</v>
      </c>
      <c r="CG156" t="s">
        <v>450</v>
      </c>
      <c r="CI156">
        <v>1.74987130219174</v>
      </c>
      <c r="CJ156">
        <v>3.1</v>
      </c>
      <c r="CK156">
        <v>2.4249356510958702</v>
      </c>
      <c r="CL156">
        <v>-0.18</v>
      </c>
      <c r="CM156">
        <v>2.24493565109587</v>
      </c>
    </row>
    <row r="157" spans="1:91" x14ac:dyDescent="0.25">
      <c r="A157">
        <v>426</v>
      </c>
      <c r="B157" t="s">
        <v>576</v>
      </c>
      <c r="C157" t="s">
        <v>975</v>
      </c>
      <c r="D157" t="s">
        <v>1374</v>
      </c>
      <c r="E157" t="s">
        <v>408</v>
      </c>
      <c r="F157">
        <v>4184021624</v>
      </c>
      <c r="G157">
        <v>3.0339999999999998</v>
      </c>
      <c r="H157" t="s">
        <v>409</v>
      </c>
      <c r="I157">
        <v>12694321607.216</v>
      </c>
      <c r="J157" t="s">
        <v>415</v>
      </c>
      <c r="K157">
        <v>30466312.590372998</v>
      </c>
      <c r="L157">
        <v>0.65</v>
      </c>
      <c r="M157">
        <v>8251309044.6904001</v>
      </c>
      <c r="N157">
        <v>113598279102.412</v>
      </c>
      <c r="O157">
        <v>65101010</v>
      </c>
      <c r="P157">
        <v>6510</v>
      </c>
      <c r="Q157">
        <v>1.6212470941111501</v>
      </c>
      <c r="R157">
        <v>1.5</v>
      </c>
      <c r="S157" t="s">
        <v>417</v>
      </c>
      <c r="T157" t="s">
        <v>423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3.2300000000000002E-2</v>
      </c>
      <c r="AE157">
        <v>0.15</v>
      </c>
      <c r="AF157">
        <v>7.1400000000000005E-2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N157" t="s">
        <v>1654</v>
      </c>
      <c r="AO157">
        <v>1.2999999999999999E-2</v>
      </c>
      <c r="AP157">
        <v>0</v>
      </c>
      <c r="AQ157">
        <v>0</v>
      </c>
      <c r="AR157">
        <v>0</v>
      </c>
      <c r="AS157">
        <v>2.8559999999999999</v>
      </c>
      <c r="AT157">
        <v>3.0179999999999998</v>
      </c>
      <c r="AU157" t="s">
        <v>421</v>
      </c>
      <c r="AV157">
        <v>1</v>
      </c>
      <c r="AW157">
        <v>0</v>
      </c>
      <c r="AX157" t="s">
        <v>449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2.9369999999999998</v>
      </c>
      <c r="CG157" t="s">
        <v>1670</v>
      </c>
      <c r="CH157" t="s">
        <v>1698</v>
      </c>
      <c r="CI157">
        <v>1.6212470941111501</v>
      </c>
      <c r="CJ157">
        <v>1.5</v>
      </c>
      <c r="CK157">
        <v>1.5606235470555749</v>
      </c>
      <c r="CL157">
        <v>-0.3</v>
      </c>
      <c r="CM157">
        <v>1.2606235470555749</v>
      </c>
    </row>
    <row r="158" spans="1:91" x14ac:dyDescent="0.25">
      <c r="A158">
        <v>429</v>
      </c>
      <c r="B158" t="s">
        <v>577</v>
      </c>
      <c r="C158" t="s">
        <v>976</v>
      </c>
      <c r="D158" t="s">
        <v>1375</v>
      </c>
      <c r="E158" t="s">
        <v>394</v>
      </c>
      <c r="F158">
        <v>98000000</v>
      </c>
      <c r="G158">
        <v>90.14</v>
      </c>
      <c r="H158" t="s">
        <v>409</v>
      </c>
      <c r="I158">
        <v>8833720000</v>
      </c>
      <c r="J158" t="s">
        <v>415</v>
      </c>
      <c r="K158">
        <v>18285227.025714301</v>
      </c>
      <c r="L158">
        <v>0.75</v>
      </c>
      <c r="M158">
        <v>6625290000</v>
      </c>
      <c r="N158">
        <v>3070095000</v>
      </c>
      <c r="O158">
        <v>50101010</v>
      </c>
      <c r="P158">
        <v>5010</v>
      </c>
      <c r="Q158">
        <v>1.7274877649587801</v>
      </c>
      <c r="R158">
        <v>3.1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0.05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N158" t="s">
        <v>1653</v>
      </c>
      <c r="AO158">
        <v>0.05</v>
      </c>
      <c r="AP158">
        <v>0</v>
      </c>
      <c r="AQ158">
        <v>0</v>
      </c>
      <c r="AR158">
        <v>0</v>
      </c>
      <c r="AS158">
        <v>1.911</v>
      </c>
      <c r="AT158">
        <v>2.9980000000000002</v>
      </c>
      <c r="AU158" t="s">
        <v>424</v>
      </c>
      <c r="AV158">
        <v>1</v>
      </c>
      <c r="AW158">
        <v>0</v>
      </c>
      <c r="AX158" t="s">
        <v>433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2.4544999999999999</v>
      </c>
      <c r="CG158" t="s">
        <v>1670</v>
      </c>
      <c r="CH158" t="s">
        <v>1689</v>
      </c>
      <c r="CI158">
        <v>1.7274877649587801</v>
      </c>
      <c r="CJ158">
        <v>3.1</v>
      </c>
      <c r="CK158">
        <v>2.4137438824793902</v>
      </c>
      <c r="CL158">
        <v>-0.24</v>
      </c>
      <c r="CM158">
        <v>2.17374388247939</v>
      </c>
    </row>
    <row r="159" spans="1:91" x14ac:dyDescent="0.25">
      <c r="A159">
        <v>436</v>
      </c>
      <c r="B159" t="s">
        <v>187</v>
      </c>
      <c r="C159" t="s">
        <v>287</v>
      </c>
      <c r="D159" t="s">
        <v>387</v>
      </c>
      <c r="E159" t="s">
        <v>394</v>
      </c>
      <c r="F159">
        <v>236664445</v>
      </c>
      <c r="G159">
        <v>19.149999999999999</v>
      </c>
      <c r="H159" t="s">
        <v>409</v>
      </c>
      <c r="I159">
        <v>4532124121.75</v>
      </c>
      <c r="J159" t="s">
        <v>415</v>
      </c>
      <c r="K159">
        <v>6519939.4418254001</v>
      </c>
      <c r="L159">
        <v>0.70000000000000007</v>
      </c>
      <c r="M159">
        <v>3172486885.2249999</v>
      </c>
      <c r="N159">
        <v>6919831707.3550014</v>
      </c>
      <c r="O159">
        <v>50205010</v>
      </c>
      <c r="P159">
        <v>5020</v>
      </c>
      <c r="Q159">
        <v>1.8621326355854599</v>
      </c>
      <c r="R159">
        <v>2.39</v>
      </c>
      <c r="S159" t="s">
        <v>417</v>
      </c>
      <c r="T159" t="s">
        <v>422</v>
      </c>
      <c r="U159">
        <v>0</v>
      </c>
      <c r="V159">
        <v>0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2.2839999999999998</v>
      </c>
      <c r="AT159">
        <v>2.8149999999999999</v>
      </c>
      <c r="AU159" t="s">
        <v>432</v>
      </c>
      <c r="AV159">
        <v>0</v>
      </c>
      <c r="AW159">
        <v>0</v>
      </c>
      <c r="AX159" t="s">
        <v>433</v>
      </c>
      <c r="AY159">
        <v>0</v>
      </c>
      <c r="AZ159">
        <v>0</v>
      </c>
      <c r="BA159">
        <v>0</v>
      </c>
      <c r="CE159">
        <v>2.5495000000000001</v>
      </c>
      <c r="CG159" t="s">
        <v>450</v>
      </c>
      <c r="CI159">
        <v>1.8621326355854599</v>
      </c>
      <c r="CJ159">
        <v>2.39</v>
      </c>
      <c r="CK159">
        <v>2.1260663177927301</v>
      </c>
      <c r="CL159">
        <v>-0.3</v>
      </c>
      <c r="CM159">
        <v>1.8260663177927301</v>
      </c>
    </row>
    <row r="160" spans="1:91" x14ac:dyDescent="0.25">
      <c r="A160">
        <v>437</v>
      </c>
      <c r="B160" t="s">
        <v>578</v>
      </c>
      <c r="C160" t="s">
        <v>977</v>
      </c>
      <c r="D160" t="s">
        <v>1376</v>
      </c>
      <c r="E160" t="s">
        <v>399</v>
      </c>
      <c r="F160">
        <v>167335070</v>
      </c>
      <c r="G160">
        <v>42.88</v>
      </c>
      <c r="H160" t="s">
        <v>409</v>
      </c>
      <c r="I160">
        <v>7175327801.6000004</v>
      </c>
      <c r="J160" t="s">
        <v>415</v>
      </c>
      <c r="K160">
        <v>11007741.5872881</v>
      </c>
      <c r="L160">
        <v>0.9</v>
      </c>
      <c r="M160">
        <v>6457795021.4400005</v>
      </c>
      <c r="N160">
        <v>6290627286.5100002</v>
      </c>
      <c r="O160">
        <v>15102015</v>
      </c>
      <c r="P160">
        <v>1510</v>
      </c>
      <c r="Q160">
        <v>1.7468080269888999</v>
      </c>
      <c r="S160" t="s">
        <v>417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2.5310000000000001</v>
      </c>
      <c r="AT160">
        <v>3.1970000000000001</v>
      </c>
      <c r="AU160" t="s">
        <v>426</v>
      </c>
      <c r="AV160">
        <v>0</v>
      </c>
      <c r="AW160">
        <v>0</v>
      </c>
      <c r="AX160" t="s">
        <v>438</v>
      </c>
      <c r="AY160">
        <v>0</v>
      </c>
      <c r="AZ160">
        <v>0</v>
      </c>
      <c r="BA160">
        <v>0</v>
      </c>
      <c r="CE160">
        <v>2.8639999999999999</v>
      </c>
      <c r="CG160" t="s">
        <v>450</v>
      </c>
      <c r="CI160">
        <v>1.7468080269888999</v>
      </c>
      <c r="CJ160">
        <v>3.1</v>
      </c>
      <c r="CK160">
        <v>2.4234040134944501</v>
      </c>
      <c r="CL160">
        <v>-0.3</v>
      </c>
      <c r="CM160">
        <v>2.1234040134944498</v>
      </c>
    </row>
    <row r="161" spans="1:91" x14ac:dyDescent="0.25">
      <c r="A161">
        <v>440</v>
      </c>
      <c r="B161" t="s">
        <v>579</v>
      </c>
      <c r="C161" t="s">
        <v>978</v>
      </c>
      <c r="D161" t="s">
        <v>1377</v>
      </c>
      <c r="E161" t="s">
        <v>406</v>
      </c>
      <c r="F161">
        <v>23389029</v>
      </c>
      <c r="G161">
        <v>684.22540000000004</v>
      </c>
      <c r="H161" t="s">
        <v>414</v>
      </c>
      <c r="I161">
        <v>16003367723.1366</v>
      </c>
      <c r="J161" t="s">
        <v>416</v>
      </c>
      <c r="K161">
        <v>8145656.1700374298</v>
      </c>
      <c r="L161">
        <v>0.3</v>
      </c>
      <c r="M161">
        <v>4801010316.94098</v>
      </c>
      <c r="N161">
        <v>293087922.39899999</v>
      </c>
      <c r="O161">
        <v>55201020</v>
      </c>
      <c r="P161">
        <v>5520</v>
      </c>
      <c r="S161" t="s">
        <v>421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1.5589999999999999</v>
      </c>
      <c r="AT161">
        <v>1.8660000000000001</v>
      </c>
      <c r="AU161" t="s">
        <v>420</v>
      </c>
      <c r="AV161">
        <v>1</v>
      </c>
      <c r="AW161">
        <v>0</v>
      </c>
      <c r="AX161" t="s">
        <v>446</v>
      </c>
      <c r="AY161">
        <v>0</v>
      </c>
      <c r="AZ161">
        <v>0</v>
      </c>
      <c r="BA161">
        <v>0</v>
      </c>
      <c r="CE161">
        <v>1.7124999999999999</v>
      </c>
      <c r="CF161" t="s">
        <v>83</v>
      </c>
      <c r="CG161" t="s">
        <v>1670</v>
      </c>
      <c r="CH161" t="s">
        <v>83</v>
      </c>
      <c r="CI161">
        <v>3.4</v>
      </c>
      <c r="CJ161">
        <v>3.1</v>
      </c>
      <c r="CK161">
        <v>3.25</v>
      </c>
      <c r="CL161">
        <v>0.18</v>
      </c>
      <c r="CM161">
        <v>3.43</v>
      </c>
    </row>
    <row r="162" spans="1:91" x14ac:dyDescent="0.25">
      <c r="A162">
        <v>444</v>
      </c>
      <c r="B162" t="s">
        <v>580</v>
      </c>
      <c r="C162" t="s">
        <v>979</v>
      </c>
      <c r="D162" t="s">
        <v>1378</v>
      </c>
      <c r="E162" t="s">
        <v>401</v>
      </c>
      <c r="F162">
        <v>1058752100</v>
      </c>
      <c r="G162">
        <v>21.45</v>
      </c>
      <c r="H162" t="s">
        <v>409</v>
      </c>
      <c r="I162">
        <v>22710232545</v>
      </c>
      <c r="J162" t="s">
        <v>415</v>
      </c>
      <c r="K162">
        <v>22434183.7683127</v>
      </c>
      <c r="L162">
        <v>0.3</v>
      </c>
      <c r="M162">
        <v>6813069763.5</v>
      </c>
      <c r="N162">
        <v>13267222565.1</v>
      </c>
      <c r="O162">
        <v>65101015</v>
      </c>
      <c r="P162">
        <v>6510</v>
      </c>
      <c r="Q162">
        <v>1.6217922820552999</v>
      </c>
      <c r="R162">
        <v>1.5</v>
      </c>
      <c r="S162" t="s">
        <v>419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7.9000000000000008E-3</v>
      </c>
      <c r="AE162">
        <v>0.442</v>
      </c>
      <c r="AF162">
        <v>0.22919999999999999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N162" t="s">
        <v>1654</v>
      </c>
      <c r="AO162">
        <v>0.26900000000000002</v>
      </c>
      <c r="AP162">
        <v>0</v>
      </c>
      <c r="AQ162">
        <v>0</v>
      </c>
      <c r="AR162">
        <v>0</v>
      </c>
      <c r="AS162">
        <v>2.7040000000000002</v>
      </c>
      <c r="AT162">
        <v>3.044</v>
      </c>
      <c r="AU162" t="s">
        <v>421</v>
      </c>
      <c r="AV162">
        <v>1</v>
      </c>
      <c r="AW162">
        <v>0</v>
      </c>
      <c r="AX162" t="s">
        <v>440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2.8740000000000001</v>
      </c>
      <c r="CG162" t="s">
        <v>1670</v>
      </c>
      <c r="CH162" t="s">
        <v>1688</v>
      </c>
      <c r="CI162">
        <v>1.6217922820552999</v>
      </c>
      <c r="CJ162">
        <v>1.5</v>
      </c>
      <c r="CK162">
        <v>1.5608961410276501</v>
      </c>
      <c r="CL162">
        <v>-0.24</v>
      </c>
      <c r="CM162">
        <v>1.3208961410276501</v>
      </c>
    </row>
    <row r="163" spans="1:91" x14ac:dyDescent="0.25">
      <c r="A163">
        <v>445</v>
      </c>
      <c r="B163" t="s">
        <v>581</v>
      </c>
      <c r="C163" t="s">
        <v>980</v>
      </c>
      <c r="D163" t="s">
        <v>1379</v>
      </c>
      <c r="E163" t="s">
        <v>404</v>
      </c>
      <c r="F163">
        <v>10166679946</v>
      </c>
      <c r="G163">
        <v>6.8470000000000004</v>
      </c>
      <c r="H163" t="s">
        <v>409</v>
      </c>
      <c r="I163">
        <v>69611257590.262009</v>
      </c>
      <c r="J163" t="s">
        <v>415</v>
      </c>
      <c r="K163">
        <v>165055943.90309799</v>
      </c>
      <c r="L163">
        <v>0.75</v>
      </c>
      <c r="M163">
        <v>52208443192.696503</v>
      </c>
      <c r="N163">
        <v>318496666008.31512</v>
      </c>
      <c r="O163">
        <v>65101015</v>
      </c>
      <c r="P163">
        <v>6510</v>
      </c>
      <c r="Q163">
        <v>1.66829017839821</v>
      </c>
      <c r="R163">
        <v>1.5</v>
      </c>
      <c r="S163" t="s">
        <v>417</v>
      </c>
      <c r="T163" t="s">
        <v>423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1.9800000000000002E-2</v>
      </c>
      <c r="AE163">
        <v>0.377</v>
      </c>
      <c r="AF163">
        <v>0.1011</v>
      </c>
      <c r="AH163">
        <v>0</v>
      </c>
      <c r="AI163" t="s">
        <v>424</v>
      </c>
      <c r="AK163" t="s">
        <v>424</v>
      </c>
      <c r="AL163" t="s">
        <v>424</v>
      </c>
      <c r="AM163" t="s">
        <v>1655</v>
      </c>
      <c r="AN163" t="s">
        <v>1654</v>
      </c>
      <c r="AO163">
        <v>1.6E-2</v>
      </c>
      <c r="AP163">
        <v>0</v>
      </c>
      <c r="AQ163">
        <v>0</v>
      </c>
      <c r="AR163">
        <v>0</v>
      </c>
      <c r="AS163">
        <v>2.5089999999999999</v>
      </c>
      <c r="AT163">
        <v>2.9980000000000002</v>
      </c>
      <c r="AU163" t="s">
        <v>421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2.7534999999999998</v>
      </c>
      <c r="CG163" t="s">
        <v>1670</v>
      </c>
      <c r="CH163" t="s">
        <v>1699</v>
      </c>
      <c r="CI163">
        <v>1.66829017839821</v>
      </c>
      <c r="CJ163">
        <v>1.5</v>
      </c>
      <c r="CK163">
        <v>1.5841450891991049</v>
      </c>
      <c r="CL163">
        <v>-0.3</v>
      </c>
      <c r="CM163">
        <v>1.2841450891991051</v>
      </c>
    </row>
    <row r="164" spans="1:91" x14ac:dyDescent="0.25">
      <c r="A164">
        <v>448</v>
      </c>
      <c r="B164" t="s">
        <v>582</v>
      </c>
      <c r="C164" t="s">
        <v>981</v>
      </c>
      <c r="D164" t="s">
        <v>1380</v>
      </c>
      <c r="E164" t="s">
        <v>394</v>
      </c>
      <c r="F164">
        <v>2435285011</v>
      </c>
      <c r="G164">
        <v>16.055</v>
      </c>
      <c r="H164" t="s">
        <v>409</v>
      </c>
      <c r="I164">
        <v>39098500851.605003</v>
      </c>
      <c r="J164" t="s">
        <v>415</v>
      </c>
      <c r="K164">
        <v>82794657.666865095</v>
      </c>
      <c r="L164">
        <v>0.75</v>
      </c>
      <c r="M164">
        <v>29323875638.703751</v>
      </c>
      <c r="N164">
        <v>76291391182.102509</v>
      </c>
      <c r="O164">
        <v>65102000</v>
      </c>
      <c r="P164">
        <v>6510</v>
      </c>
      <c r="Q164">
        <v>1.95624952796955</v>
      </c>
      <c r="R164">
        <v>1.5</v>
      </c>
      <c r="S164" t="s">
        <v>419</v>
      </c>
      <c r="T164" t="s">
        <v>423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9.1000000000000004E-3</v>
      </c>
      <c r="AE164">
        <v>0.5</v>
      </c>
      <c r="AF164">
        <v>0.22570000000000001</v>
      </c>
      <c r="AH164">
        <v>0</v>
      </c>
      <c r="AI164" t="s">
        <v>424</v>
      </c>
      <c r="AK164" t="s">
        <v>424</v>
      </c>
      <c r="AL164" t="s">
        <v>424</v>
      </c>
      <c r="AM164" t="s">
        <v>1655</v>
      </c>
      <c r="AN164" t="s">
        <v>1656</v>
      </c>
      <c r="AO164">
        <v>4.8000000000000001E-2</v>
      </c>
      <c r="AP164">
        <v>0</v>
      </c>
      <c r="AQ164">
        <v>0</v>
      </c>
      <c r="AR164">
        <v>0</v>
      </c>
      <c r="AS164">
        <v>2.2650000000000001</v>
      </c>
      <c r="AT164">
        <v>3.2440000000000002</v>
      </c>
      <c r="AU164" t="s">
        <v>421</v>
      </c>
      <c r="AV164">
        <v>1</v>
      </c>
      <c r="AW164">
        <v>0</v>
      </c>
      <c r="AX164" t="s">
        <v>433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2.7545000000000002</v>
      </c>
      <c r="CG164" t="s">
        <v>1670</v>
      </c>
      <c r="CH164" t="s">
        <v>1671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 x14ac:dyDescent="0.25">
      <c r="A165">
        <v>449</v>
      </c>
      <c r="B165" t="s">
        <v>583</v>
      </c>
      <c r="C165" t="s">
        <v>982</v>
      </c>
      <c r="D165" t="s">
        <v>1381</v>
      </c>
      <c r="E165" t="s">
        <v>404</v>
      </c>
      <c r="F165">
        <v>3284490525</v>
      </c>
      <c r="G165">
        <v>13.962</v>
      </c>
      <c r="H165" t="s">
        <v>409</v>
      </c>
      <c r="I165">
        <v>45858056710.050003</v>
      </c>
      <c r="J165" t="s">
        <v>415</v>
      </c>
      <c r="K165">
        <v>152237812.00885201</v>
      </c>
      <c r="L165">
        <v>0.65</v>
      </c>
      <c r="M165">
        <v>29807736861.532501</v>
      </c>
      <c r="N165">
        <v>38780800751.306252</v>
      </c>
      <c r="O165">
        <v>60101000</v>
      </c>
      <c r="P165">
        <v>6010</v>
      </c>
      <c r="S165" t="s">
        <v>424</v>
      </c>
      <c r="T165" t="s">
        <v>1651</v>
      </c>
      <c r="U165">
        <v>0</v>
      </c>
      <c r="V165">
        <v>0.01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0.88600000000000001</v>
      </c>
      <c r="AF165">
        <v>5.0900000000000001E-2</v>
      </c>
      <c r="AG165" t="s">
        <v>1654</v>
      </c>
      <c r="AH165">
        <v>0</v>
      </c>
      <c r="AI165" t="s">
        <v>1655</v>
      </c>
      <c r="AJ165" t="s">
        <v>1654</v>
      </c>
      <c r="AK165" t="s">
        <v>424</v>
      </c>
      <c r="AL165" t="s">
        <v>1655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2.855</v>
      </c>
      <c r="AT165">
        <v>3.1160000000000001</v>
      </c>
      <c r="AU165" t="s">
        <v>420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1667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1670</v>
      </c>
      <c r="CH165" t="s">
        <v>1700</v>
      </c>
      <c r="CI165">
        <v>3.4</v>
      </c>
      <c r="CJ165">
        <v>3.1</v>
      </c>
      <c r="CK165">
        <v>3.25</v>
      </c>
      <c r="CL165">
        <v>0.3</v>
      </c>
      <c r="CM165">
        <v>3.55</v>
      </c>
    </row>
    <row r="166" spans="1:91" x14ac:dyDescent="0.25">
      <c r="A166">
        <v>450</v>
      </c>
      <c r="B166" t="s">
        <v>584</v>
      </c>
      <c r="C166" t="s">
        <v>983</v>
      </c>
      <c r="D166" t="s">
        <v>1382</v>
      </c>
      <c r="E166" t="s">
        <v>403</v>
      </c>
      <c r="F166">
        <v>639307000</v>
      </c>
      <c r="G166">
        <v>8.9220009999999998</v>
      </c>
      <c r="H166" t="s">
        <v>413</v>
      </c>
      <c r="I166">
        <v>5703897693.3070002</v>
      </c>
      <c r="J166" t="s">
        <v>416</v>
      </c>
      <c r="K166">
        <v>12703501.6579103</v>
      </c>
      <c r="L166">
        <v>0.95</v>
      </c>
      <c r="M166">
        <v>5418702808.6416502</v>
      </c>
      <c r="N166">
        <v>11032361072.25</v>
      </c>
      <c r="O166">
        <v>40501020</v>
      </c>
      <c r="P166">
        <v>4050</v>
      </c>
      <c r="S166" t="s">
        <v>1648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2.1880000000000002</v>
      </c>
      <c r="AT166">
        <v>3.08</v>
      </c>
      <c r="AU166" t="s">
        <v>1658</v>
      </c>
      <c r="AV166">
        <v>0</v>
      </c>
      <c r="AW166">
        <v>0</v>
      </c>
      <c r="AX166" t="s">
        <v>1662</v>
      </c>
      <c r="AY166">
        <v>0</v>
      </c>
      <c r="AZ166">
        <v>0</v>
      </c>
      <c r="BA166">
        <v>0</v>
      </c>
      <c r="CE166">
        <v>2.6339999999999999</v>
      </c>
      <c r="CG166" t="s">
        <v>450</v>
      </c>
      <c r="CI166">
        <v>3.4</v>
      </c>
      <c r="CJ166">
        <v>3.1</v>
      </c>
      <c r="CK166">
        <v>3.25</v>
      </c>
      <c r="CL166">
        <v>0.3</v>
      </c>
      <c r="CM166">
        <v>3.55</v>
      </c>
    </row>
    <row r="167" spans="1:91" x14ac:dyDescent="0.25">
      <c r="A167">
        <v>454</v>
      </c>
      <c r="B167" t="s">
        <v>585</v>
      </c>
      <c r="C167" t="s">
        <v>984</v>
      </c>
      <c r="D167" t="s">
        <v>1383</v>
      </c>
      <c r="E167" t="s">
        <v>395</v>
      </c>
      <c r="F167">
        <v>823765800</v>
      </c>
      <c r="G167">
        <v>19.65644</v>
      </c>
      <c r="H167" t="s">
        <v>410</v>
      </c>
      <c r="I167">
        <v>16192303021.752001</v>
      </c>
      <c r="J167" t="s">
        <v>416</v>
      </c>
      <c r="K167">
        <v>17907130.638756901</v>
      </c>
      <c r="L167">
        <v>0.75</v>
      </c>
      <c r="M167">
        <v>12144227266.313999</v>
      </c>
      <c r="N167">
        <v>11222779317.75</v>
      </c>
      <c r="O167">
        <v>50204020</v>
      </c>
      <c r="P167">
        <v>5020</v>
      </c>
      <c r="Q167">
        <v>1.99808005130407</v>
      </c>
      <c r="S167" t="s">
        <v>420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0.02</v>
      </c>
      <c r="AE167">
        <v>0.05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2.548</v>
      </c>
      <c r="AT167">
        <v>3.1030000000000002</v>
      </c>
      <c r="AU167" t="s">
        <v>420</v>
      </c>
      <c r="AV167">
        <v>1</v>
      </c>
      <c r="AW167">
        <v>0</v>
      </c>
      <c r="AX167" t="s">
        <v>434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2.8254999999999999</v>
      </c>
      <c r="CG167" t="s">
        <v>1670</v>
      </c>
      <c r="CH167" t="s">
        <v>1701</v>
      </c>
      <c r="CI167">
        <v>1.99808005130407</v>
      </c>
      <c r="CJ167">
        <v>3.1</v>
      </c>
      <c r="CK167">
        <v>2.5490400256520349</v>
      </c>
      <c r="CL167">
        <v>0</v>
      </c>
      <c r="CM167">
        <v>2.5490400256520349</v>
      </c>
    </row>
    <row r="168" spans="1:91" x14ac:dyDescent="0.25">
      <c r="A168">
        <v>455</v>
      </c>
      <c r="B168" t="s">
        <v>586</v>
      </c>
      <c r="C168" t="s">
        <v>985</v>
      </c>
      <c r="D168" t="s">
        <v>1384</v>
      </c>
      <c r="E168" t="s">
        <v>395</v>
      </c>
      <c r="F168">
        <v>1241125400</v>
      </c>
      <c r="G168">
        <v>31.462900000000001</v>
      </c>
      <c r="H168" t="s">
        <v>410</v>
      </c>
      <c r="I168">
        <v>39049404347.660004</v>
      </c>
      <c r="J168" t="s">
        <v>416</v>
      </c>
      <c r="K168">
        <v>31946725.174529798</v>
      </c>
      <c r="L168">
        <v>0.65</v>
      </c>
      <c r="M168">
        <v>25382112825.979</v>
      </c>
      <c r="N168">
        <v>14654277879.15</v>
      </c>
      <c r="O168">
        <v>30202010</v>
      </c>
      <c r="P168">
        <v>3020</v>
      </c>
      <c r="Q168">
        <v>1.9422809457579899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2.0419999999999998</v>
      </c>
      <c r="AT168">
        <v>3.4140000000000001</v>
      </c>
      <c r="AU168" t="s">
        <v>430</v>
      </c>
      <c r="AV168">
        <v>0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2.7280000000000002</v>
      </c>
      <c r="CG168" t="s">
        <v>450</v>
      </c>
      <c r="CI168">
        <v>1.9422809457579899</v>
      </c>
      <c r="CJ168">
        <v>3.1</v>
      </c>
      <c r="CK168">
        <v>2.521140472878995</v>
      </c>
      <c r="CL168">
        <v>0.3</v>
      </c>
      <c r="CM168">
        <v>2.8211404728789948</v>
      </c>
    </row>
    <row r="169" spans="1:91" x14ac:dyDescent="0.25">
      <c r="A169">
        <v>459</v>
      </c>
      <c r="B169" t="s">
        <v>587</v>
      </c>
      <c r="C169" t="s">
        <v>986</v>
      </c>
      <c r="D169" t="s">
        <v>1385</v>
      </c>
      <c r="E169" t="s">
        <v>400</v>
      </c>
      <c r="F169">
        <v>2792781230</v>
      </c>
      <c r="G169">
        <v>22.199829999999999</v>
      </c>
      <c r="H169" t="s">
        <v>411</v>
      </c>
      <c r="I169">
        <v>61999268533.190903</v>
      </c>
      <c r="J169" t="s">
        <v>416</v>
      </c>
      <c r="K169">
        <v>80984091.738194495</v>
      </c>
      <c r="L169">
        <v>0.35</v>
      </c>
      <c r="M169">
        <v>21699743986.61681</v>
      </c>
      <c r="N169">
        <v>17755804865.032501</v>
      </c>
      <c r="O169">
        <v>60101000</v>
      </c>
      <c r="P169">
        <v>6010</v>
      </c>
      <c r="Q169">
        <v>3.2072479588838698</v>
      </c>
      <c r="R169">
        <v>1.5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0.997</v>
      </c>
      <c r="AF169">
        <v>5.4999999999999997E-3</v>
      </c>
      <c r="AG169" t="s">
        <v>1654</v>
      </c>
      <c r="AH169">
        <v>0</v>
      </c>
      <c r="AI169" t="s">
        <v>1655</v>
      </c>
      <c r="AJ169" t="s">
        <v>1654</v>
      </c>
      <c r="AK169" t="s">
        <v>424</v>
      </c>
      <c r="AL169" t="s">
        <v>1655</v>
      </c>
      <c r="AM169" t="s">
        <v>1655</v>
      </c>
      <c r="AO169">
        <v>0</v>
      </c>
      <c r="AP169">
        <v>0</v>
      </c>
      <c r="AQ169">
        <v>0</v>
      </c>
      <c r="AR169">
        <v>0</v>
      </c>
      <c r="AS169">
        <v>2.6120000000000001</v>
      </c>
      <c r="AT169">
        <v>3.5070000000000001</v>
      </c>
      <c r="AU169" t="s">
        <v>420</v>
      </c>
      <c r="AV169">
        <v>1</v>
      </c>
      <c r="AW169">
        <v>0</v>
      </c>
      <c r="AX169" t="s">
        <v>439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3.0594999999999999</v>
      </c>
      <c r="CG169" t="s">
        <v>1670</v>
      </c>
      <c r="CH169" t="s">
        <v>1702</v>
      </c>
      <c r="CI169">
        <v>3.2072479588838698</v>
      </c>
      <c r="CJ169">
        <v>1.5</v>
      </c>
      <c r="CK169">
        <v>2.3536239794419349</v>
      </c>
      <c r="CL169">
        <v>-0.18</v>
      </c>
      <c r="CM169">
        <v>2.1736239794419352</v>
      </c>
    </row>
    <row r="170" spans="1:91" x14ac:dyDescent="0.25">
      <c r="A170">
        <v>461</v>
      </c>
      <c r="B170" t="s">
        <v>588</v>
      </c>
      <c r="C170" t="s">
        <v>987</v>
      </c>
      <c r="D170" t="s">
        <v>1386</v>
      </c>
      <c r="E170" t="s">
        <v>395</v>
      </c>
      <c r="F170">
        <v>3086495800</v>
      </c>
      <c r="G170">
        <v>7.6701490000000003</v>
      </c>
      <c r="H170" t="s">
        <v>410</v>
      </c>
      <c r="I170">
        <v>23673882673.874199</v>
      </c>
      <c r="J170" t="s">
        <v>416</v>
      </c>
      <c r="K170">
        <v>52893673.909293599</v>
      </c>
      <c r="L170">
        <v>0.95</v>
      </c>
      <c r="M170">
        <v>22490188540.180489</v>
      </c>
      <c r="N170">
        <v>53262886396.649986</v>
      </c>
      <c r="O170">
        <v>15101010</v>
      </c>
      <c r="P170">
        <v>1510</v>
      </c>
      <c r="Q170">
        <v>1.74924520915321</v>
      </c>
      <c r="R170">
        <v>3.1</v>
      </c>
      <c r="S170" t="s">
        <v>1648</v>
      </c>
      <c r="T170" t="s">
        <v>423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2.6440000000000001</v>
      </c>
      <c r="AT170">
        <v>2.548</v>
      </c>
      <c r="AU170" t="s">
        <v>420</v>
      </c>
      <c r="AV170">
        <v>1</v>
      </c>
      <c r="AW170">
        <v>0</v>
      </c>
      <c r="AX170" t="s">
        <v>434</v>
      </c>
      <c r="AY170">
        <v>0</v>
      </c>
      <c r="AZ170">
        <v>0</v>
      </c>
      <c r="BA170">
        <v>0</v>
      </c>
      <c r="CE170">
        <v>2.5960000000000001</v>
      </c>
      <c r="CG170" t="s">
        <v>450</v>
      </c>
      <c r="CI170">
        <v>1.74924520915321</v>
      </c>
      <c r="CJ170">
        <v>3.1</v>
      </c>
      <c r="CK170">
        <v>2.4246226045766051</v>
      </c>
      <c r="CL170">
        <v>0.3</v>
      </c>
      <c r="CM170">
        <v>2.7246226045766049</v>
      </c>
    </row>
    <row r="171" spans="1:91" x14ac:dyDescent="0.25">
      <c r="A171">
        <v>462</v>
      </c>
      <c r="B171" t="s">
        <v>589</v>
      </c>
      <c r="C171" t="s">
        <v>988</v>
      </c>
      <c r="D171" t="s">
        <v>1387</v>
      </c>
      <c r="E171" t="s">
        <v>405</v>
      </c>
      <c r="F171">
        <v>410514370</v>
      </c>
      <c r="G171">
        <v>66.3</v>
      </c>
      <c r="H171" t="s">
        <v>409</v>
      </c>
      <c r="I171">
        <v>27217102731</v>
      </c>
      <c r="J171" t="s">
        <v>415</v>
      </c>
      <c r="K171">
        <v>28633350.351147499</v>
      </c>
      <c r="L171">
        <v>0.8</v>
      </c>
      <c r="M171">
        <v>21773682184.799999</v>
      </c>
      <c r="N171">
        <v>5965594824.8400002</v>
      </c>
      <c r="O171">
        <v>30101010</v>
      </c>
      <c r="P171">
        <v>3010</v>
      </c>
      <c r="Q171">
        <v>3.4</v>
      </c>
      <c r="S171" t="s">
        <v>418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2.3410000000000002</v>
      </c>
      <c r="AT171">
        <v>2.7240000000000002</v>
      </c>
      <c r="AU171" t="s">
        <v>430</v>
      </c>
      <c r="AV171">
        <v>0</v>
      </c>
      <c r="AW171">
        <v>0</v>
      </c>
      <c r="AX171" t="s">
        <v>444</v>
      </c>
      <c r="AY171">
        <v>0</v>
      </c>
      <c r="AZ171">
        <v>0</v>
      </c>
      <c r="BA171">
        <v>0</v>
      </c>
      <c r="CE171">
        <v>2.5325000000000002</v>
      </c>
      <c r="CG171" t="s">
        <v>450</v>
      </c>
      <c r="CI171">
        <v>3.4</v>
      </c>
      <c r="CJ171">
        <v>3.1</v>
      </c>
      <c r="CK171">
        <v>3.25</v>
      </c>
      <c r="CL171">
        <v>-0.18</v>
      </c>
      <c r="CM171">
        <v>3.07</v>
      </c>
    </row>
    <row r="172" spans="1:91" x14ac:dyDescent="0.25">
      <c r="A172">
        <v>465</v>
      </c>
      <c r="B172" t="s">
        <v>590</v>
      </c>
      <c r="C172" t="s">
        <v>989</v>
      </c>
      <c r="D172" t="s">
        <v>1388</v>
      </c>
      <c r="E172" t="s">
        <v>394</v>
      </c>
      <c r="F172">
        <v>457507201</v>
      </c>
      <c r="G172">
        <v>290.89999999999998</v>
      </c>
      <c r="H172" t="s">
        <v>409</v>
      </c>
      <c r="I172">
        <v>133088844770.89999</v>
      </c>
      <c r="J172" t="s">
        <v>415</v>
      </c>
      <c r="K172">
        <v>129173182.36587299</v>
      </c>
      <c r="L172">
        <v>0.70000000000000007</v>
      </c>
      <c r="M172">
        <v>93162191339.630005</v>
      </c>
      <c r="N172">
        <v>5817432814.3155003</v>
      </c>
      <c r="O172">
        <v>20102015</v>
      </c>
      <c r="P172">
        <v>2010</v>
      </c>
      <c r="Q172">
        <v>1.8933020825698099</v>
      </c>
      <c r="R172">
        <v>3.1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2.7309999999999999</v>
      </c>
      <c r="AT172">
        <v>2.5099999999999998</v>
      </c>
      <c r="AU172" t="s">
        <v>420</v>
      </c>
      <c r="AV172">
        <v>1</v>
      </c>
      <c r="AW172">
        <v>0</v>
      </c>
      <c r="AX172" t="s">
        <v>433</v>
      </c>
      <c r="AY172">
        <v>0</v>
      </c>
      <c r="AZ172">
        <v>0</v>
      </c>
      <c r="BA172">
        <v>0</v>
      </c>
      <c r="CE172">
        <v>2.6204999999999998</v>
      </c>
      <c r="CG172" t="s">
        <v>450</v>
      </c>
      <c r="CI172">
        <v>1.8933020825698099</v>
      </c>
      <c r="CJ172">
        <v>3.1</v>
      </c>
      <c r="CK172">
        <v>2.4966510412849048</v>
      </c>
      <c r="CL172">
        <v>-0.24</v>
      </c>
      <c r="CM172">
        <v>2.256651041284905</v>
      </c>
    </row>
    <row r="173" spans="1:91" x14ac:dyDescent="0.25">
      <c r="A173">
        <v>466</v>
      </c>
      <c r="B173" t="s">
        <v>178</v>
      </c>
      <c r="C173" t="s">
        <v>278</v>
      </c>
      <c r="D173" t="s">
        <v>378</v>
      </c>
      <c r="E173" t="s">
        <v>395</v>
      </c>
      <c r="F173">
        <v>643368840</v>
      </c>
      <c r="G173">
        <v>25.860900000000001</v>
      </c>
      <c r="H173" t="s">
        <v>410</v>
      </c>
      <c r="I173">
        <v>16638097234.356001</v>
      </c>
      <c r="J173" t="s">
        <v>416</v>
      </c>
      <c r="K173">
        <v>36684374.367596902</v>
      </c>
      <c r="L173">
        <v>0.9</v>
      </c>
      <c r="M173">
        <v>14974287510.920401</v>
      </c>
      <c r="N173">
        <v>10518115480.74</v>
      </c>
      <c r="O173">
        <v>45201020</v>
      </c>
      <c r="P173">
        <v>4520</v>
      </c>
      <c r="Q173">
        <v>1.6524943400662999</v>
      </c>
      <c r="R173">
        <v>1.77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2.3239999999999998</v>
      </c>
      <c r="AT173">
        <v>2.919</v>
      </c>
      <c r="AU173" t="s">
        <v>420</v>
      </c>
      <c r="AV173">
        <v>1</v>
      </c>
      <c r="AW173">
        <v>0</v>
      </c>
      <c r="AX173" t="s">
        <v>434</v>
      </c>
      <c r="AY173">
        <v>0</v>
      </c>
      <c r="AZ173">
        <v>0</v>
      </c>
      <c r="BA173">
        <v>0</v>
      </c>
      <c r="CE173">
        <v>2.6215000000000002</v>
      </c>
      <c r="CG173" t="s">
        <v>450</v>
      </c>
      <c r="CI173">
        <v>1.6524943400662999</v>
      </c>
      <c r="CJ173">
        <v>1.77</v>
      </c>
      <c r="CK173">
        <v>1.71124717003315</v>
      </c>
      <c r="CL173">
        <v>-0.3</v>
      </c>
      <c r="CM173">
        <v>1.4112471700331499</v>
      </c>
    </row>
    <row r="174" spans="1:91" x14ac:dyDescent="0.25">
      <c r="A174">
        <v>468</v>
      </c>
      <c r="B174" t="s">
        <v>591</v>
      </c>
      <c r="C174" t="s">
        <v>990</v>
      </c>
      <c r="D174" t="s">
        <v>1389</v>
      </c>
      <c r="E174" t="s">
        <v>394</v>
      </c>
      <c r="F174">
        <v>73085760</v>
      </c>
      <c r="G174">
        <v>80.05</v>
      </c>
      <c r="H174" t="s">
        <v>409</v>
      </c>
      <c r="I174">
        <v>5850515088</v>
      </c>
      <c r="J174" t="s">
        <v>415</v>
      </c>
      <c r="K174">
        <v>7072689.4869047599</v>
      </c>
      <c r="L174">
        <v>0.70000000000000007</v>
      </c>
      <c r="M174">
        <v>4095360561.5999999</v>
      </c>
      <c r="N174">
        <v>929321981.27999997</v>
      </c>
      <c r="O174">
        <v>30202010</v>
      </c>
      <c r="P174">
        <v>3020</v>
      </c>
      <c r="S174" t="s">
        <v>418</v>
      </c>
      <c r="T174" t="s">
        <v>422</v>
      </c>
      <c r="U174">
        <v>0</v>
      </c>
      <c r="V174">
        <v>0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2.5299999999999998</v>
      </c>
      <c r="AT174">
        <v>2.6669999999999998</v>
      </c>
      <c r="AU174" t="s">
        <v>430</v>
      </c>
      <c r="AV174">
        <v>0</v>
      </c>
      <c r="AW174">
        <v>0</v>
      </c>
      <c r="AX174" t="s">
        <v>433</v>
      </c>
      <c r="AY174">
        <v>0</v>
      </c>
      <c r="AZ174">
        <v>0</v>
      </c>
      <c r="BA174">
        <v>0</v>
      </c>
      <c r="CE174">
        <v>2.5985</v>
      </c>
      <c r="CG174" t="s">
        <v>450</v>
      </c>
      <c r="CI174">
        <v>3.4</v>
      </c>
      <c r="CJ174">
        <v>3.1</v>
      </c>
      <c r="CK174">
        <v>3.25</v>
      </c>
      <c r="CL174">
        <v>-0.18</v>
      </c>
      <c r="CM174">
        <v>3.07</v>
      </c>
    </row>
    <row r="175" spans="1:91" x14ac:dyDescent="0.25">
      <c r="A175">
        <v>469</v>
      </c>
      <c r="B175" t="s">
        <v>592</v>
      </c>
      <c r="C175" t="s">
        <v>991</v>
      </c>
      <c r="D175" t="s">
        <v>1390</v>
      </c>
      <c r="E175" t="s">
        <v>394</v>
      </c>
      <c r="F175">
        <v>192981183</v>
      </c>
      <c r="G175">
        <v>48.8</v>
      </c>
      <c r="H175" t="s">
        <v>409</v>
      </c>
      <c r="I175">
        <v>9417481730.3999996</v>
      </c>
      <c r="J175" t="s">
        <v>415</v>
      </c>
      <c r="K175">
        <v>18196805.817460299</v>
      </c>
      <c r="L175">
        <v>0.65</v>
      </c>
      <c r="M175">
        <v>6121363124.7600002</v>
      </c>
      <c r="N175">
        <v>2278577072.9767499</v>
      </c>
      <c r="O175">
        <v>20102020</v>
      </c>
      <c r="P175">
        <v>2010</v>
      </c>
      <c r="Q175">
        <v>3.4</v>
      </c>
      <c r="S175" t="s">
        <v>420</v>
      </c>
      <c r="T175" t="s">
        <v>422</v>
      </c>
      <c r="U175">
        <v>0</v>
      </c>
      <c r="V175">
        <v>0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2.363</v>
      </c>
      <c r="AT175">
        <v>2.9710000000000001</v>
      </c>
      <c r="AU175" t="s">
        <v>429</v>
      </c>
      <c r="AV175">
        <v>0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2.6669999999999998</v>
      </c>
      <c r="CG175" t="s">
        <v>450</v>
      </c>
      <c r="CI175">
        <v>3.4</v>
      </c>
      <c r="CJ175">
        <v>3.1</v>
      </c>
      <c r="CK175">
        <v>3.25</v>
      </c>
      <c r="CL175">
        <v>0</v>
      </c>
      <c r="CM175">
        <v>3.25</v>
      </c>
    </row>
    <row r="176" spans="1:91" x14ac:dyDescent="0.25">
      <c r="A176">
        <v>470</v>
      </c>
      <c r="B176" t="s">
        <v>144</v>
      </c>
      <c r="C176" t="s">
        <v>244</v>
      </c>
      <c r="D176" t="s">
        <v>344</v>
      </c>
      <c r="E176" t="s">
        <v>394</v>
      </c>
      <c r="F176">
        <v>104235507</v>
      </c>
      <c r="G176">
        <v>119</v>
      </c>
      <c r="H176" t="s">
        <v>409</v>
      </c>
      <c r="I176">
        <v>12404025333</v>
      </c>
      <c r="J176" t="s">
        <v>415</v>
      </c>
      <c r="K176">
        <v>23304182.974603198</v>
      </c>
      <c r="L176">
        <v>0.75</v>
      </c>
      <c r="M176">
        <v>9303018999.75</v>
      </c>
      <c r="N176">
        <v>1420078488.49125</v>
      </c>
      <c r="O176">
        <v>30202015</v>
      </c>
      <c r="P176">
        <v>3020</v>
      </c>
      <c r="Q176">
        <v>1.97838083490229</v>
      </c>
      <c r="R176">
        <v>3.1</v>
      </c>
      <c r="S176" t="s">
        <v>418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2.37</v>
      </c>
      <c r="AT176">
        <v>3.1080000000000001</v>
      </c>
      <c r="AU176" t="s">
        <v>430</v>
      </c>
      <c r="AV176">
        <v>0</v>
      </c>
      <c r="AW176">
        <v>0</v>
      </c>
      <c r="AX176" t="s">
        <v>445</v>
      </c>
      <c r="AY176">
        <v>0</v>
      </c>
      <c r="AZ176">
        <v>0</v>
      </c>
      <c r="BA176">
        <v>0</v>
      </c>
      <c r="CE176">
        <v>2.7389999999999999</v>
      </c>
      <c r="CG176" t="s">
        <v>450</v>
      </c>
      <c r="CI176">
        <v>1.97838083490229</v>
      </c>
      <c r="CJ176">
        <v>3.1</v>
      </c>
      <c r="CK176">
        <v>2.5391904174511448</v>
      </c>
      <c r="CL176">
        <v>-0.18</v>
      </c>
      <c r="CM176">
        <v>2.3591904174511451</v>
      </c>
    </row>
    <row r="177" spans="1:91" x14ac:dyDescent="0.25">
      <c r="A177">
        <v>472</v>
      </c>
      <c r="B177" t="s">
        <v>593</v>
      </c>
      <c r="C177" t="s">
        <v>992</v>
      </c>
      <c r="D177" t="s">
        <v>1391</v>
      </c>
      <c r="E177" t="s">
        <v>395</v>
      </c>
      <c r="F177">
        <v>211833200</v>
      </c>
      <c r="G177">
        <v>73.967929999999996</v>
      </c>
      <c r="H177" t="s">
        <v>410</v>
      </c>
      <c r="I177">
        <v>15668863309.275999</v>
      </c>
      <c r="J177" t="s">
        <v>416</v>
      </c>
      <c r="K177">
        <v>62142347.337688804</v>
      </c>
      <c r="L177">
        <v>0.8</v>
      </c>
      <c r="M177">
        <v>12535090647.420799</v>
      </c>
      <c r="N177">
        <v>3078360062.4000001</v>
      </c>
      <c r="O177">
        <v>40501020</v>
      </c>
      <c r="P177">
        <v>4050</v>
      </c>
      <c r="Q177">
        <v>3.4</v>
      </c>
      <c r="S177" t="s">
        <v>424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2.1739999999999999</v>
      </c>
      <c r="AT177">
        <v>2.633</v>
      </c>
      <c r="AU177" t="s">
        <v>1658</v>
      </c>
      <c r="AV177">
        <v>0</v>
      </c>
      <c r="AW177">
        <v>0</v>
      </c>
      <c r="AX177" t="s">
        <v>434</v>
      </c>
      <c r="AY177">
        <v>0</v>
      </c>
      <c r="AZ177">
        <v>0</v>
      </c>
      <c r="BA177">
        <v>0</v>
      </c>
      <c r="CE177">
        <v>2.4035000000000002</v>
      </c>
      <c r="CG177" t="s">
        <v>450</v>
      </c>
      <c r="CI177">
        <v>3.4</v>
      </c>
      <c r="CJ177">
        <v>3.1</v>
      </c>
      <c r="CK177">
        <v>3.25</v>
      </c>
      <c r="CL177">
        <v>0.3</v>
      </c>
      <c r="CM177">
        <v>3.55</v>
      </c>
    </row>
    <row r="178" spans="1:91" x14ac:dyDescent="0.25">
      <c r="A178">
        <v>474</v>
      </c>
      <c r="B178" t="s">
        <v>594</v>
      </c>
      <c r="C178" t="s">
        <v>993</v>
      </c>
      <c r="D178" t="s">
        <v>1392</v>
      </c>
      <c r="E178" t="s">
        <v>398</v>
      </c>
      <c r="F178">
        <v>466000000</v>
      </c>
      <c r="G178">
        <v>18.989999999999998</v>
      </c>
      <c r="H178" t="s">
        <v>409</v>
      </c>
      <c r="I178">
        <v>8849340000</v>
      </c>
      <c r="J178" t="s">
        <v>415</v>
      </c>
      <c r="K178">
        <v>16872157.613934401</v>
      </c>
      <c r="L178">
        <v>0.5</v>
      </c>
      <c r="M178">
        <v>4424670000</v>
      </c>
      <c r="N178">
        <v>4232445000</v>
      </c>
      <c r="O178">
        <v>55201020</v>
      </c>
      <c r="P178">
        <v>5520</v>
      </c>
      <c r="Q178">
        <v>1.94377732987122</v>
      </c>
      <c r="R178">
        <v>1.5</v>
      </c>
      <c r="S178" t="s">
        <v>419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3.3999999999999998E-3</v>
      </c>
      <c r="AE178">
        <v>0.05</v>
      </c>
      <c r="AF178">
        <v>0.01</v>
      </c>
      <c r="AG178" t="s">
        <v>1653</v>
      </c>
      <c r="AH178">
        <v>0</v>
      </c>
      <c r="AI178" t="s">
        <v>424</v>
      </c>
      <c r="AJ178" t="s">
        <v>1653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2.879</v>
      </c>
      <c r="AT178">
        <v>3.2349999999999999</v>
      </c>
      <c r="AU178" t="s">
        <v>420</v>
      </c>
      <c r="AV178">
        <v>1</v>
      </c>
      <c r="AW178">
        <v>0</v>
      </c>
      <c r="AX178" t="s">
        <v>437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3.0569999999999999</v>
      </c>
      <c r="CG178" t="s">
        <v>1670</v>
      </c>
      <c r="CH178" t="s">
        <v>1703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 x14ac:dyDescent="0.25">
      <c r="A179">
        <v>477</v>
      </c>
      <c r="B179" t="s">
        <v>595</v>
      </c>
      <c r="C179" t="s">
        <v>994</v>
      </c>
      <c r="D179" t="s">
        <v>1393</v>
      </c>
      <c r="E179" t="s">
        <v>396</v>
      </c>
      <c r="F179">
        <v>220984247</v>
      </c>
      <c r="G179">
        <v>94.1</v>
      </c>
      <c r="H179" t="s">
        <v>409</v>
      </c>
      <c r="I179">
        <v>20794617642.700001</v>
      </c>
      <c r="J179" t="s">
        <v>415</v>
      </c>
      <c r="K179">
        <v>13659265.351587299</v>
      </c>
      <c r="L179">
        <v>0.45</v>
      </c>
      <c r="M179">
        <v>9357577939.2149982</v>
      </c>
      <c r="N179">
        <v>1806380481.0397501</v>
      </c>
      <c r="O179">
        <v>30202000</v>
      </c>
      <c r="P179">
        <v>3020</v>
      </c>
      <c r="Q179">
        <v>3.4</v>
      </c>
      <c r="S179" t="s">
        <v>424</v>
      </c>
      <c r="T179" t="s">
        <v>423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2.343</v>
      </c>
      <c r="AT179">
        <v>1.6870000000000001</v>
      </c>
      <c r="AU179" t="s">
        <v>430</v>
      </c>
      <c r="AV179">
        <v>0</v>
      </c>
      <c r="AW179">
        <v>0</v>
      </c>
      <c r="AX179" t="s">
        <v>445</v>
      </c>
      <c r="AY179">
        <v>0</v>
      </c>
      <c r="AZ179">
        <v>0</v>
      </c>
      <c r="BA179">
        <v>0</v>
      </c>
      <c r="CE179">
        <v>2.0150000000000001</v>
      </c>
      <c r="CF179" t="s">
        <v>83</v>
      </c>
      <c r="CG179" t="s">
        <v>1670</v>
      </c>
      <c r="CH179" t="s">
        <v>83</v>
      </c>
      <c r="CI179">
        <v>3.4</v>
      </c>
      <c r="CJ179">
        <v>3.1</v>
      </c>
      <c r="CK179">
        <v>3.25</v>
      </c>
      <c r="CL179">
        <v>0.3</v>
      </c>
      <c r="CM179">
        <v>3.55</v>
      </c>
    </row>
    <row r="180" spans="1:91" x14ac:dyDescent="0.25">
      <c r="A180">
        <v>480</v>
      </c>
      <c r="B180" t="s">
        <v>183</v>
      </c>
      <c r="C180" t="s">
        <v>283</v>
      </c>
      <c r="D180" t="s">
        <v>383</v>
      </c>
      <c r="E180" t="s">
        <v>403</v>
      </c>
      <c r="F180">
        <v>919566160</v>
      </c>
      <c r="G180">
        <v>46.387149999999998</v>
      </c>
      <c r="H180" t="s">
        <v>413</v>
      </c>
      <c r="I180">
        <v>42656053398.844002</v>
      </c>
      <c r="J180" t="s">
        <v>416</v>
      </c>
      <c r="K180">
        <v>53659580.624927901</v>
      </c>
      <c r="L180">
        <v>1</v>
      </c>
      <c r="M180">
        <v>42656053398.844002</v>
      </c>
      <c r="N180">
        <v>16703919296.4</v>
      </c>
      <c r="O180">
        <v>50205020</v>
      </c>
      <c r="P180">
        <v>5020</v>
      </c>
      <c r="Q180">
        <v>1.96785746746361</v>
      </c>
      <c r="R180">
        <v>1.5</v>
      </c>
      <c r="S180" t="s">
        <v>419</v>
      </c>
      <c r="T180" t="s">
        <v>422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2.4129999999999998</v>
      </c>
      <c r="AT180">
        <v>3.26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450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 x14ac:dyDescent="0.25">
      <c r="A181">
        <v>490</v>
      </c>
      <c r="B181" t="s">
        <v>596</v>
      </c>
      <c r="C181" t="s">
        <v>995</v>
      </c>
      <c r="D181" t="s">
        <v>1394</v>
      </c>
      <c r="E181" t="s">
        <v>395</v>
      </c>
      <c r="F181">
        <v>1122623400</v>
      </c>
      <c r="G181">
        <v>6.7223959999999998</v>
      </c>
      <c r="H181" t="s">
        <v>410</v>
      </c>
      <c r="I181">
        <v>7546719053.6664</v>
      </c>
      <c r="J181" t="s">
        <v>416</v>
      </c>
      <c r="K181">
        <v>11845193.518166499</v>
      </c>
      <c r="L181">
        <v>0.6</v>
      </c>
      <c r="M181">
        <v>4528031432.1998396</v>
      </c>
      <c r="N181">
        <v>12235472436.6</v>
      </c>
      <c r="O181">
        <v>35101010</v>
      </c>
      <c r="P181">
        <v>3510</v>
      </c>
      <c r="Q181">
        <v>1.7247889667343499</v>
      </c>
      <c r="S181" t="s">
        <v>1649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1.8109999999999999</v>
      </c>
      <c r="AT181">
        <v>1.8320000000000001</v>
      </c>
      <c r="AU181" t="s">
        <v>425</v>
      </c>
      <c r="AV181">
        <v>1</v>
      </c>
      <c r="AW181">
        <v>0</v>
      </c>
      <c r="AX181" t="s">
        <v>434</v>
      </c>
      <c r="AY181">
        <v>0</v>
      </c>
      <c r="AZ181">
        <v>0</v>
      </c>
      <c r="BA181">
        <v>0</v>
      </c>
      <c r="CE181">
        <v>1.8214999999999999</v>
      </c>
      <c r="CF181" t="s">
        <v>83</v>
      </c>
      <c r="CG181" t="s">
        <v>1670</v>
      </c>
      <c r="CH181" t="s">
        <v>83</v>
      </c>
      <c r="CI181">
        <v>1.7247889667343499</v>
      </c>
      <c r="CJ181">
        <v>3.1</v>
      </c>
      <c r="CK181">
        <v>2.4123944833671751</v>
      </c>
      <c r="CL181">
        <v>0.3</v>
      </c>
      <c r="CM181">
        <v>2.7123944833671749</v>
      </c>
    </row>
    <row r="182" spans="1:91" x14ac:dyDescent="0.25">
      <c r="A182">
        <v>491</v>
      </c>
      <c r="B182" t="s">
        <v>597</v>
      </c>
      <c r="C182" t="s">
        <v>996</v>
      </c>
      <c r="D182" t="s">
        <v>1395</v>
      </c>
      <c r="E182" t="s">
        <v>394</v>
      </c>
      <c r="F182">
        <v>185270000</v>
      </c>
      <c r="G182">
        <v>36.54</v>
      </c>
      <c r="H182" t="s">
        <v>409</v>
      </c>
      <c r="I182">
        <v>6769765800</v>
      </c>
      <c r="J182" t="s">
        <v>415</v>
      </c>
      <c r="K182">
        <v>7329954.8633333398</v>
      </c>
      <c r="L182">
        <v>0.65</v>
      </c>
      <c r="M182">
        <v>4400347770</v>
      </c>
      <c r="N182">
        <v>2187529207.5</v>
      </c>
      <c r="O182">
        <v>40501020</v>
      </c>
      <c r="P182">
        <v>4050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2.4209999999999998</v>
      </c>
      <c r="AT182">
        <v>3.0840000000000001</v>
      </c>
      <c r="AU182" t="s">
        <v>1658</v>
      </c>
      <c r="AV182">
        <v>0</v>
      </c>
      <c r="AW182">
        <v>0</v>
      </c>
      <c r="AX182" t="s">
        <v>433</v>
      </c>
      <c r="AY182">
        <v>0</v>
      </c>
      <c r="AZ182">
        <v>0</v>
      </c>
      <c r="BA182">
        <v>0</v>
      </c>
      <c r="CE182">
        <v>2.7524999999999999</v>
      </c>
      <c r="CG182" t="s">
        <v>450</v>
      </c>
      <c r="CI182">
        <v>3.4</v>
      </c>
      <c r="CJ182">
        <v>3.1</v>
      </c>
      <c r="CK182">
        <v>3.25</v>
      </c>
      <c r="CL182">
        <v>-0.18</v>
      </c>
      <c r="CM182">
        <v>3.07</v>
      </c>
    </row>
    <row r="183" spans="1:91" x14ac:dyDescent="0.25">
      <c r="A183">
        <v>494</v>
      </c>
      <c r="B183" t="s">
        <v>598</v>
      </c>
      <c r="C183" t="s">
        <v>997</v>
      </c>
      <c r="D183" t="s">
        <v>1396</v>
      </c>
      <c r="E183" t="s">
        <v>404</v>
      </c>
      <c r="F183">
        <v>193923499</v>
      </c>
      <c r="G183">
        <v>482.1</v>
      </c>
      <c r="H183" t="s">
        <v>409</v>
      </c>
      <c r="I183">
        <v>93490518867.900009</v>
      </c>
      <c r="J183" t="s">
        <v>415</v>
      </c>
      <c r="K183">
        <v>134327130.69590199</v>
      </c>
      <c r="L183">
        <v>0.60000000000000009</v>
      </c>
      <c r="M183">
        <v>56094311320.740013</v>
      </c>
      <c r="N183">
        <v>2113572215.6010001</v>
      </c>
      <c r="O183">
        <v>40101020</v>
      </c>
      <c r="P183">
        <v>4010</v>
      </c>
      <c r="Q183">
        <v>2.66679533579538</v>
      </c>
      <c r="R183">
        <v>2.39</v>
      </c>
      <c r="S183" t="s">
        <v>419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2.202</v>
      </c>
      <c r="AT183">
        <v>2.746</v>
      </c>
      <c r="AU183" t="s">
        <v>420</v>
      </c>
      <c r="AV183">
        <v>1</v>
      </c>
      <c r="AW183">
        <v>0</v>
      </c>
      <c r="AX183" t="s">
        <v>445</v>
      </c>
      <c r="AY183">
        <v>0</v>
      </c>
      <c r="AZ183">
        <v>0</v>
      </c>
      <c r="BA183">
        <v>0</v>
      </c>
      <c r="CE183">
        <v>2.4740000000000002</v>
      </c>
      <c r="CG183" t="s">
        <v>450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2.2883976678976898</v>
      </c>
    </row>
    <row r="184" spans="1:91" x14ac:dyDescent="0.25">
      <c r="A184">
        <v>495</v>
      </c>
      <c r="B184" t="s">
        <v>599</v>
      </c>
      <c r="C184" t="s">
        <v>998</v>
      </c>
      <c r="D184" t="s">
        <v>1397</v>
      </c>
      <c r="E184" t="s">
        <v>401</v>
      </c>
      <c r="F184">
        <v>729559940</v>
      </c>
      <c r="G184">
        <v>42.74</v>
      </c>
      <c r="H184" t="s">
        <v>409</v>
      </c>
      <c r="I184">
        <v>31181391835.599998</v>
      </c>
      <c r="J184" t="s">
        <v>415</v>
      </c>
      <c r="K184">
        <v>44305414.591396801</v>
      </c>
      <c r="L184">
        <v>0.65</v>
      </c>
      <c r="M184">
        <v>20267904693.139999</v>
      </c>
      <c r="N184">
        <v>8614096601.5649986</v>
      </c>
      <c r="O184">
        <v>50101010</v>
      </c>
      <c r="P184">
        <v>5010</v>
      </c>
      <c r="Q184">
        <v>2.50290574970838</v>
      </c>
      <c r="R184">
        <v>3.1</v>
      </c>
      <c r="S184" t="s">
        <v>417</v>
      </c>
      <c r="T184" t="s">
        <v>422</v>
      </c>
      <c r="U184">
        <v>0</v>
      </c>
      <c r="V184">
        <v>0.01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0.01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N184" t="s">
        <v>1653</v>
      </c>
      <c r="AO184">
        <v>0.01</v>
      </c>
      <c r="AP184">
        <v>0</v>
      </c>
      <c r="AQ184">
        <v>0</v>
      </c>
      <c r="AR184">
        <v>0</v>
      </c>
      <c r="AS184">
        <v>2.2850000000000001</v>
      </c>
      <c r="AT184">
        <v>2.9329999999999998</v>
      </c>
      <c r="AU184" t="s">
        <v>424</v>
      </c>
      <c r="AV184">
        <v>1</v>
      </c>
      <c r="AW184">
        <v>0</v>
      </c>
      <c r="AX184" t="s">
        <v>445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1670</v>
      </c>
      <c r="CH184" t="s">
        <v>1672</v>
      </c>
      <c r="CI184">
        <v>2.50290574970838</v>
      </c>
      <c r="CJ184">
        <v>3.1</v>
      </c>
      <c r="CK184">
        <v>2.8014528748541898</v>
      </c>
      <c r="CL184">
        <v>-0.3</v>
      </c>
      <c r="CM184">
        <v>2.50145287485419</v>
      </c>
    </row>
    <row r="185" spans="1:91" x14ac:dyDescent="0.25">
      <c r="A185">
        <v>498</v>
      </c>
      <c r="B185" t="s">
        <v>600</v>
      </c>
      <c r="C185" t="s">
        <v>999</v>
      </c>
      <c r="D185" t="s">
        <v>1398</v>
      </c>
      <c r="E185" t="s">
        <v>404</v>
      </c>
      <c r="F185">
        <v>610999427</v>
      </c>
      <c r="G185">
        <v>17.695</v>
      </c>
      <c r="H185" t="s">
        <v>409</v>
      </c>
      <c r="I185">
        <v>10811634860.764999</v>
      </c>
      <c r="J185" t="s">
        <v>415</v>
      </c>
      <c r="K185">
        <v>31047353.379344299</v>
      </c>
      <c r="L185">
        <v>1</v>
      </c>
      <c r="M185">
        <v>10811634860.764999</v>
      </c>
      <c r="N185">
        <v>11098804591.455</v>
      </c>
      <c r="O185">
        <v>30101010</v>
      </c>
      <c r="P185">
        <v>3010</v>
      </c>
      <c r="Q185">
        <v>3.1469618776366</v>
      </c>
      <c r="S185" t="s">
        <v>1648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2.335</v>
      </c>
      <c r="AT185">
        <v>3.3420000000000001</v>
      </c>
      <c r="AU185" t="s">
        <v>430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2.8384999999999998</v>
      </c>
      <c r="CG185" t="s">
        <v>450</v>
      </c>
      <c r="CI185">
        <v>3.1469618776366</v>
      </c>
      <c r="CJ185">
        <v>3.1</v>
      </c>
      <c r="CK185">
        <v>3.1234809388182998</v>
      </c>
      <c r="CL185">
        <v>0.3</v>
      </c>
      <c r="CM185">
        <v>3.4234809388183001</v>
      </c>
    </row>
    <row r="186" spans="1:91" x14ac:dyDescent="0.25">
      <c r="A186">
        <v>503</v>
      </c>
      <c r="B186" t="s">
        <v>601</v>
      </c>
      <c r="C186" t="s">
        <v>1000</v>
      </c>
      <c r="D186" t="s">
        <v>1399</v>
      </c>
      <c r="E186" t="s">
        <v>406</v>
      </c>
      <c r="F186">
        <v>30701876</v>
      </c>
      <c r="G186">
        <v>233.49789999999999</v>
      </c>
      <c r="H186" t="s">
        <v>414</v>
      </c>
      <c r="I186">
        <v>7168823572.0604</v>
      </c>
      <c r="J186" t="s">
        <v>416</v>
      </c>
      <c r="K186">
        <v>11390899.690463601</v>
      </c>
      <c r="L186">
        <v>0.6</v>
      </c>
      <c r="M186">
        <v>4301294143.2362394</v>
      </c>
      <c r="N186">
        <v>334619746.52399999</v>
      </c>
      <c r="O186">
        <v>50206060</v>
      </c>
      <c r="P186">
        <v>5020</v>
      </c>
      <c r="Q186">
        <v>3.4</v>
      </c>
      <c r="S186" t="s">
        <v>424</v>
      </c>
      <c r="T186" t="s">
        <v>422</v>
      </c>
      <c r="U186">
        <v>0</v>
      </c>
      <c r="V186">
        <v>0.05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2.1669999999999998</v>
      </c>
      <c r="AT186">
        <v>2.6440000000000001</v>
      </c>
      <c r="AU186" t="s">
        <v>427</v>
      </c>
      <c r="AV186">
        <v>1</v>
      </c>
      <c r="AW186">
        <v>0</v>
      </c>
      <c r="AX186" t="s">
        <v>446</v>
      </c>
      <c r="AY186">
        <v>0</v>
      </c>
      <c r="AZ186">
        <v>0</v>
      </c>
      <c r="BA186">
        <v>0</v>
      </c>
      <c r="CE186">
        <v>2.4055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511</v>
      </c>
      <c r="B187" t="s">
        <v>602</v>
      </c>
      <c r="C187" t="s">
        <v>1001</v>
      </c>
      <c r="D187" t="s">
        <v>1400</v>
      </c>
      <c r="E187" t="s">
        <v>395</v>
      </c>
      <c r="F187">
        <v>609984700</v>
      </c>
      <c r="G187">
        <v>6.447241</v>
      </c>
      <c r="H187" t="s">
        <v>410</v>
      </c>
      <c r="I187">
        <v>3932718367.2126999</v>
      </c>
      <c r="J187" t="s">
        <v>416</v>
      </c>
      <c r="K187">
        <v>6040683.4964519897</v>
      </c>
      <c r="L187">
        <v>0.8</v>
      </c>
      <c r="M187">
        <v>3146174693.7701602</v>
      </c>
      <c r="N187">
        <v>8864297660.3999996</v>
      </c>
      <c r="O187">
        <v>10101015</v>
      </c>
      <c r="P187">
        <v>1010</v>
      </c>
      <c r="Q187">
        <v>3.4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1.7490000000000001</v>
      </c>
      <c r="AT187">
        <v>2.1659999999999999</v>
      </c>
      <c r="AU187" t="s">
        <v>426</v>
      </c>
      <c r="AV187">
        <v>0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1670</v>
      </c>
      <c r="CH187" t="s">
        <v>83</v>
      </c>
      <c r="CI187">
        <v>3.4</v>
      </c>
      <c r="CJ187">
        <v>3.1</v>
      </c>
      <c r="CK187">
        <v>3.25</v>
      </c>
      <c r="CL187">
        <v>0.3</v>
      </c>
      <c r="CM187">
        <v>3.55</v>
      </c>
    </row>
    <row r="188" spans="1:91" x14ac:dyDescent="0.25">
      <c r="A188">
        <v>512</v>
      </c>
      <c r="B188" t="s">
        <v>603</v>
      </c>
      <c r="C188" t="s">
        <v>1002</v>
      </c>
      <c r="D188" t="s">
        <v>1401</v>
      </c>
      <c r="E188" t="s">
        <v>399</v>
      </c>
      <c r="F188">
        <v>897264470</v>
      </c>
      <c r="G188">
        <v>14.914999999999999</v>
      </c>
      <c r="H188" t="s">
        <v>409</v>
      </c>
      <c r="I188">
        <v>13382699570.049999</v>
      </c>
      <c r="J188" t="s">
        <v>415</v>
      </c>
      <c r="K188">
        <v>21071183.960169502</v>
      </c>
      <c r="L188">
        <v>0.5</v>
      </c>
      <c r="M188">
        <v>6691349785.0249996</v>
      </c>
      <c r="N188">
        <v>8149404548.7749996</v>
      </c>
      <c r="O188">
        <v>65101015</v>
      </c>
      <c r="P188">
        <v>6510</v>
      </c>
      <c r="Q188">
        <v>1.60477705813446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1.06E-2</v>
      </c>
      <c r="AE188">
        <v>9.5000000000000001E-2</v>
      </c>
      <c r="AF188">
        <v>1.23E-2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N188" t="s">
        <v>1656</v>
      </c>
      <c r="AO188">
        <v>0.44</v>
      </c>
      <c r="AP188">
        <v>0</v>
      </c>
      <c r="AQ188">
        <v>0</v>
      </c>
      <c r="AR188">
        <v>0</v>
      </c>
      <c r="AS188">
        <v>2.516</v>
      </c>
      <c r="AT188">
        <v>3.4089999999999998</v>
      </c>
      <c r="AU188" t="s">
        <v>421</v>
      </c>
      <c r="AV188">
        <v>1</v>
      </c>
      <c r="AW188">
        <v>0</v>
      </c>
      <c r="AX188" t="s">
        <v>438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2.9624999999999999</v>
      </c>
      <c r="CG188" t="s">
        <v>1670</v>
      </c>
      <c r="CH188" t="s">
        <v>1704</v>
      </c>
      <c r="CI188">
        <v>1.60477705813446</v>
      </c>
      <c r="CJ188">
        <v>3.1</v>
      </c>
      <c r="CK188">
        <v>2.3523885290672299</v>
      </c>
      <c r="CL188">
        <v>-0.24</v>
      </c>
      <c r="CM188">
        <v>2.1123885290672302</v>
      </c>
    </row>
    <row r="189" spans="1:91" x14ac:dyDescent="0.25">
      <c r="A189">
        <v>514</v>
      </c>
      <c r="B189" t="s">
        <v>604</v>
      </c>
      <c r="C189" t="s">
        <v>1003</v>
      </c>
      <c r="D189" t="s">
        <v>1402</v>
      </c>
      <c r="E189" t="s">
        <v>398</v>
      </c>
      <c r="F189">
        <v>118900600</v>
      </c>
      <c r="G189">
        <v>30</v>
      </c>
      <c r="H189" t="s">
        <v>409</v>
      </c>
      <c r="I189">
        <v>3567018000</v>
      </c>
      <c r="J189" t="s">
        <v>415</v>
      </c>
      <c r="K189">
        <v>7255493.1916393396</v>
      </c>
      <c r="L189">
        <v>1</v>
      </c>
      <c r="M189">
        <v>3567018000</v>
      </c>
      <c r="N189">
        <v>2159829399</v>
      </c>
      <c r="O189">
        <v>15102015</v>
      </c>
      <c r="P189">
        <v>1510</v>
      </c>
      <c r="S189" t="s">
        <v>421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2.1539999999999999</v>
      </c>
      <c r="AT189">
        <v>1.931</v>
      </c>
      <c r="AU189" t="s">
        <v>426</v>
      </c>
      <c r="AV189">
        <v>0</v>
      </c>
      <c r="AW189">
        <v>0</v>
      </c>
      <c r="AX189" t="s">
        <v>437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1670</v>
      </c>
      <c r="CH189" t="s">
        <v>83</v>
      </c>
      <c r="CI189">
        <v>3.4</v>
      </c>
      <c r="CJ189">
        <v>3.1</v>
      </c>
      <c r="CK189">
        <v>3.25</v>
      </c>
      <c r="CL189">
        <v>0.18</v>
      </c>
      <c r="CM189">
        <v>3.43</v>
      </c>
    </row>
    <row r="190" spans="1:91" x14ac:dyDescent="0.25">
      <c r="A190">
        <v>516</v>
      </c>
      <c r="B190" t="s">
        <v>605</v>
      </c>
      <c r="C190" t="s">
        <v>1004</v>
      </c>
      <c r="D190" t="s">
        <v>1403</v>
      </c>
      <c r="E190" t="s">
        <v>398</v>
      </c>
      <c r="F190">
        <v>293413450</v>
      </c>
      <c r="G190">
        <v>44.23</v>
      </c>
      <c r="H190" t="s">
        <v>409</v>
      </c>
      <c r="I190">
        <v>12977676893.5</v>
      </c>
      <c r="J190" t="s">
        <v>415</v>
      </c>
      <c r="K190">
        <v>20758867.199098401</v>
      </c>
      <c r="L190">
        <v>0.7</v>
      </c>
      <c r="M190">
        <v>9084373825.4499989</v>
      </c>
      <c r="N190">
        <v>3730898723.4749999</v>
      </c>
      <c r="O190">
        <v>20101025</v>
      </c>
      <c r="P190">
        <v>2010</v>
      </c>
      <c r="S190" t="s">
        <v>420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2.6869999999999998</v>
      </c>
      <c r="AT190">
        <v>2.73</v>
      </c>
      <c r="AU190" t="s">
        <v>1659</v>
      </c>
      <c r="AV190">
        <v>0</v>
      </c>
      <c r="AW190">
        <v>0</v>
      </c>
      <c r="AX190" t="s">
        <v>437</v>
      </c>
      <c r="AY190">
        <v>0</v>
      </c>
      <c r="AZ190">
        <v>0</v>
      </c>
      <c r="BA190">
        <v>0</v>
      </c>
      <c r="CE190">
        <v>2.7084999999999999</v>
      </c>
      <c r="CG190" t="s">
        <v>450</v>
      </c>
      <c r="CI190">
        <v>3.4</v>
      </c>
      <c r="CJ190">
        <v>3.1</v>
      </c>
      <c r="CK190">
        <v>3.25</v>
      </c>
      <c r="CL190">
        <v>0</v>
      </c>
      <c r="CM190">
        <v>3.25</v>
      </c>
    </row>
    <row r="191" spans="1:91" x14ac:dyDescent="0.25">
      <c r="A191">
        <v>517</v>
      </c>
      <c r="B191" t="s">
        <v>606</v>
      </c>
      <c r="C191" t="s">
        <v>1005</v>
      </c>
      <c r="D191" t="s">
        <v>1404</v>
      </c>
      <c r="E191" t="s">
        <v>398</v>
      </c>
      <c r="F191">
        <v>563237300</v>
      </c>
      <c r="G191">
        <v>36.49</v>
      </c>
      <c r="H191" t="s">
        <v>409</v>
      </c>
      <c r="I191">
        <v>20552529077</v>
      </c>
      <c r="J191" t="s">
        <v>415</v>
      </c>
      <c r="K191">
        <v>32270187.444180299</v>
      </c>
      <c r="L191">
        <v>0.75</v>
      </c>
      <c r="M191">
        <v>15414396807.75</v>
      </c>
      <c r="N191">
        <v>7673404165.875</v>
      </c>
      <c r="O191">
        <v>20101025</v>
      </c>
      <c r="P191">
        <v>2010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2.6930000000000001</v>
      </c>
      <c r="AT191">
        <v>3.2290000000000001</v>
      </c>
      <c r="AU191" t="s">
        <v>1659</v>
      </c>
      <c r="AV191">
        <v>0</v>
      </c>
      <c r="AW191">
        <v>0</v>
      </c>
      <c r="AX191" t="s">
        <v>437</v>
      </c>
      <c r="AY191">
        <v>0</v>
      </c>
      <c r="AZ191">
        <v>0</v>
      </c>
      <c r="BA191">
        <v>0</v>
      </c>
      <c r="CE191">
        <v>2.9609999999999999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 x14ac:dyDescent="0.25">
      <c r="A192">
        <v>518</v>
      </c>
      <c r="B192" t="s">
        <v>607</v>
      </c>
      <c r="C192" t="s">
        <v>1006</v>
      </c>
      <c r="D192" t="s">
        <v>1405</v>
      </c>
      <c r="E192" t="s">
        <v>398</v>
      </c>
      <c r="F192">
        <v>65500000</v>
      </c>
      <c r="G192">
        <v>46.68</v>
      </c>
      <c r="H192" t="s">
        <v>409</v>
      </c>
      <c r="I192">
        <v>3057540000</v>
      </c>
      <c r="J192" t="s">
        <v>415</v>
      </c>
      <c r="K192">
        <v>4075793.13295082</v>
      </c>
      <c r="L192">
        <v>1</v>
      </c>
      <c r="M192">
        <v>3057540000</v>
      </c>
      <c r="N192">
        <v>1189807500</v>
      </c>
      <c r="O192">
        <v>55201020</v>
      </c>
      <c r="P192">
        <v>5520</v>
      </c>
      <c r="S192" t="s">
        <v>420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0.05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1.8839999999999999</v>
      </c>
      <c r="AT192">
        <v>2.694</v>
      </c>
      <c r="AU192" t="s">
        <v>420</v>
      </c>
      <c r="AV192">
        <v>1</v>
      </c>
      <c r="AW192">
        <v>0</v>
      </c>
      <c r="AX192" t="s">
        <v>437</v>
      </c>
      <c r="AY192">
        <v>0</v>
      </c>
      <c r="AZ192">
        <v>0</v>
      </c>
      <c r="BA192">
        <v>0</v>
      </c>
      <c r="BQ192" t="s">
        <v>68</v>
      </c>
      <c r="CE192">
        <v>2.2890000000000001</v>
      </c>
      <c r="CG192" t="s">
        <v>1670</v>
      </c>
      <c r="CH192" t="s">
        <v>68</v>
      </c>
      <c r="CI192">
        <v>3.4</v>
      </c>
      <c r="CJ192">
        <v>3.1</v>
      </c>
      <c r="CK192">
        <v>3.25</v>
      </c>
      <c r="CL192">
        <v>0</v>
      </c>
      <c r="CM192">
        <v>3.25</v>
      </c>
    </row>
    <row r="193" spans="1:91" x14ac:dyDescent="0.25">
      <c r="A193">
        <v>527</v>
      </c>
      <c r="B193" t="s">
        <v>608</v>
      </c>
      <c r="C193" t="s">
        <v>1007</v>
      </c>
      <c r="D193" t="s">
        <v>1406</v>
      </c>
      <c r="E193" t="s">
        <v>406</v>
      </c>
      <c r="F193">
        <v>237897630</v>
      </c>
      <c r="G193">
        <v>120.9383</v>
      </c>
      <c r="H193" t="s">
        <v>414</v>
      </c>
      <c r="I193">
        <v>28770934946.229</v>
      </c>
      <c r="J193" t="s">
        <v>416</v>
      </c>
      <c r="K193">
        <v>39424384.162367098</v>
      </c>
      <c r="L193">
        <v>0.35</v>
      </c>
      <c r="M193">
        <v>10069827231.180149</v>
      </c>
      <c r="N193">
        <v>1512493657.1324999</v>
      </c>
      <c r="O193">
        <v>20103015</v>
      </c>
      <c r="P193">
        <v>2010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1.893</v>
      </c>
      <c r="AT193">
        <v>2.419</v>
      </c>
      <c r="AU193" t="s">
        <v>420</v>
      </c>
      <c r="AV193">
        <v>1</v>
      </c>
      <c r="AW193">
        <v>0</v>
      </c>
      <c r="AX193" t="s">
        <v>446</v>
      </c>
      <c r="AY193">
        <v>0</v>
      </c>
      <c r="AZ193">
        <v>0</v>
      </c>
      <c r="BA193">
        <v>0</v>
      </c>
      <c r="CE193">
        <v>2.1560000000000001</v>
      </c>
      <c r="CF193" t="s">
        <v>83</v>
      </c>
      <c r="CG193" t="s">
        <v>1670</v>
      </c>
      <c r="CH193" t="s">
        <v>83</v>
      </c>
      <c r="CI193">
        <v>3.4</v>
      </c>
      <c r="CJ193">
        <v>3.1</v>
      </c>
      <c r="CK193">
        <v>3.25</v>
      </c>
      <c r="CL193">
        <v>0.3</v>
      </c>
      <c r="CM193">
        <v>3.55</v>
      </c>
    </row>
    <row r="194" spans="1:91" x14ac:dyDescent="0.25">
      <c r="A194">
        <v>528</v>
      </c>
      <c r="B194" t="s">
        <v>609</v>
      </c>
      <c r="C194" t="s">
        <v>1008</v>
      </c>
      <c r="D194" t="s">
        <v>1407</v>
      </c>
      <c r="E194" t="s">
        <v>406</v>
      </c>
      <c r="F194">
        <v>50000000</v>
      </c>
      <c r="G194">
        <v>87.136399999999995</v>
      </c>
      <c r="H194" t="s">
        <v>414</v>
      </c>
      <c r="I194">
        <v>4356820000</v>
      </c>
      <c r="J194" t="s">
        <v>416</v>
      </c>
      <c r="K194">
        <v>6692625.0379184401</v>
      </c>
      <c r="L194">
        <v>1</v>
      </c>
      <c r="M194">
        <v>4356820000</v>
      </c>
      <c r="N194">
        <v>908250000</v>
      </c>
      <c r="O194">
        <v>45201015</v>
      </c>
      <c r="P194">
        <v>4520</v>
      </c>
      <c r="Q194">
        <v>3.4</v>
      </c>
      <c r="R194">
        <v>2.39</v>
      </c>
      <c r="S194" t="s">
        <v>421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2.0059999999999998</v>
      </c>
      <c r="AT194">
        <v>3.2149999999999999</v>
      </c>
      <c r="AU194" t="s">
        <v>431</v>
      </c>
      <c r="AV194">
        <v>1</v>
      </c>
      <c r="AW194">
        <v>0</v>
      </c>
      <c r="AX194" t="s">
        <v>446</v>
      </c>
      <c r="AY194">
        <v>0</v>
      </c>
      <c r="AZ194">
        <v>0</v>
      </c>
      <c r="BA194">
        <v>0</v>
      </c>
      <c r="CE194">
        <v>2.6105</v>
      </c>
      <c r="CG194" t="s">
        <v>450</v>
      </c>
      <c r="CI194">
        <v>3.4</v>
      </c>
      <c r="CJ194">
        <v>2.39</v>
      </c>
      <c r="CK194">
        <v>2.895</v>
      </c>
      <c r="CL194">
        <v>0.18</v>
      </c>
      <c r="CM194">
        <v>3.0750000000000002</v>
      </c>
    </row>
    <row r="195" spans="1:91" x14ac:dyDescent="0.25">
      <c r="A195">
        <v>529</v>
      </c>
      <c r="B195" t="s">
        <v>610</v>
      </c>
      <c r="C195" t="s">
        <v>1009</v>
      </c>
      <c r="D195" t="s">
        <v>1408</v>
      </c>
      <c r="E195" t="s">
        <v>408</v>
      </c>
      <c r="F195">
        <v>695415645</v>
      </c>
      <c r="G195">
        <v>15.05</v>
      </c>
      <c r="H195" t="s">
        <v>409</v>
      </c>
      <c r="I195">
        <v>10466005457.25</v>
      </c>
      <c r="J195" t="s">
        <v>415</v>
      </c>
      <c r="K195">
        <v>17976859.338015899</v>
      </c>
      <c r="L195">
        <v>0.60000000000000009</v>
      </c>
      <c r="M195">
        <v>6279603274.3500013</v>
      </c>
      <c r="N195">
        <v>7579335114.8549995</v>
      </c>
      <c r="O195">
        <v>60101000</v>
      </c>
      <c r="P195">
        <v>6010</v>
      </c>
      <c r="S195" t="s">
        <v>424</v>
      </c>
      <c r="T195" t="s">
        <v>422</v>
      </c>
      <c r="U195">
        <v>0</v>
      </c>
      <c r="V195">
        <v>0.01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0.64300000000000002</v>
      </c>
      <c r="AF195">
        <v>2.06E-2</v>
      </c>
      <c r="AH195">
        <v>0</v>
      </c>
      <c r="AI195" t="s">
        <v>1655</v>
      </c>
      <c r="AK195" t="s">
        <v>424</v>
      </c>
      <c r="AL195" t="s">
        <v>1655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2.7930000000000001</v>
      </c>
      <c r="AT195">
        <v>3.0649999999999999</v>
      </c>
      <c r="AU195" t="s">
        <v>420</v>
      </c>
      <c r="AV195">
        <v>1</v>
      </c>
      <c r="AW195">
        <v>0</v>
      </c>
      <c r="AX195" t="s">
        <v>449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2.9289999999999998</v>
      </c>
      <c r="CG195" t="s">
        <v>1670</v>
      </c>
      <c r="CH195" t="s">
        <v>1705</v>
      </c>
      <c r="CI195">
        <v>3.4</v>
      </c>
      <c r="CJ195">
        <v>3.1</v>
      </c>
      <c r="CK195">
        <v>3.25</v>
      </c>
      <c r="CL195">
        <v>0.3</v>
      </c>
      <c r="CM195">
        <v>3.55</v>
      </c>
    </row>
    <row r="196" spans="1:91" x14ac:dyDescent="0.25">
      <c r="A196">
        <v>530</v>
      </c>
      <c r="B196" t="s">
        <v>611</v>
      </c>
      <c r="C196" t="s">
        <v>1010</v>
      </c>
      <c r="D196" t="s">
        <v>1409</v>
      </c>
      <c r="E196" t="s">
        <v>403</v>
      </c>
      <c r="F196">
        <v>32970943</v>
      </c>
      <c r="G196">
        <v>171.06549999999999</v>
      </c>
      <c r="H196" t="s">
        <v>413</v>
      </c>
      <c r="I196">
        <v>5640190849.7665005</v>
      </c>
      <c r="J196" t="s">
        <v>416</v>
      </c>
      <c r="K196">
        <v>12204449.7408753</v>
      </c>
      <c r="L196">
        <v>1</v>
      </c>
      <c r="M196">
        <v>5640190849.7665005</v>
      </c>
      <c r="N196">
        <v>598917179.59500003</v>
      </c>
      <c r="O196">
        <v>40203045</v>
      </c>
      <c r="P196">
        <v>4020</v>
      </c>
      <c r="S196" t="s">
        <v>424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1.478</v>
      </c>
      <c r="AT196">
        <v>2.125</v>
      </c>
      <c r="AU196" t="s">
        <v>420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1.8015000000000001</v>
      </c>
      <c r="CF196" t="s">
        <v>83</v>
      </c>
      <c r="CG196" t="s">
        <v>1670</v>
      </c>
      <c r="CH196" t="s">
        <v>83</v>
      </c>
      <c r="CI196">
        <v>3.4</v>
      </c>
      <c r="CJ196">
        <v>3.1</v>
      </c>
      <c r="CK196">
        <v>3.25</v>
      </c>
      <c r="CL196">
        <v>0.3</v>
      </c>
      <c r="CM196">
        <v>3.55</v>
      </c>
    </row>
    <row r="197" spans="1:91" x14ac:dyDescent="0.25">
      <c r="A197">
        <v>533</v>
      </c>
      <c r="B197" t="s">
        <v>140</v>
      </c>
      <c r="C197" t="s">
        <v>240</v>
      </c>
      <c r="D197" t="s">
        <v>340</v>
      </c>
      <c r="E197" t="s">
        <v>407</v>
      </c>
      <c r="F197">
        <v>138400000</v>
      </c>
      <c r="G197">
        <v>68.55</v>
      </c>
      <c r="H197" t="s">
        <v>409</v>
      </c>
      <c r="I197">
        <v>9487320000</v>
      </c>
      <c r="J197" t="s">
        <v>415</v>
      </c>
      <c r="K197">
        <v>6900889.3166666701</v>
      </c>
      <c r="L197">
        <v>0.55000000000000004</v>
      </c>
      <c r="M197">
        <v>5218026000</v>
      </c>
      <c r="N197">
        <v>1382719800</v>
      </c>
      <c r="O197">
        <v>30202000</v>
      </c>
      <c r="P197">
        <v>3020</v>
      </c>
      <c r="Q197">
        <v>1.8920544675342099</v>
      </c>
      <c r="S197" t="s">
        <v>417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2.2050000000000001</v>
      </c>
      <c r="AT197">
        <v>2.8639999999999999</v>
      </c>
      <c r="AU197" t="s">
        <v>430</v>
      </c>
      <c r="AV197">
        <v>0</v>
      </c>
      <c r="AW197">
        <v>0</v>
      </c>
      <c r="AX197" t="s">
        <v>447</v>
      </c>
      <c r="AY197">
        <v>0</v>
      </c>
      <c r="AZ197">
        <v>0</v>
      </c>
      <c r="BA197">
        <v>0</v>
      </c>
      <c r="CE197">
        <v>2.5345</v>
      </c>
      <c r="CG197" t="s">
        <v>450</v>
      </c>
      <c r="CI197">
        <v>1.8920544675342099</v>
      </c>
      <c r="CJ197">
        <v>3.1</v>
      </c>
      <c r="CK197">
        <v>2.496027233767105</v>
      </c>
      <c r="CL197">
        <v>-0.3</v>
      </c>
      <c r="CM197">
        <v>2.1960272337671052</v>
      </c>
    </row>
    <row r="198" spans="1:91" x14ac:dyDescent="0.25">
      <c r="A198">
        <v>537</v>
      </c>
      <c r="B198" t="s">
        <v>612</v>
      </c>
      <c r="C198" t="s">
        <v>1011</v>
      </c>
      <c r="D198" t="s">
        <v>1410</v>
      </c>
      <c r="E198" t="s">
        <v>398</v>
      </c>
      <c r="F198">
        <v>172331070</v>
      </c>
      <c r="G198">
        <v>53.95</v>
      </c>
      <c r="H198" t="s">
        <v>409</v>
      </c>
      <c r="I198">
        <v>9297261226.5</v>
      </c>
      <c r="J198" t="s">
        <v>415</v>
      </c>
      <c r="K198">
        <v>14659276.655082</v>
      </c>
      <c r="L198">
        <v>0.85</v>
      </c>
      <c r="M198">
        <v>7902672042.5249996</v>
      </c>
      <c r="N198">
        <v>2660834803.5675001</v>
      </c>
      <c r="O198">
        <v>50204000</v>
      </c>
      <c r="P198">
        <v>5020</v>
      </c>
      <c r="Q198">
        <v>1.7497751899773299</v>
      </c>
      <c r="R198">
        <v>3.1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2.7629999999999999</v>
      </c>
      <c r="AT198">
        <v>3.4460000000000002</v>
      </c>
      <c r="AU198" t="s">
        <v>420</v>
      </c>
      <c r="AV198">
        <v>1</v>
      </c>
      <c r="AW198">
        <v>0</v>
      </c>
      <c r="AX198" t="s">
        <v>437</v>
      </c>
      <c r="AY198">
        <v>0</v>
      </c>
      <c r="AZ198">
        <v>0</v>
      </c>
      <c r="BA198">
        <v>0</v>
      </c>
      <c r="CE198">
        <v>3.1044999999999998</v>
      </c>
      <c r="CG198" t="s">
        <v>450</v>
      </c>
      <c r="CI198">
        <v>1.7497751899773299</v>
      </c>
      <c r="CJ198">
        <v>3.1</v>
      </c>
      <c r="CK198">
        <v>2.424887594988665</v>
      </c>
      <c r="CL198">
        <v>-0.3</v>
      </c>
      <c r="CM198">
        <v>2.1248875949886652</v>
      </c>
    </row>
    <row r="199" spans="1:91" x14ac:dyDescent="0.25">
      <c r="A199">
        <v>538</v>
      </c>
      <c r="B199" t="s">
        <v>613</v>
      </c>
      <c r="C199" t="s">
        <v>1012</v>
      </c>
      <c r="D199" t="s">
        <v>1411</v>
      </c>
      <c r="E199" t="s">
        <v>406</v>
      </c>
      <c r="F199">
        <v>35189083</v>
      </c>
      <c r="G199">
        <v>559.07650000000001</v>
      </c>
      <c r="H199" t="s">
        <v>414</v>
      </c>
      <c r="I199">
        <v>19673389361.849499</v>
      </c>
      <c r="J199" t="s">
        <v>416</v>
      </c>
      <c r="K199">
        <v>44480339.436672702</v>
      </c>
      <c r="L199">
        <v>1</v>
      </c>
      <c r="M199">
        <v>19673389361.849499</v>
      </c>
      <c r="N199">
        <v>639209692.69499993</v>
      </c>
      <c r="O199">
        <v>50101020</v>
      </c>
      <c r="P199">
        <v>5010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2.702</v>
      </c>
      <c r="AT199">
        <v>3.048</v>
      </c>
      <c r="AU199" t="s">
        <v>420</v>
      </c>
      <c r="AV199">
        <v>1</v>
      </c>
      <c r="AW199">
        <v>0</v>
      </c>
      <c r="AX199" t="s">
        <v>446</v>
      </c>
      <c r="AY199">
        <v>0</v>
      </c>
      <c r="AZ199">
        <v>0</v>
      </c>
      <c r="BA199">
        <v>0</v>
      </c>
      <c r="CE199">
        <v>2.875</v>
      </c>
      <c r="CG199" t="s">
        <v>450</v>
      </c>
      <c r="CI199">
        <v>3.4</v>
      </c>
      <c r="CJ199">
        <v>3.1</v>
      </c>
      <c r="CK199">
        <v>3.25</v>
      </c>
      <c r="CL199">
        <v>-0.18</v>
      </c>
      <c r="CM199">
        <v>3.07</v>
      </c>
    </row>
    <row r="200" spans="1:91" x14ac:dyDescent="0.25">
      <c r="A200">
        <v>539</v>
      </c>
      <c r="B200" t="s">
        <v>154</v>
      </c>
      <c r="C200" t="s">
        <v>254</v>
      </c>
      <c r="D200" t="s">
        <v>354</v>
      </c>
      <c r="E200" t="s">
        <v>394</v>
      </c>
      <c r="F200">
        <v>76738691</v>
      </c>
      <c r="G200">
        <v>91.9</v>
      </c>
      <c r="H200" t="s">
        <v>409</v>
      </c>
      <c r="I200">
        <v>7052285702.9000006</v>
      </c>
      <c r="J200" t="s">
        <v>415</v>
      </c>
      <c r="K200">
        <v>10616904.702777799</v>
      </c>
      <c r="L200">
        <v>0.60000000000000009</v>
      </c>
      <c r="M200">
        <v>4231371421.7400012</v>
      </c>
      <c r="N200">
        <v>836374993.20899999</v>
      </c>
      <c r="O200">
        <v>35102030</v>
      </c>
      <c r="P200">
        <v>3510</v>
      </c>
      <c r="Q200">
        <v>2.2375872094998699</v>
      </c>
      <c r="R200">
        <v>2.08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2.1800000000000002</v>
      </c>
      <c r="AT200">
        <v>3.1019999999999999</v>
      </c>
      <c r="AU200" t="s">
        <v>425</v>
      </c>
      <c r="AV200">
        <v>1</v>
      </c>
      <c r="AW200">
        <v>0</v>
      </c>
      <c r="AX200" t="s">
        <v>433</v>
      </c>
      <c r="AY200">
        <v>0</v>
      </c>
      <c r="AZ200">
        <v>0</v>
      </c>
      <c r="BA200">
        <v>0</v>
      </c>
      <c r="CE200">
        <v>2.641</v>
      </c>
      <c r="CG200" t="s">
        <v>450</v>
      </c>
      <c r="CI200">
        <v>2.2375872094998699</v>
      </c>
      <c r="CJ200">
        <v>2.08</v>
      </c>
      <c r="CK200">
        <v>2.1587936047499352</v>
      </c>
      <c r="CL200">
        <v>-0.18</v>
      </c>
      <c r="CM200">
        <v>1.978793604749935</v>
      </c>
    </row>
    <row r="201" spans="1:91" x14ac:dyDescent="0.25">
      <c r="A201">
        <v>543</v>
      </c>
      <c r="B201" t="s">
        <v>146</v>
      </c>
      <c r="C201" t="s">
        <v>246</v>
      </c>
      <c r="D201" t="s">
        <v>346</v>
      </c>
      <c r="E201" t="s">
        <v>404</v>
      </c>
      <c r="F201">
        <v>1569420004</v>
      </c>
      <c r="G201">
        <v>31.33</v>
      </c>
      <c r="H201" t="s">
        <v>409</v>
      </c>
      <c r="I201">
        <v>49169928725.32</v>
      </c>
      <c r="J201" t="s">
        <v>415</v>
      </c>
      <c r="K201">
        <v>104407090.472541</v>
      </c>
      <c r="L201">
        <v>0.70000000000000007</v>
      </c>
      <c r="M201">
        <v>34418950107.724007</v>
      </c>
      <c r="N201">
        <v>19955960060.862</v>
      </c>
      <c r="O201">
        <v>30302010</v>
      </c>
      <c r="P201">
        <v>3030</v>
      </c>
      <c r="Q201">
        <v>2.9259268183552698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2.379</v>
      </c>
      <c r="AT201">
        <v>3.2090000000000001</v>
      </c>
      <c r="AU201" t="s">
        <v>430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450</v>
      </c>
      <c r="CI201">
        <v>2.9259268183552698</v>
      </c>
      <c r="CJ201">
        <v>1.5</v>
      </c>
      <c r="CK201">
        <v>2.2129634091776351</v>
      </c>
      <c r="CL201">
        <v>-0.18</v>
      </c>
      <c r="CM201">
        <v>2.032963409177635</v>
      </c>
    </row>
    <row r="202" spans="1:91" x14ac:dyDescent="0.25">
      <c r="A202">
        <v>545</v>
      </c>
      <c r="B202" t="s">
        <v>614</v>
      </c>
      <c r="C202" t="s">
        <v>1013</v>
      </c>
      <c r="D202" t="s">
        <v>1412</v>
      </c>
      <c r="E202" t="s">
        <v>402</v>
      </c>
      <c r="F202">
        <v>66187190</v>
      </c>
      <c r="G202">
        <v>212.19220000000001</v>
      </c>
      <c r="H202" t="s">
        <v>412</v>
      </c>
      <c r="I202">
        <v>14044405457.917999</v>
      </c>
      <c r="J202" t="s">
        <v>416</v>
      </c>
      <c r="K202">
        <v>23766057.6945187</v>
      </c>
      <c r="L202">
        <v>1</v>
      </c>
      <c r="M202">
        <v>14044405457.917999</v>
      </c>
      <c r="N202">
        <v>1202290306.3499999</v>
      </c>
      <c r="O202">
        <v>20103010</v>
      </c>
      <c r="P202">
        <v>2010</v>
      </c>
      <c r="Q202">
        <v>3.4</v>
      </c>
      <c r="S202" t="s">
        <v>424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2.2610000000000001</v>
      </c>
      <c r="AT202">
        <v>3.0550000000000002</v>
      </c>
      <c r="AU202" t="s">
        <v>429</v>
      </c>
      <c r="AV202">
        <v>0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2.6579999999999999</v>
      </c>
      <c r="CG202" t="s">
        <v>450</v>
      </c>
      <c r="CI202">
        <v>3.4</v>
      </c>
      <c r="CJ202">
        <v>3.1</v>
      </c>
      <c r="CK202">
        <v>3.25</v>
      </c>
      <c r="CL202">
        <v>0.3</v>
      </c>
      <c r="CM202">
        <v>3.55</v>
      </c>
    </row>
    <row r="203" spans="1:91" x14ac:dyDescent="0.25">
      <c r="A203">
        <v>548</v>
      </c>
      <c r="B203" t="s">
        <v>615</v>
      </c>
      <c r="C203" t="s">
        <v>1014</v>
      </c>
      <c r="D203" t="s">
        <v>1413</v>
      </c>
      <c r="E203" t="s">
        <v>406</v>
      </c>
      <c r="F203">
        <v>82017960</v>
      </c>
      <c r="G203">
        <v>75.227580000000003</v>
      </c>
      <c r="H203" t="s">
        <v>414</v>
      </c>
      <c r="I203">
        <v>6170012647.3368006</v>
      </c>
      <c r="J203" t="s">
        <v>416</v>
      </c>
      <c r="K203">
        <v>12588349.586025</v>
      </c>
      <c r="L203">
        <v>0.95</v>
      </c>
      <c r="M203">
        <v>5861512014.9699602</v>
      </c>
      <c r="N203">
        <v>1415363431.23</v>
      </c>
      <c r="O203">
        <v>50101020</v>
      </c>
      <c r="P203">
        <v>5010</v>
      </c>
      <c r="Q203">
        <v>1.9377829098089401</v>
      </c>
      <c r="R203">
        <v>1.5</v>
      </c>
      <c r="S203" t="s">
        <v>417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0.1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2.5249999999999999</v>
      </c>
      <c r="AT203">
        <v>2.9420000000000002</v>
      </c>
      <c r="AU203" t="s">
        <v>420</v>
      </c>
      <c r="AV203">
        <v>1</v>
      </c>
      <c r="AW203">
        <v>0</v>
      </c>
      <c r="AX203" t="s">
        <v>446</v>
      </c>
      <c r="AY203">
        <v>0</v>
      </c>
      <c r="AZ203">
        <v>0</v>
      </c>
      <c r="BA203">
        <v>0</v>
      </c>
      <c r="BQ203" t="s">
        <v>68</v>
      </c>
      <c r="CE203">
        <v>2.7334999999999998</v>
      </c>
      <c r="CG203" t="s">
        <v>1670</v>
      </c>
      <c r="CH203" t="s">
        <v>68</v>
      </c>
      <c r="CI203">
        <v>1.9377829098089401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 x14ac:dyDescent="0.25">
      <c r="A204">
        <v>550</v>
      </c>
      <c r="B204" t="s">
        <v>616</v>
      </c>
      <c r="C204" t="s">
        <v>1015</v>
      </c>
      <c r="D204" t="s">
        <v>1414</v>
      </c>
      <c r="E204" t="s">
        <v>395</v>
      </c>
      <c r="F204">
        <v>254152370</v>
      </c>
      <c r="G204">
        <v>19.76435</v>
      </c>
      <c r="H204" t="s">
        <v>410</v>
      </c>
      <c r="I204">
        <v>5023156394.0095015</v>
      </c>
      <c r="J204" t="s">
        <v>416</v>
      </c>
      <c r="K204">
        <v>16679244.3821142</v>
      </c>
      <c r="L204">
        <v>0.85</v>
      </c>
      <c r="M204">
        <v>4269682934.9080749</v>
      </c>
      <c r="N204">
        <v>3924176130.8924999</v>
      </c>
      <c r="O204">
        <v>20102010</v>
      </c>
      <c r="P204">
        <v>2010</v>
      </c>
      <c r="S204" t="s">
        <v>1649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2.4279999999999999</v>
      </c>
      <c r="AT204">
        <v>2.9260000000000002</v>
      </c>
      <c r="AU204" t="s">
        <v>420</v>
      </c>
      <c r="AV204">
        <v>1</v>
      </c>
      <c r="AW204">
        <v>0</v>
      </c>
      <c r="AX204" t="s">
        <v>434</v>
      </c>
      <c r="AY204">
        <v>0</v>
      </c>
      <c r="AZ204">
        <v>0</v>
      </c>
      <c r="BA204">
        <v>0</v>
      </c>
      <c r="CE204">
        <v>2.677</v>
      </c>
      <c r="CG204" t="s">
        <v>450</v>
      </c>
      <c r="CI204">
        <v>3.4</v>
      </c>
      <c r="CJ204">
        <v>3.1</v>
      </c>
      <c r="CK204">
        <v>3.25</v>
      </c>
      <c r="CL204">
        <v>0.3</v>
      </c>
      <c r="CM204">
        <v>3.55</v>
      </c>
    </row>
    <row r="205" spans="1:91" x14ac:dyDescent="0.25">
      <c r="A205">
        <v>551</v>
      </c>
      <c r="B205" t="s">
        <v>617</v>
      </c>
      <c r="C205" t="s">
        <v>1016</v>
      </c>
      <c r="D205" t="s">
        <v>1415</v>
      </c>
      <c r="E205" t="s">
        <v>394</v>
      </c>
      <c r="F205">
        <v>550000000</v>
      </c>
      <c r="G205">
        <v>15.785</v>
      </c>
      <c r="H205" t="s">
        <v>409</v>
      </c>
      <c r="I205">
        <v>8681750000</v>
      </c>
      <c r="J205" t="s">
        <v>415</v>
      </c>
      <c r="K205">
        <v>9647874.0911507905</v>
      </c>
      <c r="L205">
        <v>0.60000000000000009</v>
      </c>
      <c r="M205">
        <v>5209050000.000001</v>
      </c>
      <c r="N205">
        <v>5994450000.000001</v>
      </c>
      <c r="O205">
        <v>50206020</v>
      </c>
      <c r="P205">
        <v>5020</v>
      </c>
      <c r="Q205">
        <v>1.9307410054262599</v>
      </c>
      <c r="R205">
        <v>1.5</v>
      </c>
      <c r="S205" t="s">
        <v>417</v>
      </c>
      <c r="T205" t="s">
        <v>422</v>
      </c>
      <c r="U205">
        <v>0</v>
      </c>
      <c r="V205">
        <v>0.01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0.01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2.4</v>
      </c>
      <c r="AT205">
        <v>2.5139999999999998</v>
      </c>
      <c r="AU205" t="s">
        <v>427</v>
      </c>
      <c r="AV205">
        <v>1</v>
      </c>
      <c r="AW205">
        <v>0</v>
      </c>
      <c r="AX205" t="s">
        <v>433</v>
      </c>
      <c r="AY205">
        <v>0</v>
      </c>
      <c r="AZ205">
        <v>0</v>
      </c>
      <c r="BA205">
        <v>0</v>
      </c>
      <c r="BQ205" t="s">
        <v>68</v>
      </c>
      <c r="CE205">
        <v>2.4569999999999999</v>
      </c>
      <c r="CG205" t="s">
        <v>1670</v>
      </c>
      <c r="CH205" t="s">
        <v>68</v>
      </c>
      <c r="CI205">
        <v>1.9307410054262599</v>
      </c>
      <c r="CJ205">
        <v>1.5</v>
      </c>
      <c r="CK205">
        <v>1.7153705027131301</v>
      </c>
      <c r="CL205">
        <v>-0.3</v>
      </c>
      <c r="CM205">
        <v>1.41537050271313</v>
      </c>
    </row>
    <row r="206" spans="1:91" x14ac:dyDescent="0.25">
      <c r="A206">
        <v>553</v>
      </c>
      <c r="B206" t="s">
        <v>191</v>
      </c>
      <c r="C206" t="s">
        <v>291</v>
      </c>
      <c r="D206" t="s">
        <v>391</v>
      </c>
      <c r="E206" t="s">
        <v>406</v>
      </c>
      <c r="F206">
        <v>9233586</v>
      </c>
      <c r="G206">
        <v>4175.5290000000005</v>
      </c>
      <c r="H206" t="s">
        <v>414</v>
      </c>
      <c r="I206">
        <v>38555106116.994003</v>
      </c>
      <c r="J206" t="s">
        <v>416</v>
      </c>
      <c r="K206">
        <v>73350479.450200602</v>
      </c>
      <c r="L206">
        <v>0.9</v>
      </c>
      <c r="M206">
        <v>34699595505.294601</v>
      </c>
      <c r="N206">
        <v>150955280.72099999</v>
      </c>
      <c r="O206">
        <v>55201020</v>
      </c>
      <c r="P206">
        <v>5520</v>
      </c>
      <c r="Q206">
        <v>1.73711451726054</v>
      </c>
      <c r="R206">
        <v>2.08</v>
      </c>
      <c r="S206" t="s">
        <v>417</v>
      </c>
      <c r="T206" t="s">
        <v>422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2.1269999999999998</v>
      </c>
      <c r="AT206">
        <v>2.8340000000000001</v>
      </c>
      <c r="AU206" t="s">
        <v>420</v>
      </c>
      <c r="AV206">
        <v>1</v>
      </c>
      <c r="AW206">
        <v>0</v>
      </c>
      <c r="AX206" t="s">
        <v>446</v>
      </c>
      <c r="AY206">
        <v>0</v>
      </c>
      <c r="AZ206">
        <v>0</v>
      </c>
      <c r="BA206">
        <v>0</v>
      </c>
      <c r="CE206">
        <v>2.4805000000000001</v>
      </c>
      <c r="CG206" t="s">
        <v>450</v>
      </c>
      <c r="CI206">
        <v>1.73711451726054</v>
      </c>
      <c r="CJ206">
        <v>2.08</v>
      </c>
      <c r="CK206">
        <v>1.9085572586302699</v>
      </c>
      <c r="CL206">
        <v>-0.3</v>
      </c>
      <c r="CM206">
        <v>1.6085572586302701</v>
      </c>
    </row>
    <row r="207" spans="1:91" x14ac:dyDescent="0.25">
      <c r="A207">
        <v>554</v>
      </c>
      <c r="B207" t="s">
        <v>618</v>
      </c>
      <c r="C207" t="s">
        <v>1017</v>
      </c>
      <c r="D207" t="s">
        <v>1416</v>
      </c>
      <c r="E207" t="s">
        <v>400</v>
      </c>
      <c r="F207">
        <v>500000000</v>
      </c>
      <c r="G207">
        <v>19.31466</v>
      </c>
      <c r="H207" t="s">
        <v>411</v>
      </c>
      <c r="I207">
        <v>9657330000</v>
      </c>
      <c r="J207" t="s">
        <v>416</v>
      </c>
      <c r="K207">
        <v>6367465.42884677</v>
      </c>
      <c r="L207">
        <v>0.4</v>
      </c>
      <c r="M207">
        <v>3862932000</v>
      </c>
      <c r="N207">
        <v>3633000000</v>
      </c>
      <c r="O207">
        <v>30302010</v>
      </c>
      <c r="P207">
        <v>3030</v>
      </c>
      <c r="Q207">
        <v>3.1466666666666598</v>
      </c>
      <c r="S207" t="s">
        <v>418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2.1640000000000001</v>
      </c>
      <c r="AT207">
        <v>2.61</v>
      </c>
      <c r="AU207" t="s">
        <v>430</v>
      </c>
      <c r="AV207">
        <v>0</v>
      </c>
      <c r="AW207">
        <v>0</v>
      </c>
      <c r="AX207" t="s">
        <v>439</v>
      </c>
      <c r="AY207">
        <v>0</v>
      </c>
      <c r="AZ207">
        <v>0</v>
      </c>
      <c r="BA207">
        <v>0</v>
      </c>
      <c r="CE207">
        <v>2.387</v>
      </c>
      <c r="CG207" t="s">
        <v>450</v>
      </c>
      <c r="CI207">
        <v>3.1466666666666598</v>
      </c>
      <c r="CJ207">
        <v>3.1</v>
      </c>
      <c r="CK207">
        <v>3.12333333333333</v>
      </c>
      <c r="CL207">
        <v>-0.18</v>
      </c>
      <c r="CM207">
        <v>2.9433333333333298</v>
      </c>
    </row>
    <row r="208" spans="1:91" x14ac:dyDescent="0.25">
      <c r="A208">
        <v>556</v>
      </c>
      <c r="B208" t="s">
        <v>619</v>
      </c>
      <c r="C208" t="s">
        <v>1018</v>
      </c>
      <c r="D208" t="s">
        <v>1417</v>
      </c>
      <c r="E208" t="s">
        <v>403</v>
      </c>
      <c r="F208">
        <v>12185712000</v>
      </c>
      <c r="G208">
        <v>3.9151630000000002</v>
      </c>
      <c r="H208" t="s">
        <v>413</v>
      </c>
      <c r="I208">
        <v>47709048751.056</v>
      </c>
      <c r="J208" t="s">
        <v>416</v>
      </c>
      <c r="K208">
        <v>103220744.309798</v>
      </c>
      <c r="L208">
        <v>0.8</v>
      </c>
      <c r="M208">
        <v>38167239000.844803</v>
      </c>
      <c r="N208">
        <v>177082766784</v>
      </c>
      <c r="O208">
        <v>55102000</v>
      </c>
      <c r="P208">
        <v>5510</v>
      </c>
      <c r="Q208">
        <v>3.4</v>
      </c>
      <c r="S208" t="s">
        <v>424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E208">
        <v>0.63600000000000001</v>
      </c>
      <c r="AH208">
        <v>0</v>
      </c>
      <c r="AI208" t="s">
        <v>1655</v>
      </c>
      <c r="AK208" t="s">
        <v>1655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2.226</v>
      </c>
      <c r="AT208">
        <v>3.0369999999999999</v>
      </c>
      <c r="AU208" t="s">
        <v>418</v>
      </c>
      <c r="AV208">
        <v>1</v>
      </c>
      <c r="AW208">
        <v>0</v>
      </c>
      <c r="AX208" t="s">
        <v>448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1670</v>
      </c>
      <c r="CH208" t="s">
        <v>1706</v>
      </c>
      <c r="CI208">
        <v>3.4</v>
      </c>
      <c r="CJ208">
        <v>3.1</v>
      </c>
      <c r="CK208">
        <v>3.25</v>
      </c>
      <c r="CL208">
        <v>0.3</v>
      </c>
      <c r="CM208">
        <v>3.55</v>
      </c>
    </row>
    <row r="209" spans="1:91" x14ac:dyDescent="0.25">
      <c r="A209">
        <v>566</v>
      </c>
      <c r="B209" t="s">
        <v>117</v>
      </c>
      <c r="C209" t="s">
        <v>217</v>
      </c>
      <c r="D209" t="s">
        <v>317</v>
      </c>
      <c r="E209" t="s">
        <v>403</v>
      </c>
      <c r="F209">
        <v>4145945300</v>
      </c>
      <c r="G209">
        <v>17.2758</v>
      </c>
      <c r="H209" t="s">
        <v>413</v>
      </c>
      <c r="I209">
        <v>71624521813.740005</v>
      </c>
      <c r="J209" t="s">
        <v>416</v>
      </c>
      <c r="K209">
        <v>94231734.899956703</v>
      </c>
      <c r="L209">
        <v>1</v>
      </c>
      <c r="M209">
        <v>71624521813.740005</v>
      </c>
      <c r="N209">
        <v>75311096374.5</v>
      </c>
      <c r="O209">
        <v>20103015</v>
      </c>
      <c r="P209">
        <v>2010</v>
      </c>
      <c r="Q209">
        <v>1.73069234760163</v>
      </c>
      <c r="R209">
        <v>1.5</v>
      </c>
      <c r="S209" t="s">
        <v>417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3.198</v>
      </c>
      <c r="AT209">
        <v>2.7879999999999998</v>
      </c>
      <c r="AU209" t="s">
        <v>420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2.9929999999999999</v>
      </c>
      <c r="CG209" t="s">
        <v>450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 x14ac:dyDescent="0.25">
      <c r="A210">
        <v>567</v>
      </c>
      <c r="B210" t="s">
        <v>620</v>
      </c>
      <c r="C210" t="s">
        <v>1019</v>
      </c>
      <c r="D210" t="s">
        <v>1418</v>
      </c>
      <c r="E210" t="s">
        <v>394</v>
      </c>
      <c r="F210">
        <v>37117772</v>
      </c>
      <c r="G210">
        <v>155.1</v>
      </c>
      <c r="H210" t="s">
        <v>409</v>
      </c>
      <c r="I210">
        <v>5756966437.1999998</v>
      </c>
      <c r="J210" t="s">
        <v>415</v>
      </c>
      <c r="K210">
        <v>14122347.7968254</v>
      </c>
      <c r="L210">
        <v>0.95000000000000007</v>
      </c>
      <c r="M210">
        <v>5469118115.3400002</v>
      </c>
      <c r="N210">
        <v>5045975514.54</v>
      </c>
      <c r="O210">
        <v>60101030</v>
      </c>
      <c r="P210">
        <v>6010</v>
      </c>
      <c r="Q210">
        <v>1.7882840088020899</v>
      </c>
      <c r="S210" t="s">
        <v>418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1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2.2679999999999998</v>
      </c>
      <c r="AT210">
        <v>3.012</v>
      </c>
      <c r="AU210" t="s">
        <v>420</v>
      </c>
      <c r="AV210">
        <v>1</v>
      </c>
      <c r="AW210">
        <v>0</v>
      </c>
      <c r="AX210" t="s">
        <v>433</v>
      </c>
      <c r="AY210">
        <v>0</v>
      </c>
      <c r="AZ210">
        <v>0</v>
      </c>
      <c r="BA210">
        <v>0</v>
      </c>
      <c r="BE210" t="s">
        <v>1666</v>
      </c>
      <c r="BQ210" t="s">
        <v>68</v>
      </c>
      <c r="CE210">
        <v>2.64</v>
      </c>
      <c r="CG210" t="s">
        <v>1670</v>
      </c>
      <c r="CH210" t="s">
        <v>1707</v>
      </c>
      <c r="CI210">
        <v>1.7882840088020899</v>
      </c>
      <c r="CJ210">
        <v>3.1</v>
      </c>
      <c r="CK210">
        <v>2.4441420044010451</v>
      </c>
      <c r="CL210">
        <v>-0.18</v>
      </c>
      <c r="CM210">
        <v>2.264142004401045</v>
      </c>
    </row>
    <row r="211" spans="1:91" x14ac:dyDescent="0.25">
      <c r="A211">
        <v>571</v>
      </c>
      <c r="B211" t="s">
        <v>621</v>
      </c>
      <c r="C211" t="s">
        <v>1020</v>
      </c>
      <c r="D211" t="s">
        <v>1419</v>
      </c>
      <c r="E211" t="s">
        <v>396</v>
      </c>
      <c r="F211">
        <v>90370864</v>
      </c>
      <c r="G211">
        <v>117.4</v>
      </c>
      <c r="H211" t="s">
        <v>409</v>
      </c>
      <c r="I211">
        <v>10609539433.6</v>
      </c>
      <c r="J211" t="s">
        <v>415</v>
      </c>
      <c r="K211">
        <v>1803749.5730158701</v>
      </c>
      <c r="L211">
        <v>0.4</v>
      </c>
      <c r="M211">
        <v>4243815773.440001</v>
      </c>
      <c r="N211">
        <v>5172828255.3600006</v>
      </c>
      <c r="O211">
        <v>30202010</v>
      </c>
      <c r="P211">
        <v>3020</v>
      </c>
      <c r="Q211">
        <v>3.4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0.25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R211">
        <v>0</v>
      </c>
      <c r="AS211" t="s">
        <v>1652</v>
      </c>
      <c r="AT211" t="s">
        <v>1652</v>
      </c>
      <c r="AU211" t="s">
        <v>430</v>
      </c>
      <c r="AV211">
        <v>0</v>
      </c>
      <c r="AW211">
        <v>0</v>
      </c>
      <c r="AX211" t="s">
        <v>1660</v>
      </c>
      <c r="AY211">
        <v>0</v>
      </c>
      <c r="AZ211">
        <v>0</v>
      </c>
      <c r="BA211">
        <v>0</v>
      </c>
      <c r="BQ211" t="s">
        <v>68</v>
      </c>
      <c r="CG211" t="s">
        <v>1670</v>
      </c>
      <c r="CH211" t="s">
        <v>68</v>
      </c>
      <c r="CI211">
        <v>3.4</v>
      </c>
      <c r="CJ211">
        <v>3.1</v>
      </c>
      <c r="CK211">
        <v>3.25</v>
      </c>
      <c r="CL211">
        <v>0.3</v>
      </c>
      <c r="CM211">
        <v>3.55</v>
      </c>
    </row>
    <row r="212" spans="1:91" x14ac:dyDescent="0.25">
      <c r="A212">
        <v>572</v>
      </c>
      <c r="B212" t="s">
        <v>622</v>
      </c>
      <c r="C212" t="s">
        <v>1021</v>
      </c>
      <c r="D212" t="s">
        <v>1420</v>
      </c>
      <c r="E212" t="s">
        <v>403</v>
      </c>
      <c r="F212">
        <v>9054145500</v>
      </c>
      <c r="G212">
        <v>4.720923</v>
      </c>
      <c r="H212" t="s">
        <v>413</v>
      </c>
      <c r="I212">
        <v>42743923736.296501</v>
      </c>
      <c r="J212" t="s">
        <v>416</v>
      </c>
      <c r="K212">
        <v>65098471.127073102</v>
      </c>
      <c r="L212">
        <v>0.95</v>
      </c>
      <c r="M212">
        <v>40606727549.481667</v>
      </c>
      <c r="N212">
        <v>1230865809997.5</v>
      </c>
      <c r="O212">
        <v>20103015</v>
      </c>
      <c r="P212">
        <v>2010</v>
      </c>
      <c r="Q212">
        <v>1.9829771812847601</v>
      </c>
      <c r="S212" t="s">
        <v>418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2.2170000000000001</v>
      </c>
      <c r="AT212">
        <v>2.98</v>
      </c>
      <c r="AU212" t="s">
        <v>420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450</v>
      </c>
      <c r="CI212">
        <v>1.9829771812847601</v>
      </c>
      <c r="CJ212">
        <v>3.1</v>
      </c>
      <c r="CK212">
        <v>2.5414885906423801</v>
      </c>
      <c r="CL212">
        <v>-0.18</v>
      </c>
      <c r="CM212">
        <v>2.3614885906423799</v>
      </c>
    </row>
    <row r="213" spans="1:91" x14ac:dyDescent="0.25">
      <c r="A213">
        <v>574</v>
      </c>
      <c r="B213" t="s">
        <v>623</v>
      </c>
      <c r="C213" t="s">
        <v>1022</v>
      </c>
      <c r="D213" t="s">
        <v>1421</v>
      </c>
      <c r="E213" t="s">
        <v>403</v>
      </c>
      <c r="F213">
        <v>379645360</v>
      </c>
      <c r="G213">
        <v>35.2286</v>
      </c>
      <c r="H213" t="s">
        <v>413</v>
      </c>
      <c r="I213">
        <v>13374374529.296</v>
      </c>
      <c r="J213" t="s">
        <v>416</v>
      </c>
      <c r="K213">
        <v>15932782.7405691</v>
      </c>
      <c r="L213">
        <v>1</v>
      </c>
      <c r="M213">
        <v>13374374529.296</v>
      </c>
      <c r="N213">
        <v>54327251016</v>
      </c>
      <c r="O213">
        <v>50202025</v>
      </c>
      <c r="P213">
        <v>5020</v>
      </c>
      <c r="Q213">
        <v>3.3860423935275601</v>
      </c>
      <c r="R213">
        <v>1.5</v>
      </c>
      <c r="S213" t="s">
        <v>418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0.05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N213" t="s">
        <v>1653</v>
      </c>
      <c r="AO213">
        <v>0.01</v>
      </c>
      <c r="AP213">
        <v>0</v>
      </c>
      <c r="AQ213">
        <v>0</v>
      </c>
      <c r="AR213">
        <v>0</v>
      </c>
      <c r="AS213">
        <v>2.129</v>
      </c>
      <c r="AT213">
        <v>3.222</v>
      </c>
      <c r="AU213" t="s">
        <v>420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1670</v>
      </c>
      <c r="CH213" t="s">
        <v>1672</v>
      </c>
      <c r="CI213">
        <v>3.3860423935275601</v>
      </c>
      <c r="CJ213">
        <v>1.5</v>
      </c>
      <c r="CK213">
        <v>2.4430211967637798</v>
      </c>
      <c r="CL213">
        <v>-0.18</v>
      </c>
      <c r="CM213">
        <v>2.2630211967637801</v>
      </c>
    </row>
    <row r="214" spans="1:91" x14ac:dyDescent="0.25">
      <c r="A214">
        <v>578</v>
      </c>
      <c r="B214" t="s">
        <v>624</v>
      </c>
      <c r="C214" t="s">
        <v>1023</v>
      </c>
      <c r="D214" t="s">
        <v>1422</v>
      </c>
      <c r="E214" t="s">
        <v>398</v>
      </c>
      <c r="F214">
        <v>120597140</v>
      </c>
      <c r="G214">
        <v>246.3</v>
      </c>
      <c r="H214" t="s">
        <v>409</v>
      </c>
      <c r="I214">
        <v>29703075582</v>
      </c>
      <c r="J214" t="s">
        <v>415</v>
      </c>
      <c r="K214">
        <v>25277333.998360701</v>
      </c>
      <c r="L214">
        <v>0.5</v>
      </c>
      <c r="M214">
        <v>14851537791</v>
      </c>
      <c r="N214">
        <v>8628725367</v>
      </c>
      <c r="O214">
        <v>30302020</v>
      </c>
      <c r="P214">
        <v>3030</v>
      </c>
      <c r="Q214">
        <v>3.4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2.4889999999999999</v>
      </c>
      <c r="AT214">
        <v>2.8650000000000002</v>
      </c>
      <c r="AU214" t="s">
        <v>430</v>
      </c>
      <c r="AV214">
        <v>0</v>
      </c>
      <c r="AW214">
        <v>0</v>
      </c>
      <c r="AX214" t="s">
        <v>437</v>
      </c>
      <c r="AY214">
        <v>0</v>
      </c>
      <c r="AZ214">
        <v>0</v>
      </c>
      <c r="BA214">
        <v>0</v>
      </c>
      <c r="CE214">
        <v>2.677</v>
      </c>
      <c r="CG214" t="s">
        <v>450</v>
      </c>
      <c r="CI214">
        <v>3.4</v>
      </c>
      <c r="CJ214">
        <v>3.1</v>
      </c>
      <c r="CK214">
        <v>3.25</v>
      </c>
      <c r="CL214">
        <v>-0.18</v>
      </c>
      <c r="CM214">
        <v>3.07</v>
      </c>
    </row>
    <row r="215" spans="1:91" x14ac:dyDescent="0.25">
      <c r="A215">
        <v>583</v>
      </c>
      <c r="B215" t="s">
        <v>625</v>
      </c>
      <c r="C215" t="s">
        <v>1024</v>
      </c>
      <c r="D215" t="s">
        <v>1423</v>
      </c>
      <c r="E215" t="s">
        <v>398</v>
      </c>
      <c r="F215">
        <v>182068120</v>
      </c>
      <c r="G215">
        <v>138.25</v>
      </c>
      <c r="H215" t="s">
        <v>409</v>
      </c>
      <c r="I215">
        <v>25170917590</v>
      </c>
      <c r="J215" t="s">
        <v>415</v>
      </c>
      <c r="K215">
        <v>51429480.884426199</v>
      </c>
      <c r="L215">
        <v>0.7</v>
      </c>
      <c r="M215">
        <v>17619642313</v>
      </c>
      <c r="N215">
        <v>18237763580.400002</v>
      </c>
      <c r="O215">
        <v>50101030</v>
      </c>
      <c r="P215">
        <v>5010</v>
      </c>
      <c r="Q215">
        <v>1.5577773104713699</v>
      </c>
      <c r="R215">
        <v>2.62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0.05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2.5609999999999999</v>
      </c>
      <c r="AT215">
        <v>3.3039999999999998</v>
      </c>
      <c r="AU215" t="s">
        <v>420</v>
      </c>
      <c r="AV215">
        <v>1</v>
      </c>
      <c r="AW215">
        <v>0</v>
      </c>
      <c r="AX215" t="s">
        <v>437</v>
      </c>
      <c r="AY215">
        <v>0</v>
      </c>
      <c r="AZ215">
        <v>0</v>
      </c>
      <c r="BA215">
        <v>0</v>
      </c>
      <c r="BQ215" t="s">
        <v>68</v>
      </c>
      <c r="CE215">
        <v>2.9325000000000001</v>
      </c>
      <c r="CG215" t="s">
        <v>1670</v>
      </c>
      <c r="CH215" t="s">
        <v>68</v>
      </c>
      <c r="CI215">
        <v>1.5577773104713699</v>
      </c>
      <c r="CJ215">
        <v>2.62</v>
      </c>
      <c r="CK215">
        <v>2.0888886552356851</v>
      </c>
      <c r="CL215">
        <v>-0.18</v>
      </c>
      <c r="CM215">
        <v>1.908888655235685</v>
      </c>
    </row>
    <row r="216" spans="1:91" x14ac:dyDescent="0.25">
      <c r="A216">
        <v>584</v>
      </c>
      <c r="B216" t="s">
        <v>626</v>
      </c>
      <c r="C216" t="s">
        <v>1025</v>
      </c>
      <c r="D216" t="s">
        <v>1424</v>
      </c>
      <c r="E216" t="s">
        <v>396</v>
      </c>
      <c r="F216">
        <v>576002613</v>
      </c>
      <c r="G216">
        <v>78.239999999999995</v>
      </c>
      <c r="H216" t="s">
        <v>409</v>
      </c>
      <c r="I216">
        <v>45066444441.120003</v>
      </c>
      <c r="J216" t="s">
        <v>415</v>
      </c>
      <c r="K216">
        <v>57643601.420317397</v>
      </c>
      <c r="L216">
        <v>0.5</v>
      </c>
      <c r="M216">
        <v>22533222220.560001</v>
      </c>
      <c r="N216">
        <v>41212986960.150002</v>
      </c>
      <c r="O216">
        <v>45101010</v>
      </c>
      <c r="P216">
        <v>4510</v>
      </c>
      <c r="Q216">
        <v>1.73493007376888</v>
      </c>
      <c r="R216">
        <v>2.08</v>
      </c>
      <c r="S216" t="s">
        <v>417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1.9790000000000001</v>
      </c>
      <c r="AT216">
        <v>3.0209999999999999</v>
      </c>
      <c r="AU216" t="s">
        <v>420</v>
      </c>
      <c r="AV216">
        <v>1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2.5</v>
      </c>
      <c r="CG216" t="s">
        <v>450</v>
      </c>
      <c r="CI216">
        <v>1.73493007376888</v>
      </c>
      <c r="CJ216">
        <v>2.08</v>
      </c>
      <c r="CK216">
        <v>1.9074650368844399</v>
      </c>
      <c r="CL216">
        <v>-0.3</v>
      </c>
      <c r="CM216">
        <v>1.6074650368844401</v>
      </c>
    </row>
    <row r="217" spans="1:91" x14ac:dyDescent="0.25">
      <c r="A217">
        <v>585</v>
      </c>
      <c r="B217" t="s">
        <v>627</v>
      </c>
      <c r="C217" t="s">
        <v>1026</v>
      </c>
      <c r="D217" t="s">
        <v>1425</v>
      </c>
      <c r="E217" t="s">
        <v>406</v>
      </c>
      <c r="F217">
        <v>53025684</v>
      </c>
      <c r="G217">
        <v>171.50829999999999</v>
      </c>
      <c r="H217" t="s">
        <v>414</v>
      </c>
      <c r="I217">
        <v>9094344919.1772003</v>
      </c>
      <c r="J217" t="s">
        <v>416</v>
      </c>
      <c r="K217">
        <v>10840718.428241801</v>
      </c>
      <c r="L217">
        <v>0.65</v>
      </c>
      <c r="M217">
        <v>5911324197.4651804</v>
      </c>
      <c r="N217">
        <v>4932183997.2600002</v>
      </c>
      <c r="O217">
        <v>30302010</v>
      </c>
      <c r="P217">
        <v>3030</v>
      </c>
      <c r="Q217">
        <v>3.4</v>
      </c>
      <c r="R217">
        <v>3.1</v>
      </c>
      <c r="S217" t="s">
        <v>418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1.82</v>
      </c>
      <c r="AT217">
        <v>2.21</v>
      </c>
      <c r="AU217" t="s">
        <v>430</v>
      </c>
      <c r="AV217">
        <v>0</v>
      </c>
      <c r="AW217">
        <v>0</v>
      </c>
      <c r="AX217" t="s">
        <v>446</v>
      </c>
      <c r="AY217">
        <v>0</v>
      </c>
      <c r="AZ217">
        <v>0</v>
      </c>
      <c r="BA217">
        <v>0</v>
      </c>
      <c r="CE217">
        <v>2.0150000000000001</v>
      </c>
      <c r="CF217" t="s">
        <v>83</v>
      </c>
      <c r="CG217" t="s">
        <v>1670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 x14ac:dyDescent="0.25">
      <c r="A218">
        <v>587</v>
      </c>
      <c r="B218" t="s">
        <v>628</v>
      </c>
      <c r="C218" t="s">
        <v>1027</v>
      </c>
      <c r="D218" t="s">
        <v>1426</v>
      </c>
      <c r="E218" t="s">
        <v>398</v>
      </c>
      <c r="F218">
        <v>178162870</v>
      </c>
      <c r="G218">
        <v>83.9</v>
      </c>
      <c r="H218" t="s">
        <v>409</v>
      </c>
      <c r="I218">
        <v>14947864793</v>
      </c>
      <c r="J218" t="s">
        <v>415</v>
      </c>
      <c r="K218">
        <v>27155576.799672101</v>
      </c>
      <c r="L218">
        <v>0.9</v>
      </c>
      <c r="M218">
        <v>13453078313.700001</v>
      </c>
      <c r="N218">
        <v>22945596027.299999</v>
      </c>
      <c r="O218">
        <v>40202025</v>
      </c>
      <c r="P218">
        <v>4020</v>
      </c>
      <c r="Q218">
        <v>1.7474964823060299</v>
      </c>
      <c r="R218">
        <v>2.08</v>
      </c>
      <c r="S218" t="s">
        <v>420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E218">
        <v>0</v>
      </c>
      <c r="AS218">
        <v>2.9809999999999999</v>
      </c>
      <c r="AT218">
        <v>2.5419999999999998</v>
      </c>
      <c r="AU218" t="s">
        <v>420</v>
      </c>
      <c r="AV218">
        <v>1</v>
      </c>
      <c r="AW218">
        <v>0</v>
      </c>
      <c r="AX218" t="s">
        <v>437</v>
      </c>
      <c r="AY218">
        <v>0</v>
      </c>
      <c r="AZ218">
        <v>0</v>
      </c>
      <c r="BA218">
        <v>0</v>
      </c>
      <c r="CE218">
        <v>2.7614999999999998</v>
      </c>
      <c r="CG218" t="s">
        <v>450</v>
      </c>
      <c r="CI218">
        <v>1.7474964823060299</v>
      </c>
      <c r="CJ218">
        <v>2.08</v>
      </c>
      <c r="CK218">
        <v>1.9137482411530149</v>
      </c>
      <c r="CL218">
        <v>0</v>
      </c>
      <c r="CM218">
        <v>1.9137482411530149</v>
      </c>
    </row>
    <row r="219" spans="1:91" x14ac:dyDescent="0.25">
      <c r="A219">
        <v>588</v>
      </c>
      <c r="B219" t="s">
        <v>629</v>
      </c>
      <c r="C219" t="s">
        <v>1028</v>
      </c>
      <c r="D219" t="s">
        <v>1427</v>
      </c>
      <c r="E219" t="s">
        <v>395</v>
      </c>
      <c r="F219">
        <v>1416142200</v>
      </c>
      <c r="G219">
        <v>12.719139999999999</v>
      </c>
      <c r="H219" t="s">
        <v>410</v>
      </c>
      <c r="I219">
        <v>18012110901.708</v>
      </c>
      <c r="J219" t="s">
        <v>416</v>
      </c>
      <c r="K219">
        <v>36949208.726181597</v>
      </c>
      <c r="L219">
        <v>0.35</v>
      </c>
      <c r="M219">
        <v>6304238815.5977993</v>
      </c>
      <c r="N219">
        <v>70927482087</v>
      </c>
      <c r="O219">
        <v>40401020</v>
      </c>
      <c r="P219">
        <v>4040</v>
      </c>
      <c r="Q219">
        <v>1.7477500098233101</v>
      </c>
      <c r="R219">
        <v>2.08</v>
      </c>
      <c r="S219" t="s">
        <v>417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2.411</v>
      </c>
      <c r="AT219">
        <v>3.0760000000000001</v>
      </c>
      <c r="AU219" t="s">
        <v>431</v>
      </c>
      <c r="AV219">
        <v>1</v>
      </c>
      <c r="AW219">
        <v>0</v>
      </c>
      <c r="AX219" t="s">
        <v>434</v>
      </c>
      <c r="AY219">
        <v>0</v>
      </c>
      <c r="AZ219">
        <v>0</v>
      </c>
      <c r="BA219">
        <v>0</v>
      </c>
      <c r="CE219">
        <v>2.7435</v>
      </c>
      <c r="CG219" t="s">
        <v>450</v>
      </c>
      <c r="CI219">
        <v>1.7477500098233101</v>
      </c>
      <c r="CJ219">
        <v>2.08</v>
      </c>
      <c r="CK219">
        <v>1.9138750049116551</v>
      </c>
      <c r="CL219">
        <v>-0.3</v>
      </c>
      <c r="CM219">
        <v>1.613875004911655</v>
      </c>
    </row>
    <row r="220" spans="1:91" x14ac:dyDescent="0.25">
      <c r="A220">
        <v>590</v>
      </c>
      <c r="B220" t="s">
        <v>630</v>
      </c>
      <c r="C220" t="s">
        <v>1029</v>
      </c>
      <c r="D220" t="s">
        <v>1428</v>
      </c>
      <c r="E220" t="s">
        <v>404</v>
      </c>
      <c r="F220">
        <v>1489538745</v>
      </c>
      <c r="G220">
        <v>3.5579999999999998</v>
      </c>
      <c r="H220" t="s">
        <v>409</v>
      </c>
      <c r="I220">
        <v>5299778854.71</v>
      </c>
      <c r="J220" t="s">
        <v>415</v>
      </c>
      <c r="K220">
        <v>8228782.6217540996</v>
      </c>
      <c r="L220">
        <v>0.55000000000000004</v>
      </c>
      <c r="M220">
        <v>2914878370.0904999</v>
      </c>
      <c r="N220">
        <v>117234146925.22501</v>
      </c>
      <c r="O220">
        <v>65102000</v>
      </c>
      <c r="P220">
        <v>6510</v>
      </c>
      <c r="Q220">
        <v>1.98076980286701</v>
      </c>
      <c r="R220">
        <v>1.5</v>
      </c>
      <c r="S220" t="s">
        <v>418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0.5</v>
      </c>
      <c r="AF220">
        <v>9.7000000000000003E-3</v>
      </c>
      <c r="AH220">
        <v>0</v>
      </c>
      <c r="AI220" t="s">
        <v>424</v>
      </c>
      <c r="AK220" t="s">
        <v>424</v>
      </c>
      <c r="AL220" t="s">
        <v>424</v>
      </c>
      <c r="AM220" t="s">
        <v>1655</v>
      </c>
      <c r="AO220">
        <v>0</v>
      </c>
      <c r="AP220">
        <v>0</v>
      </c>
      <c r="AQ220">
        <v>0</v>
      </c>
      <c r="AR220">
        <v>0</v>
      </c>
      <c r="AS220">
        <v>2.456</v>
      </c>
      <c r="AT220">
        <v>2.988</v>
      </c>
      <c r="AU220" t="s">
        <v>421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1670</v>
      </c>
      <c r="CH220" t="s">
        <v>1708</v>
      </c>
      <c r="CI220">
        <v>1.98076980286701</v>
      </c>
      <c r="CJ220">
        <v>1.5</v>
      </c>
      <c r="CK220">
        <v>1.7403849014335051</v>
      </c>
      <c r="CL220">
        <v>-0.18</v>
      </c>
      <c r="CM220">
        <v>1.5603849014335049</v>
      </c>
    </row>
    <row r="221" spans="1:91" x14ac:dyDescent="0.25">
      <c r="A221">
        <v>591</v>
      </c>
      <c r="B221" t="s">
        <v>631</v>
      </c>
      <c r="C221" t="s">
        <v>1030</v>
      </c>
      <c r="D221" t="s">
        <v>1429</v>
      </c>
      <c r="E221" t="s">
        <v>394</v>
      </c>
      <c r="F221">
        <v>105569412</v>
      </c>
      <c r="G221">
        <v>2749</v>
      </c>
      <c r="H221" t="s">
        <v>409</v>
      </c>
      <c r="I221">
        <v>290210313588</v>
      </c>
      <c r="J221" t="s">
        <v>415</v>
      </c>
      <c r="K221">
        <v>142042277.444444</v>
      </c>
      <c r="L221">
        <v>0.3</v>
      </c>
      <c r="M221">
        <v>87063094076.400009</v>
      </c>
      <c r="N221">
        <v>4532094857.1600008</v>
      </c>
      <c r="O221">
        <v>40204020</v>
      </c>
      <c r="P221">
        <v>4020</v>
      </c>
      <c r="Q221">
        <v>1.97424154493162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2.5659999999999998</v>
      </c>
      <c r="AT221">
        <v>3.1030000000000002</v>
      </c>
      <c r="AU221" t="s">
        <v>420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2.8344999999999998</v>
      </c>
      <c r="CG221" t="s">
        <v>450</v>
      </c>
      <c r="CI221">
        <v>1.97424154493162</v>
      </c>
      <c r="CJ221">
        <v>3.1</v>
      </c>
      <c r="CK221">
        <v>2.5371207724658098</v>
      </c>
      <c r="CL221">
        <v>-0.3</v>
      </c>
      <c r="CM221">
        <v>2.23712077246581</v>
      </c>
    </row>
    <row r="222" spans="1:91" x14ac:dyDescent="0.25">
      <c r="A222">
        <v>595</v>
      </c>
      <c r="B222" t="s">
        <v>632</v>
      </c>
      <c r="C222" t="s">
        <v>1031</v>
      </c>
      <c r="D222" t="s">
        <v>1430</v>
      </c>
      <c r="E222" t="s">
        <v>395</v>
      </c>
      <c r="F222">
        <v>2595227800</v>
      </c>
      <c r="G222">
        <v>11.41081</v>
      </c>
      <c r="H222" t="s">
        <v>410</v>
      </c>
      <c r="I222">
        <v>29613651332.518002</v>
      </c>
      <c r="J222" t="s">
        <v>416</v>
      </c>
      <c r="K222">
        <v>42986585.751212597</v>
      </c>
      <c r="L222">
        <v>0.8</v>
      </c>
      <c r="M222">
        <v>23690921066.0144</v>
      </c>
      <c r="N222">
        <v>85414137353.600006</v>
      </c>
      <c r="O222">
        <v>10101015</v>
      </c>
      <c r="P222">
        <v>1010</v>
      </c>
      <c r="Q222">
        <v>1.7041862786529201</v>
      </c>
      <c r="S222" t="s">
        <v>418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1.968</v>
      </c>
      <c r="AT222">
        <v>2.952</v>
      </c>
      <c r="AU222" t="s">
        <v>420</v>
      </c>
      <c r="AV222">
        <v>1</v>
      </c>
      <c r="AW222">
        <v>0</v>
      </c>
      <c r="AX222" t="s">
        <v>434</v>
      </c>
      <c r="AY222">
        <v>0</v>
      </c>
      <c r="AZ222">
        <v>0</v>
      </c>
      <c r="BA222">
        <v>0</v>
      </c>
      <c r="CE222">
        <v>2.46</v>
      </c>
      <c r="CG222" t="s">
        <v>450</v>
      </c>
      <c r="CI222">
        <v>1.7041862786529201</v>
      </c>
      <c r="CJ222">
        <v>3.1</v>
      </c>
      <c r="CK222">
        <v>2.40209313932646</v>
      </c>
      <c r="CL222">
        <v>-0.18</v>
      </c>
      <c r="CM222">
        <v>2.2220931393264598</v>
      </c>
    </row>
    <row r="223" spans="1:91" x14ac:dyDescent="0.25">
      <c r="A223">
        <v>597</v>
      </c>
      <c r="B223" t="s">
        <v>633</v>
      </c>
      <c r="C223" t="s">
        <v>1032</v>
      </c>
      <c r="D223" t="s">
        <v>1431</v>
      </c>
      <c r="E223" t="s">
        <v>403</v>
      </c>
      <c r="F223">
        <v>221886460</v>
      </c>
      <c r="G223">
        <v>27.926590000000001</v>
      </c>
      <c r="H223" t="s">
        <v>413</v>
      </c>
      <c r="I223">
        <v>6196532194.9714003</v>
      </c>
      <c r="J223" t="s">
        <v>416</v>
      </c>
      <c r="K223">
        <v>7589738.3235018896</v>
      </c>
      <c r="L223">
        <v>0.75</v>
      </c>
      <c r="M223">
        <v>4647399146.22855</v>
      </c>
      <c r="N223">
        <v>6846306723.2999992</v>
      </c>
      <c r="O223">
        <v>20103015</v>
      </c>
      <c r="P223">
        <v>2010</v>
      </c>
      <c r="Q223">
        <v>3.4</v>
      </c>
      <c r="R223">
        <v>3.1</v>
      </c>
      <c r="S223" t="s">
        <v>418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2.6739999999999999</v>
      </c>
      <c r="AT223">
        <v>2.137</v>
      </c>
      <c r="AU223" t="s">
        <v>420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450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 x14ac:dyDescent="0.25">
      <c r="A224">
        <v>601</v>
      </c>
      <c r="B224" t="s">
        <v>634</v>
      </c>
      <c r="C224" t="s">
        <v>1033</v>
      </c>
      <c r="D224" t="s">
        <v>1432</v>
      </c>
      <c r="E224" t="s">
        <v>403</v>
      </c>
      <c r="F224">
        <v>339985840</v>
      </c>
      <c r="G224">
        <v>12.621370000000001</v>
      </c>
      <c r="H224" t="s">
        <v>413</v>
      </c>
      <c r="I224">
        <v>4291087081.4008002</v>
      </c>
      <c r="J224" t="s">
        <v>416</v>
      </c>
      <c r="K224">
        <v>7489836.6816277802</v>
      </c>
      <c r="L224">
        <v>1</v>
      </c>
      <c r="M224">
        <v>4291087081.4008002</v>
      </c>
      <c r="N224">
        <v>13987017457.6</v>
      </c>
      <c r="O224">
        <v>30302010</v>
      </c>
      <c r="P224">
        <v>3030</v>
      </c>
      <c r="S224" t="s">
        <v>418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1.8520000000000001</v>
      </c>
      <c r="AT224">
        <v>2.4369999999999998</v>
      </c>
      <c r="AU224" t="s">
        <v>430</v>
      </c>
      <c r="AV224">
        <v>0</v>
      </c>
      <c r="AW224">
        <v>0</v>
      </c>
      <c r="AX224" t="s">
        <v>1660</v>
      </c>
      <c r="AY224">
        <v>0</v>
      </c>
      <c r="AZ224">
        <v>0</v>
      </c>
      <c r="BA224">
        <v>0</v>
      </c>
      <c r="CE224">
        <v>2.1444999999999999</v>
      </c>
      <c r="CF224" t="s">
        <v>83</v>
      </c>
      <c r="CG224" t="s">
        <v>1670</v>
      </c>
      <c r="CH224" t="s">
        <v>83</v>
      </c>
      <c r="CI224">
        <v>3.4</v>
      </c>
      <c r="CJ224">
        <v>3.1</v>
      </c>
      <c r="CK224">
        <v>3.25</v>
      </c>
      <c r="CL224">
        <v>-0.18</v>
      </c>
      <c r="CM224">
        <v>3.07</v>
      </c>
    </row>
    <row r="225" spans="1:91" x14ac:dyDescent="0.25">
      <c r="A225">
        <v>605</v>
      </c>
      <c r="B225" t="s">
        <v>635</v>
      </c>
      <c r="C225" t="s">
        <v>1034</v>
      </c>
      <c r="D225" t="s">
        <v>1433</v>
      </c>
      <c r="E225" t="s">
        <v>398</v>
      </c>
      <c r="F225">
        <v>77711300</v>
      </c>
      <c r="G225">
        <v>151.69999999999999</v>
      </c>
      <c r="H225" t="s">
        <v>409</v>
      </c>
      <c r="I225">
        <v>11788804210</v>
      </c>
      <c r="J225" t="s">
        <v>415</v>
      </c>
      <c r="K225">
        <v>7129659.5229508197</v>
      </c>
      <c r="L225">
        <v>0.25</v>
      </c>
      <c r="M225">
        <v>2947201052.5</v>
      </c>
      <c r="N225">
        <v>799260720.5</v>
      </c>
      <c r="O225">
        <v>50101010</v>
      </c>
      <c r="P225">
        <v>5010</v>
      </c>
      <c r="Q225">
        <v>2.4587106809188399</v>
      </c>
      <c r="S225" t="s">
        <v>419</v>
      </c>
      <c r="T225" t="s">
        <v>423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0.05</v>
      </c>
      <c r="AE225">
        <v>0.05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N225" t="s">
        <v>1653</v>
      </c>
      <c r="AO225">
        <v>0.01</v>
      </c>
      <c r="AP225">
        <v>0</v>
      </c>
      <c r="AQ225">
        <v>0</v>
      </c>
      <c r="AR225">
        <v>0</v>
      </c>
      <c r="AS225">
        <v>2.1800000000000002</v>
      </c>
      <c r="AT225">
        <v>2.8159999999999998</v>
      </c>
      <c r="AU225" t="s">
        <v>424</v>
      </c>
      <c r="AV225">
        <v>1</v>
      </c>
      <c r="AW225">
        <v>0</v>
      </c>
      <c r="AX225" t="s">
        <v>437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2.4980000000000002</v>
      </c>
      <c r="CG225" t="s">
        <v>1670</v>
      </c>
      <c r="CH225" t="s">
        <v>1680</v>
      </c>
      <c r="CI225">
        <v>2.4587106809188399</v>
      </c>
      <c r="CJ225">
        <v>3.1</v>
      </c>
      <c r="CK225">
        <v>2.77935534045942</v>
      </c>
      <c r="CL225">
        <v>-0.24</v>
      </c>
      <c r="CM225">
        <v>2.5393553404594198</v>
      </c>
    </row>
    <row r="226" spans="1:91" x14ac:dyDescent="0.25">
      <c r="A226">
        <v>606</v>
      </c>
      <c r="B226" t="s">
        <v>636</v>
      </c>
      <c r="C226" t="s">
        <v>1035</v>
      </c>
      <c r="D226" t="s">
        <v>1434</v>
      </c>
      <c r="E226" t="s">
        <v>406</v>
      </c>
      <c r="F226">
        <v>579124630</v>
      </c>
      <c r="G226">
        <v>100.3318</v>
      </c>
      <c r="H226" t="s">
        <v>414</v>
      </c>
      <c r="I226">
        <v>58104616552.234001</v>
      </c>
      <c r="J226" t="s">
        <v>416</v>
      </c>
      <c r="K226">
        <v>96686992.910873801</v>
      </c>
      <c r="L226">
        <v>1</v>
      </c>
      <c r="M226">
        <v>58104616552.234001</v>
      </c>
      <c r="N226">
        <v>23825187278.200001</v>
      </c>
      <c r="O226">
        <v>50101030</v>
      </c>
      <c r="P226">
        <v>5010</v>
      </c>
      <c r="Q226">
        <v>1.59063962792599</v>
      </c>
      <c r="R226">
        <v>1.5</v>
      </c>
      <c r="S226" t="s">
        <v>417</v>
      </c>
      <c r="T226" t="s">
        <v>422</v>
      </c>
      <c r="U226">
        <v>0</v>
      </c>
      <c r="V226">
        <v>0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0.05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N226" t="s">
        <v>1653</v>
      </c>
      <c r="AO226">
        <v>0.01</v>
      </c>
      <c r="AP226">
        <v>0</v>
      </c>
      <c r="AQ226">
        <v>0</v>
      </c>
      <c r="AR226">
        <v>0</v>
      </c>
      <c r="AS226">
        <v>2.3719999999999999</v>
      </c>
      <c r="AT226">
        <v>2.93</v>
      </c>
      <c r="AU226" t="s">
        <v>420</v>
      </c>
      <c r="AV226">
        <v>1</v>
      </c>
      <c r="AW226">
        <v>0</v>
      </c>
      <c r="AX226" t="s">
        <v>446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2.6509999999999998</v>
      </c>
      <c r="CG226" t="s">
        <v>1670</v>
      </c>
      <c r="CH226" t="s">
        <v>1672</v>
      </c>
      <c r="CI226">
        <v>1.59063962792599</v>
      </c>
      <c r="CJ226">
        <v>1.5</v>
      </c>
      <c r="CK226">
        <v>1.5453198139629949</v>
      </c>
      <c r="CL226">
        <v>-0.3</v>
      </c>
      <c r="CM226">
        <v>1.2453198139629951</v>
      </c>
    </row>
    <row r="227" spans="1:91" x14ac:dyDescent="0.25">
      <c r="A227">
        <v>607</v>
      </c>
      <c r="B227" t="s">
        <v>637</v>
      </c>
      <c r="C227" t="s">
        <v>1036</v>
      </c>
      <c r="D227" t="s">
        <v>1435</v>
      </c>
      <c r="E227" t="s">
        <v>395</v>
      </c>
      <c r="F227">
        <v>117265854</v>
      </c>
      <c r="G227">
        <v>37.964089999999999</v>
      </c>
      <c r="H227" t="s">
        <v>410</v>
      </c>
      <c r="I227">
        <v>4451891435.1828594</v>
      </c>
      <c r="J227" t="s">
        <v>416</v>
      </c>
      <c r="K227">
        <v>6060556.5064524701</v>
      </c>
      <c r="L227">
        <v>0.7</v>
      </c>
      <c r="M227">
        <v>3116324004.6280012</v>
      </c>
      <c r="N227">
        <v>3377022063.4920001</v>
      </c>
      <c r="O227">
        <v>55101015</v>
      </c>
      <c r="P227">
        <v>5510</v>
      </c>
      <c r="Q227">
        <v>1.96880245923168</v>
      </c>
      <c r="R227">
        <v>3.1</v>
      </c>
      <c r="S227" t="s">
        <v>419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0.01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2.153</v>
      </c>
      <c r="AT227">
        <v>2.3879999999999999</v>
      </c>
      <c r="AU227" t="s">
        <v>420</v>
      </c>
      <c r="AV227">
        <v>1</v>
      </c>
      <c r="AW227">
        <v>0</v>
      </c>
      <c r="AX227" t="s">
        <v>434</v>
      </c>
      <c r="AY227">
        <v>0</v>
      </c>
      <c r="AZ227">
        <v>0</v>
      </c>
      <c r="BA227">
        <v>0</v>
      </c>
      <c r="BQ227" t="s">
        <v>68</v>
      </c>
      <c r="CE227">
        <v>2.2705000000000002</v>
      </c>
      <c r="CG227" t="s">
        <v>1670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2.2944012296158398</v>
      </c>
    </row>
    <row r="228" spans="1:91" x14ac:dyDescent="0.25">
      <c r="A228">
        <v>615</v>
      </c>
      <c r="B228" t="s">
        <v>638</v>
      </c>
      <c r="C228" t="s">
        <v>1037</v>
      </c>
      <c r="D228" t="s">
        <v>1436</v>
      </c>
      <c r="E228" t="s">
        <v>403</v>
      </c>
      <c r="F228">
        <v>549747400</v>
      </c>
      <c r="G228">
        <v>10.21557</v>
      </c>
      <c r="H228" t="s">
        <v>413</v>
      </c>
      <c r="I228">
        <v>5615983047.0179996</v>
      </c>
      <c r="J228" t="s">
        <v>416</v>
      </c>
      <c r="K228">
        <v>10746265.0323544</v>
      </c>
      <c r="L228">
        <v>1</v>
      </c>
      <c r="M228">
        <v>5615983047.0179996</v>
      </c>
      <c r="N228">
        <v>22616608036</v>
      </c>
      <c r="O228">
        <v>40401025</v>
      </c>
      <c r="P228">
        <v>4040</v>
      </c>
      <c r="Q228">
        <v>1.7372737770664901</v>
      </c>
      <c r="S228" t="s">
        <v>420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1.897</v>
      </c>
      <c r="AT228">
        <v>1.97</v>
      </c>
      <c r="AU228" t="s">
        <v>420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1670</v>
      </c>
      <c r="CH228" t="s">
        <v>83</v>
      </c>
      <c r="CI228">
        <v>1.7372737770664901</v>
      </c>
      <c r="CJ228">
        <v>3.1</v>
      </c>
      <c r="CK228">
        <v>2.418636888533245</v>
      </c>
      <c r="CL228">
        <v>0</v>
      </c>
      <c r="CM228">
        <v>2.418636888533245</v>
      </c>
    </row>
    <row r="229" spans="1:91" x14ac:dyDescent="0.25">
      <c r="A229">
        <v>619</v>
      </c>
      <c r="B229" t="s">
        <v>639</v>
      </c>
      <c r="C229" t="s">
        <v>1038</v>
      </c>
      <c r="D229" t="s">
        <v>1437</v>
      </c>
      <c r="E229" t="s">
        <v>403</v>
      </c>
      <c r="F229">
        <v>17822174000</v>
      </c>
      <c r="G229">
        <v>10.708819999999999</v>
      </c>
      <c r="H229" t="s">
        <v>413</v>
      </c>
      <c r="I229">
        <v>190854453374.67999</v>
      </c>
      <c r="J229" t="s">
        <v>416</v>
      </c>
      <c r="K229">
        <v>160045769.54936501</v>
      </c>
      <c r="L229">
        <v>0.9</v>
      </c>
      <c r="M229">
        <v>171769008037.21201</v>
      </c>
      <c r="N229">
        <v>659883814524</v>
      </c>
      <c r="O229">
        <v>30101010</v>
      </c>
      <c r="P229">
        <v>3010</v>
      </c>
      <c r="Q229">
        <v>3.2733333333333299</v>
      </c>
      <c r="R229">
        <v>1.5</v>
      </c>
      <c r="S229" t="s">
        <v>1648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2.2669999999999999</v>
      </c>
      <c r="AT229">
        <v>2.6749999999999998</v>
      </c>
      <c r="AU229" t="s">
        <v>430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2.4710000000000001</v>
      </c>
      <c r="CG229" t="s">
        <v>450</v>
      </c>
      <c r="CI229">
        <v>3.2733333333333299</v>
      </c>
      <c r="CJ229">
        <v>1.5</v>
      </c>
      <c r="CK229">
        <v>2.3866666666666649</v>
      </c>
      <c r="CL229">
        <v>0.3</v>
      </c>
      <c r="CM229">
        <v>2.6866666666666652</v>
      </c>
    </row>
    <row r="230" spans="1:91" x14ac:dyDescent="0.25">
      <c r="A230">
        <v>624</v>
      </c>
      <c r="B230" t="s">
        <v>184</v>
      </c>
      <c r="C230" t="s">
        <v>284</v>
      </c>
      <c r="D230" t="s">
        <v>384</v>
      </c>
      <c r="E230" t="s">
        <v>399</v>
      </c>
      <c r="F230">
        <v>107760380</v>
      </c>
      <c r="G230">
        <v>37.44</v>
      </c>
      <c r="H230" t="s">
        <v>409</v>
      </c>
      <c r="I230">
        <v>4034548627.1999998</v>
      </c>
      <c r="J230" t="s">
        <v>415</v>
      </c>
      <c r="K230">
        <v>5079226.97288136</v>
      </c>
      <c r="L230">
        <v>0.9</v>
      </c>
      <c r="M230">
        <v>3631093764.48</v>
      </c>
      <c r="N230">
        <v>3989935829.8800001</v>
      </c>
      <c r="O230">
        <v>50203030</v>
      </c>
      <c r="P230">
        <v>5020</v>
      </c>
      <c r="Q230">
        <v>1.9600431112566099</v>
      </c>
      <c r="R230">
        <v>1.77</v>
      </c>
      <c r="S230" t="s">
        <v>419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2.7010000000000001</v>
      </c>
      <c r="AT230">
        <v>2.9630000000000001</v>
      </c>
      <c r="AU230" t="s">
        <v>420</v>
      </c>
      <c r="AV230">
        <v>1</v>
      </c>
      <c r="AW230">
        <v>0</v>
      </c>
      <c r="AX230" t="s">
        <v>438</v>
      </c>
      <c r="AY230">
        <v>0</v>
      </c>
      <c r="AZ230">
        <v>0</v>
      </c>
      <c r="BA230">
        <v>0</v>
      </c>
      <c r="CE230">
        <v>2.8319999999999999</v>
      </c>
      <c r="CG230" t="s">
        <v>450</v>
      </c>
      <c r="CI230">
        <v>1.9600431112566099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 x14ac:dyDescent="0.25">
      <c r="A231">
        <v>628</v>
      </c>
      <c r="B231" t="s">
        <v>640</v>
      </c>
      <c r="C231" t="s">
        <v>1039</v>
      </c>
      <c r="D231" t="s">
        <v>1438</v>
      </c>
      <c r="E231" t="s">
        <v>401</v>
      </c>
      <c r="F231">
        <v>6440561000</v>
      </c>
      <c r="G231">
        <v>13.465</v>
      </c>
      <c r="H231" t="s">
        <v>409</v>
      </c>
      <c r="I231">
        <v>86722153865</v>
      </c>
      <c r="J231" t="s">
        <v>415</v>
      </c>
      <c r="K231">
        <v>147817831.40333501</v>
      </c>
      <c r="L231">
        <v>0.9</v>
      </c>
      <c r="M231">
        <v>78049938478.5</v>
      </c>
      <c r="N231">
        <v>238468211586</v>
      </c>
      <c r="O231">
        <v>65101015</v>
      </c>
      <c r="P231">
        <v>6510</v>
      </c>
      <c r="Q231">
        <v>1.7021848661972701</v>
      </c>
      <c r="R231">
        <v>1.5</v>
      </c>
      <c r="S231" t="s">
        <v>417</v>
      </c>
      <c r="T231" t="s">
        <v>423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0.21</v>
      </c>
      <c r="AF231">
        <v>0.1462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N231" t="s">
        <v>1654</v>
      </c>
      <c r="AO231">
        <v>0.03</v>
      </c>
      <c r="AP231">
        <v>0</v>
      </c>
      <c r="AQ231">
        <v>0</v>
      </c>
      <c r="AR231">
        <v>0</v>
      </c>
      <c r="AS231">
        <v>2.5649999999999999</v>
      </c>
      <c r="AT231">
        <v>3.0840000000000001</v>
      </c>
      <c r="AU231" t="s">
        <v>421</v>
      </c>
      <c r="AV231">
        <v>1</v>
      </c>
      <c r="AW231">
        <v>0</v>
      </c>
      <c r="AX231" t="s">
        <v>440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1670</v>
      </c>
      <c r="CH231" t="s">
        <v>1709</v>
      </c>
      <c r="CI231">
        <v>1.7021848661972701</v>
      </c>
      <c r="CJ231">
        <v>1.5</v>
      </c>
      <c r="CK231">
        <v>1.6010924330986349</v>
      </c>
      <c r="CL231">
        <v>-0.3</v>
      </c>
      <c r="CM231">
        <v>1.3010924330986351</v>
      </c>
    </row>
    <row r="232" spans="1:91" x14ac:dyDescent="0.25">
      <c r="A232">
        <v>634</v>
      </c>
      <c r="B232" t="s">
        <v>641</v>
      </c>
      <c r="C232" t="s">
        <v>1040</v>
      </c>
      <c r="D232" t="s">
        <v>1439</v>
      </c>
      <c r="E232" t="s">
        <v>403</v>
      </c>
      <c r="F232">
        <v>352425100</v>
      </c>
      <c r="G232">
        <v>11.50914</v>
      </c>
      <c r="H232" t="s">
        <v>413</v>
      </c>
      <c r="I232">
        <v>4056109815.414</v>
      </c>
      <c r="J232" t="s">
        <v>416</v>
      </c>
      <c r="K232">
        <v>7694153.9212434096</v>
      </c>
      <c r="L232">
        <v>1</v>
      </c>
      <c r="M232">
        <v>4056109815.414</v>
      </c>
      <c r="N232">
        <v>14498768614</v>
      </c>
      <c r="O232">
        <v>30202015</v>
      </c>
      <c r="P232">
        <v>3020</v>
      </c>
      <c r="Q232">
        <v>3.4</v>
      </c>
      <c r="S232" t="s">
        <v>421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1.85</v>
      </c>
      <c r="AT232">
        <v>1.9770000000000001</v>
      </c>
      <c r="AU232" t="s">
        <v>430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1670</v>
      </c>
      <c r="CH232" t="s">
        <v>83</v>
      </c>
      <c r="CI232">
        <v>3.4</v>
      </c>
      <c r="CJ232">
        <v>3.1</v>
      </c>
      <c r="CK232">
        <v>3.25</v>
      </c>
      <c r="CL232">
        <v>0.18</v>
      </c>
      <c r="CM232">
        <v>3.43</v>
      </c>
    </row>
    <row r="233" spans="1:91" x14ac:dyDescent="0.25">
      <c r="A233">
        <v>637</v>
      </c>
      <c r="B233" t="s">
        <v>642</v>
      </c>
      <c r="C233" t="s">
        <v>1041</v>
      </c>
      <c r="D233" t="s">
        <v>1440</v>
      </c>
      <c r="E233" t="s">
        <v>396</v>
      </c>
      <c r="F233">
        <v>59107999</v>
      </c>
      <c r="G233">
        <v>149.05000000000001</v>
      </c>
      <c r="H233" t="s">
        <v>409</v>
      </c>
      <c r="I233">
        <v>8810047250.9500008</v>
      </c>
      <c r="J233" t="s">
        <v>415</v>
      </c>
      <c r="K233">
        <v>12425239.6464286</v>
      </c>
      <c r="L233">
        <v>1</v>
      </c>
      <c r="M233">
        <v>8810047250.9500008</v>
      </c>
      <c r="N233">
        <v>2431703078.8600001</v>
      </c>
      <c r="O233">
        <v>55201020</v>
      </c>
      <c r="P233">
        <v>5520</v>
      </c>
      <c r="S233" t="s">
        <v>418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2.504</v>
      </c>
      <c r="AT233">
        <v>3.2759999999999998</v>
      </c>
      <c r="AU233" t="s">
        <v>431</v>
      </c>
      <c r="AV233">
        <v>1</v>
      </c>
      <c r="AW233">
        <v>0</v>
      </c>
      <c r="AX233" t="s">
        <v>445</v>
      </c>
      <c r="AY233">
        <v>0</v>
      </c>
      <c r="AZ233">
        <v>0</v>
      </c>
      <c r="BA233">
        <v>0</v>
      </c>
      <c r="CE233">
        <v>2.89</v>
      </c>
      <c r="CG233" t="s">
        <v>450</v>
      </c>
      <c r="CI233">
        <v>3.4</v>
      </c>
      <c r="CJ233">
        <v>3.1</v>
      </c>
      <c r="CK233">
        <v>3.25</v>
      </c>
      <c r="CL233">
        <v>-0.18</v>
      </c>
      <c r="CM233">
        <v>3.07</v>
      </c>
    </row>
    <row r="234" spans="1:91" x14ac:dyDescent="0.25">
      <c r="A234">
        <v>638</v>
      </c>
      <c r="B234" t="s">
        <v>643</v>
      </c>
      <c r="C234" t="s">
        <v>1042</v>
      </c>
      <c r="D234" t="s">
        <v>1441</v>
      </c>
      <c r="E234" t="s">
        <v>403</v>
      </c>
      <c r="F234">
        <v>256088870</v>
      </c>
      <c r="G234">
        <v>23.042459999999998</v>
      </c>
      <c r="H234" t="s">
        <v>413</v>
      </c>
      <c r="I234">
        <v>5900917543.4201994</v>
      </c>
      <c r="J234" t="s">
        <v>416</v>
      </c>
      <c r="K234">
        <v>8445044.0097403806</v>
      </c>
      <c r="L234">
        <v>1</v>
      </c>
      <c r="M234">
        <v>5900917543.4201994</v>
      </c>
      <c r="N234">
        <v>10059170813.6</v>
      </c>
      <c r="O234">
        <v>50202020</v>
      </c>
      <c r="P234">
        <v>5020</v>
      </c>
      <c r="Q234">
        <v>1.7423272628173101</v>
      </c>
      <c r="R234">
        <v>2.39</v>
      </c>
      <c r="S234" t="s">
        <v>418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0.25</v>
      </c>
      <c r="AF234">
        <v>0</v>
      </c>
      <c r="AH234">
        <v>0</v>
      </c>
      <c r="AI234" t="s">
        <v>1655</v>
      </c>
      <c r="AK234" t="s">
        <v>424</v>
      </c>
      <c r="AL234" t="s">
        <v>424</v>
      </c>
      <c r="AM234" t="s">
        <v>424</v>
      </c>
      <c r="AN234" t="s">
        <v>1653</v>
      </c>
      <c r="AO234">
        <v>0.05</v>
      </c>
      <c r="AP234">
        <v>0</v>
      </c>
      <c r="AQ234">
        <v>0</v>
      </c>
      <c r="AR234">
        <v>0</v>
      </c>
      <c r="AS234">
        <v>2.2410000000000001</v>
      </c>
      <c r="AT234">
        <v>2.851</v>
      </c>
      <c r="AU234" t="s">
        <v>420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2.5459999999999998</v>
      </c>
      <c r="CG234" t="s">
        <v>1670</v>
      </c>
      <c r="CH234" t="s">
        <v>1710</v>
      </c>
      <c r="CI234">
        <v>1.7423272628173101</v>
      </c>
      <c r="CJ234">
        <v>2.39</v>
      </c>
      <c r="CK234">
        <v>2.0661636314086551</v>
      </c>
      <c r="CL234">
        <v>-0.18</v>
      </c>
      <c r="CM234">
        <v>1.886163631408655</v>
      </c>
    </row>
    <row r="235" spans="1:91" x14ac:dyDescent="0.25">
      <c r="A235">
        <v>639</v>
      </c>
      <c r="B235" t="s">
        <v>644</v>
      </c>
      <c r="C235" t="s">
        <v>1043</v>
      </c>
      <c r="D235" t="s">
        <v>1442</v>
      </c>
      <c r="E235" t="s">
        <v>403</v>
      </c>
      <c r="F235">
        <v>830510000</v>
      </c>
      <c r="G235">
        <v>32.448030000000003</v>
      </c>
      <c r="H235" t="s">
        <v>413</v>
      </c>
      <c r="I235">
        <v>26948413395.299999</v>
      </c>
      <c r="J235" t="s">
        <v>416</v>
      </c>
      <c r="K235">
        <v>43289020.3249387</v>
      </c>
      <c r="L235">
        <v>0.95</v>
      </c>
      <c r="M235">
        <v>25600992725.535</v>
      </c>
      <c r="N235">
        <v>30991311160</v>
      </c>
      <c r="O235">
        <v>45103010</v>
      </c>
      <c r="P235">
        <v>4510</v>
      </c>
      <c r="Q235">
        <v>1.7204634929304901</v>
      </c>
      <c r="R235">
        <v>1.5</v>
      </c>
      <c r="S235" t="s">
        <v>420</v>
      </c>
      <c r="T235" t="s">
        <v>422</v>
      </c>
      <c r="U235">
        <v>0.65</v>
      </c>
      <c r="V235">
        <v>0.35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1.7490000000000001</v>
      </c>
      <c r="AT235">
        <v>3.302</v>
      </c>
      <c r="AU235" t="s">
        <v>420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1665</v>
      </c>
      <c r="BG235" t="s">
        <v>1668</v>
      </c>
      <c r="BH235" t="s">
        <v>1669</v>
      </c>
      <c r="CE235">
        <v>2.5255000000000001</v>
      </c>
      <c r="CG235" t="s">
        <v>1670</v>
      </c>
      <c r="CH235" t="s">
        <v>1711</v>
      </c>
      <c r="CI235">
        <v>1.7204634929304901</v>
      </c>
      <c r="CJ235">
        <v>1.5</v>
      </c>
      <c r="CK235">
        <v>1.6102317464652449</v>
      </c>
      <c r="CL235">
        <v>0</v>
      </c>
      <c r="CM235">
        <v>1.6102317464652449</v>
      </c>
    </row>
    <row r="236" spans="1:91" x14ac:dyDescent="0.25">
      <c r="A236">
        <v>640</v>
      </c>
      <c r="B236" t="s">
        <v>645</v>
      </c>
      <c r="C236" t="s">
        <v>1044</v>
      </c>
      <c r="D236" t="s">
        <v>1443</v>
      </c>
      <c r="E236" t="s">
        <v>403</v>
      </c>
      <c r="F236">
        <v>393895020</v>
      </c>
      <c r="G236">
        <v>8.2208140000000007</v>
      </c>
      <c r="H236" t="s">
        <v>413</v>
      </c>
      <c r="I236">
        <v>3238137694.94628</v>
      </c>
      <c r="J236" t="s">
        <v>416</v>
      </c>
      <c r="K236">
        <v>5000939.9610535298</v>
      </c>
      <c r="L236">
        <v>1</v>
      </c>
      <c r="M236">
        <v>3238137694.94628</v>
      </c>
      <c r="N236">
        <v>15472196385.6</v>
      </c>
      <c r="O236">
        <v>40401030</v>
      </c>
      <c r="P236">
        <v>4040</v>
      </c>
      <c r="Q236">
        <v>3.3946356615679201</v>
      </c>
      <c r="R236">
        <v>3.01</v>
      </c>
      <c r="S236" t="s">
        <v>418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1.611</v>
      </c>
      <c r="AT236">
        <v>2.7040000000000002</v>
      </c>
      <c r="AU236" t="s">
        <v>431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2.1575000000000002</v>
      </c>
      <c r="CF236" t="s">
        <v>83</v>
      </c>
      <c r="CG236" t="s">
        <v>1670</v>
      </c>
      <c r="CH236" t="s">
        <v>83</v>
      </c>
      <c r="CI236">
        <v>3.3946356615679201</v>
      </c>
      <c r="CJ236">
        <v>3.01</v>
      </c>
      <c r="CK236">
        <v>3.2023178307839602</v>
      </c>
      <c r="CL236">
        <v>-0.18</v>
      </c>
      <c r="CM236">
        <v>3.02231783078396</v>
      </c>
    </row>
    <row r="237" spans="1:91" x14ac:dyDescent="0.25">
      <c r="A237">
        <v>642</v>
      </c>
      <c r="B237" t="s">
        <v>646</v>
      </c>
      <c r="C237" t="s">
        <v>1045</v>
      </c>
      <c r="D237" t="s">
        <v>1444</v>
      </c>
      <c r="E237" t="s">
        <v>401</v>
      </c>
      <c r="F237">
        <v>3116652000</v>
      </c>
      <c r="G237">
        <v>52.44</v>
      </c>
      <c r="H237" t="s">
        <v>409</v>
      </c>
      <c r="I237">
        <v>163437230880</v>
      </c>
      <c r="J237" t="s">
        <v>415</v>
      </c>
      <c r="K237">
        <v>95493793.569292098</v>
      </c>
      <c r="L237">
        <v>0.4</v>
      </c>
      <c r="M237">
        <v>65374892352</v>
      </c>
      <c r="N237">
        <v>48968836224</v>
      </c>
      <c r="O237">
        <v>40401020</v>
      </c>
      <c r="P237">
        <v>4040</v>
      </c>
      <c r="Q237">
        <v>1.74372801575046</v>
      </c>
      <c r="S237" t="s">
        <v>418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2.5920000000000001</v>
      </c>
      <c r="AT237">
        <v>3.2410000000000001</v>
      </c>
      <c r="AU237" t="s">
        <v>431</v>
      </c>
      <c r="AV237">
        <v>1</v>
      </c>
      <c r="AW237">
        <v>0</v>
      </c>
      <c r="AX237" t="s">
        <v>440</v>
      </c>
      <c r="AY237">
        <v>0</v>
      </c>
      <c r="AZ237">
        <v>0</v>
      </c>
      <c r="BA237">
        <v>0</v>
      </c>
      <c r="CE237">
        <v>2.9165000000000001</v>
      </c>
      <c r="CG237" t="s">
        <v>450</v>
      </c>
      <c r="CI237">
        <v>1.74372801575046</v>
      </c>
      <c r="CJ237">
        <v>3.1</v>
      </c>
      <c r="CK237">
        <v>2.42186400787523</v>
      </c>
      <c r="CL237">
        <v>-0.18</v>
      </c>
      <c r="CM237">
        <v>2.2418640078752299</v>
      </c>
    </row>
    <row r="238" spans="1:91" x14ac:dyDescent="0.25">
      <c r="A238">
        <v>643</v>
      </c>
      <c r="B238" t="s">
        <v>647</v>
      </c>
      <c r="C238" t="s">
        <v>1046</v>
      </c>
      <c r="D238" t="s">
        <v>1445</v>
      </c>
      <c r="E238" t="s">
        <v>395</v>
      </c>
      <c r="F238">
        <v>193522170</v>
      </c>
      <c r="G238">
        <v>36.138719999999999</v>
      </c>
      <c r="H238" t="s">
        <v>410</v>
      </c>
      <c r="I238">
        <v>6993643515.4224005</v>
      </c>
      <c r="J238" t="s">
        <v>416</v>
      </c>
      <c r="K238">
        <v>10409530.8630605</v>
      </c>
      <c r="L238">
        <v>0.8</v>
      </c>
      <c r="M238">
        <v>5594914812.3379202</v>
      </c>
      <c r="N238">
        <v>6081240670.0800009</v>
      </c>
      <c r="O238">
        <v>30202010</v>
      </c>
      <c r="P238">
        <v>3020</v>
      </c>
      <c r="Q238">
        <v>3.0199999999999898</v>
      </c>
      <c r="S238" t="s">
        <v>420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2.5030000000000001</v>
      </c>
      <c r="AT238">
        <v>1.7430000000000001</v>
      </c>
      <c r="AU238" t="s">
        <v>430</v>
      </c>
      <c r="AV238">
        <v>0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2.1230000000000002</v>
      </c>
      <c r="CF238" t="s">
        <v>83</v>
      </c>
      <c r="CG238" t="s">
        <v>1670</v>
      </c>
      <c r="CH238" t="s">
        <v>83</v>
      </c>
      <c r="CI238">
        <v>3.0199999999999898</v>
      </c>
      <c r="CJ238">
        <v>3.1</v>
      </c>
      <c r="CK238">
        <v>3.0599999999999952</v>
      </c>
      <c r="CL238">
        <v>0</v>
      </c>
      <c r="CM238">
        <v>3.0599999999999952</v>
      </c>
    </row>
    <row r="239" spans="1:91" x14ac:dyDescent="0.25">
      <c r="A239">
        <v>644</v>
      </c>
      <c r="B239" t="s">
        <v>648</v>
      </c>
      <c r="C239" t="s">
        <v>1047</v>
      </c>
      <c r="D239" t="s">
        <v>1446</v>
      </c>
      <c r="E239" t="s">
        <v>395</v>
      </c>
      <c r="F239">
        <v>364323000</v>
      </c>
      <c r="G239">
        <v>28.684380000000001</v>
      </c>
      <c r="H239" t="s">
        <v>410</v>
      </c>
      <c r="I239">
        <v>10450379374.74</v>
      </c>
      <c r="J239" t="s">
        <v>416</v>
      </c>
      <c r="K239">
        <v>7406705.8083766503</v>
      </c>
      <c r="L239">
        <v>0.75</v>
      </c>
      <c r="M239">
        <v>7837784531.0550003</v>
      </c>
      <c r="N239">
        <v>10732955580</v>
      </c>
      <c r="O239">
        <v>50203000</v>
      </c>
      <c r="P239">
        <v>5020</v>
      </c>
      <c r="Q239">
        <v>1.7480803378632199</v>
      </c>
      <c r="S239" t="s">
        <v>420</v>
      </c>
      <c r="T239" t="s">
        <v>422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1.83</v>
      </c>
      <c r="AT239">
        <v>2.7519999999999998</v>
      </c>
      <c r="AU239" t="s">
        <v>420</v>
      </c>
      <c r="AV239">
        <v>1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2.2909999999999999</v>
      </c>
      <c r="CG239" t="s">
        <v>450</v>
      </c>
      <c r="CI239">
        <v>1.7480803378632199</v>
      </c>
      <c r="CJ239">
        <v>3.1</v>
      </c>
      <c r="CK239">
        <v>2.4240401689316098</v>
      </c>
      <c r="CL239">
        <v>0</v>
      </c>
      <c r="CM239">
        <v>2.4240401689316098</v>
      </c>
    </row>
    <row r="240" spans="1:91" x14ac:dyDescent="0.25">
      <c r="A240">
        <v>645</v>
      </c>
      <c r="B240" t="s">
        <v>649</v>
      </c>
      <c r="C240" t="s">
        <v>1048</v>
      </c>
      <c r="D240" t="s">
        <v>1447</v>
      </c>
      <c r="E240" t="s">
        <v>398</v>
      </c>
      <c r="F240">
        <v>1305921100</v>
      </c>
      <c r="G240">
        <v>38.515000000000001</v>
      </c>
      <c r="H240" t="s">
        <v>409</v>
      </c>
      <c r="I240">
        <v>50297551166.5</v>
      </c>
      <c r="J240" t="s">
        <v>415</v>
      </c>
      <c r="K240">
        <v>140800741.44135201</v>
      </c>
      <c r="L240">
        <v>1</v>
      </c>
      <c r="M240">
        <v>50297551166.5</v>
      </c>
      <c r="N240">
        <v>51296580808</v>
      </c>
      <c r="O240">
        <v>10102010</v>
      </c>
      <c r="P240">
        <v>1010</v>
      </c>
      <c r="S240" t="s">
        <v>418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2.548</v>
      </c>
      <c r="AT240">
        <v>3.3170000000000002</v>
      </c>
      <c r="AU240" t="s">
        <v>420</v>
      </c>
      <c r="AV240">
        <v>1</v>
      </c>
      <c r="AW240">
        <v>0</v>
      </c>
      <c r="AX240" t="s">
        <v>437</v>
      </c>
      <c r="AY240">
        <v>0</v>
      </c>
      <c r="AZ240">
        <v>0</v>
      </c>
      <c r="BA240">
        <v>0</v>
      </c>
      <c r="CE240">
        <v>2.9325000000000001</v>
      </c>
      <c r="CG240" t="s">
        <v>450</v>
      </c>
      <c r="CI240">
        <v>3.4</v>
      </c>
      <c r="CJ240">
        <v>3.1</v>
      </c>
      <c r="CK240">
        <v>3.25</v>
      </c>
      <c r="CL240">
        <v>-0.18</v>
      </c>
      <c r="CM240">
        <v>3.07</v>
      </c>
    </row>
    <row r="241" spans="1:91" x14ac:dyDescent="0.25">
      <c r="A241">
        <v>646</v>
      </c>
      <c r="B241" t="s">
        <v>650</v>
      </c>
      <c r="C241" t="s">
        <v>1049</v>
      </c>
      <c r="D241" t="s">
        <v>1448</v>
      </c>
      <c r="E241" t="s">
        <v>403</v>
      </c>
      <c r="F241">
        <v>1330244800</v>
      </c>
      <c r="G241">
        <v>10.67013</v>
      </c>
      <c r="H241" t="s">
        <v>413</v>
      </c>
      <c r="I241">
        <v>14193884947.823999</v>
      </c>
      <c r="J241" t="s">
        <v>416</v>
      </c>
      <c r="K241">
        <v>18648977.796000201</v>
      </c>
      <c r="L241">
        <v>1</v>
      </c>
      <c r="M241">
        <v>14193884947.823999</v>
      </c>
      <c r="N241">
        <v>52252015744</v>
      </c>
      <c r="O241">
        <v>40301020</v>
      </c>
      <c r="P241">
        <v>4030</v>
      </c>
      <c r="Q241">
        <v>1.99729251308287</v>
      </c>
      <c r="S241" t="s">
        <v>419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2.601</v>
      </c>
      <c r="AT241">
        <v>3.3039999999999998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2.9525000000000001</v>
      </c>
      <c r="CG241" t="s">
        <v>450</v>
      </c>
      <c r="CI241">
        <v>1.99729251308287</v>
      </c>
      <c r="CJ241">
        <v>3.1</v>
      </c>
      <c r="CK241">
        <v>2.548646256541435</v>
      </c>
      <c r="CL241">
        <v>-0.24</v>
      </c>
      <c r="CM241">
        <v>2.3086462565414352</v>
      </c>
    </row>
    <row r="242" spans="1:91" x14ac:dyDescent="0.25">
      <c r="A242">
        <v>648</v>
      </c>
      <c r="B242" t="s">
        <v>651</v>
      </c>
      <c r="C242" t="s">
        <v>1050</v>
      </c>
      <c r="D242" t="s">
        <v>1449</v>
      </c>
      <c r="E242" t="s">
        <v>396</v>
      </c>
      <c r="F242">
        <v>3147391173</v>
      </c>
      <c r="G242">
        <v>16.564</v>
      </c>
      <c r="H242" t="s">
        <v>409</v>
      </c>
      <c r="I242">
        <v>52133387389.571999</v>
      </c>
      <c r="J242" t="s">
        <v>415</v>
      </c>
      <c r="K242">
        <v>157598776.08198401</v>
      </c>
      <c r="L242">
        <v>1</v>
      </c>
      <c r="M242">
        <v>52133387389.571999</v>
      </c>
      <c r="N242">
        <v>123629525275.44</v>
      </c>
      <c r="O242">
        <v>30101010</v>
      </c>
      <c r="P242">
        <v>3010</v>
      </c>
      <c r="Q242">
        <v>3.2733333333333299</v>
      </c>
      <c r="S242" t="s">
        <v>1648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2.214</v>
      </c>
      <c r="AT242">
        <v>2.871</v>
      </c>
      <c r="AU242" t="s">
        <v>430</v>
      </c>
      <c r="AV242">
        <v>0</v>
      </c>
      <c r="AW242">
        <v>0</v>
      </c>
      <c r="AX242" t="s">
        <v>445</v>
      </c>
      <c r="AY242">
        <v>0</v>
      </c>
      <c r="AZ242">
        <v>0</v>
      </c>
      <c r="BA242">
        <v>0</v>
      </c>
      <c r="CE242">
        <v>2.5425</v>
      </c>
      <c r="CG242" t="s">
        <v>450</v>
      </c>
      <c r="CI242">
        <v>3.2733333333333299</v>
      </c>
      <c r="CJ242">
        <v>3.1</v>
      </c>
      <c r="CK242">
        <v>3.1866666666666652</v>
      </c>
      <c r="CL242">
        <v>0.3</v>
      </c>
      <c r="CM242">
        <v>3.486666666666665</v>
      </c>
    </row>
    <row r="243" spans="1:91" x14ac:dyDescent="0.25">
      <c r="A243">
        <v>652</v>
      </c>
      <c r="B243" t="s">
        <v>97</v>
      </c>
      <c r="C243" t="s">
        <v>197</v>
      </c>
      <c r="D243" t="s">
        <v>297</v>
      </c>
      <c r="E243" t="s">
        <v>396</v>
      </c>
      <c r="F243">
        <v>500000000</v>
      </c>
      <c r="G243">
        <v>17.46</v>
      </c>
      <c r="H243" t="s">
        <v>409</v>
      </c>
      <c r="I243">
        <v>8730000000</v>
      </c>
      <c r="J243" t="s">
        <v>415</v>
      </c>
      <c r="K243">
        <v>7745434.1676984103</v>
      </c>
      <c r="L243">
        <v>0.4</v>
      </c>
      <c r="M243">
        <v>3492000000</v>
      </c>
      <c r="N243">
        <v>7856000000</v>
      </c>
      <c r="O243">
        <v>50206040</v>
      </c>
      <c r="P243">
        <v>5020</v>
      </c>
      <c r="Q243">
        <v>3.3134401307561698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2.0499999999999998</v>
      </c>
      <c r="AT243">
        <v>3.117</v>
      </c>
      <c r="AU243" t="s">
        <v>427</v>
      </c>
      <c r="AV243">
        <v>1</v>
      </c>
      <c r="AW243">
        <v>1</v>
      </c>
      <c r="AX243" t="s">
        <v>435</v>
      </c>
      <c r="AY243">
        <v>0</v>
      </c>
      <c r="AZ243">
        <v>0</v>
      </c>
      <c r="BA243">
        <v>0</v>
      </c>
      <c r="CE243">
        <v>2.5834999999999999</v>
      </c>
      <c r="CG243" t="s">
        <v>450</v>
      </c>
      <c r="CI243">
        <v>3.3134401307561698</v>
      </c>
      <c r="CJ243">
        <v>3.1</v>
      </c>
      <c r="CK243">
        <v>3.206720065378085</v>
      </c>
      <c r="CL243">
        <v>-0.3</v>
      </c>
      <c r="CM243">
        <v>2.9067200653780851</v>
      </c>
    </row>
    <row r="244" spans="1:91" x14ac:dyDescent="0.25">
      <c r="A244">
        <v>659</v>
      </c>
      <c r="B244" t="s">
        <v>652</v>
      </c>
      <c r="C244" t="s">
        <v>1051</v>
      </c>
      <c r="D244" t="s">
        <v>1450</v>
      </c>
      <c r="E244" t="s">
        <v>403</v>
      </c>
      <c r="F244">
        <v>158172500</v>
      </c>
      <c r="G244">
        <v>119.6854</v>
      </c>
      <c r="H244" t="s">
        <v>413</v>
      </c>
      <c r="I244">
        <v>18930938931.5</v>
      </c>
      <c r="J244" t="s">
        <v>416</v>
      </c>
      <c r="K244">
        <v>32247793.982799198</v>
      </c>
      <c r="L244">
        <v>0.95</v>
      </c>
      <c r="M244">
        <v>17984391984.924999</v>
      </c>
      <c r="N244">
        <v>5902365010</v>
      </c>
      <c r="O244">
        <v>40501025</v>
      </c>
      <c r="P244">
        <v>4050</v>
      </c>
      <c r="Q244">
        <v>1.84275880396175</v>
      </c>
      <c r="R244">
        <v>2.08</v>
      </c>
      <c r="S244" t="s">
        <v>420</v>
      </c>
      <c r="T244" t="s">
        <v>422</v>
      </c>
      <c r="U244">
        <v>0</v>
      </c>
      <c r="V244">
        <v>0.01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2.2839999999999998</v>
      </c>
      <c r="AT244">
        <v>2.9609999999999999</v>
      </c>
      <c r="AU244" t="s">
        <v>1657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2.6225000000000001</v>
      </c>
      <c r="CG244" t="s">
        <v>450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 x14ac:dyDescent="0.25">
      <c r="A245">
        <v>660</v>
      </c>
      <c r="B245" t="s">
        <v>143</v>
      </c>
      <c r="C245" t="s">
        <v>243</v>
      </c>
      <c r="D245" t="s">
        <v>343</v>
      </c>
      <c r="E245" t="s">
        <v>403</v>
      </c>
      <c r="F245">
        <v>290636470</v>
      </c>
      <c r="G245">
        <v>28.9421</v>
      </c>
      <c r="H245" t="s">
        <v>413</v>
      </c>
      <c r="I245">
        <v>8411629778.3870001</v>
      </c>
      <c r="J245" t="s">
        <v>416</v>
      </c>
      <c r="K245">
        <v>15022768.651234301</v>
      </c>
      <c r="L245">
        <v>1</v>
      </c>
      <c r="M245">
        <v>8411629778.3870001</v>
      </c>
      <c r="N245">
        <v>11416200541.6</v>
      </c>
      <c r="O245">
        <v>30202010</v>
      </c>
      <c r="P245">
        <v>3020</v>
      </c>
      <c r="Q245">
        <v>1.9965141737727501</v>
      </c>
      <c r="S245" t="s">
        <v>419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2.117</v>
      </c>
      <c r="AT245">
        <v>2.9159999999999999</v>
      </c>
      <c r="AU245" t="s">
        <v>430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2.5165000000000002</v>
      </c>
      <c r="CG245" t="s">
        <v>450</v>
      </c>
      <c r="CI245">
        <v>1.9965141737727501</v>
      </c>
      <c r="CJ245">
        <v>3.1</v>
      </c>
      <c r="CK245">
        <v>2.548257086886375</v>
      </c>
      <c r="CL245">
        <v>-0.24</v>
      </c>
      <c r="CM245">
        <v>2.3082570868863752</v>
      </c>
    </row>
    <row r="246" spans="1:91" x14ac:dyDescent="0.25">
      <c r="A246">
        <v>663</v>
      </c>
      <c r="B246" t="s">
        <v>653</v>
      </c>
      <c r="C246" t="s">
        <v>1052</v>
      </c>
      <c r="D246" t="s">
        <v>1451</v>
      </c>
      <c r="E246" t="s">
        <v>404</v>
      </c>
      <c r="F246">
        <v>108879294</v>
      </c>
      <c r="G246">
        <v>37.86</v>
      </c>
      <c r="H246" t="s">
        <v>409</v>
      </c>
      <c r="I246">
        <v>4122170070.8400002</v>
      </c>
      <c r="J246" t="s">
        <v>415</v>
      </c>
      <c r="K246">
        <v>10342821.648360699</v>
      </c>
      <c r="L246">
        <v>0.75</v>
      </c>
      <c r="M246">
        <v>3091627553.1300001</v>
      </c>
      <c r="N246">
        <v>3207584001.2399998</v>
      </c>
      <c r="O246">
        <v>50204000</v>
      </c>
      <c r="P246">
        <v>5020</v>
      </c>
      <c r="Q246">
        <v>3.4</v>
      </c>
      <c r="S246" t="s">
        <v>424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1.883</v>
      </c>
      <c r="AT246">
        <v>2.14</v>
      </c>
      <c r="AU246" t="s">
        <v>420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2.0114999999999998</v>
      </c>
      <c r="CF246" t="s">
        <v>83</v>
      </c>
      <c r="CG246" t="s">
        <v>1670</v>
      </c>
      <c r="CH246" t="s">
        <v>83</v>
      </c>
      <c r="CI246">
        <v>3.4</v>
      </c>
      <c r="CJ246">
        <v>3.1</v>
      </c>
      <c r="CK246">
        <v>3.25</v>
      </c>
      <c r="CL246">
        <v>0.3</v>
      </c>
      <c r="CM246">
        <v>3.55</v>
      </c>
    </row>
    <row r="247" spans="1:91" x14ac:dyDescent="0.25">
      <c r="A247">
        <v>664</v>
      </c>
      <c r="B247" t="s">
        <v>654</v>
      </c>
      <c r="C247" t="s">
        <v>1053</v>
      </c>
      <c r="D247" t="s">
        <v>1452</v>
      </c>
      <c r="E247" t="s">
        <v>403</v>
      </c>
      <c r="F247">
        <v>161393130</v>
      </c>
      <c r="G247">
        <v>63.529960000000003</v>
      </c>
      <c r="H247" t="s">
        <v>413</v>
      </c>
      <c r="I247">
        <v>10253299093.174801</v>
      </c>
      <c r="J247" t="s">
        <v>416</v>
      </c>
      <c r="K247">
        <v>15425814.2587307</v>
      </c>
      <c r="L247">
        <v>1</v>
      </c>
      <c r="M247">
        <v>10253299093.174801</v>
      </c>
      <c r="N247">
        <v>6339522146.4000006</v>
      </c>
      <c r="O247">
        <v>50205020</v>
      </c>
      <c r="P247">
        <v>5020</v>
      </c>
      <c r="Q247">
        <v>1.77657252050449</v>
      </c>
      <c r="R247">
        <v>3.01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0.01</v>
      </c>
      <c r="AE247">
        <v>0.1</v>
      </c>
      <c r="AF247">
        <v>0</v>
      </c>
      <c r="AG247" t="s">
        <v>1653</v>
      </c>
      <c r="AH247">
        <v>0</v>
      </c>
      <c r="AI247" t="s">
        <v>1655</v>
      </c>
      <c r="AJ247" t="s">
        <v>1653</v>
      </c>
      <c r="AK247" t="s">
        <v>424</v>
      </c>
      <c r="AL247" t="s">
        <v>424</v>
      </c>
      <c r="AM247" t="s">
        <v>424</v>
      </c>
      <c r="AN247" t="s">
        <v>1653</v>
      </c>
      <c r="AO247">
        <v>0.05</v>
      </c>
      <c r="AP247">
        <v>0</v>
      </c>
      <c r="AQ247">
        <v>0</v>
      </c>
      <c r="AR247">
        <v>0</v>
      </c>
      <c r="AS247">
        <v>2.1779999999999999</v>
      </c>
      <c r="AT247">
        <v>3.2970000000000002</v>
      </c>
      <c r="AU247" t="s">
        <v>429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2.7374999999999998</v>
      </c>
      <c r="CG247" t="s">
        <v>1670</v>
      </c>
      <c r="CH247" t="s">
        <v>1712</v>
      </c>
      <c r="CI247">
        <v>1.77657252050449</v>
      </c>
      <c r="CJ247">
        <v>3.01</v>
      </c>
      <c r="CK247">
        <v>2.3932862602522449</v>
      </c>
      <c r="CL247">
        <v>-0.18</v>
      </c>
      <c r="CM247">
        <v>2.2132862602522452</v>
      </c>
    </row>
    <row r="248" spans="1:91" x14ac:dyDescent="0.25">
      <c r="A248">
        <v>665</v>
      </c>
      <c r="B248" t="s">
        <v>129</v>
      </c>
      <c r="C248" t="s">
        <v>229</v>
      </c>
      <c r="D248" t="s">
        <v>329</v>
      </c>
      <c r="E248" t="s">
        <v>404</v>
      </c>
      <c r="F248">
        <v>17803670501</v>
      </c>
      <c r="G248">
        <v>4.5205000000000002</v>
      </c>
      <c r="H248" t="s">
        <v>409</v>
      </c>
      <c r="I248">
        <v>80481492499.770508</v>
      </c>
      <c r="J248" t="s">
        <v>415</v>
      </c>
      <c r="K248">
        <v>260212884.25246701</v>
      </c>
      <c r="L248">
        <v>0.9</v>
      </c>
      <c r="M248">
        <v>72433343249.793457</v>
      </c>
      <c r="N248">
        <v>629395359551.35205</v>
      </c>
      <c r="O248">
        <v>30101010</v>
      </c>
      <c r="P248">
        <v>3010</v>
      </c>
      <c r="Q248">
        <v>1.99846386909479</v>
      </c>
      <c r="R248">
        <v>2.39</v>
      </c>
      <c r="S248" t="s">
        <v>417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2.444</v>
      </c>
      <c r="AT248">
        <v>3.077</v>
      </c>
      <c r="AU248" t="s">
        <v>430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450</v>
      </c>
      <c r="CI248">
        <v>1.99846386909479</v>
      </c>
      <c r="CJ248">
        <v>2.39</v>
      </c>
      <c r="CK248">
        <v>2.1942319345473948</v>
      </c>
      <c r="CL248">
        <v>-0.3</v>
      </c>
      <c r="CM248">
        <v>1.894231934547395</v>
      </c>
    </row>
    <row r="249" spans="1:91" x14ac:dyDescent="0.25">
      <c r="A249">
        <v>666</v>
      </c>
      <c r="B249" t="s">
        <v>655</v>
      </c>
      <c r="C249" t="s">
        <v>1054</v>
      </c>
      <c r="D249" t="s">
        <v>1453</v>
      </c>
      <c r="E249" t="s">
        <v>403</v>
      </c>
      <c r="F249">
        <v>4812778300</v>
      </c>
      <c r="G249">
        <v>3.941154</v>
      </c>
      <c r="H249" t="s">
        <v>413</v>
      </c>
      <c r="I249">
        <v>18967900448.158199</v>
      </c>
      <c r="J249" t="s">
        <v>416</v>
      </c>
      <c r="K249">
        <v>65258978.541418999</v>
      </c>
      <c r="L249">
        <v>0.75</v>
      </c>
      <c r="M249">
        <v>14225925336.11865</v>
      </c>
      <c r="N249">
        <v>141784448718</v>
      </c>
      <c r="O249">
        <v>40501010</v>
      </c>
      <c r="P249">
        <v>4050</v>
      </c>
      <c r="Q249">
        <v>2.65990042857758</v>
      </c>
      <c r="R249">
        <v>1.5</v>
      </c>
      <c r="S249" t="s">
        <v>1648</v>
      </c>
      <c r="T249" t="s">
        <v>422</v>
      </c>
      <c r="U249">
        <v>0</v>
      </c>
      <c r="V249">
        <v>0.01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2.169</v>
      </c>
      <c r="AT249">
        <v>2.4769999999999999</v>
      </c>
      <c r="AU249" t="s">
        <v>427</v>
      </c>
      <c r="AV249">
        <v>1</v>
      </c>
      <c r="AW249">
        <v>0</v>
      </c>
      <c r="AX249" t="s">
        <v>440</v>
      </c>
      <c r="AY249">
        <v>0</v>
      </c>
      <c r="AZ249">
        <v>0</v>
      </c>
      <c r="BA249">
        <v>0</v>
      </c>
      <c r="CE249">
        <v>2.323</v>
      </c>
      <c r="CG249" t="s">
        <v>450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2.3799502142887898</v>
      </c>
    </row>
    <row r="250" spans="1:91" x14ac:dyDescent="0.25">
      <c r="A250">
        <v>670</v>
      </c>
      <c r="B250" t="s">
        <v>656</v>
      </c>
      <c r="C250" t="s">
        <v>1055</v>
      </c>
      <c r="D250" t="s">
        <v>1454</v>
      </c>
      <c r="E250" t="s">
        <v>403</v>
      </c>
      <c r="F250">
        <v>645162300</v>
      </c>
      <c r="G250">
        <v>6.4678449999999996</v>
      </c>
      <c r="H250" t="s">
        <v>413</v>
      </c>
      <c r="I250">
        <v>4172809756.2435002</v>
      </c>
      <c r="J250" t="s">
        <v>416</v>
      </c>
      <c r="K250">
        <v>4694759.4826976797</v>
      </c>
      <c r="L250">
        <v>1</v>
      </c>
      <c r="M250">
        <v>4172809756.2435002</v>
      </c>
      <c r="N250">
        <v>25341975144</v>
      </c>
      <c r="O250">
        <v>30101010</v>
      </c>
      <c r="P250">
        <v>3010</v>
      </c>
      <c r="Q250">
        <v>3.28762148775427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2.0049999999999999</v>
      </c>
      <c r="AT250">
        <v>2.8820000000000001</v>
      </c>
      <c r="AU250" t="s">
        <v>430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2.4434999999999998</v>
      </c>
      <c r="CG250" t="s">
        <v>450</v>
      </c>
      <c r="CI250">
        <v>3.28762148775427</v>
      </c>
      <c r="CJ250">
        <v>3.1</v>
      </c>
      <c r="CK250">
        <v>3.193810743877135</v>
      </c>
      <c r="CL250">
        <v>-0.18</v>
      </c>
      <c r="CM250">
        <v>3.0138107438771349</v>
      </c>
    </row>
    <row r="251" spans="1:91" x14ac:dyDescent="0.25">
      <c r="A251">
        <v>671</v>
      </c>
      <c r="B251" t="s">
        <v>657</v>
      </c>
      <c r="C251" t="s">
        <v>1056</v>
      </c>
      <c r="D251" t="s">
        <v>1455</v>
      </c>
      <c r="E251" t="s">
        <v>395</v>
      </c>
      <c r="F251">
        <v>1821936800</v>
      </c>
      <c r="G251">
        <v>28.96313</v>
      </c>
      <c r="H251" t="s">
        <v>410</v>
      </c>
      <c r="I251">
        <v>52768992390.183998</v>
      </c>
      <c r="J251" t="s">
        <v>416</v>
      </c>
      <c r="K251">
        <v>71973486.503936604</v>
      </c>
      <c r="L251">
        <v>1</v>
      </c>
      <c r="M251">
        <v>52768992390.183998</v>
      </c>
      <c r="N251">
        <v>71565677504</v>
      </c>
      <c r="O251">
        <v>30202000</v>
      </c>
      <c r="P251">
        <v>3020</v>
      </c>
      <c r="Q251">
        <v>3.4</v>
      </c>
      <c r="S251" t="s">
        <v>420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2.5049999999999999</v>
      </c>
      <c r="AT251">
        <v>2.6040000000000001</v>
      </c>
      <c r="AU251" t="s">
        <v>430</v>
      </c>
      <c r="AV251">
        <v>0</v>
      </c>
      <c r="AW251">
        <v>0</v>
      </c>
      <c r="AX251" t="s">
        <v>434</v>
      </c>
      <c r="AY251">
        <v>0</v>
      </c>
      <c r="AZ251">
        <v>0</v>
      </c>
      <c r="BA251">
        <v>0</v>
      </c>
      <c r="CE251">
        <v>2.5545</v>
      </c>
      <c r="CG251" t="s">
        <v>450</v>
      </c>
      <c r="CI251">
        <v>3.4</v>
      </c>
      <c r="CJ251">
        <v>3.1</v>
      </c>
      <c r="CK251">
        <v>3.25</v>
      </c>
      <c r="CL251">
        <v>0</v>
      </c>
      <c r="CM251">
        <v>3.25</v>
      </c>
    </row>
    <row r="252" spans="1:91" x14ac:dyDescent="0.25">
      <c r="A252">
        <v>674</v>
      </c>
      <c r="B252" t="s">
        <v>658</v>
      </c>
      <c r="C252" t="s">
        <v>1057</v>
      </c>
      <c r="D252" t="s">
        <v>1456</v>
      </c>
      <c r="E252" t="s">
        <v>404</v>
      </c>
      <c r="F252">
        <v>931890010</v>
      </c>
      <c r="G252">
        <v>9.4499999999999993</v>
      </c>
      <c r="H252" t="s">
        <v>409</v>
      </c>
      <c r="I252">
        <v>8806360594.5</v>
      </c>
      <c r="J252" t="s">
        <v>415</v>
      </c>
      <c r="K252">
        <v>11490417.005327901</v>
      </c>
      <c r="L252">
        <v>0.35</v>
      </c>
      <c r="M252">
        <v>3082226208.0749998</v>
      </c>
      <c r="N252">
        <v>12811623857.48</v>
      </c>
      <c r="O252">
        <v>15102015</v>
      </c>
      <c r="P252">
        <v>1510</v>
      </c>
      <c r="Q252">
        <v>1.7365132154734799</v>
      </c>
      <c r="S252" t="s">
        <v>417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2.536</v>
      </c>
      <c r="AT252">
        <v>2.9889999999999999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2.7625000000000002</v>
      </c>
      <c r="CG252" t="s">
        <v>450</v>
      </c>
      <c r="CI252">
        <v>1.7365132154734799</v>
      </c>
      <c r="CJ252">
        <v>3.1</v>
      </c>
      <c r="CK252">
        <v>2.41825660773674</v>
      </c>
      <c r="CL252">
        <v>-0.3</v>
      </c>
      <c r="CM252">
        <v>2.1182566077367402</v>
      </c>
    </row>
    <row r="253" spans="1:91" x14ac:dyDescent="0.25">
      <c r="A253">
        <v>675</v>
      </c>
      <c r="B253" t="s">
        <v>659</v>
      </c>
      <c r="C253" t="s">
        <v>1058</v>
      </c>
      <c r="D253" t="s">
        <v>1457</v>
      </c>
      <c r="E253" t="s">
        <v>394</v>
      </c>
      <c r="F253">
        <v>83814526</v>
      </c>
      <c r="G253">
        <v>110.4</v>
      </c>
      <c r="H253" t="s">
        <v>409</v>
      </c>
      <c r="I253">
        <v>9253123670.3999996</v>
      </c>
      <c r="J253" t="s">
        <v>415</v>
      </c>
      <c r="K253">
        <v>7962936.3880952401</v>
      </c>
      <c r="L253">
        <v>0.4</v>
      </c>
      <c r="M253">
        <v>3701249468.1599998</v>
      </c>
      <c r="N253">
        <v>1316893832.5120001</v>
      </c>
      <c r="O253">
        <v>20103015</v>
      </c>
      <c r="P253">
        <v>2010</v>
      </c>
      <c r="Q253">
        <v>1.7993005952380901</v>
      </c>
      <c r="R253">
        <v>2.7</v>
      </c>
      <c r="S253" t="s">
        <v>421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2.6040000000000001</v>
      </c>
      <c r="AT253">
        <v>2.907</v>
      </c>
      <c r="AU253" t="s">
        <v>429</v>
      </c>
      <c r="AV253">
        <v>0</v>
      </c>
      <c r="AW253">
        <v>0</v>
      </c>
      <c r="AX253" t="s">
        <v>433</v>
      </c>
      <c r="AY253">
        <v>0</v>
      </c>
      <c r="AZ253">
        <v>0</v>
      </c>
      <c r="BA253">
        <v>0</v>
      </c>
      <c r="CE253">
        <v>2.7555000000000001</v>
      </c>
      <c r="CG253" t="s">
        <v>450</v>
      </c>
      <c r="CI253">
        <v>1.7993005952380901</v>
      </c>
      <c r="CJ253">
        <v>2.7</v>
      </c>
      <c r="CK253">
        <v>2.2496502976190449</v>
      </c>
      <c r="CL253">
        <v>0.18</v>
      </c>
      <c r="CM253">
        <v>2.4296502976190451</v>
      </c>
    </row>
    <row r="254" spans="1:91" x14ac:dyDescent="0.25">
      <c r="A254">
        <v>679</v>
      </c>
      <c r="B254" t="s">
        <v>660</v>
      </c>
      <c r="C254" t="s">
        <v>1059</v>
      </c>
      <c r="D254" t="s">
        <v>1458</v>
      </c>
      <c r="E254" t="s">
        <v>402</v>
      </c>
      <c r="F254">
        <v>185668230</v>
      </c>
      <c r="G254">
        <v>22.72052</v>
      </c>
      <c r="H254" t="s">
        <v>412</v>
      </c>
      <c r="I254">
        <v>4218478733.0795999</v>
      </c>
      <c r="J254" t="s">
        <v>416</v>
      </c>
      <c r="K254">
        <v>10254797.4187051</v>
      </c>
      <c r="L254">
        <v>0.75</v>
      </c>
      <c r="M254">
        <v>3163859049.8097</v>
      </c>
      <c r="N254">
        <v>5469786055.8000002</v>
      </c>
      <c r="O254">
        <v>50205040</v>
      </c>
      <c r="P254">
        <v>5020</v>
      </c>
      <c r="Q254">
        <v>1.9739305453825799</v>
      </c>
      <c r="R254">
        <v>1.5</v>
      </c>
      <c r="S254" t="s">
        <v>1648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2.1389999999999998</v>
      </c>
      <c r="AT254">
        <v>3.25</v>
      </c>
      <c r="AU254" t="s">
        <v>432</v>
      </c>
      <c r="AV254">
        <v>0</v>
      </c>
      <c r="AW254">
        <v>0</v>
      </c>
      <c r="AX254" t="s">
        <v>441</v>
      </c>
      <c r="AY254">
        <v>0</v>
      </c>
      <c r="AZ254">
        <v>0</v>
      </c>
      <c r="BA254">
        <v>0</v>
      </c>
      <c r="CE254">
        <v>2.6945000000000001</v>
      </c>
      <c r="CG254" t="s">
        <v>450</v>
      </c>
      <c r="CI254">
        <v>1.9739305453825799</v>
      </c>
      <c r="CJ254">
        <v>1.5</v>
      </c>
      <c r="CK254">
        <v>1.7369652726912901</v>
      </c>
      <c r="CL254">
        <v>0.3</v>
      </c>
      <c r="CM254">
        <v>2.0369652726912899</v>
      </c>
    </row>
    <row r="255" spans="1:91" x14ac:dyDescent="0.25">
      <c r="A255">
        <v>681</v>
      </c>
      <c r="B255" t="s">
        <v>661</v>
      </c>
      <c r="C255" t="s">
        <v>1060</v>
      </c>
      <c r="D255" t="s">
        <v>1459</v>
      </c>
      <c r="E255" t="s">
        <v>404</v>
      </c>
      <c r="F255">
        <v>811753913</v>
      </c>
      <c r="G255">
        <v>5.9249999999999998</v>
      </c>
      <c r="H255" t="s">
        <v>409</v>
      </c>
      <c r="I255">
        <v>4809641934.5249996</v>
      </c>
      <c r="J255" t="s">
        <v>415</v>
      </c>
      <c r="K255">
        <v>13776096.4077459</v>
      </c>
      <c r="L255">
        <v>0.60000000000000009</v>
      </c>
      <c r="M255">
        <v>2885785160.7150002</v>
      </c>
      <c r="N255">
        <v>19131416221.584</v>
      </c>
      <c r="O255">
        <v>65102020</v>
      </c>
      <c r="P255">
        <v>6510</v>
      </c>
      <c r="Q255">
        <v>1.6088173845837701</v>
      </c>
      <c r="S255" t="s">
        <v>417</v>
      </c>
      <c r="T255" t="s">
        <v>422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0.55600000000000005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1655</v>
      </c>
      <c r="AO255">
        <v>0</v>
      </c>
      <c r="AP255">
        <v>0</v>
      </c>
      <c r="AQ255">
        <v>0</v>
      </c>
      <c r="AR255">
        <v>0</v>
      </c>
      <c r="AS255">
        <v>2.9279999999999999</v>
      </c>
      <c r="AT255">
        <v>3.4569999999999999</v>
      </c>
      <c r="AU255" t="s">
        <v>421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3.1924999999999999</v>
      </c>
      <c r="CG255" t="s">
        <v>1670</v>
      </c>
      <c r="CH255" t="s">
        <v>1696</v>
      </c>
      <c r="CI255">
        <v>1.6088173845837701</v>
      </c>
      <c r="CJ255">
        <v>3.1</v>
      </c>
      <c r="CK255">
        <v>2.354408692291885</v>
      </c>
      <c r="CL255">
        <v>-0.3</v>
      </c>
      <c r="CM255">
        <v>2.0544086922918852</v>
      </c>
    </row>
    <row r="256" spans="1:91" x14ac:dyDescent="0.25">
      <c r="A256">
        <v>683</v>
      </c>
      <c r="B256" t="s">
        <v>662</v>
      </c>
      <c r="C256" t="s">
        <v>1061</v>
      </c>
      <c r="D256" t="s">
        <v>1460</v>
      </c>
      <c r="E256" t="s">
        <v>403</v>
      </c>
      <c r="F256">
        <v>3753739700</v>
      </c>
      <c r="G256">
        <v>0.90852080000000002</v>
      </c>
      <c r="H256" t="s">
        <v>413</v>
      </c>
      <c r="I256">
        <v>3410350595.2357602</v>
      </c>
      <c r="J256" t="s">
        <v>416</v>
      </c>
      <c r="K256">
        <v>6305475.5199635001</v>
      </c>
      <c r="L256">
        <v>0.85</v>
      </c>
      <c r="M256">
        <v>2898798005.9503961</v>
      </c>
      <c r="N256">
        <v>125329861103.60001</v>
      </c>
      <c r="O256">
        <v>40301035</v>
      </c>
      <c r="P256">
        <v>4030</v>
      </c>
      <c r="Q256">
        <v>1.7477723086694099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2.2410000000000001</v>
      </c>
      <c r="AT256">
        <v>3.4380000000000002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2.8395000000000001</v>
      </c>
      <c r="CG256" t="s">
        <v>450</v>
      </c>
      <c r="CI256">
        <v>1.7477723086694099</v>
      </c>
      <c r="CJ256">
        <v>3.1</v>
      </c>
      <c r="CK256">
        <v>2.423886154334705</v>
      </c>
      <c r="CL256">
        <v>-0.3</v>
      </c>
      <c r="CM256">
        <v>2.1238861543347052</v>
      </c>
    </row>
    <row r="257" spans="1:91" x14ac:dyDescent="0.25">
      <c r="A257">
        <v>687</v>
      </c>
      <c r="B257" t="s">
        <v>663</v>
      </c>
      <c r="C257" t="s">
        <v>1062</v>
      </c>
      <c r="D257" t="s">
        <v>1461</v>
      </c>
      <c r="E257" t="s">
        <v>403</v>
      </c>
      <c r="F257">
        <v>2339151400</v>
      </c>
      <c r="G257">
        <v>3.0537899999999998</v>
      </c>
      <c r="H257" t="s">
        <v>413</v>
      </c>
      <c r="I257">
        <v>7143277153.8059998</v>
      </c>
      <c r="J257" t="s">
        <v>416</v>
      </c>
      <c r="K257">
        <v>17174087.552524298</v>
      </c>
      <c r="L257">
        <v>0.75</v>
      </c>
      <c r="M257">
        <v>5357457865.3544998</v>
      </c>
      <c r="N257">
        <v>68911400244</v>
      </c>
      <c r="O257">
        <v>45201010</v>
      </c>
      <c r="P257">
        <v>4520</v>
      </c>
      <c r="Q257">
        <v>1.7445242895686299</v>
      </c>
      <c r="R257">
        <v>1.5</v>
      </c>
      <c r="S257" t="s">
        <v>417</v>
      </c>
      <c r="T257" t="s">
        <v>422</v>
      </c>
      <c r="U257">
        <v>0</v>
      </c>
      <c r="V257">
        <v>0.01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0.13100000000000001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2.3199999999999998</v>
      </c>
      <c r="AT257">
        <v>2.2850000000000001</v>
      </c>
      <c r="AU257" t="s">
        <v>431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2.3025000000000002</v>
      </c>
      <c r="CG257" t="s">
        <v>1670</v>
      </c>
      <c r="CH257" t="s">
        <v>68</v>
      </c>
      <c r="CI257">
        <v>1.7445242895686299</v>
      </c>
      <c r="CJ257">
        <v>1.5</v>
      </c>
      <c r="CK257">
        <v>1.6222621447843151</v>
      </c>
      <c r="CL257">
        <v>-0.3</v>
      </c>
      <c r="CM257">
        <v>1.322262144784315</v>
      </c>
    </row>
    <row r="258" spans="1:91" x14ac:dyDescent="0.25">
      <c r="A258">
        <v>689</v>
      </c>
      <c r="B258" t="s">
        <v>176</v>
      </c>
      <c r="C258" t="s">
        <v>276</v>
      </c>
      <c r="D258" t="s">
        <v>376</v>
      </c>
      <c r="E258" t="s">
        <v>408</v>
      </c>
      <c r="F258">
        <v>629293220</v>
      </c>
      <c r="G258">
        <v>19.98</v>
      </c>
      <c r="H258" t="s">
        <v>409</v>
      </c>
      <c r="I258">
        <v>12573278535.6</v>
      </c>
      <c r="J258" t="s">
        <v>415</v>
      </c>
      <c r="K258">
        <v>10766081.2461905</v>
      </c>
      <c r="L258">
        <v>0.45</v>
      </c>
      <c r="M258">
        <v>5657975341.0200005</v>
      </c>
      <c r="N258">
        <v>11123386956.719999</v>
      </c>
      <c r="O258">
        <v>45201010</v>
      </c>
      <c r="P258">
        <v>4520</v>
      </c>
      <c r="Q258">
        <v>1.7406384718850201</v>
      </c>
      <c r="R258">
        <v>1.5</v>
      </c>
      <c r="S258" t="s">
        <v>417</v>
      </c>
      <c r="T258" t="s">
        <v>422</v>
      </c>
      <c r="U258">
        <v>0</v>
      </c>
      <c r="V258">
        <v>0.05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2.72</v>
      </c>
      <c r="AT258">
        <v>2.5680000000000001</v>
      </c>
      <c r="AU258" t="s">
        <v>431</v>
      </c>
      <c r="AV258">
        <v>1</v>
      </c>
      <c r="AW258">
        <v>0</v>
      </c>
      <c r="AX258" t="s">
        <v>449</v>
      </c>
      <c r="AY258">
        <v>0</v>
      </c>
      <c r="AZ258">
        <v>0</v>
      </c>
      <c r="BA258">
        <v>0</v>
      </c>
      <c r="CE258">
        <v>2.6440000000000001</v>
      </c>
      <c r="CG258" t="s">
        <v>450</v>
      </c>
      <c r="CI258">
        <v>1.7406384718850201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 x14ac:dyDescent="0.25">
      <c r="A259">
        <v>709</v>
      </c>
      <c r="B259" t="s">
        <v>664</v>
      </c>
      <c r="C259" t="s">
        <v>1063</v>
      </c>
      <c r="D259" t="s">
        <v>1462</v>
      </c>
      <c r="E259" t="s">
        <v>403</v>
      </c>
      <c r="F259">
        <v>167838790</v>
      </c>
      <c r="G259">
        <v>17.68684</v>
      </c>
      <c r="H259" t="s">
        <v>413</v>
      </c>
      <c r="I259">
        <v>2968537824.5236001</v>
      </c>
      <c r="J259" t="s">
        <v>416</v>
      </c>
      <c r="K259">
        <v>8225014.00858921</v>
      </c>
      <c r="L259">
        <v>1</v>
      </c>
      <c r="M259">
        <v>2968537824.5236001</v>
      </c>
      <c r="N259">
        <v>6592707671.1999998</v>
      </c>
      <c r="O259">
        <v>55201000</v>
      </c>
      <c r="P259">
        <v>5520</v>
      </c>
      <c r="Q259">
        <v>1.73305897789486</v>
      </c>
      <c r="R259">
        <v>1.5</v>
      </c>
      <c r="S259" t="s">
        <v>419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4.2000000000000003E-2</v>
      </c>
      <c r="AF259">
        <v>0</v>
      </c>
      <c r="AG259" t="s">
        <v>1653</v>
      </c>
      <c r="AH259">
        <v>0</v>
      </c>
      <c r="AI259" t="s">
        <v>1655</v>
      </c>
      <c r="AJ259" t="s">
        <v>1653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2.2690000000000001</v>
      </c>
      <c r="AT259">
        <v>3.129</v>
      </c>
      <c r="AU259" t="s">
        <v>420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2.6989999999999998</v>
      </c>
      <c r="CG259" t="s">
        <v>1670</v>
      </c>
      <c r="CH259" t="s">
        <v>1713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 x14ac:dyDescent="0.25">
      <c r="A260">
        <v>712</v>
      </c>
      <c r="B260" t="s">
        <v>139</v>
      </c>
      <c r="C260" t="s">
        <v>239</v>
      </c>
      <c r="D260" t="s">
        <v>339</v>
      </c>
      <c r="E260" t="s">
        <v>406</v>
      </c>
      <c r="F260">
        <v>206001790</v>
      </c>
      <c r="G260">
        <v>62.627630000000003</v>
      </c>
      <c r="H260" t="s">
        <v>414</v>
      </c>
      <c r="I260">
        <v>12901403883.457701</v>
      </c>
      <c r="J260" t="s">
        <v>416</v>
      </c>
      <c r="K260">
        <v>34741508.719351202</v>
      </c>
      <c r="L260">
        <v>1</v>
      </c>
      <c r="M260">
        <v>12901403883.457701</v>
      </c>
      <c r="N260">
        <v>8091750311.1999998</v>
      </c>
      <c r="O260">
        <v>30202010</v>
      </c>
      <c r="P260">
        <v>3020</v>
      </c>
      <c r="Q260">
        <v>1.9981674720073901</v>
      </c>
      <c r="R260">
        <v>2.7</v>
      </c>
      <c r="S260" t="s">
        <v>418</v>
      </c>
      <c r="T260" t="s">
        <v>422</v>
      </c>
      <c r="U260">
        <v>0</v>
      </c>
      <c r="V260">
        <v>0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D260">
        <v>0</v>
      </c>
      <c r="AE260">
        <v>0</v>
      </c>
      <c r="AF260">
        <v>0</v>
      </c>
      <c r="AH260">
        <v>0</v>
      </c>
      <c r="AI260" t="s">
        <v>424</v>
      </c>
      <c r="AK260" t="s">
        <v>424</v>
      </c>
      <c r="AL260" t="s">
        <v>424</v>
      </c>
      <c r="AM260" t="s">
        <v>424</v>
      </c>
      <c r="AO260">
        <v>0</v>
      </c>
      <c r="AP260">
        <v>0</v>
      </c>
      <c r="AQ260">
        <v>0</v>
      </c>
      <c r="AR260">
        <v>0</v>
      </c>
      <c r="AS260">
        <v>2.1840000000000002</v>
      </c>
      <c r="AT260">
        <v>2.6669999999999998</v>
      </c>
      <c r="AU260" t="s">
        <v>430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E260">
        <v>2.4255</v>
      </c>
      <c r="CG260" t="s">
        <v>450</v>
      </c>
      <c r="CI260">
        <v>1.9981674720073901</v>
      </c>
      <c r="CJ260">
        <v>2.7</v>
      </c>
      <c r="CK260">
        <v>2.3490837360036951</v>
      </c>
      <c r="CL260">
        <v>-0.18</v>
      </c>
      <c r="CM260">
        <v>2.169083736003695</v>
      </c>
    </row>
    <row r="261" spans="1:91" x14ac:dyDescent="0.25">
      <c r="A261">
        <v>714</v>
      </c>
      <c r="B261" t="s">
        <v>665</v>
      </c>
      <c r="C261" t="s">
        <v>1064</v>
      </c>
      <c r="D261" t="s">
        <v>1463</v>
      </c>
      <c r="E261" t="s">
        <v>402</v>
      </c>
      <c r="F261">
        <v>64272095</v>
      </c>
      <c r="G261">
        <v>73.523319999999998</v>
      </c>
      <c r="H261" t="s">
        <v>412</v>
      </c>
      <c r="I261">
        <v>4725497807.7553997</v>
      </c>
      <c r="J261" t="s">
        <v>416</v>
      </c>
      <c r="K261">
        <v>7679046.3637891002</v>
      </c>
      <c r="L261">
        <v>0.7</v>
      </c>
      <c r="M261">
        <v>3307848465.4287801</v>
      </c>
      <c r="N261">
        <v>1767225524.1199999</v>
      </c>
      <c r="O261">
        <v>30101010</v>
      </c>
      <c r="P261">
        <v>3010</v>
      </c>
      <c r="Q261">
        <v>3.4</v>
      </c>
      <c r="S261" t="s">
        <v>418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2.3170000000000002</v>
      </c>
      <c r="AT261">
        <v>2.5019999999999998</v>
      </c>
      <c r="AU261" t="s">
        <v>430</v>
      </c>
      <c r="AV261">
        <v>0</v>
      </c>
      <c r="AW261">
        <v>0</v>
      </c>
      <c r="AX261" t="s">
        <v>441</v>
      </c>
      <c r="AY261">
        <v>0</v>
      </c>
      <c r="AZ261">
        <v>0</v>
      </c>
      <c r="BA261">
        <v>0</v>
      </c>
      <c r="CE261">
        <v>2.4095</v>
      </c>
      <c r="CG261" t="s">
        <v>450</v>
      </c>
      <c r="CI261">
        <v>3.4</v>
      </c>
      <c r="CJ261">
        <v>3.1</v>
      </c>
      <c r="CK261">
        <v>3.25</v>
      </c>
      <c r="CL261">
        <v>-0.18</v>
      </c>
      <c r="CM261">
        <v>3.07</v>
      </c>
    </row>
    <row r="262" spans="1:91" x14ac:dyDescent="0.25">
      <c r="A262">
        <v>723</v>
      </c>
      <c r="B262" t="s">
        <v>130</v>
      </c>
      <c r="C262" t="s">
        <v>230</v>
      </c>
      <c r="D262" t="s">
        <v>330</v>
      </c>
      <c r="E262" t="s">
        <v>407</v>
      </c>
      <c r="F262">
        <v>417544151</v>
      </c>
      <c r="G262">
        <v>81.3</v>
      </c>
      <c r="H262" t="s">
        <v>409</v>
      </c>
      <c r="I262">
        <v>33946339476.299999</v>
      </c>
      <c r="J262" t="s">
        <v>415</v>
      </c>
      <c r="K262">
        <v>34500356.415872999</v>
      </c>
      <c r="L262">
        <v>0.55000000000000004</v>
      </c>
      <c r="M262">
        <v>18670486711.965</v>
      </c>
      <c r="N262">
        <v>9020623838.2040005</v>
      </c>
      <c r="O262">
        <v>30101010</v>
      </c>
      <c r="P262">
        <v>3010</v>
      </c>
      <c r="Q262">
        <v>2.89333333333333</v>
      </c>
      <c r="R262">
        <v>1.5</v>
      </c>
      <c r="S262" t="s">
        <v>417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2.3780000000000001</v>
      </c>
      <c r="AT262">
        <v>2.879</v>
      </c>
      <c r="AU262" t="s">
        <v>430</v>
      </c>
      <c r="AV262">
        <v>0</v>
      </c>
      <c r="AW262">
        <v>0</v>
      </c>
      <c r="AX262" t="s">
        <v>447</v>
      </c>
      <c r="AY262">
        <v>0</v>
      </c>
      <c r="AZ262">
        <v>0</v>
      </c>
      <c r="BA262">
        <v>0</v>
      </c>
      <c r="CE262">
        <v>2.6284999999999998</v>
      </c>
      <c r="CG262" t="s">
        <v>450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1.8966666666666649</v>
      </c>
    </row>
    <row r="263" spans="1:91" x14ac:dyDescent="0.25">
      <c r="A263">
        <v>735</v>
      </c>
      <c r="B263" t="s">
        <v>666</v>
      </c>
      <c r="C263" t="s">
        <v>1065</v>
      </c>
      <c r="D263" t="s">
        <v>1464</v>
      </c>
      <c r="E263" t="s">
        <v>394</v>
      </c>
      <c r="F263">
        <v>123420778</v>
      </c>
      <c r="G263">
        <v>277</v>
      </c>
      <c r="H263" t="s">
        <v>409</v>
      </c>
      <c r="I263">
        <v>34187555506</v>
      </c>
      <c r="J263" t="s">
        <v>415</v>
      </c>
      <c r="K263">
        <v>85092435.447222307</v>
      </c>
      <c r="L263">
        <v>0.60000000000000009</v>
      </c>
      <c r="M263">
        <v>20512533303.599998</v>
      </c>
      <c r="N263">
        <v>2908780895.9040012</v>
      </c>
      <c r="O263">
        <v>40204020</v>
      </c>
      <c r="P263">
        <v>4020</v>
      </c>
      <c r="Q263">
        <v>1.60764714650494</v>
      </c>
      <c r="S263" t="s">
        <v>417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2.6339999999999999</v>
      </c>
      <c r="AT263">
        <v>2.996</v>
      </c>
      <c r="AU263" t="s">
        <v>420</v>
      </c>
      <c r="AV263">
        <v>1</v>
      </c>
      <c r="AW263">
        <v>0</v>
      </c>
      <c r="AX263" t="s">
        <v>433</v>
      </c>
      <c r="AY263">
        <v>0</v>
      </c>
      <c r="AZ263">
        <v>0</v>
      </c>
      <c r="BA263">
        <v>0</v>
      </c>
      <c r="CE263">
        <v>2.8149999999999999</v>
      </c>
      <c r="CG263" t="s">
        <v>450</v>
      </c>
      <c r="CI263">
        <v>1.60764714650494</v>
      </c>
      <c r="CJ263">
        <v>3.1</v>
      </c>
      <c r="CK263">
        <v>2.3538235732524702</v>
      </c>
      <c r="CL263">
        <v>-0.3</v>
      </c>
      <c r="CM263">
        <v>2.0538235732524699</v>
      </c>
    </row>
    <row r="264" spans="1:91" x14ac:dyDescent="0.25">
      <c r="A264">
        <v>736</v>
      </c>
      <c r="B264" t="s">
        <v>667</v>
      </c>
      <c r="C264" t="s">
        <v>1066</v>
      </c>
      <c r="D264" t="s">
        <v>1465</v>
      </c>
      <c r="E264" t="s">
        <v>397</v>
      </c>
      <c r="F264">
        <v>165853264</v>
      </c>
      <c r="G264">
        <v>97.6</v>
      </c>
      <c r="H264" t="s">
        <v>409</v>
      </c>
      <c r="I264">
        <v>16187278566.4</v>
      </c>
      <c r="J264" t="s">
        <v>415</v>
      </c>
      <c r="K264">
        <v>28414003.9194762</v>
      </c>
      <c r="L264">
        <v>1</v>
      </c>
      <c r="M264">
        <v>16187278566.4</v>
      </c>
      <c r="N264">
        <v>6514716209.9200001</v>
      </c>
      <c r="O264">
        <v>45102020</v>
      </c>
      <c r="P264">
        <v>4510</v>
      </c>
      <c r="Q264">
        <v>1.9767564236756201</v>
      </c>
      <c r="R264">
        <v>2.39</v>
      </c>
      <c r="S264" t="s">
        <v>419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2.2200000000000002</v>
      </c>
      <c r="AT264">
        <v>2.976</v>
      </c>
      <c r="AU264" t="s">
        <v>420</v>
      </c>
      <c r="AV264">
        <v>1</v>
      </c>
      <c r="AW264">
        <v>0</v>
      </c>
      <c r="AX264" t="s">
        <v>436</v>
      </c>
      <c r="AY264">
        <v>0</v>
      </c>
      <c r="AZ264">
        <v>0</v>
      </c>
      <c r="BA264">
        <v>0</v>
      </c>
      <c r="CE264">
        <v>2.5979999999999999</v>
      </c>
      <c r="CG264" t="s">
        <v>450</v>
      </c>
      <c r="CI264">
        <v>1.9767564236756201</v>
      </c>
      <c r="CJ264">
        <v>2.39</v>
      </c>
      <c r="CK264">
        <v>2.1833782118378098</v>
      </c>
      <c r="CL264">
        <v>-0.24</v>
      </c>
      <c r="CM264">
        <v>1.94337821183781</v>
      </c>
    </row>
    <row r="265" spans="1:91" x14ac:dyDescent="0.25">
      <c r="A265">
        <v>737</v>
      </c>
      <c r="B265" t="s">
        <v>668</v>
      </c>
      <c r="C265" t="s">
        <v>1067</v>
      </c>
      <c r="D265" t="s">
        <v>1466</v>
      </c>
      <c r="E265" t="s">
        <v>399</v>
      </c>
      <c r="F265">
        <v>273130980</v>
      </c>
      <c r="G265">
        <v>18.074999999999999</v>
      </c>
      <c r="H265" t="s">
        <v>409</v>
      </c>
      <c r="I265">
        <v>4936842463.5</v>
      </c>
      <c r="J265" t="s">
        <v>415</v>
      </c>
      <c r="K265">
        <v>9540190.1735593192</v>
      </c>
      <c r="L265">
        <v>1</v>
      </c>
      <c r="M265">
        <v>4936842463.5</v>
      </c>
      <c r="N265">
        <v>10728584894.4</v>
      </c>
      <c r="O265">
        <v>45201010</v>
      </c>
      <c r="P265">
        <v>4520</v>
      </c>
      <c r="Q265">
        <v>1.99651884012667</v>
      </c>
      <c r="R265">
        <v>2.39</v>
      </c>
      <c r="S265" t="s">
        <v>418</v>
      </c>
      <c r="T265" t="s">
        <v>422</v>
      </c>
      <c r="U265">
        <v>0</v>
      </c>
      <c r="V265">
        <v>0.05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2.5169999999999999</v>
      </c>
      <c r="AT265">
        <v>3.0339999999999998</v>
      </c>
      <c r="AU265" t="s">
        <v>431</v>
      </c>
      <c r="AV265">
        <v>1</v>
      </c>
      <c r="AW265">
        <v>0</v>
      </c>
      <c r="AX265" t="s">
        <v>438</v>
      </c>
      <c r="AY265">
        <v>0</v>
      </c>
      <c r="AZ265">
        <v>0</v>
      </c>
      <c r="BA265">
        <v>0</v>
      </c>
      <c r="CE265">
        <v>2.7755000000000001</v>
      </c>
      <c r="CG265" t="s">
        <v>450</v>
      </c>
      <c r="CI265">
        <v>1.99651884012667</v>
      </c>
      <c r="CJ265">
        <v>2.39</v>
      </c>
      <c r="CK265">
        <v>2.1932594200633351</v>
      </c>
      <c r="CL265">
        <v>-0.18</v>
      </c>
      <c r="CM265">
        <v>2.0132594200633349</v>
      </c>
    </row>
    <row r="266" spans="1:91" x14ac:dyDescent="0.25">
      <c r="A266">
        <v>747</v>
      </c>
      <c r="B266" t="s">
        <v>165</v>
      </c>
      <c r="C266" t="s">
        <v>265</v>
      </c>
      <c r="D266" t="s">
        <v>365</v>
      </c>
      <c r="E266" t="s">
        <v>403</v>
      </c>
      <c r="F266">
        <v>1788668100</v>
      </c>
      <c r="G266">
        <v>2.9667460000000001</v>
      </c>
      <c r="H266" t="s">
        <v>413</v>
      </c>
      <c r="I266">
        <v>5306523931.0025997</v>
      </c>
      <c r="J266" t="s">
        <v>416</v>
      </c>
      <c r="K266">
        <v>14671962.5543341</v>
      </c>
      <c r="L266">
        <v>0.85</v>
      </c>
      <c r="M266">
        <v>4510545341.35221</v>
      </c>
      <c r="N266">
        <v>59720050522.800003</v>
      </c>
      <c r="O266">
        <v>40401025</v>
      </c>
      <c r="P266">
        <v>4040</v>
      </c>
      <c r="Q266">
        <v>1.99679915892727</v>
      </c>
      <c r="R266">
        <v>1.5</v>
      </c>
      <c r="S266" t="s">
        <v>419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2.3319999999999999</v>
      </c>
      <c r="AT266">
        <v>3.3580000000000001</v>
      </c>
      <c r="AU266" t="s">
        <v>431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2.8450000000000002</v>
      </c>
      <c r="CG266" t="s">
        <v>450</v>
      </c>
      <c r="CI266">
        <v>1.99679915892727</v>
      </c>
      <c r="CJ266">
        <v>1.5</v>
      </c>
      <c r="CK266">
        <v>1.7483995794636349</v>
      </c>
      <c r="CL266">
        <v>-0.24</v>
      </c>
      <c r="CM266">
        <v>1.5083995794636349</v>
      </c>
    </row>
    <row r="267" spans="1:91" x14ac:dyDescent="0.25">
      <c r="A267">
        <v>748</v>
      </c>
      <c r="B267" t="s">
        <v>98</v>
      </c>
      <c r="C267" t="s">
        <v>198</v>
      </c>
      <c r="D267" t="s">
        <v>298</v>
      </c>
      <c r="E267" t="s">
        <v>397</v>
      </c>
      <c r="F267">
        <v>181964859</v>
      </c>
      <c r="G267">
        <v>75.5</v>
      </c>
      <c r="H267" t="s">
        <v>409</v>
      </c>
      <c r="I267">
        <v>13738346854.5</v>
      </c>
      <c r="J267" t="s">
        <v>415</v>
      </c>
      <c r="K267">
        <v>27712783.5906079</v>
      </c>
      <c r="L267">
        <v>0.85000000000000009</v>
      </c>
      <c r="M267">
        <v>11677594826.325001</v>
      </c>
      <c r="N267">
        <v>6075442712.2920008</v>
      </c>
      <c r="O267">
        <v>50101035</v>
      </c>
      <c r="P267">
        <v>5010</v>
      </c>
      <c r="Q267">
        <v>1.9783311772679499</v>
      </c>
      <c r="R267">
        <v>3.1</v>
      </c>
      <c r="S267" t="s">
        <v>417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2.1080000000000001</v>
      </c>
      <c r="AT267">
        <v>2.617</v>
      </c>
      <c r="AU267" t="s">
        <v>420</v>
      </c>
      <c r="AV267">
        <v>1</v>
      </c>
      <c r="AW267">
        <v>1</v>
      </c>
      <c r="AX267" t="s">
        <v>436</v>
      </c>
      <c r="AY267">
        <v>0</v>
      </c>
      <c r="AZ267">
        <v>0</v>
      </c>
      <c r="BA267">
        <v>0</v>
      </c>
      <c r="CE267">
        <v>2.3624999999999998</v>
      </c>
      <c r="CG267" t="s">
        <v>450</v>
      </c>
      <c r="CI267">
        <v>1.9783311772679499</v>
      </c>
      <c r="CJ267">
        <v>3.1</v>
      </c>
      <c r="CK267">
        <v>2.539165588633975</v>
      </c>
      <c r="CL267">
        <v>-0.3</v>
      </c>
      <c r="CM267">
        <v>2.2391655886339752</v>
      </c>
    </row>
    <row r="268" spans="1:91" x14ac:dyDescent="0.25">
      <c r="A268">
        <v>754</v>
      </c>
      <c r="B268" t="s">
        <v>669</v>
      </c>
      <c r="C268" t="s">
        <v>1068</v>
      </c>
      <c r="D268" t="s">
        <v>1467</v>
      </c>
      <c r="E268" t="s">
        <v>394</v>
      </c>
      <c r="F268">
        <v>286861172</v>
      </c>
      <c r="G268">
        <v>30.28</v>
      </c>
      <c r="H268" t="s">
        <v>409</v>
      </c>
      <c r="I268">
        <v>8686156288.1599998</v>
      </c>
      <c r="J268" t="s">
        <v>415</v>
      </c>
      <c r="K268">
        <v>17079656.9850794</v>
      </c>
      <c r="L268">
        <v>0.75</v>
      </c>
      <c r="M268">
        <v>6514617216.1199999</v>
      </c>
      <c r="N268">
        <v>8450930127.1199999</v>
      </c>
      <c r="O268">
        <v>35102045</v>
      </c>
      <c r="P268">
        <v>3510</v>
      </c>
      <c r="Q268">
        <v>1.99471520451756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2.2109999999999999</v>
      </c>
      <c r="AT268">
        <v>2.3570000000000002</v>
      </c>
      <c r="AU268" t="s">
        <v>425</v>
      </c>
      <c r="AV268">
        <v>1</v>
      </c>
      <c r="AW268">
        <v>0</v>
      </c>
      <c r="AX268" t="s">
        <v>433</v>
      </c>
      <c r="AY268">
        <v>0</v>
      </c>
      <c r="AZ268">
        <v>0</v>
      </c>
      <c r="BA268">
        <v>0</v>
      </c>
      <c r="CE268">
        <v>2.2839999999999998</v>
      </c>
      <c r="CG268" t="s">
        <v>450</v>
      </c>
      <c r="CI268">
        <v>1.99471520451756</v>
      </c>
      <c r="CJ268">
        <v>3.1</v>
      </c>
      <c r="CK268">
        <v>2.5473576022587801</v>
      </c>
      <c r="CL268">
        <v>-0.3</v>
      </c>
      <c r="CM268">
        <v>2.2473576022587798</v>
      </c>
    </row>
    <row r="269" spans="1:91" x14ac:dyDescent="0.25">
      <c r="A269">
        <v>755</v>
      </c>
      <c r="B269" t="s">
        <v>99</v>
      </c>
      <c r="C269" t="s">
        <v>199</v>
      </c>
      <c r="D269" t="s">
        <v>299</v>
      </c>
      <c r="E269" t="s">
        <v>398</v>
      </c>
      <c r="F269">
        <v>161200000</v>
      </c>
      <c r="G269">
        <v>82.2</v>
      </c>
      <c r="H269" t="s">
        <v>409</v>
      </c>
      <c r="I269">
        <v>13250640000</v>
      </c>
      <c r="J269" t="s">
        <v>415</v>
      </c>
      <c r="K269">
        <v>9423306.8155737706</v>
      </c>
      <c r="L269">
        <v>0.4</v>
      </c>
      <c r="M269">
        <v>5300256000</v>
      </c>
      <c r="N269">
        <v>2532774400</v>
      </c>
      <c r="O269">
        <v>50206025</v>
      </c>
      <c r="P269">
        <v>5020</v>
      </c>
      <c r="Q269">
        <v>1.9989891691281201</v>
      </c>
      <c r="S269" t="s">
        <v>419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2.78</v>
      </c>
      <c r="AT269">
        <v>2.8879999999999999</v>
      </c>
      <c r="AU269" t="s">
        <v>420</v>
      </c>
      <c r="AV269">
        <v>1</v>
      </c>
      <c r="AW269">
        <v>1</v>
      </c>
      <c r="AX269" t="s">
        <v>437</v>
      </c>
      <c r="AY269">
        <v>0</v>
      </c>
      <c r="AZ269">
        <v>0</v>
      </c>
      <c r="BA269">
        <v>0</v>
      </c>
      <c r="CE269">
        <v>2.8340000000000001</v>
      </c>
      <c r="CG269" t="s">
        <v>450</v>
      </c>
      <c r="CI269">
        <v>1.9989891691281201</v>
      </c>
      <c r="CJ269">
        <v>3.1</v>
      </c>
      <c r="CK269">
        <v>2.54949458456406</v>
      </c>
      <c r="CL269">
        <v>-0.24</v>
      </c>
      <c r="CM269">
        <v>2.3094945845640602</v>
      </c>
    </row>
    <row r="270" spans="1:91" x14ac:dyDescent="0.25">
      <c r="A270">
        <v>762</v>
      </c>
      <c r="B270" t="s">
        <v>185</v>
      </c>
      <c r="C270" t="s">
        <v>285</v>
      </c>
      <c r="D270" t="s">
        <v>385</v>
      </c>
      <c r="E270" t="s">
        <v>399</v>
      </c>
      <c r="F270">
        <v>453187130</v>
      </c>
      <c r="G270">
        <v>55.22</v>
      </c>
      <c r="H270" t="s">
        <v>409</v>
      </c>
      <c r="I270">
        <v>25024993318.599998</v>
      </c>
      <c r="J270" t="s">
        <v>415</v>
      </c>
      <c r="K270">
        <v>26322525.057796601</v>
      </c>
      <c r="L270">
        <v>0.85</v>
      </c>
      <c r="M270">
        <v>21271244320.810001</v>
      </c>
      <c r="N270">
        <v>15131011896.440001</v>
      </c>
      <c r="O270">
        <v>50204000</v>
      </c>
      <c r="P270">
        <v>5020</v>
      </c>
      <c r="Q270">
        <v>1.9953067049789499</v>
      </c>
      <c r="R270">
        <v>2.08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</v>
      </c>
      <c r="AT270">
        <v>2.8839999999999999</v>
      </c>
      <c r="AU270" t="s">
        <v>420</v>
      </c>
      <c r="AV270">
        <v>1</v>
      </c>
      <c r="AW270">
        <v>0</v>
      </c>
      <c r="AX270" t="s">
        <v>438</v>
      </c>
      <c r="AY270">
        <v>0</v>
      </c>
      <c r="AZ270">
        <v>0</v>
      </c>
      <c r="BA270">
        <v>0</v>
      </c>
      <c r="CE270">
        <v>2.742</v>
      </c>
      <c r="CG270" t="s">
        <v>450</v>
      </c>
      <c r="CI270">
        <v>1.9953067049789499</v>
      </c>
      <c r="CJ270">
        <v>2.08</v>
      </c>
      <c r="CK270">
        <v>2.0376533524894751</v>
      </c>
      <c r="CL270">
        <v>-0.3</v>
      </c>
      <c r="CM270">
        <v>1.7376533524894751</v>
      </c>
    </row>
    <row r="271" spans="1:91" x14ac:dyDescent="0.25">
      <c r="A271">
        <v>763</v>
      </c>
      <c r="B271" t="s">
        <v>670</v>
      </c>
      <c r="C271" t="s">
        <v>1069</v>
      </c>
      <c r="D271" t="s">
        <v>1468</v>
      </c>
      <c r="E271" t="s">
        <v>399</v>
      </c>
      <c r="F271">
        <v>79221900</v>
      </c>
      <c r="G271">
        <v>69.900000000000006</v>
      </c>
      <c r="H271" t="s">
        <v>409</v>
      </c>
      <c r="I271">
        <v>5537610810</v>
      </c>
      <c r="J271" t="s">
        <v>415</v>
      </c>
      <c r="K271">
        <v>6635281.1484745797</v>
      </c>
      <c r="L271">
        <v>1</v>
      </c>
      <c r="M271">
        <v>5537610810</v>
      </c>
      <c r="N271">
        <v>3111836232</v>
      </c>
      <c r="O271">
        <v>50206015</v>
      </c>
      <c r="P271">
        <v>5020</v>
      </c>
      <c r="Q271">
        <v>1.9954195871237099</v>
      </c>
      <c r="R271">
        <v>3.1</v>
      </c>
      <c r="S271" t="s">
        <v>417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N271" t="s">
        <v>1653</v>
      </c>
      <c r="AO271">
        <v>0.05</v>
      </c>
      <c r="AP271">
        <v>0</v>
      </c>
      <c r="AQ271">
        <v>0</v>
      </c>
      <c r="AR271">
        <v>0</v>
      </c>
      <c r="AS271">
        <v>2.7090000000000001</v>
      </c>
      <c r="AT271">
        <v>3.2069999999999999</v>
      </c>
      <c r="AU271" t="s">
        <v>420</v>
      </c>
      <c r="AV271">
        <v>1</v>
      </c>
      <c r="AW271">
        <v>0</v>
      </c>
      <c r="AX271" t="s">
        <v>438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2.9580000000000002</v>
      </c>
      <c r="CG271" t="s">
        <v>1670</v>
      </c>
      <c r="CH271" t="s">
        <v>1714</v>
      </c>
      <c r="CI271">
        <v>1.9954195871237099</v>
      </c>
      <c r="CJ271">
        <v>3.1</v>
      </c>
      <c r="CK271">
        <v>2.5477097935618551</v>
      </c>
      <c r="CL271">
        <v>-0.3</v>
      </c>
      <c r="CM271">
        <v>2.2477097935618549</v>
      </c>
    </row>
    <row r="272" spans="1:91" x14ac:dyDescent="0.25">
      <c r="A272">
        <v>764</v>
      </c>
      <c r="B272" t="s">
        <v>671</v>
      </c>
      <c r="C272" t="s">
        <v>1070</v>
      </c>
      <c r="D272" t="s">
        <v>1469</v>
      </c>
      <c r="E272" t="s">
        <v>400</v>
      </c>
      <c r="F272">
        <v>175921849</v>
      </c>
      <c r="G272">
        <v>114.9764</v>
      </c>
      <c r="H272" t="s">
        <v>411</v>
      </c>
      <c r="I272">
        <v>20226860879.363602</v>
      </c>
      <c r="J272" t="s">
        <v>416</v>
      </c>
      <c r="K272">
        <v>28936680.7306685</v>
      </c>
      <c r="L272">
        <v>0.5</v>
      </c>
      <c r="M272">
        <v>10113430439.681801</v>
      </c>
      <c r="N272">
        <v>3455105114.3600001</v>
      </c>
      <c r="O272">
        <v>50203000</v>
      </c>
      <c r="P272">
        <v>5020</v>
      </c>
      <c r="Q272">
        <v>1.99755836315635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1651</v>
      </c>
      <c r="AA272" t="s">
        <v>422</v>
      </c>
      <c r="AB272" t="s">
        <v>422</v>
      </c>
      <c r="AC272" t="s">
        <v>422</v>
      </c>
      <c r="AD272">
        <v>0</v>
      </c>
      <c r="AE272">
        <v>0.5</v>
      </c>
      <c r="AF272">
        <v>0</v>
      </c>
      <c r="AH272">
        <v>0</v>
      </c>
      <c r="AI272" t="s">
        <v>1655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0.01</v>
      </c>
      <c r="AR272">
        <v>0</v>
      </c>
      <c r="AS272">
        <v>2.1880000000000002</v>
      </c>
      <c r="AT272">
        <v>3.2759999999999998</v>
      </c>
      <c r="AU272" t="s">
        <v>420</v>
      </c>
      <c r="AV272">
        <v>1</v>
      </c>
      <c r="AW272">
        <v>0</v>
      </c>
      <c r="AX272" t="s">
        <v>439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2.7320000000000002</v>
      </c>
      <c r="CG272" t="s">
        <v>1670</v>
      </c>
      <c r="CH272" t="s">
        <v>1715</v>
      </c>
      <c r="CI272">
        <v>1.99755836315635</v>
      </c>
      <c r="CJ272">
        <v>3.1</v>
      </c>
      <c r="CK272">
        <v>2.5487791815781748</v>
      </c>
      <c r="CL272">
        <v>-0.24</v>
      </c>
      <c r="CM272">
        <v>2.3087791815781751</v>
      </c>
    </row>
    <row r="273" spans="1:91" x14ac:dyDescent="0.25">
      <c r="A273">
        <v>765</v>
      </c>
      <c r="B273" t="s">
        <v>672</v>
      </c>
      <c r="C273" t="s">
        <v>1071</v>
      </c>
      <c r="D273" t="s">
        <v>1470</v>
      </c>
      <c r="E273" t="s">
        <v>396</v>
      </c>
      <c r="F273">
        <v>3888930422</v>
      </c>
      <c r="G273">
        <v>3.5070000000000001</v>
      </c>
      <c r="H273" t="s">
        <v>409</v>
      </c>
      <c r="I273">
        <v>13638478989.954</v>
      </c>
      <c r="J273" t="s">
        <v>415</v>
      </c>
      <c r="K273">
        <v>26549992.430079401</v>
      </c>
      <c r="L273">
        <v>1</v>
      </c>
      <c r="M273">
        <v>13638478989.954</v>
      </c>
      <c r="N273">
        <v>152757186976.16</v>
      </c>
      <c r="O273">
        <v>15102015</v>
      </c>
      <c r="P273">
        <v>1510</v>
      </c>
      <c r="Q273">
        <v>1.67081002557398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2.4009999999999998</v>
      </c>
      <c r="AT273">
        <v>3.0750000000000002</v>
      </c>
      <c r="AU273" t="s">
        <v>426</v>
      </c>
      <c r="AV273">
        <v>0</v>
      </c>
      <c r="AW273">
        <v>0</v>
      </c>
      <c r="AX273" t="s">
        <v>445</v>
      </c>
      <c r="AY273">
        <v>0</v>
      </c>
      <c r="AZ273">
        <v>0</v>
      </c>
      <c r="BA273">
        <v>0</v>
      </c>
      <c r="CE273">
        <v>2.738</v>
      </c>
      <c r="CG273" t="s">
        <v>450</v>
      </c>
      <c r="CI273">
        <v>1.67081002557398</v>
      </c>
      <c r="CJ273">
        <v>3.1</v>
      </c>
      <c r="CK273">
        <v>2.3854050127869901</v>
      </c>
      <c r="CL273">
        <v>-0.3</v>
      </c>
      <c r="CM273">
        <v>2.0854050127869899</v>
      </c>
    </row>
    <row r="274" spans="1:91" x14ac:dyDescent="0.25">
      <c r="A274">
        <v>769</v>
      </c>
      <c r="B274" t="s">
        <v>673</v>
      </c>
      <c r="C274" t="s">
        <v>1072</v>
      </c>
      <c r="D274" t="s">
        <v>1471</v>
      </c>
      <c r="E274" t="s">
        <v>406</v>
      </c>
      <c r="F274">
        <v>120753784</v>
      </c>
      <c r="G274">
        <v>227.7561</v>
      </c>
      <c r="H274" t="s">
        <v>414</v>
      </c>
      <c r="I274">
        <v>27502410904.082401</v>
      </c>
      <c r="J274" t="s">
        <v>416</v>
      </c>
      <c r="K274">
        <v>39486005.994205497</v>
      </c>
      <c r="L274">
        <v>0.45</v>
      </c>
      <c r="M274">
        <v>12376084906.83708</v>
      </c>
      <c r="N274">
        <v>2134443885.984</v>
      </c>
      <c r="O274">
        <v>50206030</v>
      </c>
      <c r="P274">
        <v>5020</v>
      </c>
      <c r="Q274">
        <v>1.99722525362995</v>
      </c>
      <c r="S274" t="s">
        <v>418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0.05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1.72</v>
      </c>
      <c r="AT274">
        <v>2.7629999999999999</v>
      </c>
      <c r="AU274" t="s">
        <v>427</v>
      </c>
      <c r="AV274">
        <v>1</v>
      </c>
      <c r="AW274">
        <v>0</v>
      </c>
      <c r="AX274" t="s">
        <v>446</v>
      </c>
      <c r="AY274">
        <v>0</v>
      </c>
      <c r="AZ274">
        <v>0</v>
      </c>
      <c r="BA274">
        <v>0</v>
      </c>
      <c r="BQ274" t="s">
        <v>68</v>
      </c>
      <c r="CE274">
        <v>2.2414999999999998</v>
      </c>
      <c r="CG274" t="s">
        <v>1670</v>
      </c>
      <c r="CH274" t="s">
        <v>68</v>
      </c>
      <c r="CI274">
        <v>1.99722525362995</v>
      </c>
      <c r="CJ274">
        <v>3.1</v>
      </c>
      <c r="CK274">
        <v>2.5486126268149749</v>
      </c>
      <c r="CL274">
        <v>-0.18</v>
      </c>
      <c r="CM274">
        <v>2.3686126268149752</v>
      </c>
    </row>
    <row r="275" spans="1:91" x14ac:dyDescent="0.25">
      <c r="A275">
        <v>779</v>
      </c>
      <c r="B275" t="s">
        <v>674</v>
      </c>
      <c r="C275" t="s">
        <v>1073</v>
      </c>
      <c r="D275" t="s">
        <v>1472</v>
      </c>
      <c r="E275" t="s">
        <v>395</v>
      </c>
      <c r="F275">
        <v>198768370</v>
      </c>
      <c r="G275">
        <v>21.09516</v>
      </c>
      <c r="H275" t="s">
        <v>410</v>
      </c>
      <c r="I275">
        <v>4193050568.0892</v>
      </c>
      <c r="J275" t="s">
        <v>416</v>
      </c>
      <c r="K275">
        <v>3910347.66929272</v>
      </c>
      <c r="L275">
        <v>1</v>
      </c>
      <c r="M275">
        <v>4193050568.0892</v>
      </c>
      <c r="N275">
        <v>7807621573.6000004</v>
      </c>
      <c r="O275">
        <v>10102015</v>
      </c>
      <c r="P275">
        <v>1010</v>
      </c>
      <c r="Q275">
        <v>3.4</v>
      </c>
      <c r="S275" t="s">
        <v>420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1.613</v>
      </c>
      <c r="AT275">
        <v>2.3159999999999998</v>
      </c>
      <c r="AU275" t="s">
        <v>420</v>
      </c>
      <c r="AV275">
        <v>1</v>
      </c>
      <c r="AW275">
        <v>0</v>
      </c>
      <c r="AX275" t="s">
        <v>434</v>
      </c>
      <c r="AY275">
        <v>0</v>
      </c>
      <c r="AZ275">
        <v>0</v>
      </c>
      <c r="BA275">
        <v>0</v>
      </c>
      <c r="CE275">
        <v>1.9644999999999999</v>
      </c>
      <c r="CF275" t="s">
        <v>83</v>
      </c>
      <c r="CG275" t="s">
        <v>1670</v>
      </c>
      <c r="CH275" t="s">
        <v>83</v>
      </c>
      <c r="CI275">
        <v>3.4</v>
      </c>
      <c r="CJ275">
        <v>3.1</v>
      </c>
      <c r="CK275">
        <v>3.25</v>
      </c>
      <c r="CL275">
        <v>0</v>
      </c>
      <c r="CM275">
        <v>3.25</v>
      </c>
    </row>
    <row r="276" spans="1:91" x14ac:dyDescent="0.25">
      <c r="A276">
        <v>781</v>
      </c>
      <c r="B276" t="s">
        <v>152</v>
      </c>
      <c r="C276" t="s">
        <v>252</v>
      </c>
      <c r="D276" t="s">
        <v>352</v>
      </c>
      <c r="E276" t="s">
        <v>403</v>
      </c>
      <c r="F276">
        <v>744937900</v>
      </c>
      <c r="G276">
        <v>6.8970200000000004</v>
      </c>
      <c r="H276" t="s">
        <v>413</v>
      </c>
      <c r="I276">
        <v>5137851595.0580006</v>
      </c>
      <c r="J276" t="s">
        <v>416</v>
      </c>
      <c r="K276">
        <v>14821728.319426199</v>
      </c>
      <c r="L276">
        <v>1</v>
      </c>
      <c r="M276">
        <v>5137851595.0580006</v>
      </c>
      <c r="N276">
        <v>29261160712</v>
      </c>
      <c r="O276">
        <v>35102000</v>
      </c>
      <c r="P276">
        <v>3510</v>
      </c>
      <c r="Q276">
        <v>1.7395630247731899</v>
      </c>
      <c r="R276">
        <v>1.5</v>
      </c>
      <c r="S276" t="s">
        <v>417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2.242</v>
      </c>
      <c r="AT276">
        <v>2.879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2.5605000000000002</v>
      </c>
      <c r="CG276" t="s">
        <v>450</v>
      </c>
      <c r="CI276">
        <v>1.7395630247731899</v>
      </c>
      <c r="CJ276">
        <v>1.5</v>
      </c>
      <c r="CK276">
        <v>1.6197815123865951</v>
      </c>
      <c r="CL276">
        <v>-0.3</v>
      </c>
      <c r="CM276">
        <v>1.319781512386595</v>
      </c>
    </row>
    <row r="277" spans="1:91" x14ac:dyDescent="0.25">
      <c r="A277">
        <v>784</v>
      </c>
      <c r="B277" t="s">
        <v>675</v>
      </c>
      <c r="C277" t="s">
        <v>1074</v>
      </c>
      <c r="D277" t="s">
        <v>1473</v>
      </c>
      <c r="E277" t="s">
        <v>395</v>
      </c>
      <c r="F277">
        <v>592253660</v>
      </c>
      <c r="G277">
        <v>26.912960000000002</v>
      </c>
      <c r="H277" t="s">
        <v>410</v>
      </c>
      <c r="I277">
        <v>15939299061.433599</v>
      </c>
      <c r="J277" t="s">
        <v>416</v>
      </c>
      <c r="K277">
        <v>4402654.6376814097</v>
      </c>
      <c r="L277">
        <v>0.25</v>
      </c>
      <c r="M277">
        <v>3984824765.3583999</v>
      </c>
      <c r="N277">
        <v>5815930941.1999998</v>
      </c>
      <c r="O277">
        <v>50203000</v>
      </c>
      <c r="P277">
        <v>5020</v>
      </c>
      <c r="Q277">
        <v>2.9939943114265599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1.956</v>
      </c>
      <c r="AT277">
        <v>2.262</v>
      </c>
      <c r="AU277" t="s">
        <v>430</v>
      </c>
      <c r="AV277">
        <v>0</v>
      </c>
      <c r="AW277">
        <v>0</v>
      </c>
      <c r="AX277" t="s">
        <v>434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1670</v>
      </c>
      <c r="CH277" t="s">
        <v>83</v>
      </c>
      <c r="CI277">
        <v>2.9939943114265599</v>
      </c>
      <c r="CJ277">
        <v>2.7</v>
      </c>
      <c r="CK277">
        <v>2.84699715571328</v>
      </c>
      <c r="CL277">
        <v>-0.18</v>
      </c>
      <c r="CM277">
        <v>2.6669971557132799</v>
      </c>
    </row>
    <row r="278" spans="1:91" x14ac:dyDescent="0.25">
      <c r="A278">
        <v>785</v>
      </c>
      <c r="B278" t="s">
        <v>676</v>
      </c>
      <c r="C278" t="s">
        <v>1075</v>
      </c>
      <c r="D278" t="s">
        <v>1474</v>
      </c>
      <c r="E278" t="s">
        <v>398</v>
      </c>
      <c r="F278">
        <v>74469666</v>
      </c>
      <c r="G278">
        <v>75.72</v>
      </c>
      <c r="H278" t="s">
        <v>409</v>
      </c>
      <c r="I278">
        <v>5638843109.5200005</v>
      </c>
      <c r="J278" t="s">
        <v>415</v>
      </c>
      <c r="K278">
        <v>13732521.497377099</v>
      </c>
      <c r="L278">
        <v>1</v>
      </c>
      <c r="M278">
        <v>5638843109.5200005</v>
      </c>
      <c r="N278">
        <v>2925168480.48</v>
      </c>
      <c r="O278">
        <v>35101010</v>
      </c>
      <c r="P278">
        <v>3510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2.4620000000000002</v>
      </c>
      <c r="AT278">
        <v>3.1539999999999999</v>
      </c>
      <c r="AU278" t="s">
        <v>425</v>
      </c>
      <c r="AV278">
        <v>1</v>
      </c>
      <c r="AW278">
        <v>0</v>
      </c>
      <c r="AX278" t="s">
        <v>437</v>
      </c>
      <c r="AY278">
        <v>0</v>
      </c>
      <c r="AZ278">
        <v>0</v>
      </c>
      <c r="BA278">
        <v>0</v>
      </c>
      <c r="CE278">
        <v>2.8079999999999998</v>
      </c>
      <c r="CG278" t="s">
        <v>450</v>
      </c>
      <c r="CI278">
        <v>3.4</v>
      </c>
      <c r="CJ278">
        <v>3.1</v>
      </c>
      <c r="CK278">
        <v>3.25</v>
      </c>
      <c r="CL278">
        <v>-0.18</v>
      </c>
      <c r="CM278">
        <v>3.07</v>
      </c>
    </row>
    <row r="279" spans="1:91" x14ac:dyDescent="0.25">
      <c r="A279">
        <v>786</v>
      </c>
      <c r="B279" t="s">
        <v>145</v>
      </c>
      <c r="C279" t="s">
        <v>245</v>
      </c>
      <c r="D279" t="s">
        <v>345</v>
      </c>
      <c r="E279" t="s">
        <v>403</v>
      </c>
      <c r="F279">
        <v>5893244000</v>
      </c>
      <c r="G279">
        <v>2.8784939999999999</v>
      </c>
      <c r="H279" t="s">
        <v>413</v>
      </c>
      <c r="I279">
        <v>16963667494.535999</v>
      </c>
      <c r="J279" t="s">
        <v>416</v>
      </c>
      <c r="K279">
        <v>32798433.932136402</v>
      </c>
      <c r="L279">
        <v>1</v>
      </c>
      <c r="M279">
        <v>16963667494.535999</v>
      </c>
      <c r="N279">
        <v>231486624320</v>
      </c>
      <c r="O279">
        <v>30301010</v>
      </c>
      <c r="P279">
        <v>3030</v>
      </c>
      <c r="Q279">
        <v>1.98835042585939</v>
      </c>
      <c r="R279">
        <v>1.5</v>
      </c>
      <c r="S279" t="s">
        <v>417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2.2440000000000002</v>
      </c>
      <c r="AT279">
        <v>2.6379999999999999</v>
      </c>
      <c r="AU279" t="s">
        <v>430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2.4409999999999998</v>
      </c>
      <c r="CG279" t="s">
        <v>450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 x14ac:dyDescent="0.25">
      <c r="A280">
        <v>787</v>
      </c>
      <c r="B280" t="s">
        <v>182</v>
      </c>
      <c r="C280" t="s">
        <v>282</v>
      </c>
      <c r="D280" t="s">
        <v>382</v>
      </c>
      <c r="E280" t="s">
        <v>394</v>
      </c>
      <c r="F280">
        <v>262245733</v>
      </c>
      <c r="G280">
        <v>110.3</v>
      </c>
      <c r="H280" t="s">
        <v>409</v>
      </c>
      <c r="I280">
        <v>28925704349.900002</v>
      </c>
      <c r="J280" t="s">
        <v>415</v>
      </c>
      <c r="K280">
        <v>56619307.900158703</v>
      </c>
      <c r="L280">
        <v>1</v>
      </c>
      <c r="M280">
        <v>28925704349.900002</v>
      </c>
      <c r="N280">
        <v>10301012392.24</v>
      </c>
      <c r="O280">
        <v>50202010</v>
      </c>
      <c r="P280">
        <v>5020</v>
      </c>
      <c r="Q280">
        <v>1.7418068415287999</v>
      </c>
      <c r="R280">
        <v>1.5</v>
      </c>
      <c r="S280" t="s">
        <v>417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2.5249999999999999</v>
      </c>
      <c r="AT280">
        <v>3.0049999999999999</v>
      </c>
      <c r="AU280" t="s">
        <v>420</v>
      </c>
      <c r="AV280">
        <v>1</v>
      </c>
      <c r="AW280">
        <v>0</v>
      </c>
      <c r="AX280" t="s">
        <v>433</v>
      </c>
      <c r="AY280">
        <v>0</v>
      </c>
      <c r="AZ280">
        <v>0</v>
      </c>
      <c r="BA280">
        <v>0</v>
      </c>
      <c r="CE280">
        <v>2.7650000000000001</v>
      </c>
      <c r="CG280" t="s">
        <v>450</v>
      </c>
      <c r="CI280">
        <v>1.7418068415287999</v>
      </c>
      <c r="CJ280">
        <v>1.5</v>
      </c>
      <c r="CK280">
        <v>1.6209034207644</v>
      </c>
      <c r="CL280">
        <v>-0.3</v>
      </c>
      <c r="CM280">
        <v>1.3209034207643999</v>
      </c>
    </row>
    <row r="281" spans="1:91" x14ac:dyDescent="0.25">
      <c r="A281">
        <v>793</v>
      </c>
      <c r="B281" t="s">
        <v>677</v>
      </c>
      <c r="C281" t="s">
        <v>1076</v>
      </c>
      <c r="D281" t="s">
        <v>1475</v>
      </c>
      <c r="E281" t="s">
        <v>404</v>
      </c>
      <c r="F281">
        <v>578150395</v>
      </c>
      <c r="G281">
        <v>35.15</v>
      </c>
      <c r="H281" t="s">
        <v>409</v>
      </c>
      <c r="I281">
        <v>20321986384.25</v>
      </c>
      <c r="J281" t="s">
        <v>415</v>
      </c>
      <c r="K281">
        <v>89516969.567786902</v>
      </c>
      <c r="L281">
        <v>0.70000000000000007</v>
      </c>
      <c r="M281">
        <v>14225390468.975</v>
      </c>
      <c r="N281">
        <v>15896823260.92</v>
      </c>
      <c r="O281">
        <v>50201020</v>
      </c>
      <c r="P281">
        <v>5020</v>
      </c>
      <c r="Q281">
        <v>1.95381343315184</v>
      </c>
      <c r="R281">
        <v>2.08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1651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2.359</v>
      </c>
      <c r="AT281">
        <v>3.327</v>
      </c>
      <c r="AU281" t="s">
        <v>420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1664</v>
      </c>
      <c r="BK281" t="s">
        <v>62</v>
      </c>
      <c r="CE281">
        <v>2.843</v>
      </c>
      <c r="CG281" t="s">
        <v>1670</v>
      </c>
      <c r="CH281" t="s">
        <v>1716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1.8369067165759201</v>
      </c>
    </row>
    <row r="282" spans="1:91" x14ac:dyDescent="0.25">
      <c r="A282">
        <v>795</v>
      </c>
      <c r="B282" t="s">
        <v>678</v>
      </c>
      <c r="C282" t="s">
        <v>1077</v>
      </c>
      <c r="D282" t="s">
        <v>1476</v>
      </c>
      <c r="E282" t="s">
        <v>395</v>
      </c>
      <c r="F282">
        <v>423836430</v>
      </c>
      <c r="G282">
        <v>34.439239999999998</v>
      </c>
      <c r="H282" t="s">
        <v>410</v>
      </c>
      <c r="I282">
        <v>14596604533.513201</v>
      </c>
      <c r="J282" t="s">
        <v>416</v>
      </c>
      <c r="K282">
        <v>9679789.2063518707</v>
      </c>
      <c r="L282">
        <v>0.55000000000000004</v>
      </c>
      <c r="M282">
        <v>8028132493.4322596</v>
      </c>
      <c r="N282">
        <v>9156562233.7200012</v>
      </c>
      <c r="O282">
        <v>50203000</v>
      </c>
      <c r="P282">
        <v>5020</v>
      </c>
      <c r="Q282">
        <v>3.4</v>
      </c>
      <c r="S282" t="s">
        <v>424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2.1360000000000001</v>
      </c>
      <c r="AT282">
        <v>2.423</v>
      </c>
      <c r="AU282" t="s">
        <v>420</v>
      </c>
      <c r="AV282">
        <v>1</v>
      </c>
      <c r="AW282">
        <v>0</v>
      </c>
      <c r="AX282" t="s">
        <v>434</v>
      </c>
      <c r="AY282">
        <v>0</v>
      </c>
      <c r="AZ282">
        <v>0</v>
      </c>
      <c r="BA282">
        <v>0</v>
      </c>
      <c r="CE282">
        <v>2.2795000000000001</v>
      </c>
      <c r="CG282" t="s">
        <v>450</v>
      </c>
      <c r="CI282">
        <v>3.4</v>
      </c>
      <c r="CJ282">
        <v>3.1</v>
      </c>
      <c r="CK282">
        <v>3.25</v>
      </c>
      <c r="CL282">
        <v>0.3</v>
      </c>
      <c r="CM282">
        <v>3.55</v>
      </c>
    </row>
    <row r="283" spans="1:91" x14ac:dyDescent="0.25">
      <c r="A283">
        <v>797</v>
      </c>
      <c r="B283" t="s">
        <v>679</v>
      </c>
      <c r="C283" t="s">
        <v>1078</v>
      </c>
      <c r="D283" t="s">
        <v>1477</v>
      </c>
      <c r="E283" t="s">
        <v>406</v>
      </c>
      <c r="F283">
        <v>989547</v>
      </c>
      <c r="G283">
        <v>11802.49</v>
      </c>
      <c r="H283" t="s">
        <v>414</v>
      </c>
      <c r="I283">
        <v>11679118572.030001</v>
      </c>
      <c r="J283" t="s">
        <v>416</v>
      </c>
      <c r="K283">
        <v>26640981.149140999</v>
      </c>
      <c r="L283">
        <v>1</v>
      </c>
      <c r="M283">
        <v>11679118572.030001</v>
      </c>
      <c r="N283">
        <v>38869406.159999996</v>
      </c>
      <c r="O283">
        <v>45102020</v>
      </c>
      <c r="P283">
        <v>4510</v>
      </c>
      <c r="Q283">
        <v>1.74529070886593</v>
      </c>
      <c r="R283">
        <v>3.1</v>
      </c>
      <c r="S283" t="s">
        <v>418</v>
      </c>
      <c r="T283" t="s">
        <v>422</v>
      </c>
      <c r="U283">
        <v>0</v>
      </c>
      <c r="V283">
        <v>0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2.161</v>
      </c>
      <c r="AT283">
        <v>2.5169999999999999</v>
      </c>
      <c r="AU283" t="s">
        <v>420</v>
      </c>
      <c r="AV283">
        <v>1</v>
      </c>
      <c r="AW283">
        <v>0</v>
      </c>
      <c r="AX283" t="s">
        <v>446</v>
      </c>
      <c r="AY283">
        <v>0</v>
      </c>
      <c r="AZ283">
        <v>0</v>
      </c>
      <c r="BA283">
        <v>0</v>
      </c>
      <c r="CE283">
        <v>2.339</v>
      </c>
      <c r="CG283" t="s">
        <v>450</v>
      </c>
      <c r="CI283">
        <v>1.74529070886593</v>
      </c>
      <c r="CJ283">
        <v>3.1</v>
      </c>
      <c r="CK283">
        <v>2.4226453544329649</v>
      </c>
      <c r="CL283">
        <v>-0.18</v>
      </c>
      <c r="CM283">
        <v>2.2426453544329652</v>
      </c>
    </row>
    <row r="284" spans="1:91" x14ac:dyDescent="0.25">
      <c r="A284">
        <v>802</v>
      </c>
      <c r="B284" t="s">
        <v>680</v>
      </c>
      <c r="C284" t="s">
        <v>1079</v>
      </c>
      <c r="D284" t="s">
        <v>1478</v>
      </c>
      <c r="E284" t="s">
        <v>403</v>
      </c>
      <c r="F284">
        <v>60745742000</v>
      </c>
      <c r="G284">
        <v>0.81240979999999996</v>
      </c>
      <c r="H284" t="s">
        <v>413</v>
      </c>
      <c r="I284">
        <v>49350436109.071587</v>
      </c>
      <c r="J284" t="s">
        <v>416</v>
      </c>
      <c r="K284">
        <v>75488016.146108702</v>
      </c>
      <c r="L284">
        <v>1</v>
      </c>
      <c r="M284">
        <v>49350436109.071587</v>
      </c>
      <c r="N284">
        <v>2386092745760</v>
      </c>
      <c r="O284">
        <v>30101010</v>
      </c>
      <c r="P284">
        <v>3010</v>
      </c>
      <c r="Q284">
        <v>3.0199999999999898</v>
      </c>
      <c r="S284" t="s">
        <v>1648</v>
      </c>
      <c r="T284" t="s">
        <v>422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2.468</v>
      </c>
      <c r="AT284">
        <v>3.3460000000000001</v>
      </c>
      <c r="AU284" t="s">
        <v>430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450</v>
      </c>
      <c r="CI284">
        <v>3.0199999999999898</v>
      </c>
      <c r="CJ284">
        <v>3.1</v>
      </c>
      <c r="CK284">
        <v>3.0599999999999952</v>
      </c>
      <c r="CL284">
        <v>0.3</v>
      </c>
      <c r="CM284">
        <v>3.359999999999995</v>
      </c>
    </row>
    <row r="285" spans="1:91" x14ac:dyDescent="0.25">
      <c r="A285">
        <v>805</v>
      </c>
      <c r="B285" t="s">
        <v>111</v>
      </c>
      <c r="C285" t="s">
        <v>211</v>
      </c>
      <c r="D285" t="s">
        <v>311</v>
      </c>
      <c r="E285" t="s">
        <v>406</v>
      </c>
      <c r="F285">
        <v>168994140</v>
      </c>
      <c r="G285">
        <v>99.481160000000003</v>
      </c>
      <c r="H285" t="s">
        <v>414</v>
      </c>
      <c r="I285">
        <v>16811733080.402399</v>
      </c>
      <c r="J285" t="s">
        <v>416</v>
      </c>
      <c r="K285">
        <v>53427462.634575203</v>
      </c>
      <c r="L285">
        <v>0.9</v>
      </c>
      <c r="M285">
        <v>15130559772.36216</v>
      </c>
      <c r="N285">
        <v>5974280837.2799997</v>
      </c>
      <c r="O285">
        <v>10102030</v>
      </c>
      <c r="P285">
        <v>1010</v>
      </c>
      <c r="Q285">
        <v>1.7497523085933799</v>
      </c>
      <c r="S285" t="s">
        <v>417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2.5649999999999999</v>
      </c>
      <c r="AT285">
        <v>3.4</v>
      </c>
      <c r="AU285" t="s">
        <v>420</v>
      </c>
      <c r="AV285">
        <v>1</v>
      </c>
      <c r="AW285">
        <v>0</v>
      </c>
      <c r="AX285" t="s">
        <v>446</v>
      </c>
      <c r="AY285">
        <v>0</v>
      </c>
      <c r="AZ285">
        <v>0</v>
      </c>
      <c r="BA285">
        <v>0</v>
      </c>
      <c r="CE285">
        <v>2.9824999999999999</v>
      </c>
      <c r="CG285" t="s">
        <v>450</v>
      </c>
      <c r="CI285">
        <v>1.7497523085933799</v>
      </c>
      <c r="CJ285">
        <v>3.1</v>
      </c>
      <c r="CK285">
        <v>2.4248761542966899</v>
      </c>
      <c r="CL285">
        <v>-0.3</v>
      </c>
      <c r="CM285">
        <v>2.1248761542966901</v>
      </c>
    </row>
    <row r="286" spans="1:91" x14ac:dyDescent="0.25">
      <c r="A286">
        <v>806</v>
      </c>
      <c r="B286" t="s">
        <v>142</v>
      </c>
      <c r="C286" t="s">
        <v>242</v>
      </c>
      <c r="D286" t="s">
        <v>342</v>
      </c>
      <c r="E286" t="s">
        <v>403</v>
      </c>
      <c r="F286">
        <v>531451840</v>
      </c>
      <c r="G286">
        <v>140.05609999999999</v>
      </c>
      <c r="H286" t="s">
        <v>413</v>
      </c>
      <c r="I286">
        <v>74433072048.223999</v>
      </c>
      <c r="J286" t="s">
        <v>416</v>
      </c>
      <c r="K286">
        <v>76651155.451063305</v>
      </c>
      <c r="L286">
        <v>0.95</v>
      </c>
      <c r="M286">
        <v>70711418445.81279</v>
      </c>
      <c r="N286">
        <v>19831656861.439999</v>
      </c>
      <c r="O286">
        <v>30201030</v>
      </c>
      <c r="P286">
        <v>3020</v>
      </c>
      <c r="Q286">
        <v>1.9964408278924499</v>
      </c>
      <c r="S286" t="s">
        <v>419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2.3010000000000002</v>
      </c>
      <c r="AT286">
        <v>3.03</v>
      </c>
      <c r="AU286" t="s">
        <v>430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2.6655000000000002</v>
      </c>
      <c r="CG286" t="s">
        <v>450</v>
      </c>
      <c r="CI286">
        <v>1.9964408278924499</v>
      </c>
      <c r="CJ286">
        <v>3.1</v>
      </c>
      <c r="CK286">
        <v>2.548220413946225</v>
      </c>
      <c r="CL286">
        <v>-0.24</v>
      </c>
      <c r="CM286">
        <v>2.3082204139462248</v>
      </c>
    </row>
    <row r="287" spans="1:91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403</v>
      </c>
      <c r="F287">
        <v>2048108400</v>
      </c>
      <c r="G287">
        <v>2.3090820000000001</v>
      </c>
      <c r="H287" t="s">
        <v>413</v>
      </c>
      <c r="I287">
        <v>4729250240.4888</v>
      </c>
      <c r="J287" t="s">
        <v>416</v>
      </c>
      <c r="K287">
        <v>9830778.7073366791</v>
      </c>
      <c r="L287">
        <v>0.95</v>
      </c>
      <c r="M287">
        <v>4492787728.4643602</v>
      </c>
      <c r="N287">
        <v>76427213054.399994</v>
      </c>
      <c r="O287">
        <v>35102000</v>
      </c>
      <c r="P287">
        <v>3510</v>
      </c>
      <c r="Q287">
        <v>3.4</v>
      </c>
      <c r="S287" t="s">
        <v>420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1.6439999999999999</v>
      </c>
      <c r="AT287">
        <v>1.897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1670</v>
      </c>
      <c r="CH287" t="s">
        <v>83</v>
      </c>
      <c r="CI287">
        <v>3.4</v>
      </c>
      <c r="CJ287">
        <v>3.1</v>
      </c>
      <c r="CK287">
        <v>3.25</v>
      </c>
      <c r="CL287">
        <v>0</v>
      </c>
      <c r="CM287">
        <v>3.25</v>
      </c>
    </row>
    <row r="288" spans="1:91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406</v>
      </c>
      <c r="F288">
        <v>72226180</v>
      </c>
      <c r="G288">
        <v>620.53449999999998</v>
      </c>
      <c r="H288" t="s">
        <v>414</v>
      </c>
      <c r="I288">
        <v>44818836493.209999</v>
      </c>
      <c r="J288" t="s">
        <v>416</v>
      </c>
      <c r="K288">
        <v>96765406.915567294</v>
      </c>
      <c r="L288">
        <v>1</v>
      </c>
      <c r="M288">
        <v>44818836493.209999</v>
      </c>
      <c r="N288">
        <v>2837044350.4000001</v>
      </c>
      <c r="O288">
        <v>20103010</v>
      </c>
      <c r="P288">
        <v>2010</v>
      </c>
      <c r="Q288">
        <v>1.88766720055408</v>
      </c>
      <c r="R288">
        <v>3.1</v>
      </c>
      <c r="S288" t="s">
        <v>420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J288" t="s">
        <v>1653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2.843</v>
      </c>
      <c r="AT288">
        <v>3.085</v>
      </c>
      <c r="AU288" t="s">
        <v>1659</v>
      </c>
      <c r="AV288">
        <v>0</v>
      </c>
      <c r="AW288">
        <v>0</v>
      </c>
      <c r="AX288" t="s">
        <v>446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1670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 x14ac:dyDescent="0.25">
      <c r="A289">
        <v>809</v>
      </c>
      <c r="B289" t="s">
        <v>158</v>
      </c>
      <c r="C289" t="s">
        <v>258</v>
      </c>
      <c r="D289" t="s">
        <v>358</v>
      </c>
      <c r="E289" t="s">
        <v>394</v>
      </c>
      <c r="F289">
        <v>534311946</v>
      </c>
      <c r="G289">
        <v>346.1</v>
      </c>
      <c r="H289" t="s">
        <v>409</v>
      </c>
      <c r="I289">
        <v>184925364510.60001</v>
      </c>
      <c r="J289" t="s">
        <v>415</v>
      </c>
      <c r="K289">
        <v>150007719.04285699</v>
      </c>
      <c r="L289">
        <v>0.45</v>
      </c>
      <c r="M289">
        <v>83216414029.770004</v>
      </c>
      <c r="N289">
        <v>9444497957.4960003</v>
      </c>
      <c r="O289">
        <v>40204035</v>
      </c>
      <c r="P289">
        <v>4020</v>
      </c>
      <c r="Q289">
        <v>1.74938320831028</v>
      </c>
      <c r="R289">
        <v>1.5</v>
      </c>
      <c r="S289" t="s">
        <v>417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2.4470000000000001</v>
      </c>
      <c r="AT289">
        <v>2.8420000000000001</v>
      </c>
      <c r="AU289" t="s">
        <v>420</v>
      </c>
      <c r="AV289">
        <v>1</v>
      </c>
      <c r="AW289">
        <v>0</v>
      </c>
      <c r="AX289" t="s">
        <v>433</v>
      </c>
      <c r="AY289">
        <v>0</v>
      </c>
      <c r="AZ289">
        <v>0</v>
      </c>
      <c r="BA289">
        <v>0</v>
      </c>
      <c r="CE289">
        <v>2.6444999999999999</v>
      </c>
      <c r="CG289" t="s">
        <v>450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407</v>
      </c>
      <c r="F290">
        <v>816013</v>
      </c>
      <c r="G290">
        <v>9080</v>
      </c>
      <c r="H290" t="s">
        <v>409</v>
      </c>
      <c r="I290">
        <v>7409398040</v>
      </c>
      <c r="J290" t="s">
        <v>415</v>
      </c>
      <c r="K290">
        <v>6192176.3492063601</v>
      </c>
      <c r="L290">
        <v>0.5</v>
      </c>
      <c r="M290">
        <v>3704699020</v>
      </c>
      <c r="N290">
        <v>16026495.32</v>
      </c>
      <c r="O290">
        <v>45102020</v>
      </c>
      <c r="P290">
        <v>4510</v>
      </c>
      <c r="Q290">
        <v>3.4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1.8240000000000001</v>
      </c>
      <c r="AT290">
        <v>2.3029999999999999</v>
      </c>
      <c r="AU290" t="s">
        <v>420</v>
      </c>
      <c r="AV290">
        <v>1</v>
      </c>
      <c r="AW290">
        <v>0</v>
      </c>
      <c r="AX290" t="s">
        <v>447</v>
      </c>
      <c r="AY290">
        <v>0</v>
      </c>
      <c r="AZ290">
        <v>0</v>
      </c>
      <c r="BA290">
        <v>0</v>
      </c>
      <c r="CE290">
        <v>2.0634999999999999</v>
      </c>
      <c r="CF290" t="s">
        <v>83</v>
      </c>
      <c r="CG290" t="s">
        <v>1670</v>
      </c>
      <c r="CH290" t="s">
        <v>83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 x14ac:dyDescent="0.25">
      <c r="A291">
        <v>815</v>
      </c>
      <c r="B291" t="s">
        <v>168</v>
      </c>
      <c r="C291" t="s">
        <v>268</v>
      </c>
      <c r="D291" t="s">
        <v>368</v>
      </c>
      <c r="E291" t="s">
        <v>398</v>
      </c>
      <c r="F291">
        <v>1200015000</v>
      </c>
      <c r="G291">
        <v>6.3940000000000001</v>
      </c>
      <c r="H291" t="s">
        <v>409</v>
      </c>
      <c r="I291">
        <v>7672895910</v>
      </c>
      <c r="J291" t="s">
        <v>415</v>
      </c>
      <c r="K291">
        <v>40455426.200245902</v>
      </c>
      <c r="L291">
        <v>0.85</v>
      </c>
      <c r="M291">
        <v>6521961523.5</v>
      </c>
      <c r="N291">
        <v>40066100820</v>
      </c>
      <c r="O291">
        <v>40501010</v>
      </c>
      <c r="P291">
        <v>4050</v>
      </c>
      <c r="Q291">
        <v>1.83638692207139</v>
      </c>
      <c r="R291">
        <v>1.5</v>
      </c>
      <c r="S291" t="s">
        <v>418</v>
      </c>
      <c r="T291" t="s">
        <v>422</v>
      </c>
      <c r="U291">
        <v>0</v>
      </c>
      <c r="V291">
        <v>0.01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2.17</v>
      </c>
      <c r="AT291">
        <v>2.78</v>
      </c>
      <c r="AU291" t="s">
        <v>427</v>
      </c>
      <c r="AV291">
        <v>1</v>
      </c>
      <c r="AW291">
        <v>0</v>
      </c>
      <c r="AX291" t="s">
        <v>437</v>
      </c>
      <c r="AY291">
        <v>0</v>
      </c>
      <c r="AZ291">
        <v>0</v>
      </c>
      <c r="BA291">
        <v>0</v>
      </c>
      <c r="CE291">
        <v>2.4750000000000001</v>
      </c>
      <c r="CG291" t="s">
        <v>450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1.4881934610356951</v>
      </c>
    </row>
    <row r="292" spans="1:91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395</v>
      </c>
      <c r="F292">
        <v>152000000</v>
      </c>
      <c r="G292">
        <v>48.331829999999997</v>
      </c>
      <c r="H292" t="s">
        <v>410</v>
      </c>
      <c r="I292">
        <v>7346438159.999999</v>
      </c>
      <c r="J292" t="s">
        <v>416</v>
      </c>
      <c r="K292">
        <v>7006236.7921832995</v>
      </c>
      <c r="L292">
        <v>0.5</v>
      </c>
      <c r="M292">
        <v>3673219080</v>
      </c>
      <c r="N292">
        <v>2985280000</v>
      </c>
      <c r="O292">
        <v>30202000</v>
      </c>
      <c r="P292">
        <v>3020</v>
      </c>
      <c r="Q292">
        <v>3.4</v>
      </c>
      <c r="S292" t="s">
        <v>424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1.9410000000000001</v>
      </c>
      <c r="AT292">
        <v>1.83</v>
      </c>
      <c r="AU292" t="s">
        <v>430</v>
      </c>
      <c r="AV292">
        <v>0</v>
      </c>
      <c r="AW292">
        <v>0</v>
      </c>
      <c r="AX292" t="s">
        <v>434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1670</v>
      </c>
      <c r="CH292" t="s">
        <v>83</v>
      </c>
      <c r="CI292">
        <v>3.4</v>
      </c>
      <c r="CJ292">
        <v>3.1</v>
      </c>
      <c r="CK292">
        <v>3.25</v>
      </c>
      <c r="CL292">
        <v>0.3</v>
      </c>
      <c r="CM292">
        <v>3.55</v>
      </c>
    </row>
    <row r="293" spans="1:91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394</v>
      </c>
      <c r="F293">
        <v>500141700</v>
      </c>
      <c r="G293">
        <v>702.4</v>
      </c>
      <c r="H293" t="s">
        <v>409</v>
      </c>
      <c r="I293">
        <v>351299530080</v>
      </c>
      <c r="J293" t="s">
        <v>415</v>
      </c>
      <c r="K293">
        <v>311385691.51904702</v>
      </c>
      <c r="L293">
        <v>0.5</v>
      </c>
      <c r="M293">
        <v>175649765040</v>
      </c>
      <c r="N293">
        <v>9822782988</v>
      </c>
      <c r="O293">
        <v>40204020</v>
      </c>
      <c r="P293">
        <v>4020</v>
      </c>
      <c r="Q293">
        <v>1.9755697139416</v>
      </c>
      <c r="S293" t="s">
        <v>417</v>
      </c>
      <c r="T293" t="s">
        <v>422</v>
      </c>
      <c r="U293">
        <v>0</v>
      </c>
      <c r="V293">
        <v>0.01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2.1840000000000002</v>
      </c>
      <c r="AT293">
        <v>2.9220000000000002</v>
      </c>
      <c r="AU293" t="s">
        <v>420</v>
      </c>
      <c r="AV293">
        <v>1</v>
      </c>
      <c r="AW293">
        <v>0</v>
      </c>
      <c r="AX293" t="s">
        <v>433</v>
      </c>
      <c r="AY293">
        <v>0</v>
      </c>
      <c r="AZ293">
        <v>0</v>
      </c>
      <c r="BA293">
        <v>0</v>
      </c>
      <c r="CE293">
        <v>2.5529999999999999</v>
      </c>
      <c r="CG293" t="s">
        <v>450</v>
      </c>
      <c r="CI293">
        <v>1.9755697139416</v>
      </c>
      <c r="CJ293">
        <v>3.1</v>
      </c>
      <c r="CK293">
        <v>2.5377848569707999</v>
      </c>
      <c r="CL293">
        <v>-0.3</v>
      </c>
      <c r="CM293">
        <v>2.2377848569708001</v>
      </c>
    </row>
    <row r="294" spans="1:91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403</v>
      </c>
      <c r="F294">
        <v>2403869600</v>
      </c>
      <c r="G294">
        <v>2.5291090000000001</v>
      </c>
      <c r="H294" t="s">
        <v>413</v>
      </c>
      <c r="I294">
        <v>6079648240.1864004</v>
      </c>
      <c r="J294" t="s">
        <v>416</v>
      </c>
      <c r="K294">
        <v>10687567.7809605</v>
      </c>
      <c r="L294">
        <v>0.9</v>
      </c>
      <c r="M294">
        <v>5471683416.1677608</v>
      </c>
      <c r="N294">
        <v>84981598099.199997</v>
      </c>
      <c r="O294">
        <v>30202010</v>
      </c>
      <c r="P294">
        <v>3020</v>
      </c>
      <c r="S294" t="s">
        <v>420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2.1560000000000001</v>
      </c>
      <c r="AT294">
        <v>2.7130000000000001</v>
      </c>
      <c r="AU294" t="s">
        <v>430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2.4344999999999999</v>
      </c>
      <c r="CG294" t="s">
        <v>450</v>
      </c>
      <c r="CI294">
        <v>3.4</v>
      </c>
      <c r="CJ294">
        <v>3.1</v>
      </c>
      <c r="CK294">
        <v>3.25</v>
      </c>
      <c r="CL294">
        <v>0</v>
      </c>
      <c r="CM294">
        <v>3.25</v>
      </c>
    </row>
    <row r="295" spans="1:91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403</v>
      </c>
      <c r="F295">
        <v>1189933100</v>
      </c>
      <c r="G295">
        <v>2.5653769999999998</v>
      </c>
      <c r="H295" t="s">
        <v>413</v>
      </c>
      <c r="I295">
        <v>3052627006.2786999</v>
      </c>
      <c r="J295" t="s">
        <v>416</v>
      </c>
      <c r="K295">
        <v>4088365.4284532</v>
      </c>
      <c r="L295">
        <v>0.95</v>
      </c>
      <c r="M295">
        <v>2899995655.9647651</v>
      </c>
      <c r="N295">
        <v>44403543559.599998</v>
      </c>
      <c r="O295">
        <v>30202010</v>
      </c>
      <c r="P295">
        <v>3020</v>
      </c>
      <c r="Q295">
        <v>3.2941496538854098</v>
      </c>
      <c r="S295" t="s">
        <v>420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1.9179999999999999</v>
      </c>
      <c r="AT295">
        <v>2.6829999999999998</v>
      </c>
      <c r="AU295" t="s">
        <v>430</v>
      </c>
      <c r="AV295">
        <v>0</v>
      </c>
      <c r="AW295">
        <v>0</v>
      </c>
      <c r="AX295" t="s">
        <v>448</v>
      </c>
      <c r="AY295">
        <v>0</v>
      </c>
      <c r="AZ295">
        <v>0</v>
      </c>
      <c r="BA295">
        <v>0</v>
      </c>
      <c r="CE295">
        <v>2.3005</v>
      </c>
      <c r="CG295" t="s">
        <v>450</v>
      </c>
      <c r="CI295">
        <v>3.2941496538854098</v>
      </c>
      <c r="CJ295">
        <v>3.1</v>
      </c>
      <c r="CK295">
        <v>3.1970748269427052</v>
      </c>
      <c r="CL295">
        <v>0</v>
      </c>
      <c r="CM295">
        <v>3.1970748269427052</v>
      </c>
    </row>
    <row r="296" spans="1:91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403</v>
      </c>
      <c r="F296">
        <v>2051666300</v>
      </c>
      <c r="G296">
        <v>4.1841520000000001</v>
      </c>
      <c r="H296" t="s">
        <v>413</v>
      </c>
      <c r="I296">
        <v>8584483652.4776001</v>
      </c>
      <c r="J296" t="s">
        <v>416</v>
      </c>
      <c r="K296">
        <v>32668137.087276101</v>
      </c>
      <c r="L296">
        <v>1</v>
      </c>
      <c r="M296">
        <v>8584483652.4776001</v>
      </c>
      <c r="N296">
        <v>80589452264</v>
      </c>
      <c r="O296">
        <v>45201010</v>
      </c>
      <c r="P296">
        <v>4520</v>
      </c>
      <c r="Q296">
        <v>1.9816534204691401</v>
      </c>
      <c r="R296">
        <v>3.1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2.4430000000000001</v>
      </c>
      <c r="AT296">
        <v>3.0529999999999999</v>
      </c>
      <c r="AU296" t="s">
        <v>431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2.7480000000000002</v>
      </c>
      <c r="CG296" t="s">
        <v>450</v>
      </c>
      <c r="CI296">
        <v>1.9816534204691401</v>
      </c>
      <c r="CJ296">
        <v>3.1</v>
      </c>
      <c r="CK296">
        <v>2.5408267102345699</v>
      </c>
      <c r="CL296">
        <v>-0.18</v>
      </c>
      <c r="CM296">
        <v>2.3608267102345701</v>
      </c>
    </row>
    <row r="297" spans="1:91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404</v>
      </c>
      <c r="F297">
        <v>833279689</v>
      </c>
      <c r="G297">
        <v>16.495000000000001</v>
      </c>
      <c r="H297" t="s">
        <v>409</v>
      </c>
      <c r="I297">
        <v>13744948470.055</v>
      </c>
      <c r="J297" t="s">
        <v>415</v>
      </c>
      <c r="K297">
        <v>48748636.0441394</v>
      </c>
      <c r="L297">
        <v>0.60000000000000009</v>
      </c>
      <c r="M297">
        <v>8246969082.0330009</v>
      </c>
      <c r="N297">
        <v>19638735710.352009</v>
      </c>
      <c r="O297">
        <v>30202000</v>
      </c>
      <c r="P297">
        <v>3020</v>
      </c>
      <c r="Q297">
        <v>3.4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2.3079999999999998</v>
      </c>
      <c r="AT297">
        <v>2.8940000000000001</v>
      </c>
      <c r="AU297" t="s">
        <v>430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450</v>
      </c>
      <c r="CI297">
        <v>3.4</v>
      </c>
      <c r="CJ297">
        <v>3.1</v>
      </c>
      <c r="CK297">
        <v>3.25</v>
      </c>
      <c r="CL297">
        <v>-0.18</v>
      </c>
      <c r="CM297">
        <v>3.07</v>
      </c>
    </row>
    <row r="298" spans="1:91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403</v>
      </c>
      <c r="F298">
        <v>1283983900</v>
      </c>
      <c r="G298">
        <v>7.4084029999999998</v>
      </c>
      <c r="H298" t="s">
        <v>413</v>
      </c>
      <c r="I298">
        <v>9512270176.7117004</v>
      </c>
      <c r="J298" t="s">
        <v>416</v>
      </c>
      <c r="K298">
        <v>16992402.665627699</v>
      </c>
      <c r="L298">
        <v>0.95</v>
      </c>
      <c r="M298">
        <v>9036656667.8761158</v>
      </c>
      <c r="N298">
        <v>47913143212.400002</v>
      </c>
      <c r="O298">
        <v>50201010</v>
      </c>
      <c r="P298">
        <v>5020</v>
      </c>
      <c r="Q298">
        <v>2.8374417172968101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2.0699999999999998</v>
      </c>
      <c r="AT298">
        <v>3.2850000000000001</v>
      </c>
      <c r="AU298" t="s">
        <v>420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1663</v>
      </c>
      <c r="CE298">
        <v>2.6775000000000002</v>
      </c>
      <c r="CG298" t="s">
        <v>1670</v>
      </c>
      <c r="CH298" t="s">
        <v>1663</v>
      </c>
      <c r="CI298">
        <v>2.8374417172968101</v>
      </c>
      <c r="CJ298">
        <v>3.1</v>
      </c>
      <c r="CK298">
        <v>2.9687208586484051</v>
      </c>
      <c r="CL298">
        <v>-0.18</v>
      </c>
      <c r="CM298">
        <v>2.7887208586484049</v>
      </c>
    </row>
    <row r="299" spans="1:91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398</v>
      </c>
      <c r="F299">
        <v>962903700</v>
      </c>
      <c r="G299">
        <v>58.8</v>
      </c>
      <c r="H299" t="s">
        <v>409</v>
      </c>
      <c r="I299">
        <v>56618737560</v>
      </c>
      <c r="J299" t="s">
        <v>415</v>
      </c>
      <c r="K299">
        <v>145505164.78811499</v>
      </c>
      <c r="L299">
        <v>0.7</v>
      </c>
      <c r="M299">
        <v>39633116292</v>
      </c>
      <c r="N299">
        <v>26476000135.200001</v>
      </c>
      <c r="O299">
        <v>40101020</v>
      </c>
      <c r="P299">
        <v>4010</v>
      </c>
      <c r="Q299">
        <v>1.7486763088456401</v>
      </c>
      <c r="S299" t="s">
        <v>418</v>
      </c>
      <c r="T299" t="s">
        <v>423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2.3380000000000001</v>
      </c>
      <c r="AT299">
        <v>2.165</v>
      </c>
      <c r="AU299" t="s">
        <v>420</v>
      </c>
      <c r="AV299">
        <v>1</v>
      </c>
      <c r="AW299">
        <v>0</v>
      </c>
      <c r="AX299" t="s">
        <v>437</v>
      </c>
      <c r="AY299">
        <v>0</v>
      </c>
      <c r="AZ299">
        <v>0</v>
      </c>
      <c r="BA299">
        <v>0</v>
      </c>
      <c r="CE299">
        <v>2.2515000000000001</v>
      </c>
      <c r="CG299" t="s">
        <v>450</v>
      </c>
      <c r="CI299">
        <v>1.7486763088456401</v>
      </c>
      <c r="CJ299">
        <v>3.1</v>
      </c>
      <c r="CK299">
        <v>2.42433815442282</v>
      </c>
      <c r="CL299">
        <v>-0.18</v>
      </c>
      <c r="CM299">
        <v>2.2443381544228198</v>
      </c>
    </row>
    <row r="300" spans="1:91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398</v>
      </c>
      <c r="F300">
        <v>129242250</v>
      </c>
      <c r="G300">
        <v>135.5</v>
      </c>
      <c r="H300" t="s">
        <v>409</v>
      </c>
      <c r="I300">
        <v>17512324875</v>
      </c>
      <c r="J300" t="s">
        <v>415</v>
      </c>
      <c r="K300">
        <v>40686209.574180298</v>
      </c>
      <c r="L300">
        <v>1</v>
      </c>
      <c r="M300">
        <v>17512324875</v>
      </c>
      <c r="N300">
        <v>5076635580</v>
      </c>
      <c r="O300">
        <v>20103015</v>
      </c>
      <c r="P300">
        <v>2010</v>
      </c>
      <c r="Q300">
        <v>1.8993924129978601</v>
      </c>
      <c r="R300">
        <v>3.1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2.8839999999999999</v>
      </c>
      <c r="AT300">
        <v>2.6880000000000002</v>
      </c>
      <c r="AU300" t="s">
        <v>429</v>
      </c>
      <c r="AV300">
        <v>0</v>
      </c>
      <c r="AW300">
        <v>0</v>
      </c>
      <c r="AX300" t="s">
        <v>437</v>
      </c>
      <c r="AY300">
        <v>0</v>
      </c>
      <c r="AZ300">
        <v>0</v>
      </c>
      <c r="BA300">
        <v>0</v>
      </c>
      <c r="CE300">
        <v>2.786</v>
      </c>
      <c r="CG300" t="s">
        <v>450</v>
      </c>
      <c r="CI300">
        <v>1.8993924129978601</v>
      </c>
      <c r="CJ300">
        <v>3.1</v>
      </c>
      <c r="CK300">
        <v>2.4996962064989301</v>
      </c>
      <c r="CL300">
        <v>-0.18</v>
      </c>
      <c r="CM300">
        <v>2.3196962064989299</v>
      </c>
    </row>
    <row r="301" spans="1:91" x14ac:dyDescent="0.25">
      <c r="A301">
        <v>862</v>
      </c>
      <c r="B301" t="s">
        <v>155</v>
      </c>
      <c r="C301" t="s">
        <v>255</v>
      </c>
      <c r="D301" t="s">
        <v>355</v>
      </c>
      <c r="E301" t="s">
        <v>401</v>
      </c>
      <c r="F301">
        <v>563724900</v>
      </c>
      <c r="G301">
        <v>10.87</v>
      </c>
      <c r="H301" t="s">
        <v>409</v>
      </c>
      <c r="I301">
        <v>6127689663</v>
      </c>
      <c r="J301" t="s">
        <v>415</v>
      </c>
      <c r="K301">
        <v>8755069.4216968194</v>
      </c>
      <c r="L301">
        <v>0.65</v>
      </c>
      <c r="M301">
        <v>3982998280.9499998</v>
      </c>
      <c r="N301">
        <v>14393024146.799999</v>
      </c>
      <c r="O301">
        <v>35102000</v>
      </c>
      <c r="P301">
        <v>3510</v>
      </c>
      <c r="Q301">
        <v>1.7450067698613001</v>
      </c>
      <c r="S301" t="s">
        <v>418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2.177</v>
      </c>
      <c r="AT301">
        <v>2.6259999999999999</v>
      </c>
      <c r="AU301" t="s">
        <v>425</v>
      </c>
      <c r="AV301">
        <v>1</v>
      </c>
      <c r="AW301">
        <v>0</v>
      </c>
      <c r="AX301" t="s">
        <v>440</v>
      </c>
      <c r="AY301">
        <v>0</v>
      </c>
      <c r="AZ301">
        <v>0</v>
      </c>
      <c r="BA301">
        <v>0</v>
      </c>
      <c r="CE301">
        <v>2.4015</v>
      </c>
      <c r="CG301" t="s">
        <v>450</v>
      </c>
      <c r="CI301">
        <v>1.7450067698613001</v>
      </c>
      <c r="CJ301">
        <v>3.1</v>
      </c>
      <c r="CK301">
        <v>2.4225033849306499</v>
      </c>
      <c r="CL301">
        <v>-0.18</v>
      </c>
      <c r="CM301">
        <v>2.2425033849306502</v>
      </c>
    </row>
    <row r="302" spans="1:91" x14ac:dyDescent="0.25">
      <c r="A302">
        <v>865</v>
      </c>
      <c r="B302" t="s">
        <v>100</v>
      </c>
      <c r="C302" t="s">
        <v>200</v>
      </c>
      <c r="D302" t="s">
        <v>300</v>
      </c>
      <c r="E302" t="s">
        <v>399</v>
      </c>
      <c r="F302">
        <v>828972400</v>
      </c>
      <c r="G302">
        <v>10.98</v>
      </c>
      <c r="H302" t="s">
        <v>409</v>
      </c>
      <c r="I302">
        <v>9102116952</v>
      </c>
      <c r="J302" t="s">
        <v>415</v>
      </c>
      <c r="K302">
        <v>13202645.764067801</v>
      </c>
      <c r="L302">
        <v>0.85</v>
      </c>
      <c r="M302">
        <v>7736799409.1999998</v>
      </c>
      <c r="N302">
        <v>27677730491.200001</v>
      </c>
      <c r="O302">
        <v>50204020</v>
      </c>
      <c r="P302">
        <v>5020</v>
      </c>
      <c r="Q302">
        <v>1.99354514534105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2.5590000000000002</v>
      </c>
      <c r="AT302">
        <v>2.673</v>
      </c>
      <c r="AU302" t="s">
        <v>420</v>
      </c>
      <c r="AV302">
        <v>1</v>
      </c>
      <c r="AW302">
        <v>1</v>
      </c>
      <c r="AX302" t="s">
        <v>438</v>
      </c>
      <c r="AY302">
        <v>0</v>
      </c>
      <c r="AZ302">
        <v>0</v>
      </c>
      <c r="BA302">
        <v>0</v>
      </c>
      <c r="CE302">
        <v>2.6160000000000001</v>
      </c>
      <c r="CG302" t="s">
        <v>450</v>
      </c>
      <c r="CI302">
        <v>1.99354514534105</v>
      </c>
      <c r="CJ302">
        <v>3.1</v>
      </c>
      <c r="CK302">
        <v>2.546772572670525</v>
      </c>
      <c r="CL302">
        <v>-0.18</v>
      </c>
      <c r="CM302">
        <v>2.3667725726705249</v>
      </c>
    </row>
    <row r="303" spans="1:91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394</v>
      </c>
      <c r="F303">
        <v>705747272</v>
      </c>
      <c r="G303">
        <v>33.49</v>
      </c>
      <c r="H303" t="s">
        <v>409</v>
      </c>
      <c r="I303">
        <v>23635476139.279999</v>
      </c>
      <c r="J303" t="s">
        <v>415</v>
      </c>
      <c r="K303">
        <v>50909527.828492098</v>
      </c>
      <c r="L303">
        <v>1</v>
      </c>
      <c r="M303">
        <v>23635476139.279999</v>
      </c>
      <c r="N303">
        <v>27721752844.16</v>
      </c>
      <c r="O303">
        <v>40101015</v>
      </c>
      <c r="P303">
        <v>4010</v>
      </c>
      <c r="Q303">
        <v>1.7390149992256601</v>
      </c>
      <c r="R303">
        <v>1.5</v>
      </c>
      <c r="S303" t="s">
        <v>418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E303">
        <v>0.01</v>
      </c>
      <c r="AG303" t="s">
        <v>1653</v>
      </c>
      <c r="AH303">
        <v>0</v>
      </c>
      <c r="AI303" t="s">
        <v>424</v>
      </c>
      <c r="AJ303" t="s">
        <v>1653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2.6760000000000002</v>
      </c>
      <c r="AT303">
        <v>2.9630000000000001</v>
      </c>
      <c r="AU303" t="s">
        <v>420</v>
      </c>
      <c r="AV303">
        <v>1</v>
      </c>
      <c r="AW303">
        <v>0</v>
      </c>
      <c r="AX303" t="s">
        <v>433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2.8195000000000001</v>
      </c>
      <c r="CG303" t="s">
        <v>1670</v>
      </c>
      <c r="CH303" t="s">
        <v>1691</v>
      </c>
      <c r="CI303">
        <v>1.7390149992256601</v>
      </c>
      <c r="CJ303">
        <v>1.5</v>
      </c>
      <c r="CK303">
        <v>1.61950749961283</v>
      </c>
      <c r="CL303">
        <v>-0.18</v>
      </c>
      <c r="CM303">
        <v>1.4395074996128301</v>
      </c>
    </row>
    <row r="304" spans="1:91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404</v>
      </c>
      <c r="F304">
        <v>274805954</v>
      </c>
      <c r="G304">
        <v>67.86</v>
      </c>
      <c r="H304" t="s">
        <v>409</v>
      </c>
      <c r="I304">
        <v>18648332038.439999</v>
      </c>
      <c r="J304" t="s">
        <v>415</v>
      </c>
      <c r="K304">
        <v>66477931.922458999</v>
      </c>
      <c r="L304">
        <v>0.85000000000000009</v>
      </c>
      <c r="M304">
        <v>15851082232.674</v>
      </c>
      <c r="N304">
        <v>9175221192.1520023</v>
      </c>
      <c r="O304">
        <v>40204020</v>
      </c>
      <c r="P304">
        <v>4020</v>
      </c>
      <c r="Q304">
        <v>1.74695639043615</v>
      </c>
      <c r="S304" t="s">
        <v>417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2.5569999999999999</v>
      </c>
      <c r="AT304">
        <v>3.0339999999999998</v>
      </c>
      <c r="AU304" t="s">
        <v>431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2.7955000000000001</v>
      </c>
      <c r="CG304" t="s">
        <v>450</v>
      </c>
      <c r="CI304">
        <v>1.74695639043615</v>
      </c>
      <c r="CJ304">
        <v>3.1</v>
      </c>
      <c r="CK304">
        <v>2.4234781952180748</v>
      </c>
      <c r="CL304">
        <v>-0.3</v>
      </c>
      <c r="CM304">
        <v>2.123478195218075</v>
      </c>
    </row>
    <row r="305" spans="1:91" x14ac:dyDescent="0.25">
      <c r="A305">
        <v>895</v>
      </c>
      <c r="B305" t="s">
        <v>181</v>
      </c>
      <c r="C305" t="s">
        <v>281</v>
      </c>
      <c r="D305" t="s">
        <v>381</v>
      </c>
      <c r="E305" t="s">
        <v>403</v>
      </c>
      <c r="F305">
        <v>441412540</v>
      </c>
      <c r="G305">
        <v>14.978809999999999</v>
      </c>
      <c r="H305" t="s">
        <v>413</v>
      </c>
      <c r="I305">
        <v>6611834568.2774</v>
      </c>
      <c r="J305" t="s">
        <v>416</v>
      </c>
      <c r="K305">
        <v>15552731.930010101</v>
      </c>
      <c r="L305">
        <v>1</v>
      </c>
      <c r="M305">
        <v>6611834568.2774</v>
      </c>
      <c r="N305">
        <v>17338684571.200001</v>
      </c>
      <c r="O305">
        <v>50203030</v>
      </c>
      <c r="P305">
        <v>5020</v>
      </c>
      <c r="Q305">
        <v>1.6338401605731001</v>
      </c>
      <c r="R305">
        <v>1.5</v>
      </c>
      <c r="S305" t="s">
        <v>417</v>
      </c>
      <c r="T305" t="s">
        <v>422</v>
      </c>
      <c r="U305">
        <v>0</v>
      </c>
      <c r="V305">
        <v>0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 t="s">
        <v>422</v>
      </c>
      <c r="AC305" t="s">
        <v>422</v>
      </c>
      <c r="AD305">
        <v>0</v>
      </c>
      <c r="AE305">
        <v>0</v>
      </c>
      <c r="AF305">
        <v>0</v>
      </c>
      <c r="AH305">
        <v>0</v>
      </c>
      <c r="AI305" t="s">
        <v>424</v>
      </c>
      <c r="AK305" t="s">
        <v>424</v>
      </c>
      <c r="AL305" t="s">
        <v>424</v>
      </c>
      <c r="AM305" t="s">
        <v>424</v>
      </c>
      <c r="AO305">
        <v>0</v>
      </c>
      <c r="AP305">
        <v>0</v>
      </c>
      <c r="AQ305">
        <v>0</v>
      </c>
      <c r="AR305">
        <v>0</v>
      </c>
      <c r="AS305">
        <v>2.3959999999999999</v>
      </c>
      <c r="AT305">
        <v>3.2839999999999998</v>
      </c>
      <c r="AU305" t="s">
        <v>420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450</v>
      </c>
      <c r="CI305">
        <v>1.6338401605731001</v>
      </c>
      <c r="CJ305">
        <v>1.5</v>
      </c>
      <c r="CK305">
        <v>1.5669200802865499</v>
      </c>
      <c r="CL305">
        <v>-0.3</v>
      </c>
      <c r="CM305">
        <v>1.2669200802865499</v>
      </c>
    </row>
    <row r="306" spans="1:91" x14ac:dyDescent="0.25">
      <c r="A306">
        <v>903</v>
      </c>
      <c r="B306" t="s">
        <v>695</v>
      </c>
      <c r="C306" t="s">
        <v>1094</v>
      </c>
      <c r="D306" t="s">
        <v>1493</v>
      </c>
      <c r="E306" t="s">
        <v>400</v>
      </c>
      <c r="F306">
        <v>517111091</v>
      </c>
      <c r="G306">
        <v>18.514900000000001</v>
      </c>
      <c r="H306" t="s">
        <v>411</v>
      </c>
      <c r="I306">
        <v>9574260138.7559013</v>
      </c>
      <c r="J306" t="s">
        <v>416</v>
      </c>
      <c r="K306">
        <v>16584719.4508359</v>
      </c>
      <c r="L306">
        <v>0.85000000000000009</v>
      </c>
      <c r="M306">
        <v>8138121117.9425173</v>
      </c>
      <c r="N306">
        <v>17265305106.307999</v>
      </c>
      <c r="O306">
        <v>45102010</v>
      </c>
      <c r="P306">
        <v>4510</v>
      </c>
      <c r="Q306">
        <v>1.9431220592962599</v>
      </c>
      <c r="R306">
        <v>3.1</v>
      </c>
      <c r="S306" t="s">
        <v>417</v>
      </c>
      <c r="T306" t="s">
        <v>422</v>
      </c>
      <c r="U306">
        <v>0</v>
      </c>
      <c r="V306">
        <v>0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 t="s">
        <v>422</v>
      </c>
      <c r="AC306" t="s">
        <v>422</v>
      </c>
      <c r="AD306">
        <v>0</v>
      </c>
      <c r="AE306">
        <v>0</v>
      </c>
      <c r="AF306">
        <v>0</v>
      </c>
      <c r="AH306">
        <v>0</v>
      </c>
      <c r="AI306" t="s">
        <v>424</v>
      </c>
      <c r="AK306" t="s">
        <v>424</v>
      </c>
      <c r="AL306" t="s">
        <v>424</v>
      </c>
      <c r="AM306" t="s">
        <v>424</v>
      </c>
      <c r="AO306">
        <v>0</v>
      </c>
      <c r="AP306">
        <v>0</v>
      </c>
      <c r="AQ306">
        <v>0</v>
      </c>
      <c r="AR306">
        <v>0</v>
      </c>
      <c r="AS306">
        <v>2.4129999999999998</v>
      </c>
      <c r="AT306">
        <v>2.5670000000000002</v>
      </c>
      <c r="AU306" t="s">
        <v>420</v>
      </c>
      <c r="AV306">
        <v>1</v>
      </c>
      <c r="AW306">
        <v>0</v>
      </c>
      <c r="AX306" t="s">
        <v>439</v>
      </c>
      <c r="AY306">
        <v>0</v>
      </c>
      <c r="AZ306">
        <v>0</v>
      </c>
      <c r="BA306">
        <v>0</v>
      </c>
      <c r="CE306">
        <v>2.4900000000000002</v>
      </c>
      <c r="CG306" t="s">
        <v>450</v>
      </c>
      <c r="CI306">
        <v>1.9431220592962599</v>
      </c>
      <c r="CJ306">
        <v>3.1</v>
      </c>
      <c r="CK306">
        <v>2.5215610296481299</v>
      </c>
      <c r="CL306">
        <v>-0.3</v>
      </c>
      <c r="CM306">
        <v>2.2215610296481301</v>
      </c>
    </row>
    <row r="307" spans="1:91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398</v>
      </c>
      <c r="F307">
        <v>53824490</v>
      </c>
      <c r="G307">
        <v>305.5</v>
      </c>
      <c r="H307" t="s">
        <v>409</v>
      </c>
      <c r="I307">
        <v>16443381695</v>
      </c>
      <c r="J307" t="s">
        <v>415</v>
      </c>
      <c r="K307">
        <v>39354939.461475402</v>
      </c>
      <c r="L307">
        <v>1</v>
      </c>
      <c r="M307">
        <v>16443381695</v>
      </c>
      <c r="N307">
        <v>10727220857</v>
      </c>
      <c r="O307">
        <v>50201010</v>
      </c>
      <c r="P307">
        <v>5020</v>
      </c>
      <c r="Q307">
        <v>3.4</v>
      </c>
      <c r="R307">
        <v>3.1</v>
      </c>
      <c r="S307" t="s">
        <v>418</v>
      </c>
      <c r="T307" t="s">
        <v>422</v>
      </c>
      <c r="U307">
        <v>0</v>
      </c>
      <c r="V307">
        <v>0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 t="s">
        <v>422</v>
      </c>
      <c r="AC307" t="s">
        <v>422</v>
      </c>
      <c r="AD307">
        <v>0</v>
      </c>
      <c r="AE307">
        <v>0.01</v>
      </c>
      <c r="AF307">
        <v>0</v>
      </c>
      <c r="AH307">
        <v>0</v>
      </c>
      <c r="AI307" t="s">
        <v>424</v>
      </c>
      <c r="AK307" t="s">
        <v>424</v>
      </c>
      <c r="AL307" t="s">
        <v>424</v>
      </c>
      <c r="AM307" t="s">
        <v>424</v>
      </c>
      <c r="AO307">
        <v>0</v>
      </c>
      <c r="AP307">
        <v>0</v>
      </c>
      <c r="AQ307">
        <v>0</v>
      </c>
      <c r="AR307">
        <v>0</v>
      </c>
      <c r="AS307">
        <v>2.2330000000000001</v>
      </c>
      <c r="AT307">
        <v>3.33</v>
      </c>
      <c r="AU307" t="s">
        <v>420</v>
      </c>
      <c r="AV307">
        <v>1</v>
      </c>
      <c r="AW307">
        <v>0</v>
      </c>
      <c r="AX307" t="s">
        <v>437</v>
      </c>
      <c r="AY307">
        <v>0</v>
      </c>
      <c r="AZ307">
        <v>0</v>
      </c>
      <c r="BA307">
        <v>0</v>
      </c>
      <c r="BE307" t="s">
        <v>1663</v>
      </c>
      <c r="BQ307" t="s">
        <v>68</v>
      </c>
      <c r="CE307">
        <v>2.7814999999999999</v>
      </c>
      <c r="CG307" t="s">
        <v>1670</v>
      </c>
      <c r="CH307" t="s">
        <v>1717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398</v>
      </c>
      <c r="F308">
        <v>133760280</v>
      </c>
      <c r="G308">
        <v>515</v>
      </c>
      <c r="H308" t="s">
        <v>409</v>
      </c>
      <c r="I308">
        <v>68886544200</v>
      </c>
      <c r="J308" t="s">
        <v>415</v>
      </c>
      <c r="K308">
        <v>128545422.752459</v>
      </c>
      <c r="L308">
        <v>1</v>
      </c>
      <c r="M308">
        <v>68886544200</v>
      </c>
      <c r="N308">
        <v>26658423804</v>
      </c>
      <c r="O308">
        <v>30302020</v>
      </c>
      <c r="P308">
        <v>3030</v>
      </c>
      <c r="Q308">
        <v>3.4</v>
      </c>
      <c r="S308" t="s">
        <v>424</v>
      </c>
      <c r="T308" t="s">
        <v>422</v>
      </c>
      <c r="U308">
        <v>0</v>
      </c>
      <c r="V308">
        <v>0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 t="s">
        <v>422</v>
      </c>
      <c r="AC308" t="s">
        <v>422</v>
      </c>
      <c r="AD308">
        <v>0</v>
      </c>
      <c r="AE308">
        <v>0</v>
      </c>
      <c r="AF308">
        <v>0</v>
      </c>
      <c r="AH308">
        <v>0</v>
      </c>
      <c r="AI308" t="s">
        <v>424</v>
      </c>
      <c r="AK308" t="s">
        <v>424</v>
      </c>
      <c r="AL308" t="s">
        <v>424</v>
      </c>
      <c r="AM308" t="s">
        <v>424</v>
      </c>
      <c r="AO308">
        <v>0</v>
      </c>
      <c r="AP308">
        <v>0</v>
      </c>
      <c r="AQ308">
        <v>0</v>
      </c>
      <c r="AR308">
        <v>0</v>
      </c>
      <c r="AS308">
        <v>2.44</v>
      </c>
      <c r="AT308">
        <v>3.379</v>
      </c>
      <c r="AU308" t="s">
        <v>430</v>
      </c>
      <c r="AV308">
        <v>0</v>
      </c>
      <c r="AW308">
        <v>0</v>
      </c>
      <c r="AX308" t="s">
        <v>437</v>
      </c>
      <c r="AY308">
        <v>0</v>
      </c>
      <c r="AZ308">
        <v>0</v>
      </c>
      <c r="BA308">
        <v>0</v>
      </c>
      <c r="CE308">
        <v>2.9095</v>
      </c>
      <c r="CG308" t="s">
        <v>450</v>
      </c>
      <c r="CI308">
        <v>3.4</v>
      </c>
      <c r="CJ308">
        <v>3.1</v>
      </c>
      <c r="CK308">
        <v>3.25</v>
      </c>
      <c r="CL308">
        <v>0.3</v>
      </c>
      <c r="CM308">
        <v>3.55</v>
      </c>
    </row>
    <row r="309" spans="1:91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395</v>
      </c>
      <c r="F309">
        <v>97916510</v>
      </c>
      <c r="G309">
        <v>43.17944</v>
      </c>
      <c r="H309" t="s">
        <v>410</v>
      </c>
      <c r="I309">
        <v>4227980068.5544</v>
      </c>
      <c r="J309" t="s">
        <v>416</v>
      </c>
      <c r="K309">
        <v>4714072.9623782104</v>
      </c>
      <c r="L309">
        <v>0.75</v>
      </c>
      <c r="M309">
        <v>3170985051.4158001</v>
      </c>
      <c r="N309">
        <v>14636070332.25</v>
      </c>
      <c r="O309">
        <v>10102020</v>
      </c>
      <c r="P309">
        <v>1010</v>
      </c>
      <c r="Q309">
        <v>1.9767278221111</v>
      </c>
      <c r="S309" t="s">
        <v>424</v>
      </c>
      <c r="T309" t="s">
        <v>422</v>
      </c>
      <c r="U309">
        <v>0</v>
      </c>
      <c r="V309">
        <v>0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 t="s">
        <v>422</v>
      </c>
      <c r="AC309" t="s">
        <v>422</v>
      </c>
      <c r="AD309">
        <v>0</v>
      </c>
      <c r="AE309">
        <v>0</v>
      </c>
      <c r="AF309">
        <v>0</v>
      </c>
      <c r="AH309">
        <v>0</v>
      </c>
      <c r="AI309" t="s">
        <v>424</v>
      </c>
      <c r="AK309" t="s">
        <v>424</v>
      </c>
      <c r="AL309" t="s">
        <v>424</v>
      </c>
      <c r="AM309" t="s">
        <v>424</v>
      </c>
      <c r="AO309">
        <v>0</v>
      </c>
      <c r="AP309">
        <v>0</v>
      </c>
      <c r="AQ309">
        <v>0</v>
      </c>
      <c r="AR309">
        <v>0</v>
      </c>
      <c r="AS309">
        <v>2.1360000000000001</v>
      </c>
      <c r="AT309">
        <v>3.0329999999999999</v>
      </c>
      <c r="AU309" t="s">
        <v>420</v>
      </c>
      <c r="AV309">
        <v>1</v>
      </c>
      <c r="AW309">
        <v>0</v>
      </c>
      <c r="AX309" t="s">
        <v>434</v>
      </c>
      <c r="AY309">
        <v>0</v>
      </c>
      <c r="AZ309">
        <v>0</v>
      </c>
      <c r="BA309">
        <v>0</v>
      </c>
      <c r="CE309">
        <v>2.5844999999999998</v>
      </c>
      <c r="CG309" t="s">
        <v>450</v>
      </c>
      <c r="CI309">
        <v>1.9767278221111</v>
      </c>
      <c r="CJ309">
        <v>3.1</v>
      </c>
      <c r="CK309">
        <v>2.53836391105555</v>
      </c>
      <c r="CL309">
        <v>0.3</v>
      </c>
      <c r="CM309">
        <v>2.8383639110555499</v>
      </c>
    </row>
    <row r="310" spans="1:91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403</v>
      </c>
      <c r="F310">
        <v>4892216300</v>
      </c>
      <c r="G310">
        <v>11.58409</v>
      </c>
      <c r="H310" t="s">
        <v>413</v>
      </c>
      <c r="I310">
        <v>56671873918.667</v>
      </c>
      <c r="J310" t="s">
        <v>416</v>
      </c>
      <c r="K310">
        <v>79608563.527046993</v>
      </c>
      <c r="L310">
        <v>1</v>
      </c>
      <c r="M310">
        <v>56671873918.667</v>
      </c>
      <c r="N310">
        <v>975018708590</v>
      </c>
      <c r="O310">
        <v>65102000</v>
      </c>
      <c r="P310">
        <v>6510</v>
      </c>
      <c r="Q310">
        <v>1.8995716623789001</v>
      </c>
      <c r="R310">
        <v>2.62</v>
      </c>
      <c r="S310" t="s">
        <v>417</v>
      </c>
      <c r="T310" t="s">
        <v>422</v>
      </c>
      <c r="U310">
        <v>0</v>
      </c>
      <c r="V310">
        <v>0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 t="s">
        <v>422</v>
      </c>
      <c r="AC310" t="s">
        <v>422</v>
      </c>
      <c r="AD310">
        <v>0</v>
      </c>
      <c r="AE310">
        <v>0.35399999999999998</v>
      </c>
      <c r="AF310">
        <v>3.2000000000000002E-3</v>
      </c>
      <c r="AH310">
        <v>0</v>
      </c>
      <c r="AI310" t="s">
        <v>424</v>
      </c>
      <c r="AK310" t="s">
        <v>424</v>
      </c>
      <c r="AL310" t="s">
        <v>424</v>
      </c>
      <c r="AM310" t="s">
        <v>424</v>
      </c>
      <c r="AO310">
        <v>0</v>
      </c>
      <c r="AP310">
        <v>0</v>
      </c>
      <c r="AQ310">
        <v>0</v>
      </c>
      <c r="AR310">
        <v>0</v>
      </c>
      <c r="AS310">
        <v>2.2170000000000001</v>
      </c>
      <c r="AT310">
        <v>3.1</v>
      </c>
      <c r="AU310" t="s">
        <v>421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2.6585000000000001</v>
      </c>
      <c r="CG310" t="s">
        <v>1670</v>
      </c>
      <c r="CH310" t="s">
        <v>1718</v>
      </c>
      <c r="CI310">
        <v>1.8995716623789001</v>
      </c>
      <c r="CJ310">
        <v>2.62</v>
      </c>
      <c r="CK310">
        <v>2.2597858311894501</v>
      </c>
      <c r="CL310">
        <v>-0.3</v>
      </c>
      <c r="CM310">
        <v>1.95978583118945</v>
      </c>
    </row>
    <row r="311" spans="1:91" x14ac:dyDescent="0.25">
      <c r="A311">
        <v>918</v>
      </c>
      <c r="B311" t="s">
        <v>700</v>
      </c>
      <c r="C311" t="s">
        <v>1099</v>
      </c>
      <c r="D311" t="s">
        <v>1498</v>
      </c>
      <c r="E311" t="s">
        <v>401</v>
      </c>
      <c r="F311">
        <v>969613830</v>
      </c>
      <c r="G311">
        <v>25.42</v>
      </c>
      <c r="H311" t="s">
        <v>409</v>
      </c>
      <c r="I311">
        <v>24647583558.599998</v>
      </c>
      <c r="J311" t="s">
        <v>415</v>
      </c>
      <c r="K311">
        <v>6509316.3653968303</v>
      </c>
      <c r="L311">
        <v>0.15</v>
      </c>
      <c r="M311">
        <v>3697137533.79</v>
      </c>
      <c r="N311">
        <v>28986605447.849998</v>
      </c>
      <c r="O311">
        <v>65102020</v>
      </c>
      <c r="P311">
        <v>6510</v>
      </c>
      <c r="Q311">
        <v>1.9566714952755</v>
      </c>
      <c r="R311">
        <v>1.5</v>
      </c>
      <c r="S311" t="s">
        <v>418</v>
      </c>
      <c r="T311" t="s">
        <v>422</v>
      </c>
      <c r="U311">
        <v>0</v>
      </c>
      <c r="V311">
        <v>0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 t="s">
        <v>422</v>
      </c>
      <c r="AC311" t="s">
        <v>422</v>
      </c>
      <c r="AD311">
        <v>0</v>
      </c>
      <c r="AE311">
        <v>0.84899999999999998</v>
      </c>
      <c r="AF311">
        <v>0.1855</v>
      </c>
      <c r="AH311">
        <v>0</v>
      </c>
      <c r="AI311" t="s">
        <v>424</v>
      </c>
      <c r="AK311" t="s">
        <v>424</v>
      </c>
      <c r="AL311" t="s">
        <v>424</v>
      </c>
      <c r="AM311" t="s">
        <v>424</v>
      </c>
      <c r="AN311" t="s">
        <v>1654</v>
      </c>
      <c r="AO311">
        <v>3.2000000000000001E-2</v>
      </c>
      <c r="AP311">
        <v>0</v>
      </c>
      <c r="AQ311">
        <v>0</v>
      </c>
      <c r="AR311">
        <v>0</v>
      </c>
      <c r="AS311">
        <v>2.714</v>
      </c>
      <c r="AT311">
        <v>2.8330000000000002</v>
      </c>
      <c r="AU311" t="s">
        <v>421</v>
      </c>
      <c r="AV311">
        <v>1</v>
      </c>
      <c r="AW311">
        <v>0</v>
      </c>
      <c r="AX311" t="s">
        <v>440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2.7734999999999999</v>
      </c>
      <c r="CG311" t="s">
        <v>1670</v>
      </c>
      <c r="CH311" t="s">
        <v>1709</v>
      </c>
      <c r="CI311">
        <v>1.9566714952755</v>
      </c>
      <c r="CJ311">
        <v>1.5</v>
      </c>
      <c r="CK311">
        <v>1.7283357476377501</v>
      </c>
      <c r="CL311">
        <v>-0.18</v>
      </c>
      <c r="CM311">
        <v>1.5483357476377499</v>
      </c>
    </row>
    <row r="312" spans="1:91" x14ac:dyDescent="0.25">
      <c r="A312">
        <v>919</v>
      </c>
      <c r="B312" t="s">
        <v>137</v>
      </c>
      <c r="C312" t="s">
        <v>237</v>
      </c>
      <c r="D312" t="s">
        <v>337</v>
      </c>
      <c r="E312" t="s">
        <v>403</v>
      </c>
      <c r="F312">
        <v>8058562000</v>
      </c>
      <c r="G312">
        <v>5.4620050000000004</v>
      </c>
      <c r="H312" t="s">
        <v>413</v>
      </c>
      <c r="I312">
        <v>44015905936.810013</v>
      </c>
      <c r="J312" t="s">
        <v>416</v>
      </c>
      <c r="K312">
        <v>81343299.2132736</v>
      </c>
      <c r="L312">
        <v>0.9</v>
      </c>
      <c r="M312">
        <v>39614315343.129013</v>
      </c>
      <c r="N312">
        <v>1445464265940</v>
      </c>
      <c r="O312">
        <v>30101010</v>
      </c>
      <c r="P312">
        <v>3010</v>
      </c>
      <c r="Q312">
        <v>1.9993421653535901</v>
      </c>
      <c r="S312" t="s">
        <v>419</v>
      </c>
      <c r="T312" t="s">
        <v>422</v>
      </c>
      <c r="U312">
        <v>0</v>
      </c>
      <c r="V312">
        <v>0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 t="s">
        <v>422</v>
      </c>
      <c r="AC312" t="s">
        <v>422</v>
      </c>
      <c r="AD312">
        <v>0</v>
      </c>
      <c r="AE312">
        <v>0</v>
      </c>
      <c r="AF312">
        <v>0</v>
      </c>
      <c r="AH312">
        <v>0</v>
      </c>
      <c r="AI312" t="s">
        <v>424</v>
      </c>
      <c r="AK312" t="s">
        <v>424</v>
      </c>
      <c r="AL312" t="s">
        <v>424</v>
      </c>
      <c r="AM312" t="s">
        <v>424</v>
      </c>
      <c r="AO312">
        <v>0</v>
      </c>
      <c r="AP312">
        <v>0</v>
      </c>
      <c r="AQ312">
        <v>0</v>
      </c>
      <c r="AR312">
        <v>0</v>
      </c>
      <c r="AS312">
        <v>2.4140000000000001</v>
      </c>
      <c r="AT312">
        <v>2.734</v>
      </c>
      <c r="AU312" t="s">
        <v>430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2.5739999999999998</v>
      </c>
      <c r="CG312" t="s">
        <v>450</v>
      </c>
      <c r="CI312">
        <v>1.9993421653535901</v>
      </c>
      <c r="CJ312">
        <v>3.1</v>
      </c>
      <c r="CK312">
        <v>2.5496710826767952</v>
      </c>
      <c r="CL312">
        <v>-0.24</v>
      </c>
      <c r="CM312">
        <v>2.309671082676795</v>
      </c>
    </row>
    <row r="313" spans="1:91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398</v>
      </c>
      <c r="F313">
        <v>115500000</v>
      </c>
      <c r="G313">
        <v>117.4</v>
      </c>
      <c r="H313" t="s">
        <v>409</v>
      </c>
      <c r="I313">
        <v>13559700000</v>
      </c>
      <c r="J313" t="s">
        <v>415</v>
      </c>
      <c r="K313">
        <v>11384093.309016399</v>
      </c>
      <c r="L313">
        <v>0.55000000000000004</v>
      </c>
      <c r="M313">
        <v>7457835000.000001</v>
      </c>
      <c r="N313">
        <v>12660532500</v>
      </c>
      <c r="O313">
        <v>10101015</v>
      </c>
      <c r="P313">
        <v>1010</v>
      </c>
      <c r="Q313">
        <v>3.4</v>
      </c>
      <c r="S313" t="s">
        <v>420</v>
      </c>
      <c r="T313" t="s">
        <v>422</v>
      </c>
      <c r="U313">
        <v>0</v>
      </c>
      <c r="V313">
        <v>0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 t="s">
        <v>422</v>
      </c>
      <c r="AC313" t="s">
        <v>422</v>
      </c>
      <c r="AD313">
        <v>0</v>
      </c>
      <c r="AE313">
        <v>0</v>
      </c>
      <c r="AF313">
        <v>0</v>
      </c>
      <c r="AH313">
        <v>0</v>
      </c>
      <c r="AI313" t="s">
        <v>424</v>
      </c>
      <c r="AK313" t="s">
        <v>424</v>
      </c>
      <c r="AL313" t="s">
        <v>424</v>
      </c>
      <c r="AM313" t="s">
        <v>424</v>
      </c>
      <c r="AO313">
        <v>0</v>
      </c>
      <c r="AP313">
        <v>0</v>
      </c>
      <c r="AQ313">
        <v>0</v>
      </c>
      <c r="AR313">
        <v>0</v>
      </c>
      <c r="AS313">
        <v>1.851</v>
      </c>
      <c r="AT313">
        <v>2.4279999999999999</v>
      </c>
      <c r="AU313" t="s">
        <v>426</v>
      </c>
      <c r="AV313">
        <v>0</v>
      </c>
      <c r="AW313">
        <v>0</v>
      </c>
      <c r="AX313" t="s">
        <v>437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1670</v>
      </c>
      <c r="CH313" t="s">
        <v>83</v>
      </c>
      <c r="CI313">
        <v>3.4</v>
      </c>
      <c r="CJ313">
        <v>3.1</v>
      </c>
      <c r="CK313">
        <v>3.25</v>
      </c>
      <c r="CL313">
        <v>0</v>
      </c>
      <c r="CM313">
        <v>3.25</v>
      </c>
    </row>
    <row r="314" spans="1:91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399</v>
      </c>
      <c r="F314">
        <v>769211060</v>
      </c>
      <c r="G314">
        <v>8.9480000000000004</v>
      </c>
      <c r="H314" t="s">
        <v>409</v>
      </c>
      <c r="I314">
        <v>6882900564.8800001</v>
      </c>
      <c r="J314" t="s">
        <v>415</v>
      </c>
      <c r="K314">
        <v>27715593.922542401</v>
      </c>
      <c r="L314">
        <v>0.55000000000000004</v>
      </c>
      <c r="M314">
        <v>3785595310.684</v>
      </c>
      <c r="N314">
        <v>84317070341.900009</v>
      </c>
      <c r="O314">
        <v>60101020</v>
      </c>
      <c r="P314">
        <v>6010</v>
      </c>
      <c r="Q314">
        <v>3.3155786111539598</v>
      </c>
      <c r="R314">
        <v>1.5</v>
      </c>
      <c r="S314" t="s">
        <v>418</v>
      </c>
      <c r="T314" t="s">
        <v>422</v>
      </c>
      <c r="U314">
        <v>0</v>
      </c>
      <c r="V314">
        <v>0.01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 t="s">
        <v>422</v>
      </c>
      <c r="AC314" t="s">
        <v>422</v>
      </c>
      <c r="AD314">
        <v>0</v>
      </c>
      <c r="AE314">
        <v>0.628</v>
      </c>
      <c r="AF314">
        <v>0.01</v>
      </c>
      <c r="AH314">
        <v>0</v>
      </c>
      <c r="AI314" t="s">
        <v>424</v>
      </c>
      <c r="AK314" t="s">
        <v>424</v>
      </c>
      <c r="AL314" t="s">
        <v>424</v>
      </c>
      <c r="AM314" t="s">
        <v>1655</v>
      </c>
      <c r="AO314">
        <v>0</v>
      </c>
      <c r="AP314">
        <v>0</v>
      </c>
      <c r="AQ314">
        <v>0</v>
      </c>
      <c r="AR314">
        <v>0</v>
      </c>
      <c r="AS314">
        <v>3.0089999999999999</v>
      </c>
      <c r="AT314">
        <v>3.5840000000000001</v>
      </c>
      <c r="AU314" t="s">
        <v>420</v>
      </c>
      <c r="AV314">
        <v>1</v>
      </c>
      <c r="AW314">
        <v>0</v>
      </c>
      <c r="AX314" t="s">
        <v>438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1670</v>
      </c>
      <c r="CH314" t="s">
        <v>1708</v>
      </c>
      <c r="CI314">
        <v>3.3155786111539598</v>
      </c>
      <c r="CJ314">
        <v>1.5</v>
      </c>
      <c r="CK314">
        <v>2.4077893055769799</v>
      </c>
      <c r="CL314">
        <v>-0.18</v>
      </c>
      <c r="CM314">
        <v>2.2277893055769802</v>
      </c>
    </row>
    <row r="315" spans="1:91" x14ac:dyDescent="0.25">
      <c r="A315">
        <v>923</v>
      </c>
      <c r="B315" t="s">
        <v>173</v>
      </c>
      <c r="C315" t="s">
        <v>273</v>
      </c>
      <c r="D315" t="s">
        <v>373</v>
      </c>
      <c r="E315" t="s">
        <v>406</v>
      </c>
      <c r="F315">
        <v>2620000000</v>
      </c>
      <c r="G315">
        <v>90.485759999999999</v>
      </c>
      <c r="H315" t="s">
        <v>414</v>
      </c>
      <c r="I315">
        <v>237072691200</v>
      </c>
      <c r="J315" t="s">
        <v>416</v>
      </c>
      <c r="K315">
        <v>395799404.31295902</v>
      </c>
      <c r="L315">
        <v>1</v>
      </c>
      <c r="M315">
        <v>237072691200</v>
      </c>
      <c r="N315">
        <v>522166000000</v>
      </c>
      <c r="O315">
        <v>45102020</v>
      </c>
      <c r="P315">
        <v>4510</v>
      </c>
      <c r="Q315">
        <v>1.74112504395241</v>
      </c>
      <c r="R315">
        <v>1.5</v>
      </c>
      <c r="S315" t="s">
        <v>419</v>
      </c>
      <c r="T315" t="s">
        <v>422</v>
      </c>
      <c r="U315">
        <v>0</v>
      </c>
      <c r="V315">
        <v>0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 t="s">
        <v>422</v>
      </c>
      <c r="AC315" t="s">
        <v>422</v>
      </c>
      <c r="AD315">
        <v>0</v>
      </c>
      <c r="AE315">
        <v>0</v>
      </c>
      <c r="AF315">
        <v>0</v>
      </c>
      <c r="AH315">
        <v>0</v>
      </c>
      <c r="AI315" t="s">
        <v>424</v>
      </c>
      <c r="AK315" t="s">
        <v>424</v>
      </c>
      <c r="AL315" t="s">
        <v>424</v>
      </c>
      <c r="AM315" t="s">
        <v>424</v>
      </c>
      <c r="AO315">
        <v>0</v>
      </c>
      <c r="AP315">
        <v>0</v>
      </c>
      <c r="AQ315">
        <v>0</v>
      </c>
      <c r="AR315">
        <v>0</v>
      </c>
      <c r="AS315">
        <v>2.2480000000000002</v>
      </c>
      <c r="AT315">
        <v>2.8980000000000001</v>
      </c>
      <c r="AU315" t="s">
        <v>420</v>
      </c>
      <c r="AV315">
        <v>1</v>
      </c>
      <c r="AW315">
        <v>0</v>
      </c>
      <c r="AX315" t="s">
        <v>446</v>
      </c>
      <c r="AY315">
        <v>0</v>
      </c>
      <c r="AZ315">
        <v>0</v>
      </c>
      <c r="BA315">
        <v>0</v>
      </c>
      <c r="CE315">
        <v>2.573</v>
      </c>
      <c r="CG315" t="s">
        <v>450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394</v>
      </c>
      <c r="F316">
        <v>43753380</v>
      </c>
      <c r="G316">
        <v>106.3</v>
      </c>
      <c r="H316" t="s">
        <v>409</v>
      </c>
      <c r="I316">
        <v>4650984294</v>
      </c>
      <c r="J316" t="s">
        <v>415</v>
      </c>
      <c r="K316">
        <v>16849351.233333301</v>
      </c>
      <c r="L316">
        <v>0.8</v>
      </c>
      <c r="M316">
        <v>3720787435.1999998</v>
      </c>
      <c r="N316">
        <v>6976038907.2000008</v>
      </c>
      <c r="O316">
        <v>50202010</v>
      </c>
      <c r="P316">
        <v>5020</v>
      </c>
      <c r="Q316">
        <v>1.7494105901275401</v>
      </c>
      <c r="R316">
        <v>1.5</v>
      </c>
      <c r="S316" t="s">
        <v>419</v>
      </c>
      <c r="T316" t="s">
        <v>422</v>
      </c>
      <c r="U316">
        <v>0</v>
      </c>
      <c r="V316">
        <v>0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 t="s">
        <v>422</v>
      </c>
      <c r="AC316" t="s">
        <v>422</v>
      </c>
      <c r="AD316">
        <v>0</v>
      </c>
      <c r="AE316">
        <v>0.01</v>
      </c>
      <c r="AF316">
        <v>0</v>
      </c>
      <c r="AH316">
        <v>0</v>
      </c>
      <c r="AI316" t="s">
        <v>424</v>
      </c>
      <c r="AK316" t="s">
        <v>424</v>
      </c>
      <c r="AL316" t="s">
        <v>424</v>
      </c>
      <c r="AM316" t="s">
        <v>424</v>
      </c>
      <c r="AN316" t="s">
        <v>1653</v>
      </c>
      <c r="AO316">
        <v>0.05</v>
      </c>
      <c r="AP316">
        <v>0</v>
      </c>
      <c r="AQ316">
        <v>0</v>
      </c>
      <c r="AR316">
        <v>0</v>
      </c>
      <c r="AS316">
        <v>2.36</v>
      </c>
      <c r="AT316">
        <v>3.2570000000000001</v>
      </c>
      <c r="AU316" t="s">
        <v>420</v>
      </c>
      <c r="AV316">
        <v>1</v>
      </c>
      <c r="AW316">
        <v>0</v>
      </c>
      <c r="AX316" t="s">
        <v>433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1670</v>
      </c>
      <c r="CH316" t="s">
        <v>1689</v>
      </c>
      <c r="CI316">
        <v>1.7494105901275401</v>
      </c>
      <c r="CJ316">
        <v>1.5</v>
      </c>
      <c r="CK316">
        <v>1.6247052950637699</v>
      </c>
      <c r="CL316">
        <v>-0.24</v>
      </c>
      <c r="CM316">
        <v>1.3847052950637699</v>
      </c>
    </row>
    <row r="317" spans="1:91" x14ac:dyDescent="0.25">
      <c r="A317">
        <v>931</v>
      </c>
      <c r="B317" t="s">
        <v>166</v>
      </c>
      <c r="C317" t="s">
        <v>266</v>
      </c>
      <c r="D317" t="s">
        <v>366</v>
      </c>
      <c r="E317" t="s">
        <v>403</v>
      </c>
      <c r="F317">
        <v>123443540</v>
      </c>
      <c r="G317">
        <v>121.0757</v>
      </c>
      <c r="H317" t="s">
        <v>413</v>
      </c>
      <c r="I317">
        <v>14946013015.978001</v>
      </c>
      <c r="J317" t="s">
        <v>416</v>
      </c>
      <c r="K317">
        <v>22701103.9734562</v>
      </c>
      <c r="L317">
        <v>0.9</v>
      </c>
      <c r="M317">
        <v>13451411714.380199</v>
      </c>
      <c r="N317">
        <v>22142067769.799999</v>
      </c>
      <c r="O317">
        <v>40401010</v>
      </c>
      <c r="P317">
        <v>4040</v>
      </c>
      <c r="Q317">
        <v>1.98869886550994</v>
      </c>
      <c r="R317">
        <v>1.5</v>
      </c>
      <c r="S317" t="s">
        <v>418</v>
      </c>
      <c r="T317" t="s">
        <v>422</v>
      </c>
      <c r="U317">
        <v>0</v>
      </c>
      <c r="V317">
        <v>0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 t="s">
        <v>422</v>
      </c>
      <c r="AC317" t="s">
        <v>422</v>
      </c>
      <c r="AD317">
        <v>0</v>
      </c>
      <c r="AE317">
        <v>0</v>
      </c>
      <c r="AF317">
        <v>0</v>
      </c>
      <c r="AH317">
        <v>0</v>
      </c>
      <c r="AI317" t="s">
        <v>424</v>
      </c>
      <c r="AK317" t="s">
        <v>424</v>
      </c>
      <c r="AL317" t="s">
        <v>424</v>
      </c>
      <c r="AM317" t="s">
        <v>424</v>
      </c>
      <c r="AO317">
        <v>0</v>
      </c>
      <c r="AP317">
        <v>0</v>
      </c>
      <c r="AQ317">
        <v>0</v>
      </c>
      <c r="AR317">
        <v>0</v>
      </c>
      <c r="AS317">
        <v>2.3570000000000002</v>
      </c>
      <c r="AT317">
        <v>2.1</v>
      </c>
      <c r="AU317" t="s">
        <v>431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2.2284999999999999</v>
      </c>
      <c r="CG317" t="s">
        <v>450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1.5643494327549701</v>
      </c>
    </row>
    <row r="318" spans="1:91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395</v>
      </c>
      <c r="F318">
        <v>1782936200</v>
      </c>
      <c r="G318">
        <v>3.637251</v>
      </c>
      <c r="H318" t="s">
        <v>410</v>
      </c>
      <c r="I318">
        <v>6484986476.3862</v>
      </c>
      <c r="J318" t="s">
        <v>416</v>
      </c>
      <c r="K318">
        <v>32390200.2197248</v>
      </c>
      <c r="L318">
        <v>1</v>
      </c>
      <c r="M318">
        <v>6484986476.3862</v>
      </c>
      <c r="N318">
        <v>355339184660</v>
      </c>
      <c r="O318">
        <v>50101025</v>
      </c>
      <c r="P318">
        <v>5010</v>
      </c>
      <c r="S318" t="s">
        <v>418</v>
      </c>
      <c r="T318" t="s">
        <v>422</v>
      </c>
      <c r="U318">
        <v>0</v>
      </c>
      <c r="V318">
        <v>0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 t="s">
        <v>422</v>
      </c>
      <c r="AC318" t="s">
        <v>422</v>
      </c>
      <c r="AD318">
        <v>0</v>
      </c>
      <c r="AE318">
        <v>0</v>
      </c>
      <c r="AF318">
        <v>0</v>
      </c>
      <c r="AH318">
        <v>0</v>
      </c>
      <c r="AI318" t="s">
        <v>424</v>
      </c>
      <c r="AK318" t="s">
        <v>424</v>
      </c>
      <c r="AL318" t="s">
        <v>424</v>
      </c>
      <c r="AM318" t="s">
        <v>424</v>
      </c>
      <c r="AO318">
        <v>0</v>
      </c>
      <c r="AP318">
        <v>0</v>
      </c>
      <c r="AQ318">
        <v>0</v>
      </c>
      <c r="AR318">
        <v>0</v>
      </c>
      <c r="AS318">
        <v>2.2309999999999999</v>
      </c>
      <c r="AT318">
        <v>2.3410000000000002</v>
      </c>
      <c r="AU318" t="s">
        <v>420</v>
      </c>
      <c r="AV318">
        <v>1</v>
      </c>
      <c r="AW318">
        <v>0</v>
      </c>
      <c r="AX318" t="s">
        <v>434</v>
      </c>
      <c r="AY318">
        <v>0</v>
      </c>
      <c r="AZ318">
        <v>0</v>
      </c>
      <c r="BA318">
        <v>0</v>
      </c>
      <c r="CE318">
        <v>2.286</v>
      </c>
      <c r="CG318" t="s">
        <v>450</v>
      </c>
      <c r="CI318">
        <v>3.4</v>
      </c>
      <c r="CJ318">
        <v>3.1</v>
      </c>
      <c r="CK318">
        <v>3.25</v>
      </c>
      <c r="CL318">
        <v>-0.18</v>
      </c>
      <c r="CM318">
        <v>3.07</v>
      </c>
    </row>
    <row r="319" spans="1:91" x14ac:dyDescent="0.25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67.960489999999993</v>
      </c>
      <c r="H319" t="s">
        <v>412</v>
      </c>
      <c r="I319">
        <v>3650840445.101069</v>
      </c>
      <c r="J319" t="s">
        <v>416</v>
      </c>
      <c r="K319">
        <v>12032241.420621499</v>
      </c>
      <c r="L319">
        <v>1</v>
      </c>
      <c r="M319">
        <v>3650840445.101069</v>
      </c>
      <c r="N319">
        <v>10706404569.9</v>
      </c>
      <c r="O319">
        <v>50202010</v>
      </c>
      <c r="P319">
        <v>5020</v>
      </c>
      <c r="Q319">
        <v>1.7476187603245601</v>
      </c>
      <c r="S319" t="s">
        <v>424</v>
      </c>
      <c r="T319" t="s">
        <v>422</v>
      </c>
      <c r="U319">
        <v>0</v>
      </c>
      <c r="V319">
        <v>0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 t="s">
        <v>422</v>
      </c>
      <c r="AC319" t="s">
        <v>422</v>
      </c>
      <c r="AD319">
        <v>0</v>
      </c>
      <c r="AE319">
        <v>0.01</v>
      </c>
      <c r="AF319">
        <v>0</v>
      </c>
      <c r="AH319">
        <v>0</v>
      </c>
      <c r="AI319" t="s">
        <v>424</v>
      </c>
      <c r="AK319" t="s">
        <v>424</v>
      </c>
      <c r="AL319" t="s">
        <v>424</v>
      </c>
      <c r="AM319" t="s">
        <v>424</v>
      </c>
      <c r="AO319">
        <v>0</v>
      </c>
      <c r="AP319">
        <v>0</v>
      </c>
      <c r="AQ319">
        <v>0</v>
      </c>
      <c r="AR319">
        <v>0</v>
      </c>
      <c r="AS319">
        <v>2.1920000000000002</v>
      </c>
      <c r="AT319">
        <v>2.9420000000000002</v>
      </c>
      <c r="AU319" t="s">
        <v>420</v>
      </c>
      <c r="AV319">
        <v>1</v>
      </c>
      <c r="AW319">
        <v>0</v>
      </c>
      <c r="AX319" t="s">
        <v>441</v>
      </c>
      <c r="AY319">
        <v>0</v>
      </c>
      <c r="AZ319">
        <v>0</v>
      </c>
      <c r="BA319">
        <v>0</v>
      </c>
      <c r="BQ319" t="s">
        <v>68</v>
      </c>
      <c r="CE319">
        <v>2.5670000000000002</v>
      </c>
      <c r="CG319" t="s">
        <v>1670</v>
      </c>
      <c r="CH319" t="s">
        <v>68</v>
      </c>
      <c r="CI319">
        <v>1.7476187603245601</v>
      </c>
      <c r="CJ319">
        <v>3.1</v>
      </c>
      <c r="CK319">
        <v>2.4238093801622802</v>
      </c>
      <c r="CL319">
        <v>0.3</v>
      </c>
      <c r="CM319">
        <v>2.72380938016228</v>
      </c>
    </row>
    <row r="320" spans="1:91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396</v>
      </c>
      <c r="F320">
        <v>269000000</v>
      </c>
      <c r="G320">
        <v>46.41</v>
      </c>
      <c r="H320" t="s">
        <v>409</v>
      </c>
      <c r="I320">
        <v>12484290000</v>
      </c>
      <c r="J320" t="s">
        <v>415</v>
      </c>
      <c r="K320">
        <v>38384229.348571397</v>
      </c>
      <c r="L320">
        <v>0.95000000000000007</v>
      </c>
      <c r="M320">
        <v>11860075500</v>
      </c>
      <c r="N320">
        <v>50931115000</v>
      </c>
      <c r="O320">
        <v>30301010</v>
      </c>
      <c r="P320">
        <v>3030</v>
      </c>
      <c r="Q320">
        <v>3.2733333333333299</v>
      </c>
      <c r="R320">
        <v>2.7</v>
      </c>
      <c r="S320" t="s">
        <v>1648</v>
      </c>
      <c r="T320" t="s">
        <v>422</v>
      </c>
      <c r="U320">
        <v>0</v>
      </c>
      <c r="V320">
        <v>0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 t="s">
        <v>422</v>
      </c>
      <c r="AC320" t="s">
        <v>422</v>
      </c>
      <c r="AD320">
        <v>0</v>
      </c>
      <c r="AE320">
        <v>0</v>
      </c>
      <c r="AF320">
        <v>0</v>
      </c>
      <c r="AH320">
        <v>0</v>
      </c>
      <c r="AI320" t="s">
        <v>424</v>
      </c>
      <c r="AK320" t="s">
        <v>424</v>
      </c>
      <c r="AL320" t="s">
        <v>424</v>
      </c>
      <c r="AM320" t="s">
        <v>424</v>
      </c>
      <c r="AO320">
        <v>0</v>
      </c>
      <c r="AP320">
        <v>0</v>
      </c>
      <c r="AQ320">
        <v>0</v>
      </c>
      <c r="AR320">
        <v>0</v>
      </c>
      <c r="AS320">
        <v>2.1779999999999999</v>
      </c>
      <c r="AT320">
        <v>2.99</v>
      </c>
      <c r="AU320" t="s">
        <v>430</v>
      </c>
      <c r="AV320">
        <v>0</v>
      </c>
      <c r="AW320">
        <v>0</v>
      </c>
      <c r="AX320" t="s">
        <v>445</v>
      </c>
      <c r="AY320">
        <v>0</v>
      </c>
      <c r="AZ320">
        <v>0</v>
      </c>
      <c r="BA320">
        <v>0</v>
      </c>
      <c r="CE320">
        <v>2.5840000000000001</v>
      </c>
      <c r="CG320" t="s">
        <v>450</v>
      </c>
      <c r="CI320">
        <v>3.2733333333333299</v>
      </c>
      <c r="CJ320">
        <v>2.7</v>
      </c>
      <c r="CK320">
        <v>2.986666666666665</v>
      </c>
      <c r="CL320">
        <v>0.3</v>
      </c>
      <c r="CM320">
        <v>3.2866666666666648</v>
      </c>
    </row>
    <row r="321" spans="1:91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399</v>
      </c>
      <c r="F321">
        <v>5605850600</v>
      </c>
      <c r="G321">
        <v>4.8034999999999997</v>
      </c>
      <c r="H321" t="s">
        <v>409</v>
      </c>
      <c r="I321">
        <v>26927703357.099998</v>
      </c>
      <c r="J321" t="s">
        <v>415</v>
      </c>
      <c r="K321">
        <v>50511232.338305101</v>
      </c>
      <c r="L321">
        <v>0.95</v>
      </c>
      <c r="M321">
        <v>25581318189.244999</v>
      </c>
      <c r="N321">
        <v>1061383723351</v>
      </c>
      <c r="O321">
        <v>15101010</v>
      </c>
      <c r="P321">
        <v>1510</v>
      </c>
      <c r="Q321">
        <v>1.74891070194458</v>
      </c>
      <c r="R321">
        <v>3.1</v>
      </c>
      <c r="S321" t="s">
        <v>420</v>
      </c>
      <c r="T321" t="s">
        <v>422</v>
      </c>
      <c r="U321">
        <v>0</v>
      </c>
      <c r="V321">
        <v>0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 t="s">
        <v>422</v>
      </c>
      <c r="AC321" t="s">
        <v>422</v>
      </c>
      <c r="AD321">
        <v>0</v>
      </c>
      <c r="AE321">
        <v>0</v>
      </c>
      <c r="AF321">
        <v>0</v>
      </c>
      <c r="AH321">
        <v>0</v>
      </c>
      <c r="AI321" t="s">
        <v>424</v>
      </c>
      <c r="AK321" t="s">
        <v>424</v>
      </c>
      <c r="AL321" t="s">
        <v>424</v>
      </c>
      <c r="AM321" t="s">
        <v>424</v>
      </c>
      <c r="AO321">
        <v>0</v>
      </c>
      <c r="AP321">
        <v>0</v>
      </c>
      <c r="AQ321">
        <v>0</v>
      </c>
      <c r="AR321">
        <v>0</v>
      </c>
      <c r="AS321">
        <v>2.6880000000000002</v>
      </c>
      <c r="AT321">
        <v>3.6120000000000001</v>
      </c>
      <c r="AU321" t="s">
        <v>420</v>
      </c>
      <c r="AV321">
        <v>1</v>
      </c>
      <c r="AW321">
        <v>0</v>
      </c>
      <c r="AX321" t="s">
        <v>438</v>
      </c>
      <c r="AY321">
        <v>0</v>
      </c>
      <c r="AZ321">
        <v>0</v>
      </c>
      <c r="BA321">
        <v>0</v>
      </c>
      <c r="CE321">
        <v>3.15</v>
      </c>
      <c r="CG321" t="s">
        <v>450</v>
      </c>
      <c r="CI321">
        <v>1.74891070194458</v>
      </c>
      <c r="CJ321">
        <v>3.1</v>
      </c>
      <c r="CK321">
        <v>2.4244553509722899</v>
      </c>
      <c r="CL321">
        <v>0</v>
      </c>
      <c r="CM321">
        <v>2.4244553509722899</v>
      </c>
    </row>
    <row r="322" spans="1:91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399</v>
      </c>
      <c r="F322">
        <v>3497790300</v>
      </c>
      <c r="G322">
        <v>12.395</v>
      </c>
      <c r="H322" t="s">
        <v>409</v>
      </c>
      <c r="I322">
        <v>43355110768.5</v>
      </c>
      <c r="J322" t="s">
        <v>415</v>
      </c>
      <c r="K322">
        <v>68723588.773898304</v>
      </c>
      <c r="L322">
        <v>1</v>
      </c>
      <c r="M322">
        <v>43355110768.5</v>
      </c>
      <c r="N322">
        <v>697109606790</v>
      </c>
      <c r="O322">
        <v>30101010</v>
      </c>
      <c r="P322">
        <v>3010</v>
      </c>
      <c r="Q322">
        <v>2.89333333333333</v>
      </c>
      <c r="S322" t="s">
        <v>420</v>
      </c>
      <c r="T322" t="s">
        <v>422</v>
      </c>
      <c r="U322">
        <v>0</v>
      </c>
      <c r="V322">
        <v>0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 t="s">
        <v>422</v>
      </c>
      <c r="AC322" t="s">
        <v>422</v>
      </c>
      <c r="AD322">
        <v>0</v>
      </c>
      <c r="AE322">
        <v>0</v>
      </c>
      <c r="AF322">
        <v>0</v>
      </c>
      <c r="AH322">
        <v>0</v>
      </c>
      <c r="AI322" t="s">
        <v>424</v>
      </c>
      <c r="AK322" t="s">
        <v>424</v>
      </c>
      <c r="AL322" t="s">
        <v>424</v>
      </c>
      <c r="AM322" t="s">
        <v>424</v>
      </c>
      <c r="AO322">
        <v>0</v>
      </c>
      <c r="AP322">
        <v>0</v>
      </c>
      <c r="AQ322">
        <v>0</v>
      </c>
      <c r="AR322">
        <v>0</v>
      </c>
      <c r="AS322">
        <v>2.2229999999999999</v>
      </c>
      <c r="AT322">
        <v>2.851</v>
      </c>
      <c r="AU322" t="s">
        <v>430</v>
      </c>
      <c r="AV322">
        <v>0</v>
      </c>
      <c r="AW322">
        <v>0</v>
      </c>
      <c r="AX322" t="s">
        <v>438</v>
      </c>
      <c r="AY322">
        <v>0</v>
      </c>
      <c r="AZ322">
        <v>0</v>
      </c>
      <c r="BA322">
        <v>0</v>
      </c>
      <c r="CE322">
        <v>2.5369999999999999</v>
      </c>
      <c r="CG322" t="s">
        <v>450</v>
      </c>
      <c r="CI322">
        <v>2.89333333333333</v>
      </c>
      <c r="CJ322">
        <v>3.1</v>
      </c>
      <c r="CK322">
        <v>2.9966666666666648</v>
      </c>
      <c r="CL322">
        <v>0</v>
      </c>
      <c r="CM322">
        <v>2.9966666666666648</v>
      </c>
    </row>
    <row r="323" spans="1:91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395</v>
      </c>
      <c r="F323">
        <v>251876570</v>
      </c>
      <c r="G323">
        <v>22.264109999999999</v>
      </c>
      <c r="H323" t="s">
        <v>410</v>
      </c>
      <c r="I323">
        <v>5607807660.9026995</v>
      </c>
      <c r="J323" t="s">
        <v>416</v>
      </c>
      <c r="K323">
        <v>7228970.6876485599</v>
      </c>
      <c r="L323">
        <v>0.7</v>
      </c>
      <c r="M323">
        <v>3925465362.6318889</v>
      </c>
      <c r="N323">
        <v>35139300280.699997</v>
      </c>
      <c r="O323">
        <v>30202015</v>
      </c>
      <c r="P323">
        <v>3020</v>
      </c>
      <c r="Q323">
        <v>2.64</v>
      </c>
      <c r="S323" t="s">
        <v>1648</v>
      </c>
      <c r="T323" t="s">
        <v>422</v>
      </c>
      <c r="U323">
        <v>0</v>
      </c>
      <c r="V323">
        <v>0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 t="s">
        <v>422</v>
      </c>
      <c r="AC323" t="s">
        <v>422</v>
      </c>
      <c r="AD323">
        <v>0</v>
      </c>
      <c r="AE323">
        <v>0</v>
      </c>
      <c r="AF323">
        <v>0</v>
      </c>
      <c r="AH323">
        <v>0</v>
      </c>
      <c r="AI323" t="s">
        <v>424</v>
      </c>
      <c r="AK323" t="s">
        <v>424</v>
      </c>
      <c r="AL323" t="s">
        <v>424</v>
      </c>
      <c r="AM323" t="s">
        <v>424</v>
      </c>
      <c r="AO323">
        <v>0</v>
      </c>
      <c r="AP323">
        <v>0</v>
      </c>
      <c r="AQ323">
        <v>0</v>
      </c>
      <c r="AR323">
        <v>0</v>
      </c>
      <c r="AS323">
        <v>1.7849999999999999</v>
      </c>
      <c r="AT323">
        <v>2.6659999999999999</v>
      </c>
      <c r="AU323" t="s">
        <v>430</v>
      </c>
      <c r="AV323">
        <v>0</v>
      </c>
      <c r="AW323">
        <v>0</v>
      </c>
      <c r="AX323" t="s">
        <v>434</v>
      </c>
      <c r="AY323">
        <v>0</v>
      </c>
      <c r="AZ323">
        <v>0</v>
      </c>
      <c r="BA323">
        <v>0</v>
      </c>
      <c r="CE323">
        <v>2.2254999999999998</v>
      </c>
      <c r="CG323" t="s">
        <v>450</v>
      </c>
      <c r="CI323">
        <v>2.64</v>
      </c>
      <c r="CJ323">
        <v>3.1</v>
      </c>
      <c r="CK323">
        <v>2.87</v>
      </c>
      <c r="CL323">
        <v>0.3</v>
      </c>
      <c r="CM323">
        <v>3.17</v>
      </c>
    </row>
    <row r="324" spans="1:91" x14ac:dyDescent="0.25">
      <c r="A324">
        <v>970</v>
      </c>
      <c r="B324" t="s">
        <v>101</v>
      </c>
      <c r="C324" t="s">
        <v>201</v>
      </c>
      <c r="D324" t="s">
        <v>301</v>
      </c>
      <c r="E324" t="s">
        <v>400</v>
      </c>
      <c r="F324">
        <v>2009015998</v>
      </c>
      <c r="G324">
        <v>5.7135639999999999</v>
      </c>
      <c r="H324" t="s">
        <v>411</v>
      </c>
      <c r="I324">
        <v>11478641481.59687</v>
      </c>
      <c r="J324" t="s">
        <v>416</v>
      </c>
      <c r="K324">
        <v>22699023.726144701</v>
      </c>
      <c r="L324">
        <v>0.65</v>
      </c>
      <c r="M324">
        <v>7461116963.0379677</v>
      </c>
      <c r="N324">
        <v>260257977460.91</v>
      </c>
      <c r="O324">
        <v>55102035</v>
      </c>
      <c r="P324">
        <v>5510</v>
      </c>
      <c r="Q324">
        <v>2.7283290216989098</v>
      </c>
      <c r="R324">
        <v>1.5</v>
      </c>
      <c r="S324" t="s">
        <v>420</v>
      </c>
      <c r="T324" t="s">
        <v>422</v>
      </c>
      <c r="U324">
        <v>0</v>
      </c>
      <c r="V324">
        <v>0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 t="s">
        <v>422</v>
      </c>
      <c r="AC324" t="s">
        <v>422</v>
      </c>
      <c r="AD324">
        <v>0</v>
      </c>
      <c r="AE324">
        <v>0</v>
      </c>
      <c r="AF324">
        <v>0</v>
      </c>
      <c r="AH324">
        <v>0</v>
      </c>
      <c r="AI324" t="s">
        <v>424</v>
      </c>
      <c r="AK324" t="s">
        <v>424</v>
      </c>
      <c r="AL324" t="s">
        <v>424</v>
      </c>
      <c r="AM324" t="s">
        <v>424</v>
      </c>
      <c r="AO324">
        <v>0</v>
      </c>
      <c r="AP324">
        <v>0</v>
      </c>
      <c r="AQ324">
        <v>0</v>
      </c>
      <c r="AR324">
        <v>0</v>
      </c>
      <c r="AS324">
        <v>2.8610000000000002</v>
      </c>
      <c r="AT324">
        <v>3.7229999999999999</v>
      </c>
      <c r="AU324" t="s">
        <v>420</v>
      </c>
      <c r="AV324">
        <v>1</v>
      </c>
      <c r="AW324">
        <v>1</v>
      </c>
      <c r="AX324" t="s">
        <v>439</v>
      </c>
      <c r="AY324">
        <v>0</v>
      </c>
      <c r="AZ324">
        <v>0</v>
      </c>
      <c r="BA324">
        <v>0</v>
      </c>
      <c r="CE324">
        <v>3.2919999999999998</v>
      </c>
      <c r="CG324" t="s">
        <v>450</v>
      </c>
      <c r="CI324">
        <v>2.7283290216989098</v>
      </c>
      <c r="CJ324">
        <v>1.5</v>
      </c>
      <c r="CK324">
        <v>2.1141645108494549</v>
      </c>
      <c r="CL324">
        <v>0</v>
      </c>
      <c r="CM324">
        <v>2.1141645108494549</v>
      </c>
    </row>
    <row r="325" spans="1:91" x14ac:dyDescent="0.25">
      <c r="A325">
        <v>974</v>
      </c>
      <c r="B325" t="s">
        <v>118</v>
      </c>
      <c r="C325" t="s">
        <v>218</v>
      </c>
      <c r="D325" t="s">
        <v>318</v>
      </c>
      <c r="E325" t="s">
        <v>406</v>
      </c>
      <c r="F325">
        <v>2189930400</v>
      </c>
      <c r="G325">
        <v>104.3617</v>
      </c>
      <c r="H325" t="s">
        <v>414</v>
      </c>
      <c r="I325">
        <v>228544859425.67999</v>
      </c>
      <c r="J325" t="s">
        <v>416</v>
      </c>
      <c r="K325">
        <v>348052438.84857303</v>
      </c>
      <c r="L325">
        <v>0.95</v>
      </c>
      <c r="M325">
        <v>217117616454.396</v>
      </c>
      <c r="N325">
        <v>414630472284</v>
      </c>
      <c r="O325">
        <v>20103015</v>
      </c>
      <c r="P325">
        <v>2010</v>
      </c>
      <c r="Q325">
        <v>1.7351435772655099</v>
      </c>
      <c r="R325">
        <v>1.5</v>
      </c>
      <c r="S325" t="s">
        <v>417</v>
      </c>
      <c r="T325" t="s">
        <v>422</v>
      </c>
      <c r="U325">
        <v>0</v>
      </c>
      <c r="V325">
        <v>0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 t="s">
        <v>422</v>
      </c>
      <c r="AC325" t="s">
        <v>422</v>
      </c>
      <c r="AD325">
        <v>0</v>
      </c>
      <c r="AE325">
        <v>0</v>
      </c>
      <c r="AF325">
        <v>0</v>
      </c>
      <c r="AH325">
        <v>0</v>
      </c>
      <c r="AI325" t="s">
        <v>424</v>
      </c>
      <c r="AK325" t="s">
        <v>424</v>
      </c>
      <c r="AL325" t="s">
        <v>424</v>
      </c>
      <c r="AM325" t="s">
        <v>424</v>
      </c>
      <c r="AO325">
        <v>0</v>
      </c>
      <c r="AP325">
        <v>0</v>
      </c>
      <c r="AQ325">
        <v>0</v>
      </c>
      <c r="AR325">
        <v>0</v>
      </c>
      <c r="AS325">
        <v>2.9780000000000002</v>
      </c>
      <c r="AT325">
        <v>2.9729999999999999</v>
      </c>
      <c r="AU325" t="s">
        <v>420</v>
      </c>
      <c r="AV325">
        <v>1</v>
      </c>
      <c r="AW325">
        <v>0</v>
      </c>
      <c r="AX325" t="s">
        <v>446</v>
      </c>
      <c r="AY325">
        <v>0</v>
      </c>
      <c r="AZ325">
        <v>0</v>
      </c>
      <c r="BA325">
        <v>0</v>
      </c>
      <c r="CE325">
        <v>2.9754999999999998</v>
      </c>
      <c r="CG325" t="s">
        <v>450</v>
      </c>
      <c r="CI325">
        <v>1.7351435772655099</v>
      </c>
      <c r="CJ325">
        <v>1.5</v>
      </c>
      <c r="CK325">
        <v>1.617571788632755</v>
      </c>
      <c r="CL325">
        <v>-0.3</v>
      </c>
      <c r="CM325">
        <v>1.3175717886327549</v>
      </c>
    </row>
    <row r="326" spans="1:91" x14ac:dyDescent="0.25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84.447940000000003</v>
      </c>
      <c r="H326" t="s">
        <v>412</v>
      </c>
      <c r="I326">
        <v>286289325936.32001</v>
      </c>
      <c r="J326" t="s">
        <v>416</v>
      </c>
      <c r="K326">
        <v>373752660.226686</v>
      </c>
      <c r="L326">
        <v>0.95</v>
      </c>
      <c r="M326">
        <v>271974859639.504</v>
      </c>
      <c r="N326">
        <v>641869884880</v>
      </c>
      <c r="O326">
        <v>20103015</v>
      </c>
      <c r="P326">
        <v>2010</v>
      </c>
      <c r="Q326">
        <v>3.2456929917849702</v>
      </c>
      <c r="S326" t="s">
        <v>419</v>
      </c>
      <c r="T326" t="s">
        <v>422</v>
      </c>
      <c r="U326">
        <v>0</v>
      </c>
      <c r="V326">
        <v>0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 t="s">
        <v>422</v>
      </c>
      <c r="AC326" t="s">
        <v>422</v>
      </c>
      <c r="AD326">
        <v>0</v>
      </c>
      <c r="AE326">
        <v>0</v>
      </c>
      <c r="AF326">
        <v>0</v>
      </c>
      <c r="AH326">
        <v>0</v>
      </c>
      <c r="AI326" t="s">
        <v>424</v>
      </c>
      <c r="AK326" t="s">
        <v>424</v>
      </c>
      <c r="AL326" t="s">
        <v>424</v>
      </c>
      <c r="AM326" t="s">
        <v>424</v>
      </c>
      <c r="AO326">
        <v>0</v>
      </c>
      <c r="AP326">
        <v>0</v>
      </c>
      <c r="AQ326">
        <v>0</v>
      </c>
      <c r="AR326">
        <v>0</v>
      </c>
      <c r="AS326">
        <v>2.7360000000000002</v>
      </c>
      <c r="AT326">
        <v>2.2970000000000002</v>
      </c>
      <c r="AU326" t="s">
        <v>420</v>
      </c>
      <c r="AV326">
        <v>1</v>
      </c>
      <c r="AW326">
        <v>0</v>
      </c>
      <c r="AX326" t="s">
        <v>441</v>
      </c>
      <c r="AY326">
        <v>0</v>
      </c>
      <c r="AZ326">
        <v>0</v>
      </c>
      <c r="BA326">
        <v>0</v>
      </c>
      <c r="CE326">
        <v>2.5165000000000002</v>
      </c>
      <c r="CG326" t="s">
        <v>450</v>
      </c>
      <c r="CI326">
        <v>3.2456929917849702</v>
      </c>
      <c r="CJ326">
        <v>3.1</v>
      </c>
      <c r="CK326">
        <v>3.1728464958924851</v>
      </c>
      <c r="CL326">
        <v>-0.24</v>
      </c>
      <c r="CM326">
        <v>2.9328464958924849</v>
      </c>
    </row>
    <row r="327" spans="1:91" x14ac:dyDescent="0.25">
      <c r="A327">
        <v>976</v>
      </c>
      <c r="B327" t="s">
        <v>116</v>
      </c>
      <c r="C327" t="s">
        <v>216</v>
      </c>
      <c r="D327" t="s">
        <v>316</v>
      </c>
      <c r="E327" t="s">
        <v>402</v>
      </c>
      <c r="F327">
        <v>414555050</v>
      </c>
      <c r="G327">
        <v>53.644550000000002</v>
      </c>
      <c r="H327" t="s">
        <v>412</v>
      </c>
      <c r="I327">
        <v>22238619107.477501</v>
      </c>
      <c r="J327" t="s">
        <v>416</v>
      </c>
      <c r="K327">
        <v>28551144.8592216</v>
      </c>
      <c r="L327">
        <v>0.85</v>
      </c>
      <c r="M327">
        <v>18902826241.355881</v>
      </c>
      <c r="N327">
        <v>70227698245.25</v>
      </c>
      <c r="O327">
        <v>20103010</v>
      </c>
      <c r="P327">
        <v>2010</v>
      </c>
      <c r="Q327">
        <v>1.7046060481660801</v>
      </c>
      <c r="R327">
        <v>1.5</v>
      </c>
      <c r="S327" t="s">
        <v>417</v>
      </c>
      <c r="T327" t="s">
        <v>422</v>
      </c>
      <c r="U327">
        <v>0</v>
      </c>
      <c r="V327">
        <v>0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 t="s">
        <v>422</v>
      </c>
      <c r="AC327" t="s">
        <v>422</v>
      </c>
      <c r="AD327">
        <v>0</v>
      </c>
      <c r="AE327">
        <v>0</v>
      </c>
      <c r="AF327">
        <v>0</v>
      </c>
      <c r="AH327">
        <v>0</v>
      </c>
      <c r="AI327" t="s">
        <v>424</v>
      </c>
      <c r="AK327" t="s">
        <v>424</v>
      </c>
      <c r="AL327" t="s">
        <v>424</v>
      </c>
      <c r="AM327" t="s">
        <v>424</v>
      </c>
      <c r="AO327">
        <v>0</v>
      </c>
      <c r="AP327">
        <v>0</v>
      </c>
      <c r="AQ327">
        <v>0</v>
      </c>
      <c r="AR327">
        <v>0</v>
      </c>
      <c r="AS327">
        <v>2.5750000000000002</v>
      </c>
      <c r="AT327">
        <v>2.8759999999999999</v>
      </c>
      <c r="AU327" t="s">
        <v>420</v>
      </c>
      <c r="AV327">
        <v>1</v>
      </c>
      <c r="AW327">
        <v>0</v>
      </c>
      <c r="AX327" t="s">
        <v>441</v>
      </c>
      <c r="AY327">
        <v>0</v>
      </c>
      <c r="AZ327">
        <v>0</v>
      </c>
      <c r="BA327">
        <v>0</v>
      </c>
      <c r="CE327">
        <v>2.7254999999999998</v>
      </c>
      <c r="CG327" t="s">
        <v>450</v>
      </c>
      <c r="CI327">
        <v>1.7046060481660801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405</v>
      </c>
      <c r="F328">
        <v>327272740</v>
      </c>
      <c r="G328">
        <v>40.1</v>
      </c>
      <c r="H328" t="s">
        <v>409</v>
      </c>
      <c r="I328">
        <v>13123636874</v>
      </c>
      <c r="J328" t="s">
        <v>415</v>
      </c>
      <c r="K328">
        <v>15094965.2940984</v>
      </c>
      <c r="L328">
        <v>0.45</v>
      </c>
      <c r="M328">
        <v>5905636593.3000002</v>
      </c>
      <c r="N328">
        <v>29351455686.900002</v>
      </c>
      <c r="O328">
        <v>60101000</v>
      </c>
      <c r="P328">
        <v>6010</v>
      </c>
      <c r="Q328">
        <v>3.1416747397317</v>
      </c>
      <c r="R328">
        <v>3.1</v>
      </c>
      <c r="S328" t="s">
        <v>418</v>
      </c>
      <c r="T328" t="s">
        <v>422</v>
      </c>
      <c r="U328">
        <v>0</v>
      </c>
      <c r="V328">
        <v>0.01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 t="s">
        <v>422</v>
      </c>
      <c r="AC328" t="s">
        <v>422</v>
      </c>
      <c r="AD328">
        <v>0</v>
      </c>
      <c r="AE328">
        <v>0.71499999999999997</v>
      </c>
      <c r="AF328">
        <v>1.89E-2</v>
      </c>
      <c r="AH328">
        <v>0</v>
      </c>
      <c r="AI328" t="s">
        <v>1655</v>
      </c>
      <c r="AK328" t="s">
        <v>424</v>
      </c>
      <c r="AL328" t="s">
        <v>1655</v>
      </c>
      <c r="AM328" t="s">
        <v>1655</v>
      </c>
      <c r="AO328">
        <v>0</v>
      </c>
      <c r="AP328">
        <v>0</v>
      </c>
      <c r="AQ328">
        <v>0</v>
      </c>
      <c r="AR328">
        <v>0</v>
      </c>
      <c r="AS328">
        <v>2.7949999999999999</v>
      </c>
      <c r="AT328">
        <v>3.0790000000000002</v>
      </c>
      <c r="AU328" t="s">
        <v>420</v>
      </c>
      <c r="AV328">
        <v>1</v>
      </c>
      <c r="AW328">
        <v>0</v>
      </c>
      <c r="AX328" t="s">
        <v>444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2.9369999999999998</v>
      </c>
      <c r="CG328" t="s">
        <v>1670</v>
      </c>
      <c r="CH328" t="s">
        <v>1719</v>
      </c>
      <c r="CI328">
        <v>3.1416747397317</v>
      </c>
      <c r="CJ328">
        <v>3.1</v>
      </c>
      <c r="CK328">
        <v>3.1208373698658498</v>
      </c>
      <c r="CL328">
        <v>-0.18</v>
      </c>
      <c r="CM328">
        <v>2.9408373698658501</v>
      </c>
    </row>
    <row r="329" spans="1:91" x14ac:dyDescent="0.25">
      <c r="A329">
        <v>1002</v>
      </c>
      <c r="B329" t="s">
        <v>114</v>
      </c>
      <c r="C329" t="s">
        <v>214</v>
      </c>
      <c r="D329" t="s">
        <v>314</v>
      </c>
      <c r="E329" t="s">
        <v>394</v>
      </c>
      <c r="F329">
        <v>2660056599</v>
      </c>
      <c r="G329">
        <v>11.074999999999999</v>
      </c>
      <c r="H329" t="s">
        <v>409</v>
      </c>
      <c r="I329">
        <v>29460126833.924999</v>
      </c>
      <c r="J329" t="s">
        <v>415</v>
      </c>
      <c r="K329">
        <v>71522746.378896803</v>
      </c>
      <c r="L329">
        <v>0.65</v>
      </c>
      <c r="M329">
        <v>19149082442.05125</v>
      </c>
      <c r="N329">
        <v>344597032117.45502</v>
      </c>
      <c r="O329">
        <v>15102015</v>
      </c>
      <c r="P329">
        <v>1510</v>
      </c>
      <c r="Q329">
        <v>1.7104133479050101</v>
      </c>
      <c r="R329">
        <v>2.39</v>
      </c>
      <c r="S329" t="s">
        <v>418</v>
      </c>
      <c r="T329" t="s">
        <v>422</v>
      </c>
      <c r="U329">
        <v>0</v>
      </c>
      <c r="V329">
        <v>0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 t="s">
        <v>422</v>
      </c>
      <c r="AC329" t="s">
        <v>422</v>
      </c>
      <c r="AD329">
        <v>0</v>
      </c>
      <c r="AE329">
        <v>0</v>
      </c>
      <c r="AF329">
        <v>0</v>
      </c>
      <c r="AH329">
        <v>0</v>
      </c>
      <c r="AI329" t="s">
        <v>424</v>
      </c>
      <c r="AK329" t="s">
        <v>424</v>
      </c>
      <c r="AL329" t="s">
        <v>424</v>
      </c>
      <c r="AM329" t="s">
        <v>424</v>
      </c>
      <c r="AO329">
        <v>0</v>
      </c>
      <c r="AP329">
        <v>0</v>
      </c>
      <c r="AQ329">
        <v>0</v>
      </c>
      <c r="AR329">
        <v>0</v>
      </c>
      <c r="AS329">
        <v>2.7160000000000002</v>
      </c>
      <c r="AT329">
        <v>2.7469999999999999</v>
      </c>
      <c r="AU329" t="s">
        <v>426</v>
      </c>
      <c r="AV329">
        <v>0</v>
      </c>
      <c r="AW329">
        <v>0</v>
      </c>
      <c r="AX329" t="s">
        <v>433</v>
      </c>
      <c r="AY329">
        <v>0</v>
      </c>
      <c r="AZ329">
        <v>0</v>
      </c>
      <c r="BA329">
        <v>0</v>
      </c>
      <c r="CE329">
        <v>2.7315</v>
      </c>
      <c r="CG329" t="s">
        <v>450</v>
      </c>
      <c r="CI329">
        <v>1.7104133479050101</v>
      </c>
      <c r="CJ329">
        <v>2.39</v>
      </c>
      <c r="CK329">
        <v>2.0502066739525051</v>
      </c>
      <c r="CL329">
        <v>-0.18</v>
      </c>
      <c r="CM329">
        <v>1.8702066739525049</v>
      </c>
    </row>
    <row r="330" spans="1:91" x14ac:dyDescent="0.25">
      <c r="A330">
        <v>1007</v>
      </c>
      <c r="B330" t="s">
        <v>125</v>
      </c>
      <c r="C330" t="s">
        <v>225</v>
      </c>
      <c r="D330" t="s">
        <v>325</v>
      </c>
      <c r="E330" t="s">
        <v>399</v>
      </c>
      <c r="F330">
        <v>108382010</v>
      </c>
      <c r="G330">
        <v>52.44</v>
      </c>
      <c r="H330" t="s">
        <v>409</v>
      </c>
      <c r="I330">
        <v>5683552604.3999996</v>
      </c>
      <c r="J330" t="s">
        <v>415</v>
      </c>
      <c r="K330">
        <v>9590018.5647457596</v>
      </c>
      <c r="L330">
        <v>1</v>
      </c>
      <c r="M330">
        <v>5683552604.3999996</v>
      </c>
      <c r="N330">
        <v>21600534593</v>
      </c>
      <c r="O330">
        <v>20103015</v>
      </c>
      <c r="P330">
        <v>2010</v>
      </c>
      <c r="Q330">
        <v>1.9707580162642699</v>
      </c>
      <c r="R330">
        <v>2.7</v>
      </c>
      <c r="S330" t="s">
        <v>418</v>
      </c>
      <c r="T330" t="s">
        <v>422</v>
      </c>
      <c r="U330">
        <v>0</v>
      </c>
      <c r="V330">
        <v>0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 t="s">
        <v>422</v>
      </c>
      <c r="AC330" t="s">
        <v>422</v>
      </c>
      <c r="AD330">
        <v>0</v>
      </c>
      <c r="AE330">
        <v>0</v>
      </c>
      <c r="AF330">
        <v>0</v>
      </c>
      <c r="AH330">
        <v>0</v>
      </c>
      <c r="AI330" t="s">
        <v>424</v>
      </c>
      <c r="AK330" t="s">
        <v>424</v>
      </c>
      <c r="AL330" t="s">
        <v>424</v>
      </c>
      <c r="AM330" t="s">
        <v>424</v>
      </c>
      <c r="AO330">
        <v>0</v>
      </c>
      <c r="AP330">
        <v>0</v>
      </c>
      <c r="AQ330">
        <v>0</v>
      </c>
      <c r="AR330">
        <v>0</v>
      </c>
      <c r="AS330">
        <v>2.4689999999999999</v>
      </c>
      <c r="AT330">
        <v>2.8260000000000001</v>
      </c>
      <c r="AU330" t="s">
        <v>420</v>
      </c>
      <c r="AV330">
        <v>1</v>
      </c>
      <c r="AW330">
        <v>0</v>
      </c>
      <c r="AX330" t="s">
        <v>438</v>
      </c>
      <c r="AY330">
        <v>0</v>
      </c>
      <c r="AZ330">
        <v>0</v>
      </c>
      <c r="BA330">
        <v>0</v>
      </c>
      <c r="CE330">
        <v>2.6475</v>
      </c>
      <c r="CG330" t="s">
        <v>450</v>
      </c>
      <c r="CI330">
        <v>1.9707580162642699</v>
      </c>
      <c r="CJ330">
        <v>2.7</v>
      </c>
      <c r="CK330">
        <v>2.3353790081321351</v>
      </c>
      <c r="CL330">
        <v>-0.18</v>
      </c>
      <c r="CM330">
        <v>2.1553790081321349</v>
      </c>
    </row>
    <row r="331" spans="1:91" x14ac:dyDescent="0.25">
      <c r="A331">
        <v>1010</v>
      </c>
      <c r="B331" t="s">
        <v>174</v>
      </c>
      <c r="C331" t="s">
        <v>274</v>
      </c>
      <c r="D331" t="s">
        <v>374</v>
      </c>
      <c r="E331" t="s">
        <v>400</v>
      </c>
      <c r="F331">
        <v>1001430970</v>
      </c>
      <c r="G331">
        <v>9.1671560000000003</v>
      </c>
      <c r="H331" t="s">
        <v>411</v>
      </c>
      <c r="I331">
        <v>9180273925.2213211</v>
      </c>
      <c r="J331" t="s">
        <v>416</v>
      </c>
      <c r="K331">
        <v>9237785.1270873696</v>
      </c>
      <c r="L331">
        <v>0.75</v>
      </c>
      <c r="M331">
        <v>6885205443.9159908</v>
      </c>
      <c r="N331">
        <v>149688894240.75</v>
      </c>
      <c r="O331">
        <v>45102020</v>
      </c>
      <c r="P331">
        <v>4510</v>
      </c>
      <c r="Q331">
        <v>1.7387081680102601</v>
      </c>
      <c r="R331">
        <v>1.5</v>
      </c>
      <c r="S331" t="s">
        <v>418</v>
      </c>
      <c r="T331" t="s">
        <v>422</v>
      </c>
      <c r="U331">
        <v>0</v>
      </c>
      <c r="V331">
        <v>0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 t="s">
        <v>422</v>
      </c>
      <c r="AC331" t="s">
        <v>422</v>
      </c>
      <c r="AD331">
        <v>0</v>
      </c>
      <c r="AE331">
        <v>0</v>
      </c>
      <c r="AF331">
        <v>0</v>
      </c>
      <c r="AH331">
        <v>0</v>
      </c>
      <c r="AI331" t="s">
        <v>424</v>
      </c>
      <c r="AK331" t="s">
        <v>424</v>
      </c>
      <c r="AL331" t="s">
        <v>424</v>
      </c>
      <c r="AM331" t="s">
        <v>424</v>
      </c>
      <c r="AO331">
        <v>0</v>
      </c>
      <c r="AP331">
        <v>0</v>
      </c>
      <c r="AQ331">
        <v>0</v>
      </c>
      <c r="AR331">
        <v>0</v>
      </c>
      <c r="AS331">
        <v>2.3149999999999999</v>
      </c>
      <c r="AT331">
        <v>3.2949999999999999</v>
      </c>
      <c r="AU331" t="s">
        <v>420</v>
      </c>
      <c r="AV331">
        <v>1</v>
      </c>
      <c r="AW331">
        <v>0</v>
      </c>
      <c r="AX331" t="s">
        <v>439</v>
      </c>
      <c r="AY331">
        <v>0</v>
      </c>
      <c r="AZ331">
        <v>0</v>
      </c>
      <c r="BA331">
        <v>0</v>
      </c>
      <c r="CE331">
        <v>2.8050000000000002</v>
      </c>
      <c r="CG331" t="s">
        <v>450</v>
      </c>
      <c r="CI331">
        <v>1.7387081680102601</v>
      </c>
      <c r="CJ331">
        <v>1.5</v>
      </c>
      <c r="CK331">
        <v>1.6193540840051299</v>
      </c>
      <c r="CL331">
        <v>-0.18</v>
      </c>
      <c r="CM331">
        <v>1.43935408400513</v>
      </c>
    </row>
    <row r="332" spans="1:91" x14ac:dyDescent="0.25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40.374160000000003</v>
      </c>
      <c r="H332" t="s">
        <v>412</v>
      </c>
      <c r="I332">
        <v>16972532581.151199</v>
      </c>
      <c r="J332" t="s">
        <v>416</v>
      </c>
      <c r="K332">
        <v>29202771.5000282</v>
      </c>
      <c r="L332">
        <v>0.4</v>
      </c>
      <c r="M332">
        <v>6789013032.4604807</v>
      </c>
      <c r="N332">
        <v>8634627177.8000011</v>
      </c>
      <c r="O332">
        <v>65101010</v>
      </c>
      <c r="P332">
        <v>6510</v>
      </c>
      <c r="Q332">
        <v>1.72633812739342</v>
      </c>
      <c r="R332">
        <v>1.5</v>
      </c>
      <c r="S332" t="s">
        <v>417</v>
      </c>
      <c r="T332" t="s">
        <v>422</v>
      </c>
      <c r="U332">
        <v>0</v>
      </c>
      <c r="V332">
        <v>0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 t="s">
        <v>422</v>
      </c>
      <c r="AC332" t="s">
        <v>422</v>
      </c>
      <c r="AD332">
        <v>1.6299999999999999E-2</v>
      </c>
      <c r="AE332">
        <v>0.113</v>
      </c>
      <c r="AF332">
        <v>1.9199999999999998E-2</v>
      </c>
      <c r="AH332">
        <v>0</v>
      </c>
      <c r="AI332" t="s">
        <v>424</v>
      </c>
      <c r="AK332" t="s">
        <v>424</v>
      </c>
      <c r="AL332" t="s">
        <v>424</v>
      </c>
      <c r="AM332" t="s">
        <v>424</v>
      </c>
      <c r="AO332">
        <v>0</v>
      </c>
      <c r="AP332">
        <v>0</v>
      </c>
      <c r="AQ332">
        <v>0</v>
      </c>
      <c r="AR332">
        <v>0</v>
      </c>
      <c r="AS332">
        <v>2.702</v>
      </c>
      <c r="AT332">
        <v>3.4660000000000002</v>
      </c>
      <c r="AU332" t="s">
        <v>421</v>
      </c>
      <c r="AV332">
        <v>1</v>
      </c>
      <c r="AW332">
        <v>0</v>
      </c>
      <c r="AX332" t="s">
        <v>441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3.0840000000000001</v>
      </c>
      <c r="CG332" t="s">
        <v>1670</v>
      </c>
      <c r="CH332" t="s">
        <v>1682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1.3131690636967099</v>
      </c>
    </row>
    <row r="333" spans="1:91" x14ac:dyDescent="0.25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171.24170000000001</v>
      </c>
      <c r="H333" t="s">
        <v>412</v>
      </c>
      <c r="I333">
        <v>14041819400</v>
      </c>
      <c r="J333" t="s">
        <v>416</v>
      </c>
      <c r="K333">
        <v>33854319.101091303</v>
      </c>
      <c r="L333">
        <v>0.95</v>
      </c>
      <c r="M333">
        <v>13339728430</v>
      </c>
      <c r="N333">
        <v>4000165000</v>
      </c>
      <c r="O333">
        <v>40204030</v>
      </c>
      <c r="P333">
        <v>4020</v>
      </c>
      <c r="Q333">
        <v>1.72895150351199</v>
      </c>
      <c r="S333" t="s">
        <v>419</v>
      </c>
      <c r="T333" t="s">
        <v>422</v>
      </c>
      <c r="U333">
        <v>0</v>
      </c>
      <c r="V333">
        <v>0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 t="s">
        <v>422</v>
      </c>
      <c r="AC333" t="s">
        <v>422</v>
      </c>
      <c r="AD333">
        <v>0</v>
      </c>
      <c r="AE333">
        <v>0</v>
      </c>
      <c r="AF333">
        <v>0</v>
      </c>
      <c r="AH333">
        <v>0</v>
      </c>
      <c r="AI333" t="s">
        <v>424</v>
      </c>
      <c r="AK333" t="s">
        <v>424</v>
      </c>
      <c r="AL333" t="s">
        <v>424</v>
      </c>
      <c r="AM333" t="s">
        <v>424</v>
      </c>
      <c r="AO333">
        <v>0</v>
      </c>
      <c r="AP333">
        <v>0</v>
      </c>
      <c r="AQ333">
        <v>0</v>
      </c>
      <c r="AR333">
        <v>0</v>
      </c>
      <c r="AS333">
        <v>2.1589999999999998</v>
      </c>
      <c r="AT333">
        <v>3.0190000000000001</v>
      </c>
      <c r="AU333" t="s">
        <v>431</v>
      </c>
      <c r="AV333">
        <v>1</v>
      </c>
      <c r="AW333">
        <v>0</v>
      </c>
      <c r="AX333" t="s">
        <v>441</v>
      </c>
      <c r="AY333">
        <v>0</v>
      </c>
      <c r="AZ333">
        <v>0</v>
      </c>
      <c r="BA333">
        <v>0</v>
      </c>
      <c r="CE333">
        <v>2.589</v>
      </c>
      <c r="CG333" t="s">
        <v>450</v>
      </c>
      <c r="CI333">
        <v>1.72895150351199</v>
      </c>
      <c r="CJ333">
        <v>3.1</v>
      </c>
      <c r="CK333">
        <v>2.4144757517559952</v>
      </c>
      <c r="CL333">
        <v>-0.24</v>
      </c>
      <c r="CM333">
        <v>2.1744757517559949</v>
      </c>
    </row>
    <row r="334" spans="1:91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406</v>
      </c>
      <c r="F334">
        <v>26700000</v>
      </c>
      <c r="G334">
        <v>1486.4760000000001</v>
      </c>
      <c r="H334" t="s">
        <v>414</v>
      </c>
      <c r="I334">
        <v>39688909200</v>
      </c>
      <c r="J334" t="s">
        <v>416</v>
      </c>
      <c r="K334">
        <v>72362865.0623236</v>
      </c>
      <c r="L334">
        <v>0.85</v>
      </c>
      <c r="M334">
        <v>33735572820</v>
      </c>
      <c r="N334">
        <v>1165388250</v>
      </c>
      <c r="O334">
        <v>30202010</v>
      </c>
      <c r="P334">
        <v>3020</v>
      </c>
      <c r="Q334">
        <v>3.0199999999999898</v>
      </c>
      <c r="S334" t="s">
        <v>420</v>
      </c>
      <c r="T334" t="s">
        <v>422</v>
      </c>
      <c r="U334">
        <v>0</v>
      </c>
      <c r="V334">
        <v>0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 t="s">
        <v>422</v>
      </c>
      <c r="AC334" t="s">
        <v>422</v>
      </c>
      <c r="AD334">
        <v>0</v>
      </c>
      <c r="AE334">
        <v>0</v>
      </c>
      <c r="AF334">
        <v>0</v>
      </c>
      <c r="AH334">
        <v>0</v>
      </c>
      <c r="AI334" t="s">
        <v>424</v>
      </c>
      <c r="AK334" t="s">
        <v>424</v>
      </c>
      <c r="AL334" t="s">
        <v>424</v>
      </c>
      <c r="AM334" t="s">
        <v>424</v>
      </c>
      <c r="AO334">
        <v>0</v>
      </c>
      <c r="AP334">
        <v>0</v>
      </c>
      <c r="AQ334">
        <v>0</v>
      </c>
      <c r="AR334">
        <v>0</v>
      </c>
      <c r="AS334">
        <v>1.768</v>
      </c>
      <c r="AT334">
        <v>2.4319999999999999</v>
      </c>
      <c r="AU334" t="s">
        <v>430</v>
      </c>
      <c r="AV334">
        <v>0</v>
      </c>
      <c r="AW334">
        <v>0</v>
      </c>
      <c r="AX334" t="s">
        <v>446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1670</v>
      </c>
      <c r="CH334" t="s">
        <v>83</v>
      </c>
      <c r="CI334">
        <v>3.0199999999999898</v>
      </c>
      <c r="CJ334">
        <v>3.1</v>
      </c>
      <c r="CK334">
        <v>3.0599999999999952</v>
      </c>
      <c r="CL334">
        <v>0</v>
      </c>
      <c r="CM334">
        <v>3.0599999999999952</v>
      </c>
    </row>
    <row r="335" spans="1:91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403</v>
      </c>
      <c r="F335">
        <v>666554440</v>
      </c>
      <c r="G335">
        <v>16.417449999999999</v>
      </c>
      <c r="H335" t="s">
        <v>413</v>
      </c>
      <c r="I335">
        <v>10943124190.978001</v>
      </c>
      <c r="J335" t="s">
        <v>416</v>
      </c>
      <c r="K335">
        <v>16007521.430969199</v>
      </c>
      <c r="L335">
        <v>0.8</v>
      </c>
      <c r="M335">
        <v>8754499352.7824001</v>
      </c>
      <c r="N335">
        <v>27382056395.200001</v>
      </c>
      <c r="O335">
        <v>40301030</v>
      </c>
      <c r="P335">
        <v>4030</v>
      </c>
      <c r="Q335">
        <v>1.74567696372393</v>
      </c>
      <c r="S335" t="s">
        <v>419</v>
      </c>
      <c r="T335" t="s">
        <v>422</v>
      </c>
      <c r="U335">
        <v>0</v>
      </c>
      <c r="V335">
        <v>0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 t="s">
        <v>422</v>
      </c>
      <c r="AC335" t="s">
        <v>422</v>
      </c>
      <c r="AD335">
        <v>0</v>
      </c>
      <c r="AE335">
        <v>0</v>
      </c>
      <c r="AF335">
        <v>0</v>
      </c>
      <c r="AH335">
        <v>0</v>
      </c>
      <c r="AI335" t="s">
        <v>424</v>
      </c>
      <c r="AK335" t="s">
        <v>424</v>
      </c>
      <c r="AL335" t="s">
        <v>424</v>
      </c>
      <c r="AM335" t="s">
        <v>424</v>
      </c>
      <c r="AO335">
        <v>0</v>
      </c>
      <c r="AP335">
        <v>0</v>
      </c>
      <c r="AQ335">
        <v>0</v>
      </c>
      <c r="AR335">
        <v>0</v>
      </c>
      <c r="AS335">
        <v>2.8010000000000002</v>
      </c>
      <c r="AT335">
        <v>3.226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3.0135000000000001</v>
      </c>
      <c r="CG335" t="s">
        <v>450</v>
      </c>
      <c r="CI335">
        <v>1.74567696372393</v>
      </c>
      <c r="CJ335">
        <v>3.1</v>
      </c>
      <c r="CK335">
        <v>2.422838481861965</v>
      </c>
      <c r="CL335">
        <v>-0.24</v>
      </c>
      <c r="CM335">
        <v>2.1828384818619648</v>
      </c>
    </row>
    <row r="336" spans="1:91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394</v>
      </c>
      <c r="F336">
        <v>252269195</v>
      </c>
      <c r="G336">
        <v>99.2</v>
      </c>
      <c r="H336" t="s">
        <v>409</v>
      </c>
      <c r="I336">
        <v>25025104144</v>
      </c>
      <c r="J336" t="s">
        <v>415</v>
      </c>
      <c r="K336">
        <v>71433481.464603201</v>
      </c>
      <c r="L336">
        <v>0.8</v>
      </c>
      <c r="M336">
        <v>20020083315.200001</v>
      </c>
      <c r="N336">
        <v>10363218530.6</v>
      </c>
      <c r="O336">
        <v>45101015</v>
      </c>
      <c r="P336">
        <v>4510</v>
      </c>
      <c r="Q336">
        <v>1.7343801965574801</v>
      </c>
      <c r="R336">
        <v>2.39</v>
      </c>
      <c r="S336" t="s">
        <v>417</v>
      </c>
      <c r="T336" t="s">
        <v>422</v>
      </c>
      <c r="U336">
        <v>0</v>
      </c>
      <c r="V336">
        <v>0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 t="s">
        <v>422</v>
      </c>
      <c r="AC336" t="s">
        <v>422</v>
      </c>
      <c r="AD336">
        <v>0</v>
      </c>
      <c r="AE336">
        <v>0</v>
      </c>
      <c r="AF336">
        <v>0</v>
      </c>
      <c r="AH336">
        <v>0</v>
      </c>
      <c r="AI336" t="s">
        <v>424</v>
      </c>
      <c r="AK336" t="s">
        <v>424</v>
      </c>
      <c r="AL336" t="s">
        <v>424</v>
      </c>
      <c r="AM336" t="s">
        <v>424</v>
      </c>
      <c r="AO336">
        <v>0</v>
      </c>
      <c r="AP336">
        <v>0</v>
      </c>
      <c r="AQ336">
        <v>0</v>
      </c>
      <c r="AR336">
        <v>0</v>
      </c>
      <c r="AS336">
        <v>2.1019999999999999</v>
      </c>
      <c r="AT336">
        <v>2.8759999999999999</v>
      </c>
      <c r="AU336" t="s">
        <v>420</v>
      </c>
      <c r="AV336">
        <v>1</v>
      </c>
      <c r="AW336">
        <v>0</v>
      </c>
      <c r="AX336" t="s">
        <v>433</v>
      </c>
      <c r="AY336">
        <v>0</v>
      </c>
      <c r="AZ336">
        <v>0</v>
      </c>
      <c r="BA336">
        <v>0</v>
      </c>
      <c r="CE336">
        <v>2.4889999999999999</v>
      </c>
      <c r="CG336" t="s">
        <v>450</v>
      </c>
      <c r="CI336">
        <v>1.7343801965574801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 x14ac:dyDescent="0.25">
      <c r="A337">
        <v>1033</v>
      </c>
      <c r="B337" t="s">
        <v>161</v>
      </c>
      <c r="C337" t="s">
        <v>261</v>
      </c>
      <c r="D337" t="s">
        <v>361</v>
      </c>
      <c r="E337" t="s">
        <v>403</v>
      </c>
      <c r="F337">
        <v>319915900</v>
      </c>
      <c r="G337">
        <v>14.61008</v>
      </c>
      <c r="H337" t="s">
        <v>413</v>
      </c>
      <c r="I337">
        <v>4673996892.2720003</v>
      </c>
      <c r="J337" t="s">
        <v>416</v>
      </c>
      <c r="K337">
        <v>15670413.556200899</v>
      </c>
      <c r="L337">
        <v>1</v>
      </c>
      <c r="M337">
        <v>4673996892.2720003</v>
      </c>
      <c r="N337">
        <v>16427681465</v>
      </c>
      <c r="O337">
        <v>40202010</v>
      </c>
      <c r="P337">
        <v>4020</v>
      </c>
      <c r="Q337">
        <v>1.9955323498800199</v>
      </c>
      <c r="R337">
        <v>1.5</v>
      </c>
      <c r="S337" t="s">
        <v>419</v>
      </c>
      <c r="T337" t="s">
        <v>422</v>
      </c>
      <c r="U337">
        <v>0</v>
      </c>
      <c r="V337">
        <v>0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 t="s">
        <v>422</v>
      </c>
      <c r="AC337" t="s">
        <v>422</v>
      </c>
      <c r="AD337">
        <v>0</v>
      </c>
      <c r="AE337">
        <v>0</v>
      </c>
      <c r="AF337">
        <v>0</v>
      </c>
      <c r="AH337">
        <v>0</v>
      </c>
      <c r="AI337" t="s">
        <v>424</v>
      </c>
      <c r="AK337" t="s">
        <v>424</v>
      </c>
      <c r="AL337" t="s">
        <v>424</v>
      </c>
      <c r="AM337" t="s">
        <v>424</v>
      </c>
      <c r="AO337">
        <v>0</v>
      </c>
      <c r="AP337">
        <v>0</v>
      </c>
      <c r="AQ337">
        <v>0</v>
      </c>
      <c r="AR337">
        <v>0</v>
      </c>
      <c r="AS337">
        <v>2.157</v>
      </c>
      <c r="AT337">
        <v>2.8759999999999999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2.5165000000000002</v>
      </c>
      <c r="CG337" t="s">
        <v>450</v>
      </c>
      <c r="CI337">
        <v>1.9955323498800199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396</v>
      </c>
      <c r="F338">
        <v>939939384</v>
      </c>
      <c r="G338">
        <v>24.31</v>
      </c>
      <c r="H338" t="s">
        <v>409</v>
      </c>
      <c r="I338">
        <v>22849926425.040001</v>
      </c>
      <c r="J338" t="s">
        <v>415</v>
      </c>
      <c r="K338">
        <v>40946012.608492099</v>
      </c>
      <c r="L338">
        <v>0.85000000000000009</v>
      </c>
      <c r="M338">
        <v>19422437461.284</v>
      </c>
      <c r="N338">
        <v>41026004263.140007</v>
      </c>
      <c r="O338">
        <v>20102010</v>
      </c>
      <c r="P338">
        <v>2010</v>
      </c>
      <c r="Q338">
        <v>1.9980843917530799</v>
      </c>
      <c r="S338" t="s">
        <v>417</v>
      </c>
      <c r="T338" t="s">
        <v>423</v>
      </c>
      <c r="U338">
        <v>0</v>
      </c>
      <c r="V338">
        <v>0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 t="s">
        <v>422</v>
      </c>
      <c r="AC338" t="s">
        <v>422</v>
      </c>
      <c r="AD338">
        <v>0</v>
      </c>
      <c r="AE338">
        <v>0</v>
      </c>
      <c r="AF338">
        <v>0</v>
      </c>
      <c r="AH338">
        <v>0</v>
      </c>
      <c r="AI338" t="s">
        <v>424</v>
      </c>
      <c r="AK338" t="s">
        <v>424</v>
      </c>
      <c r="AL338" t="s">
        <v>424</v>
      </c>
      <c r="AM338" t="s">
        <v>424</v>
      </c>
      <c r="AO338">
        <v>0</v>
      </c>
      <c r="AP338">
        <v>0</v>
      </c>
      <c r="AQ338">
        <v>0</v>
      </c>
      <c r="AR338">
        <v>0</v>
      </c>
      <c r="AS338">
        <v>2.5950000000000002</v>
      </c>
      <c r="AT338">
        <v>3.242</v>
      </c>
      <c r="AU338" t="s">
        <v>420</v>
      </c>
      <c r="AV338">
        <v>1</v>
      </c>
      <c r="AW338">
        <v>0</v>
      </c>
      <c r="AX338" t="s">
        <v>445</v>
      </c>
      <c r="AY338">
        <v>0</v>
      </c>
      <c r="AZ338">
        <v>0</v>
      </c>
      <c r="BA338">
        <v>0</v>
      </c>
      <c r="CE338">
        <v>2.9184999999999999</v>
      </c>
      <c r="CG338" t="s">
        <v>450</v>
      </c>
      <c r="CI338">
        <v>1.9980843917530799</v>
      </c>
      <c r="CJ338">
        <v>3.1</v>
      </c>
      <c r="CK338">
        <v>2.5490421958765399</v>
      </c>
      <c r="CL338">
        <v>-0.3</v>
      </c>
      <c r="CM338">
        <v>2.2490421958765401</v>
      </c>
    </row>
    <row r="339" spans="1:91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403</v>
      </c>
      <c r="F339">
        <v>1003123170</v>
      </c>
      <c r="G339">
        <v>6.1172519999999997</v>
      </c>
      <c r="H339" t="s">
        <v>413</v>
      </c>
      <c r="I339">
        <v>6136357217.9288397</v>
      </c>
      <c r="J339" t="s">
        <v>416</v>
      </c>
      <c r="K339">
        <v>10155347.8790746</v>
      </c>
      <c r="L339">
        <v>0.85</v>
      </c>
      <c r="M339">
        <v>5215903635.2395134</v>
      </c>
      <c r="N339">
        <v>43783818562.574997</v>
      </c>
      <c r="O339">
        <v>30301010</v>
      </c>
      <c r="P339">
        <v>3030</v>
      </c>
      <c r="Q339">
        <v>3.2733333333333299</v>
      </c>
      <c r="S339" t="s">
        <v>419</v>
      </c>
      <c r="T339" t="s">
        <v>422</v>
      </c>
      <c r="U339">
        <v>0</v>
      </c>
      <c r="V339">
        <v>0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 t="s">
        <v>422</v>
      </c>
      <c r="AC339" t="s">
        <v>422</v>
      </c>
      <c r="AD339">
        <v>0</v>
      </c>
      <c r="AE339">
        <v>0</v>
      </c>
      <c r="AF339">
        <v>0</v>
      </c>
      <c r="AH339">
        <v>0</v>
      </c>
      <c r="AI339" t="s">
        <v>424</v>
      </c>
      <c r="AK339" t="s">
        <v>424</v>
      </c>
      <c r="AL339" t="s">
        <v>424</v>
      </c>
      <c r="AM339" t="s">
        <v>424</v>
      </c>
      <c r="AO339">
        <v>0</v>
      </c>
      <c r="AP339">
        <v>0</v>
      </c>
      <c r="AQ339">
        <v>0</v>
      </c>
      <c r="AR339">
        <v>0</v>
      </c>
      <c r="AS339">
        <v>2.367</v>
      </c>
      <c r="AT339">
        <v>3.11</v>
      </c>
      <c r="AU339" t="s">
        <v>430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2.7385000000000002</v>
      </c>
      <c r="CG339" t="s">
        <v>450</v>
      </c>
      <c r="CI339">
        <v>3.2733333333333299</v>
      </c>
      <c r="CJ339">
        <v>3.1</v>
      </c>
      <c r="CK339">
        <v>3.1866666666666652</v>
      </c>
      <c r="CL339">
        <v>-0.24</v>
      </c>
      <c r="CM339">
        <v>2.946666666666665</v>
      </c>
    </row>
    <row r="340" spans="1:91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398</v>
      </c>
      <c r="F340">
        <v>455500000</v>
      </c>
      <c r="G340">
        <v>57.72</v>
      </c>
      <c r="H340" t="s">
        <v>409</v>
      </c>
      <c r="I340">
        <v>26291460000</v>
      </c>
      <c r="J340" t="s">
        <v>415</v>
      </c>
      <c r="K340">
        <v>40298300.537049197</v>
      </c>
      <c r="L340">
        <v>0.25</v>
      </c>
      <c r="M340">
        <v>6572865000</v>
      </c>
      <c r="N340">
        <v>5847481250</v>
      </c>
      <c r="O340">
        <v>40101020</v>
      </c>
      <c r="P340">
        <v>4010</v>
      </c>
      <c r="Q340">
        <v>2.6728527693572599</v>
      </c>
      <c r="S340" t="s">
        <v>419</v>
      </c>
      <c r="T340" t="s">
        <v>423</v>
      </c>
      <c r="U340">
        <v>0</v>
      </c>
      <c r="V340">
        <v>0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 t="s">
        <v>422</v>
      </c>
      <c r="AC340" t="s">
        <v>422</v>
      </c>
      <c r="AD340">
        <v>0</v>
      </c>
      <c r="AE340">
        <v>0</v>
      </c>
      <c r="AF340">
        <v>0</v>
      </c>
      <c r="AH340">
        <v>0</v>
      </c>
      <c r="AI340" t="s">
        <v>424</v>
      </c>
      <c r="AK340" t="s">
        <v>424</v>
      </c>
      <c r="AL340" t="s">
        <v>424</v>
      </c>
      <c r="AM340" t="s">
        <v>424</v>
      </c>
      <c r="AO340">
        <v>0</v>
      </c>
      <c r="AP340">
        <v>0</v>
      </c>
      <c r="AQ340">
        <v>0</v>
      </c>
      <c r="AR340">
        <v>0</v>
      </c>
      <c r="AS340">
        <v>2.6230000000000002</v>
      </c>
      <c r="AT340">
        <v>2.0830000000000002</v>
      </c>
      <c r="AU340" t="s">
        <v>420</v>
      </c>
      <c r="AV340">
        <v>1</v>
      </c>
      <c r="AW340">
        <v>0</v>
      </c>
      <c r="AX340" t="s">
        <v>437</v>
      </c>
      <c r="AY340">
        <v>0</v>
      </c>
      <c r="AZ340">
        <v>0</v>
      </c>
      <c r="BA340">
        <v>0</v>
      </c>
      <c r="CE340">
        <v>2.3530000000000002</v>
      </c>
      <c r="CG340" t="s">
        <v>450</v>
      </c>
      <c r="CI340">
        <v>2.6728527693572599</v>
      </c>
      <c r="CJ340">
        <v>3.1</v>
      </c>
      <c r="CK340">
        <v>2.88642638467863</v>
      </c>
      <c r="CL340">
        <v>-0.24</v>
      </c>
      <c r="CM340">
        <v>2.6464263846786298</v>
      </c>
    </row>
    <row r="341" spans="1:91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398</v>
      </c>
      <c r="F341">
        <v>153124980</v>
      </c>
      <c r="G341">
        <v>36.99</v>
      </c>
      <c r="H341" t="s">
        <v>409</v>
      </c>
      <c r="I341">
        <v>5664093010.2000008</v>
      </c>
      <c r="J341" t="s">
        <v>415</v>
      </c>
      <c r="K341">
        <v>25619368.098032799</v>
      </c>
      <c r="L341">
        <v>1</v>
      </c>
      <c r="M341">
        <v>5664093010.2000008</v>
      </c>
      <c r="N341">
        <v>7862967723</v>
      </c>
      <c r="O341">
        <v>40101020</v>
      </c>
      <c r="P341">
        <v>4010</v>
      </c>
      <c r="Q341">
        <v>3.4</v>
      </c>
      <c r="S341" t="s">
        <v>424</v>
      </c>
      <c r="T341" t="s">
        <v>422</v>
      </c>
      <c r="U341">
        <v>0</v>
      </c>
      <c r="V341">
        <v>0</v>
      </c>
      <c r="W341" t="s">
        <v>422</v>
      </c>
      <c r="X341" t="s">
        <v>422</v>
      </c>
      <c r="Y341" t="s">
        <v>422</v>
      </c>
      <c r="Z341" t="s">
        <v>423</v>
      </c>
      <c r="AA341" t="s">
        <v>422</v>
      </c>
      <c r="AB341" t="s">
        <v>422</v>
      </c>
      <c r="AC341" t="s">
        <v>422</v>
      </c>
      <c r="AD341">
        <v>0</v>
      </c>
      <c r="AE341">
        <v>0</v>
      </c>
      <c r="AF341">
        <v>0</v>
      </c>
      <c r="AH341">
        <v>0</v>
      </c>
      <c r="AI341" t="s">
        <v>424</v>
      </c>
      <c r="AK341" t="s">
        <v>424</v>
      </c>
      <c r="AL341" t="s">
        <v>424</v>
      </c>
      <c r="AM341" t="s">
        <v>424</v>
      </c>
      <c r="AO341">
        <v>0</v>
      </c>
      <c r="AP341">
        <v>0</v>
      </c>
      <c r="AQ341">
        <v>0</v>
      </c>
      <c r="AR341">
        <v>0</v>
      </c>
      <c r="AS341">
        <v>2.7759999999999998</v>
      </c>
      <c r="AT341">
        <v>3.3559999999999999</v>
      </c>
      <c r="AU341" t="s">
        <v>420</v>
      </c>
      <c r="AV341">
        <v>1</v>
      </c>
      <c r="AW341">
        <v>0</v>
      </c>
      <c r="AX341" t="s">
        <v>437</v>
      </c>
      <c r="AY341">
        <v>0</v>
      </c>
      <c r="AZ341">
        <v>0</v>
      </c>
      <c r="BA341">
        <v>0</v>
      </c>
      <c r="BK341" t="s">
        <v>62</v>
      </c>
      <c r="CE341">
        <v>3.0659999999999998</v>
      </c>
      <c r="CG341" t="s">
        <v>1670</v>
      </c>
      <c r="CH341" t="s">
        <v>62</v>
      </c>
      <c r="CI341">
        <v>3.4</v>
      </c>
      <c r="CJ341">
        <v>3.1</v>
      </c>
      <c r="CK341">
        <v>3.25</v>
      </c>
      <c r="CL341">
        <v>0.3</v>
      </c>
      <c r="CM341">
        <v>3.55</v>
      </c>
    </row>
    <row r="342" spans="1:91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404</v>
      </c>
      <c r="F342">
        <v>1306110000</v>
      </c>
      <c r="G342">
        <v>14.945</v>
      </c>
      <c r="H342" t="s">
        <v>409</v>
      </c>
      <c r="I342">
        <v>19519813950</v>
      </c>
      <c r="J342" t="s">
        <v>415</v>
      </c>
      <c r="K342">
        <v>24805157.2843033</v>
      </c>
      <c r="L342">
        <v>0.35</v>
      </c>
      <c r="M342">
        <v>6831934882.500001</v>
      </c>
      <c r="N342">
        <v>23474061975</v>
      </c>
      <c r="O342">
        <v>30202000</v>
      </c>
      <c r="P342">
        <v>3020</v>
      </c>
      <c r="Q342">
        <v>3.01360162391952</v>
      </c>
      <c r="S342" t="s">
        <v>420</v>
      </c>
      <c r="T342" t="s">
        <v>422</v>
      </c>
      <c r="U342">
        <v>0</v>
      </c>
      <c r="V342">
        <v>0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 t="s">
        <v>422</v>
      </c>
      <c r="AC342" t="s">
        <v>422</v>
      </c>
      <c r="AD342">
        <v>0</v>
      </c>
      <c r="AE342">
        <v>0</v>
      </c>
      <c r="AF342">
        <v>0</v>
      </c>
      <c r="AH342">
        <v>0</v>
      </c>
      <c r="AI342" t="s">
        <v>424</v>
      </c>
      <c r="AK342" t="s">
        <v>424</v>
      </c>
      <c r="AL342" t="s">
        <v>424</v>
      </c>
      <c r="AM342" t="s">
        <v>424</v>
      </c>
      <c r="AO342">
        <v>0</v>
      </c>
      <c r="AP342">
        <v>0</v>
      </c>
      <c r="AQ342">
        <v>0</v>
      </c>
      <c r="AR342">
        <v>0</v>
      </c>
      <c r="AS342">
        <v>2.262</v>
      </c>
      <c r="AT342">
        <v>3.0430000000000001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2.6524999999999999</v>
      </c>
      <c r="CG342" t="s">
        <v>450</v>
      </c>
      <c r="CI342">
        <v>3.01360162391952</v>
      </c>
      <c r="CJ342">
        <v>3.1</v>
      </c>
      <c r="CK342">
        <v>3.0568008119597598</v>
      </c>
      <c r="CL342">
        <v>0</v>
      </c>
      <c r="CM342">
        <v>3.0568008119597598</v>
      </c>
    </row>
    <row r="343" spans="1:91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396</v>
      </c>
      <c r="F343">
        <v>2487280090</v>
      </c>
      <c r="G343">
        <v>45.975000000000001</v>
      </c>
      <c r="H343" t="s">
        <v>409</v>
      </c>
      <c r="I343">
        <v>114352702137.75</v>
      </c>
      <c r="J343" t="s">
        <v>415</v>
      </c>
      <c r="K343">
        <v>136864149.44412699</v>
      </c>
      <c r="L343">
        <v>0.55000000000000004</v>
      </c>
      <c r="M343">
        <v>62893986175.762497</v>
      </c>
      <c r="N343">
        <v>70247007941.825012</v>
      </c>
      <c r="O343">
        <v>10101020</v>
      </c>
      <c r="P343">
        <v>1010</v>
      </c>
      <c r="Q343">
        <v>3.2867842633911799</v>
      </c>
      <c r="S343" t="s">
        <v>420</v>
      </c>
      <c r="T343" t="s">
        <v>422</v>
      </c>
      <c r="U343">
        <v>0</v>
      </c>
      <c r="V343">
        <v>0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 t="s">
        <v>422</v>
      </c>
      <c r="AC343" t="s">
        <v>422</v>
      </c>
      <c r="AD343">
        <v>0</v>
      </c>
      <c r="AE343">
        <v>0</v>
      </c>
      <c r="AF343">
        <v>0</v>
      </c>
      <c r="AH343">
        <v>0</v>
      </c>
      <c r="AI343" t="s">
        <v>424</v>
      </c>
      <c r="AK343" t="s">
        <v>424</v>
      </c>
      <c r="AL343" t="s">
        <v>424</v>
      </c>
      <c r="AM343" t="s">
        <v>424</v>
      </c>
      <c r="AO343">
        <v>0</v>
      </c>
      <c r="AP343">
        <v>0</v>
      </c>
      <c r="AQ343">
        <v>0</v>
      </c>
      <c r="AR343">
        <v>0</v>
      </c>
      <c r="AS343">
        <v>2.0459999999999998</v>
      </c>
      <c r="AT343">
        <v>2.73</v>
      </c>
      <c r="AU343" t="s">
        <v>426</v>
      </c>
      <c r="AV343">
        <v>0</v>
      </c>
      <c r="AW343">
        <v>0</v>
      </c>
      <c r="AX343" t="s">
        <v>445</v>
      </c>
      <c r="AY343">
        <v>0</v>
      </c>
      <c r="AZ343">
        <v>0</v>
      </c>
      <c r="BA343">
        <v>0</v>
      </c>
      <c r="CE343">
        <v>2.3879999999999999</v>
      </c>
      <c r="CG343" t="s">
        <v>450</v>
      </c>
      <c r="CI343">
        <v>3.2867842633911799</v>
      </c>
      <c r="CJ343">
        <v>3.1</v>
      </c>
      <c r="CK343">
        <v>3.1933921316955902</v>
      </c>
      <c r="CL343">
        <v>0</v>
      </c>
      <c r="CM343">
        <v>3.1933921316955902</v>
      </c>
    </row>
    <row r="344" spans="1:91" x14ac:dyDescent="0.25">
      <c r="A344">
        <v>1060</v>
      </c>
      <c r="B344" t="s">
        <v>723</v>
      </c>
      <c r="C344" t="s">
        <v>1122</v>
      </c>
      <c r="D344" t="s">
        <v>1521</v>
      </c>
      <c r="E344" t="s">
        <v>403</v>
      </c>
      <c r="F344">
        <v>2635357200</v>
      </c>
      <c r="G344">
        <v>8.6487789999999993</v>
      </c>
      <c r="H344" t="s">
        <v>413</v>
      </c>
      <c r="I344">
        <v>22792622008.858799</v>
      </c>
      <c r="J344" t="s">
        <v>416</v>
      </c>
      <c r="K344">
        <v>39917806.110014297</v>
      </c>
      <c r="L344">
        <v>0.95</v>
      </c>
      <c r="M344">
        <v>21652990908.415859</v>
      </c>
      <c r="N344">
        <v>128559312609</v>
      </c>
      <c r="O344">
        <v>30301010</v>
      </c>
      <c r="P344">
        <v>3030</v>
      </c>
      <c r="Q344">
        <v>3.4</v>
      </c>
      <c r="R344">
        <v>1.5</v>
      </c>
      <c r="S344" t="s">
        <v>420</v>
      </c>
      <c r="T344" t="s">
        <v>422</v>
      </c>
      <c r="U344">
        <v>0</v>
      </c>
      <c r="V344">
        <v>0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 t="s">
        <v>422</v>
      </c>
      <c r="AC344" t="s">
        <v>422</v>
      </c>
      <c r="AD344">
        <v>0</v>
      </c>
      <c r="AE344">
        <v>0</v>
      </c>
      <c r="AF344">
        <v>0</v>
      </c>
      <c r="AH344">
        <v>0</v>
      </c>
      <c r="AI344" t="s">
        <v>424</v>
      </c>
      <c r="AK344" t="s">
        <v>424</v>
      </c>
      <c r="AL344" t="s">
        <v>424</v>
      </c>
      <c r="AM344" t="s">
        <v>424</v>
      </c>
      <c r="AO344">
        <v>0</v>
      </c>
      <c r="AP344">
        <v>0</v>
      </c>
      <c r="AQ344">
        <v>0</v>
      </c>
      <c r="AR344">
        <v>0</v>
      </c>
      <c r="AS344">
        <v>2.137</v>
      </c>
      <c r="AT344">
        <v>3.0670000000000002</v>
      </c>
      <c r="AU344" t="s">
        <v>430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2.6019999999999999</v>
      </c>
      <c r="CG344" t="s">
        <v>450</v>
      </c>
      <c r="CI344">
        <v>3.4</v>
      </c>
      <c r="CJ344">
        <v>1.5</v>
      </c>
      <c r="CK344">
        <v>2.4500000000000002</v>
      </c>
      <c r="CL344">
        <v>0</v>
      </c>
      <c r="CM344">
        <v>2.4500000000000002</v>
      </c>
    </row>
    <row r="345" spans="1:91" x14ac:dyDescent="0.25">
      <c r="A345">
        <v>1061</v>
      </c>
      <c r="B345" t="s">
        <v>724</v>
      </c>
      <c r="C345" t="s">
        <v>1123</v>
      </c>
      <c r="D345" t="s">
        <v>1522</v>
      </c>
      <c r="E345" t="s">
        <v>404</v>
      </c>
      <c r="F345">
        <v>295785483</v>
      </c>
      <c r="G345">
        <v>68.7</v>
      </c>
      <c r="H345" t="s">
        <v>409</v>
      </c>
      <c r="I345">
        <v>20320462682.099998</v>
      </c>
      <c r="J345" t="s">
        <v>415</v>
      </c>
      <c r="K345">
        <v>62309329.926557302</v>
      </c>
      <c r="L345">
        <v>1</v>
      </c>
      <c r="M345">
        <v>20320462682.099998</v>
      </c>
      <c r="N345">
        <v>15188584552.049999</v>
      </c>
      <c r="O345">
        <v>50202010</v>
      </c>
      <c r="P345">
        <v>5020</v>
      </c>
      <c r="Q345">
        <v>1.7493849793641301</v>
      </c>
      <c r="R345">
        <v>3.1</v>
      </c>
      <c r="S345" t="s">
        <v>419</v>
      </c>
      <c r="T345" t="s">
        <v>422</v>
      </c>
      <c r="U345">
        <v>0</v>
      </c>
      <c r="V345">
        <v>0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 t="s">
        <v>422</v>
      </c>
      <c r="AC345" t="s">
        <v>422</v>
      </c>
      <c r="AD345">
        <v>0.01</v>
      </c>
      <c r="AE345">
        <v>0.05</v>
      </c>
      <c r="AF345">
        <v>0</v>
      </c>
      <c r="AH345">
        <v>0</v>
      </c>
      <c r="AI345" t="s">
        <v>424</v>
      </c>
      <c r="AK345" t="s">
        <v>424</v>
      </c>
      <c r="AL345" t="s">
        <v>424</v>
      </c>
      <c r="AM345" t="s">
        <v>424</v>
      </c>
      <c r="AN345" t="s">
        <v>1653</v>
      </c>
      <c r="AO345">
        <v>0.01</v>
      </c>
      <c r="AP345">
        <v>0</v>
      </c>
      <c r="AQ345">
        <v>0</v>
      </c>
      <c r="AR345">
        <v>0</v>
      </c>
      <c r="AS345">
        <v>2.464</v>
      </c>
      <c r="AT345">
        <v>3.1360000000000001</v>
      </c>
      <c r="AU345" t="s">
        <v>420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1670</v>
      </c>
      <c r="CH345" t="s">
        <v>1680</v>
      </c>
      <c r="CI345">
        <v>1.7493849793641301</v>
      </c>
      <c r="CJ345">
        <v>3.1</v>
      </c>
      <c r="CK345">
        <v>2.424692489682065</v>
      </c>
      <c r="CL345">
        <v>-0.24</v>
      </c>
      <c r="CM345">
        <v>2.1846924896820652</v>
      </c>
    </row>
    <row r="346" spans="1:91" x14ac:dyDescent="0.25">
      <c r="A346">
        <v>1062</v>
      </c>
      <c r="B346" t="s">
        <v>725</v>
      </c>
      <c r="C346" t="s">
        <v>1124</v>
      </c>
      <c r="D346" t="s">
        <v>1523</v>
      </c>
      <c r="E346" t="s">
        <v>406</v>
      </c>
      <c r="F346">
        <v>45867893</v>
      </c>
      <c r="G346">
        <v>144.6071</v>
      </c>
      <c r="H346" t="s">
        <v>414</v>
      </c>
      <c r="I346">
        <v>6632822989.8403006</v>
      </c>
      <c r="J346" t="s">
        <v>416</v>
      </c>
      <c r="K346">
        <v>10742643.329066999</v>
      </c>
      <c r="L346">
        <v>1</v>
      </c>
      <c r="M346">
        <v>6632822989.8403006</v>
      </c>
      <c r="N346">
        <v>2355316305.5500002</v>
      </c>
      <c r="O346">
        <v>35101010</v>
      </c>
      <c r="P346">
        <v>3510</v>
      </c>
      <c r="Q346">
        <v>3.4</v>
      </c>
      <c r="R346">
        <v>1.5</v>
      </c>
      <c r="S346" t="s">
        <v>419</v>
      </c>
      <c r="T346" t="s">
        <v>422</v>
      </c>
      <c r="U346">
        <v>0</v>
      </c>
      <c r="V346">
        <v>0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 t="s">
        <v>422</v>
      </c>
      <c r="AC346" t="s">
        <v>422</v>
      </c>
      <c r="AD346">
        <v>0</v>
      </c>
      <c r="AE346">
        <v>0</v>
      </c>
      <c r="AF346">
        <v>0</v>
      </c>
      <c r="AH346">
        <v>0</v>
      </c>
      <c r="AI346" t="s">
        <v>424</v>
      </c>
      <c r="AK346" t="s">
        <v>424</v>
      </c>
      <c r="AL346" t="s">
        <v>424</v>
      </c>
      <c r="AM346" t="s">
        <v>424</v>
      </c>
      <c r="AO346">
        <v>0</v>
      </c>
      <c r="AP346">
        <v>0</v>
      </c>
      <c r="AQ346">
        <v>0</v>
      </c>
      <c r="AR346">
        <v>0</v>
      </c>
      <c r="AS346">
        <v>1.9350000000000001</v>
      </c>
      <c r="AT346">
        <v>2.0009999999999999</v>
      </c>
      <c r="AU346" t="s">
        <v>425</v>
      </c>
      <c r="AV346">
        <v>1</v>
      </c>
      <c r="AW346">
        <v>0</v>
      </c>
      <c r="AX346" t="s">
        <v>446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1670</v>
      </c>
      <c r="CH346" t="s">
        <v>83</v>
      </c>
      <c r="CI346">
        <v>3.4</v>
      </c>
      <c r="CJ346">
        <v>1.5</v>
      </c>
      <c r="CK346">
        <v>2.4500000000000002</v>
      </c>
      <c r="CL346">
        <v>-0.24</v>
      </c>
      <c r="CM346">
        <v>2.21</v>
      </c>
    </row>
    <row r="347" spans="1:91" x14ac:dyDescent="0.25">
      <c r="A347">
        <v>1066</v>
      </c>
      <c r="B347" t="s">
        <v>726</v>
      </c>
      <c r="C347" t="s">
        <v>1125</v>
      </c>
      <c r="D347" t="s">
        <v>1524</v>
      </c>
      <c r="E347" t="s">
        <v>394</v>
      </c>
      <c r="F347">
        <v>254311860</v>
      </c>
      <c r="G347">
        <v>102.7</v>
      </c>
      <c r="H347" t="s">
        <v>409</v>
      </c>
      <c r="I347">
        <v>26117828022</v>
      </c>
      <c r="J347" t="s">
        <v>415</v>
      </c>
      <c r="K347">
        <v>46495372.159761898</v>
      </c>
      <c r="L347">
        <v>0.9</v>
      </c>
      <c r="M347">
        <v>23506045219.799999</v>
      </c>
      <c r="N347">
        <v>11753022609.9</v>
      </c>
      <c r="O347">
        <v>40301020</v>
      </c>
      <c r="P347">
        <v>4030</v>
      </c>
      <c r="Q347">
        <v>1.7185118858069499</v>
      </c>
      <c r="R347">
        <v>1.5</v>
      </c>
      <c r="S347" t="s">
        <v>420</v>
      </c>
      <c r="T347" t="s">
        <v>422</v>
      </c>
      <c r="U347">
        <v>0</v>
      </c>
      <c r="V347">
        <v>0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 t="s">
        <v>422</v>
      </c>
      <c r="AC347" t="s">
        <v>422</v>
      </c>
      <c r="AD347">
        <v>0</v>
      </c>
      <c r="AE347">
        <v>0</v>
      </c>
      <c r="AF347">
        <v>0</v>
      </c>
      <c r="AH347">
        <v>0</v>
      </c>
      <c r="AI347" t="s">
        <v>424</v>
      </c>
      <c r="AK347" t="s">
        <v>424</v>
      </c>
      <c r="AL347" t="s">
        <v>424</v>
      </c>
      <c r="AM347" t="s">
        <v>424</v>
      </c>
      <c r="AO347">
        <v>0</v>
      </c>
      <c r="AP347">
        <v>0</v>
      </c>
      <c r="AQ347">
        <v>0</v>
      </c>
      <c r="AR347">
        <v>0</v>
      </c>
      <c r="AS347">
        <v>2.7160000000000002</v>
      </c>
      <c r="AT347">
        <v>3.1230000000000002</v>
      </c>
      <c r="AU347" t="s">
        <v>429</v>
      </c>
      <c r="AV347">
        <v>0</v>
      </c>
      <c r="AW347">
        <v>0</v>
      </c>
      <c r="AX347" t="s">
        <v>433</v>
      </c>
      <c r="AY347">
        <v>0</v>
      </c>
      <c r="AZ347">
        <v>0</v>
      </c>
      <c r="BA347">
        <v>0</v>
      </c>
      <c r="CE347">
        <v>2.9195000000000002</v>
      </c>
      <c r="CG347" t="s">
        <v>450</v>
      </c>
      <c r="CI347">
        <v>1.7185118858069499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 x14ac:dyDescent="0.25">
      <c r="A348">
        <v>1069</v>
      </c>
      <c r="B348" t="s">
        <v>727</v>
      </c>
      <c r="C348" t="s">
        <v>1126</v>
      </c>
      <c r="D348" t="s">
        <v>1525</v>
      </c>
      <c r="E348" t="s">
        <v>398</v>
      </c>
      <c r="F348">
        <v>149698200</v>
      </c>
      <c r="G348">
        <v>28.51</v>
      </c>
      <c r="H348" t="s">
        <v>409</v>
      </c>
      <c r="I348">
        <v>4267895682</v>
      </c>
      <c r="J348" t="s">
        <v>415</v>
      </c>
      <c r="K348">
        <v>28451691.4966393</v>
      </c>
      <c r="L348">
        <v>0.7</v>
      </c>
      <c r="M348">
        <v>2987526977.4000001</v>
      </c>
      <c r="N348">
        <v>5380901799</v>
      </c>
      <c r="O348">
        <v>40204025</v>
      </c>
      <c r="P348">
        <v>4020</v>
      </c>
      <c r="Q348">
        <v>1.99847039343651</v>
      </c>
      <c r="S348" t="s">
        <v>417</v>
      </c>
      <c r="T348" t="s">
        <v>422</v>
      </c>
      <c r="U348">
        <v>0</v>
      </c>
      <c r="V348">
        <v>0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 t="s">
        <v>422</v>
      </c>
      <c r="AC348" t="s">
        <v>422</v>
      </c>
      <c r="AD348">
        <v>0</v>
      </c>
      <c r="AE348">
        <v>0</v>
      </c>
      <c r="AF348">
        <v>0</v>
      </c>
      <c r="AH348">
        <v>0</v>
      </c>
      <c r="AI348" t="s">
        <v>424</v>
      </c>
      <c r="AK348" t="s">
        <v>424</v>
      </c>
      <c r="AL348" t="s">
        <v>424</v>
      </c>
      <c r="AM348" t="s">
        <v>424</v>
      </c>
      <c r="AO348">
        <v>0</v>
      </c>
      <c r="AP348">
        <v>0</v>
      </c>
      <c r="AQ348">
        <v>0</v>
      </c>
      <c r="AR348">
        <v>0</v>
      </c>
      <c r="AS348">
        <v>2.6309999999999998</v>
      </c>
      <c r="AT348">
        <v>2.7149999999999999</v>
      </c>
      <c r="AU348" t="s">
        <v>420</v>
      </c>
      <c r="AV348">
        <v>1</v>
      </c>
      <c r="AW348">
        <v>0</v>
      </c>
      <c r="AX348" t="s">
        <v>437</v>
      </c>
      <c r="AY348">
        <v>0</v>
      </c>
      <c r="AZ348">
        <v>0</v>
      </c>
      <c r="BA348">
        <v>0</v>
      </c>
      <c r="CE348">
        <v>2.673</v>
      </c>
      <c r="CG348" t="s">
        <v>450</v>
      </c>
      <c r="CI348">
        <v>1.99847039343651</v>
      </c>
      <c r="CJ348">
        <v>3.1</v>
      </c>
      <c r="CK348">
        <v>2.5492351967182549</v>
      </c>
      <c r="CL348">
        <v>-0.3</v>
      </c>
      <c r="CM348">
        <v>2.2492351967182551</v>
      </c>
    </row>
    <row r="349" spans="1:91" x14ac:dyDescent="0.25">
      <c r="A349">
        <v>1073</v>
      </c>
      <c r="B349" t="s">
        <v>728</v>
      </c>
      <c r="C349" t="s">
        <v>1127</v>
      </c>
      <c r="D349" t="s">
        <v>1526</v>
      </c>
      <c r="E349" t="s">
        <v>398</v>
      </c>
      <c r="F349">
        <v>217680560</v>
      </c>
      <c r="G349">
        <v>37.375</v>
      </c>
      <c r="H349" t="s">
        <v>409</v>
      </c>
      <c r="I349">
        <v>8135810930</v>
      </c>
      <c r="J349" t="s">
        <v>415</v>
      </c>
      <c r="K349">
        <v>23363361.809672099</v>
      </c>
      <c r="L349">
        <v>1</v>
      </c>
      <c r="M349">
        <v>8135810930</v>
      </c>
      <c r="N349">
        <v>11177896756</v>
      </c>
      <c r="O349">
        <v>20102015</v>
      </c>
      <c r="P349">
        <v>2010</v>
      </c>
      <c r="Q349">
        <v>1.7389424356994501</v>
      </c>
      <c r="S349" t="s">
        <v>418</v>
      </c>
      <c r="T349" t="s">
        <v>422</v>
      </c>
      <c r="U349">
        <v>0</v>
      </c>
      <c r="V349">
        <v>0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 t="s">
        <v>422</v>
      </c>
      <c r="AC349" t="s">
        <v>422</v>
      </c>
      <c r="AD349">
        <v>0</v>
      </c>
      <c r="AE349">
        <v>0</v>
      </c>
      <c r="AF349">
        <v>0</v>
      </c>
      <c r="AH349">
        <v>0</v>
      </c>
      <c r="AI349" t="s">
        <v>424</v>
      </c>
      <c r="AK349" t="s">
        <v>424</v>
      </c>
      <c r="AL349" t="s">
        <v>424</v>
      </c>
      <c r="AM349" t="s">
        <v>424</v>
      </c>
      <c r="AO349">
        <v>0</v>
      </c>
      <c r="AP349">
        <v>0</v>
      </c>
      <c r="AQ349">
        <v>0</v>
      </c>
      <c r="AR349">
        <v>0</v>
      </c>
      <c r="AS349">
        <v>2.78</v>
      </c>
      <c r="AT349">
        <v>3.0979999999999999</v>
      </c>
      <c r="AU349" t="s">
        <v>420</v>
      </c>
      <c r="AV349">
        <v>1</v>
      </c>
      <c r="AW349">
        <v>0</v>
      </c>
      <c r="AX349" t="s">
        <v>445</v>
      </c>
      <c r="AY349">
        <v>0</v>
      </c>
      <c r="AZ349">
        <v>0</v>
      </c>
      <c r="BA349">
        <v>0</v>
      </c>
      <c r="CE349">
        <v>2.9390000000000001</v>
      </c>
      <c r="CG349" t="s">
        <v>450</v>
      </c>
      <c r="CI349">
        <v>1.7389424356994501</v>
      </c>
      <c r="CJ349">
        <v>3.1</v>
      </c>
      <c r="CK349">
        <v>2.4194712178497251</v>
      </c>
      <c r="CL349">
        <v>-0.18</v>
      </c>
      <c r="CM349">
        <v>2.2394712178497249</v>
      </c>
    </row>
    <row r="350" spans="1:91" x14ac:dyDescent="0.25">
      <c r="A350">
        <v>1078</v>
      </c>
      <c r="B350" t="s">
        <v>729</v>
      </c>
      <c r="C350" t="s">
        <v>1128</v>
      </c>
      <c r="D350" t="s">
        <v>1527</v>
      </c>
      <c r="E350" t="s">
        <v>405</v>
      </c>
      <c r="F350">
        <v>328939640</v>
      </c>
      <c r="G350">
        <v>24.38</v>
      </c>
      <c r="H350" t="s">
        <v>409</v>
      </c>
      <c r="I350">
        <v>8019548423.1999998</v>
      </c>
      <c r="J350" t="s">
        <v>415</v>
      </c>
      <c r="K350">
        <v>8444128.4898360595</v>
      </c>
      <c r="L350">
        <v>0.4</v>
      </c>
      <c r="M350">
        <v>3207819369.2800002</v>
      </c>
      <c r="N350">
        <v>6756420205.6000004</v>
      </c>
      <c r="O350">
        <v>30101010</v>
      </c>
      <c r="P350">
        <v>3010</v>
      </c>
      <c r="Q350">
        <v>3.4</v>
      </c>
      <c r="R350">
        <v>3.1</v>
      </c>
      <c r="S350" t="s">
        <v>418</v>
      </c>
      <c r="T350" t="s">
        <v>422</v>
      </c>
      <c r="U350">
        <v>0</v>
      </c>
      <c r="V350">
        <v>0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 t="s">
        <v>422</v>
      </c>
      <c r="AC350" t="s">
        <v>422</v>
      </c>
      <c r="AD350">
        <v>0</v>
      </c>
      <c r="AE350">
        <v>0</v>
      </c>
      <c r="AF350">
        <v>0</v>
      </c>
      <c r="AH350">
        <v>0</v>
      </c>
      <c r="AI350" t="s">
        <v>424</v>
      </c>
      <c r="AK350" t="s">
        <v>424</v>
      </c>
      <c r="AL350" t="s">
        <v>424</v>
      </c>
      <c r="AM350" t="s">
        <v>424</v>
      </c>
      <c r="AO350">
        <v>0</v>
      </c>
      <c r="AP350">
        <v>0</v>
      </c>
      <c r="AQ350">
        <v>0</v>
      </c>
      <c r="AR350">
        <v>0</v>
      </c>
      <c r="AS350">
        <v>2.4630000000000001</v>
      </c>
      <c r="AT350">
        <v>3.1339999999999999</v>
      </c>
      <c r="AU350" t="s">
        <v>430</v>
      </c>
      <c r="AV350">
        <v>0</v>
      </c>
      <c r="AW350">
        <v>0</v>
      </c>
      <c r="AX350" t="s">
        <v>444</v>
      </c>
      <c r="AY350">
        <v>0</v>
      </c>
      <c r="AZ350">
        <v>0</v>
      </c>
      <c r="BA350">
        <v>0</v>
      </c>
      <c r="CE350">
        <v>2.7985000000000002</v>
      </c>
      <c r="CG350" t="s">
        <v>450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 x14ac:dyDescent="0.25">
      <c r="A351">
        <v>1082</v>
      </c>
      <c r="B351" t="s">
        <v>730</v>
      </c>
      <c r="C351" t="s">
        <v>1129</v>
      </c>
      <c r="D351" t="s">
        <v>1528</v>
      </c>
      <c r="E351" t="s">
        <v>396</v>
      </c>
      <c r="F351">
        <v>180869312</v>
      </c>
      <c r="G351">
        <v>38.119999999999997</v>
      </c>
      <c r="H351" t="s">
        <v>409</v>
      </c>
      <c r="I351">
        <v>6894738173.4399996</v>
      </c>
      <c r="J351" t="s">
        <v>415</v>
      </c>
      <c r="K351">
        <v>14977885.9915873</v>
      </c>
      <c r="L351">
        <v>0.55000000000000004</v>
      </c>
      <c r="M351">
        <v>3792105995.3920002</v>
      </c>
      <c r="N351">
        <v>5108201544.1600008</v>
      </c>
      <c r="O351">
        <v>50205025</v>
      </c>
      <c r="P351">
        <v>5020</v>
      </c>
      <c r="Q351">
        <v>2.9636874199342098</v>
      </c>
      <c r="R351">
        <v>2.39</v>
      </c>
      <c r="S351" t="s">
        <v>418</v>
      </c>
      <c r="T351" t="s">
        <v>422</v>
      </c>
      <c r="U351">
        <v>0</v>
      </c>
      <c r="V351">
        <v>0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 t="s">
        <v>422</v>
      </c>
      <c r="AC351" t="s">
        <v>422</v>
      </c>
      <c r="AD351">
        <v>0</v>
      </c>
      <c r="AE351">
        <v>0</v>
      </c>
      <c r="AF351">
        <v>0</v>
      </c>
      <c r="AH351">
        <v>0</v>
      </c>
      <c r="AI351" t="s">
        <v>424</v>
      </c>
      <c r="AK351" t="s">
        <v>424</v>
      </c>
      <c r="AL351" t="s">
        <v>424</v>
      </c>
      <c r="AM351" t="s">
        <v>424</v>
      </c>
      <c r="AO351">
        <v>0</v>
      </c>
      <c r="AP351">
        <v>0</v>
      </c>
      <c r="AQ351">
        <v>0</v>
      </c>
      <c r="AR351">
        <v>0</v>
      </c>
      <c r="AS351">
        <v>2.4590000000000001</v>
      </c>
      <c r="AT351">
        <v>3.0110000000000001</v>
      </c>
      <c r="AU351" t="s">
        <v>429</v>
      </c>
      <c r="AV351">
        <v>0</v>
      </c>
      <c r="AW351">
        <v>0</v>
      </c>
      <c r="AX351" t="s">
        <v>445</v>
      </c>
      <c r="AY351">
        <v>0</v>
      </c>
      <c r="AZ351">
        <v>0</v>
      </c>
      <c r="BA351">
        <v>0</v>
      </c>
      <c r="CE351">
        <v>2.7349999999999999</v>
      </c>
      <c r="CG351" t="s">
        <v>450</v>
      </c>
      <c r="CI351">
        <v>2.9636874199342098</v>
      </c>
      <c r="CJ351">
        <v>2.39</v>
      </c>
      <c r="CK351">
        <v>2.676843709967105</v>
      </c>
      <c r="CL351">
        <v>-0.18</v>
      </c>
      <c r="CM351">
        <v>2.4968437099671048</v>
      </c>
    </row>
    <row r="352" spans="1:91" x14ac:dyDescent="0.25">
      <c r="A352">
        <v>1083</v>
      </c>
      <c r="B352" t="s">
        <v>731</v>
      </c>
      <c r="C352" t="s">
        <v>1130</v>
      </c>
      <c r="D352" t="s">
        <v>1529</v>
      </c>
      <c r="E352" t="s">
        <v>398</v>
      </c>
      <c r="F352">
        <v>11370000</v>
      </c>
      <c r="G352">
        <v>870.5</v>
      </c>
      <c r="H352" t="s">
        <v>409</v>
      </c>
      <c r="I352">
        <v>9897585000</v>
      </c>
      <c r="J352" t="s">
        <v>415</v>
      </c>
      <c r="K352">
        <v>7026851.7049180297</v>
      </c>
      <c r="L352">
        <v>0.45</v>
      </c>
      <c r="M352">
        <v>4453913250</v>
      </c>
      <c r="N352">
        <v>1555416000</v>
      </c>
      <c r="O352">
        <v>50202040</v>
      </c>
      <c r="P352">
        <v>5020</v>
      </c>
      <c r="Q352">
        <v>3.4</v>
      </c>
      <c r="S352" t="s">
        <v>424</v>
      </c>
      <c r="T352" t="s">
        <v>422</v>
      </c>
      <c r="U352">
        <v>0</v>
      </c>
      <c r="V352">
        <v>0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 t="s">
        <v>422</v>
      </c>
      <c r="AC352" t="s">
        <v>422</v>
      </c>
      <c r="AD352">
        <v>0</v>
      </c>
      <c r="AE352">
        <v>0</v>
      </c>
      <c r="AF352">
        <v>0</v>
      </c>
      <c r="AH352">
        <v>0</v>
      </c>
      <c r="AI352" t="s">
        <v>424</v>
      </c>
      <c r="AK352" t="s">
        <v>424</v>
      </c>
      <c r="AL352" t="s">
        <v>424</v>
      </c>
      <c r="AM352" t="s">
        <v>424</v>
      </c>
      <c r="AO352">
        <v>0</v>
      </c>
      <c r="AP352">
        <v>0</v>
      </c>
      <c r="AQ352">
        <v>0</v>
      </c>
      <c r="AR352">
        <v>0</v>
      </c>
      <c r="AS352">
        <v>1.6859999999999999</v>
      </c>
      <c r="AT352">
        <v>2.3969999999999998</v>
      </c>
      <c r="AU352" t="s">
        <v>420</v>
      </c>
      <c r="AV352">
        <v>1</v>
      </c>
      <c r="AW352">
        <v>0</v>
      </c>
      <c r="AX352" t="s">
        <v>437</v>
      </c>
      <c r="AY352">
        <v>0</v>
      </c>
      <c r="AZ352">
        <v>0</v>
      </c>
      <c r="BA352">
        <v>0</v>
      </c>
      <c r="CE352">
        <v>2.0415000000000001</v>
      </c>
      <c r="CF352" t="s">
        <v>83</v>
      </c>
      <c r="CG352" t="s">
        <v>1670</v>
      </c>
      <c r="CH352" t="s">
        <v>83</v>
      </c>
      <c r="CI352">
        <v>3.4</v>
      </c>
      <c r="CJ352">
        <v>3.1</v>
      </c>
      <c r="CK352">
        <v>3.25</v>
      </c>
      <c r="CL352">
        <v>0.3</v>
      </c>
      <c r="CM352">
        <v>3.55</v>
      </c>
    </row>
    <row r="353" spans="1:91" x14ac:dyDescent="0.25">
      <c r="A353">
        <v>1088</v>
      </c>
      <c r="B353" t="s">
        <v>732</v>
      </c>
      <c r="C353" t="s">
        <v>1131</v>
      </c>
      <c r="D353" t="s">
        <v>1530</v>
      </c>
      <c r="E353" t="s">
        <v>403</v>
      </c>
      <c r="F353">
        <v>684448700</v>
      </c>
      <c r="G353">
        <v>63.61459</v>
      </c>
      <c r="H353" t="s">
        <v>413</v>
      </c>
      <c r="I353">
        <v>43540923426.532997</v>
      </c>
      <c r="J353" t="s">
        <v>416</v>
      </c>
      <c r="K353">
        <v>52981753.512116902</v>
      </c>
      <c r="L353">
        <v>1</v>
      </c>
      <c r="M353">
        <v>43540923426.532997</v>
      </c>
      <c r="N353">
        <v>208072404800</v>
      </c>
      <c r="O353">
        <v>45201030</v>
      </c>
      <c r="P353">
        <v>4520</v>
      </c>
      <c r="Q353">
        <v>1.9951439291220101</v>
      </c>
      <c r="R353">
        <v>2.39</v>
      </c>
      <c r="S353" t="s">
        <v>419</v>
      </c>
      <c r="T353" t="s">
        <v>422</v>
      </c>
      <c r="U353">
        <v>0</v>
      </c>
      <c r="V353">
        <v>0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 t="s">
        <v>422</v>
      </c>
      <c r="AC353" t="s">
        <v>422</v>
      </c>
      <c r="AD353">
        <v>0</v>
      </c>
      <c r="AE353">
        <v>0</v>
      </c>
      <c r="AF353">
        <v>0</v>
      </c>
      <c r="AH353">
        <v>0</v>
      </c>
      <c r="AI353" t="s">
        <v>424</v>
      </c>
      <c r="AK353" t="s">
        <v>424</v>
      </c>
      <c r="AL353" t="s">
        <v>424</v>
      </c>
      <c r="AM353" t="s">
        <v>424</v>
      </c>
      <c r="AO353">
        <v>0</v>
      </c>
      <c r="AP353">
        <v>0</v>
      </c>
      <c r="AQ353">
        <v>0</v>
      </c>
      <c r="AR353">
        <v>0</v>
      </c>
      <c r="AS353">
        <v>2.4089999999999998</v>
      </c>
      <c r="AT353">
        <v>3.339</v>
      </c>
      <c r="AU353" t="s">
        <v>420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2.8740000000000001</v>
      </c>
      <c r="CG353" t="s">
        <v>450</v>
      </c>
      <c r="CI353">
        <v>1.9951439291220101</v>
      </c>
      <c r="CJ353">
        <v>2.39</v>
      </c>
      <c r="CK353">
        <v>2.1925719645610049</v>
      </c>
      <c r="CL353">
        <v>-0.24</v>
      </c>
      <c r="CM353">
        <v>1.9525719645610049</v>
      </c>
    </row>
    <row r="354" spans="1:91" x14ac:dyDescent="0.25">
      <c r="A354">
        <v>1089</v>
      </c>
      <c r="B354" t="s">
        <v>733</v>
      </c>
      <c r="C354" t="s">
        <v>1132</v>
      </c>
      <c r="D354" t="s">
        <v>1531</v>
      </c>
      <c r="E354" t="s">
        <v>404</v>
      </c>
      <c r="F354">
        <v>209125156</v>
      </c>
      <c r="G354">
        <v>54.1</v>
      </c>
      <c r="H354" t="s">
        <v>409</v>
      </c>
      <c r="I354">
        <v>11313670939.6</v>
      </c>
      <c r="J354" t="s">
        <v>415</v>
      </c>
      <c r="K354">
        <v>17990236.415327899</v>
      </c>
      <c r="L354">
        <v>0.5</v>
      </c>
      <c r="M354">
        <v>5656835469.8000002</v>
      </c>
      <c r="N354">
        <v>31787023712</v>
      </c>
      <c r="O354">
        <v>20103015</v>
      </c>
      <c r="P354">
        <v>2010</v>
      </c>
      <c r="Q354">
        <v>3.4</v>
      </c>
      <c r="S354" t="s">
        <v>418</v>
      </c>
      <c r="T354" t="s">
        <v>422</v>
      </c>
      <c r="U354">
        <v>0</v>
      </c>
      <c r="V354">
        <v>0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 t="s">
        <v>422</v>
      </c>
      <c r="AC354" t="s">
        <v>422</v>
      </c>
      <c r="AD354">
        <v>0</v>
      </c>
      <c r="AE354">
        <v>0</v>
      </c>
      <c r="AF354">
        <v>0</v>
      </c>
      <c r="AH354">
        <v>0</v>
      </c>
      <c r="AI354" t="s">
        <v>424</v>
      </c>
      <c r="AK354" t="s">
        <v>424</v>
      </c>
      <c r="AL354" t="s">
        <v>424</v>
      </c>
      <c r="AM354" t="s">
        <v>424</v>
      </c>
      <c r="AO354">
        <v>0</v>
      </c>
      <c r="AP354">
        <v>0</v>
      </c>
      <c r="AQ354">
        <v>0</v>
      </c>
      <c r="AR354">
        <v>0</v>
      </c>
      <c r="AS354">
        <v>2.4609999999999999</v>
      </c>
      <c r="AT354">
        <v>3.0750000000000002</v>
      </c>
      <c r="AU354" t="s">
        <v>420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2.7679999999999998</v>
      </c>
      <c r="CG354" t="s">
        <v>450</v>
      </c>
      <c r="CI354">
        <v>3.4</v>
      </c>
      <c r="CJ354">
        <v>3.1</v>
      </c>
      <c r="CK354">
        <v>3.25</v>
      </c>
      <c r="CL354">
        <v>-0.18</v>
      </c>
      <c r="CM354">
        <v>3.07</v>
      </c>
    </row>
    <row r="355" spans="1:91" x14ac:dyDescent="0.25">
      <c r="A355">
        <v>1092</v>
      </c>
      <c r="B355" t="s">
        <v>102</v>
      </c>
      <c r="C355" t="s">
        <v>202</v>
      </c>
      <c r="D355" t="s">
        <v>302</v>
      </c>
      <c r="E355" t="s">
        <v>401</v>
      </c>
      <c r="F355">
        <v>541080000</v>
      </c>
      <c r="G355">
        <v>16.829999999999998</v>
      </c>
      <c r="H355" t="s">
        <v>409</v>
      </c>
      <c r="I355">
        <v>9106376400</v>
      </c>
      <c r="J355" t="s">
        <v>415</v>
      </c>
      <c r="K355">
        <v>15311684.9957524</v>
      </c>
      <c r="L355">
        <v>0.75</v>
      </c>
      <c r="M355">
        <v>6829782300</v>
      </c>
      <c r="N355">
        <v>123366240000</v>
      </c>
      <c r="O355">
        <v>65101015</v>
      </c>
      <c r="P355">
        <v>6510</v>
      </c>
      <c r="Q355">
        <v>1.5959603304940599</v>
      </c>
      <c r="S355" t="s">
        <v>417</v>
      </c>
      <c r="T355" t="s">
        <v>422</v>
      </c>
      <c r="U355">
        <v>0</v>
      </c>
      <c r="V355">
        <v>0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 t="s">
        <v>422</v>
      </c>
      <c r="AC355" t="s">
        <v>422</v>
      </c>
      <c r="AD355">
        <v>0</v>
      </c>
      <c r="AE355">
        <v>0</v>
      </c>
      <c r="AF355">
        <v>0</v>
      </c>
      <c r="AH355">
        <v>0</v>
      </c>
      <c r="AI355" t="s">
        <v>424</v>
      </c>
      <c r="AK355" t="s">
        <v>424</v>
      </c>
      <c r="AL355" t="s">
        <v>424</v>
      </c>
      <c r="AM355" t="s">
        <v>424</v>
      </c>
      <c r="AO355">
        <v>0</v>
      </c>
      <c r="AP355">
        <v>0</v>
      </c>
      <c r="AQ355">
        <v>0</v>
      </c>
      <c r="AR355">
        <v>0</v>
      </c>
      <c r="AS355">
        <v>2.9380000000000002</v>
      </c>
      <c r="AT355">
        <v>2.8740000000000001</v>
      </c>
      <c r="AU355" t="s">
        <v>421</v>
      </c>
      <c r="AV355">
        <v>1</v>
      </c>
      <c r="AW355">
        <v>1</v>
      </c>
      <c r="AX355" t="s">
        <v>440</v>
      </c>
      <c r="AY355">
        <v>0</v>
      </c>
      <c r="AZ355">
        <v>0</v>
      </c>
      <c r="BA355">
        <v>0</v>
      </c>
      <c r="CE355">
        <v>2.9060000000000001</v>
      </c>
      <c r="CG355" t="s">
        <v>450</v>
      </c>
      <c r="CI355">
        <v>1.5959603304940599</v>
      </c>
      <c r="CJ355">
        <v>3.1</v>
      </c>
      <c r="CK355">
        <v>2.34798016524703</v>
      </c>
      <c r="CL355">
        <v>-0.3</v>
      </c>
      <c r="CM355">
        <v>2.0479801652470302</v>
      </c>
    </row>
    <row r="356" spans="1:91" x14ac:dyDescent="0.25">
      <c r="A356">
        <v>1098</v>
      </c>
      <c r="B356" t="s">
        <v>109</v>
      </c>
      <c r="C356" t="s">
        <v>209</v>
      </c>
      <c r="D356" t="s">
        <v>309</v>
      </c>
      <c r="E356" t="s">
        <v>396</v>
      </c>
      <c r="F356">
        <v>1907070957</v>
      </c>
      <c r="G356">
        <v>47.26</v>
      </c>
      <c r="H356" t="s">
        <v>409</v>
      </c>
      <c r="I356">
        <v>90128173427.819992</v>
      </c>
      <c r="J356" t="s">
        <v>415</v>
      </c>
      <c r="K356">
        <v>34161920.378412701</v>
      </c>
      <c r="L356">
        <v>1</v>
      </c>
      <c r="M356">
        <v>90128173427.819992</v>
      </c>
      <c r="N356">
        <v>579749570928</v>
      </c>
      <c r="O356">
        <v>10101010</v>
      </c>
      <c r="P356">
        <v>1010</v>
      </c>
      <c r="Q356">
        <v>1.9831746989669301</v>
      </c>
      <c r="R356">
        <v>1.5</v>
      </c>
      <c r="S356" t="s">
        <v>418</v>
      </c>
      <c r="T356" t="s">
        <v>422</v>
      </c>
      <c r="U356">
        <v>0</v>
      </c>
      <c r="V356">
        <v>0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 t="s">
        <v>422</v>
      </c>
      <c r="AC356" t="s">
        <v>422</v>
      </c>
      <c r="AD356">
        <v>0</v>
      </c>
      <c r="AE356">
        <v>0</v>
      </c>
      <c r="AF356">
        <v>0</v>
      </c>
      <c r="AH356">
        <v>0</v>
      </c>
      <c r="AI356" t="s">
        <v>424</v>
      </c>
      <c r="AK356" t="s">
        <v>424</v>
      </c>
      <c r="AL356" t="s">
        <v>424</v>
      </c>
      <c r="AM356" t="s">
        <v>424</v>
      </c>
      <c r="AO356">
        <v>0</v>
      </c>
      <c r="AP356">
        <v>0</v>
      </c>
      <c r="AQ356">
        <v>0</v>
      </c>
      <c r="AR356">
        <v>0</v>
      </c>
      <c r="AS356">
        <v>2.4740000000000002</v>
      </c>
      <c r="AT356">
        <v>3.2949999999999999</v>
      </c>
      <c r="AU356" t="s">
        <v>429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2.8845000000000001</v>
      </c>
      <c r="CG356" t="s">
        <v>450</v>
      </c>
      <c r="CI356">
        <v>1.9831746989669301</v>
      </c>
      <c r="CJ356">
        <v>1.5</v>
      </c>
      <c r="CK356">
        <v>1.7415873494834651</v>
      </c>
      <c r="CL356">
        <v>-0.18</v>
      </c>
      <c r="CM356">
        <v>1.5615873494834649</v>
      </c>
    </row>
    <row r="357" spans="1:91" x14ac:dyDescent="0.25">
      <c r="A357">
        <v>1099</v>
      </c>
      <c r="B357" t="s">
        <v>734</v>
      </c>
      <c r="C357" t="s">
        <v>1133</v>
      </c>
      <c r="D357" t="s">
        <v>1532</v>
      </c>
      <c r="E357" t="s">
        <v>394</v>
      </c>
      <c r="F357">
        <v>295722284</v>
      </c>
      <c r="G357">
        <v>48.76</v>
      </c>
      <c r="H357" t="s">
        <v>409</v>
      </c>
      <c r="I357">
        <v>14419418567.84</v>
      </c>
      <c r="J357" t="s">
        <v>415</v>
      </c>
      <c r="K357">
        <v>46088892.077698402</v>
      </c>
      <c r="L357">
        <v>0.70000000000000007</v>
      </c>
      <c r="M357">
        <v>10093592997.488001</v>
      </c>
      <c r="N357">
        <v>62929702035.199997</v>
      </c>
      <c r="O357">
        <v>40101020</v>
      </c>
      <c r="P357">
        <v>4010</v>
      </c>
      <c r="Q357">
        <v>1.9974602321345201</v>
      </c>
      <c r="R357">
        <v>1.77</v>
      </c>
      <c r="S357" t="s">
        <v>418</v>
      </c>
      <c r="T357" t="s">
        <v>423</v>
      </c>
      <c r="U357">
        <v>0</v>
      </c>
      <c r="V357">
        <v>0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 t="s">
        <v>422</v>
      </c>
      <c r="AC357" t="s">
        <v>422</v>
      </c>
      <c r="AD357">
        <v>0</v>
      </c>
      <c r="AE357">
        <v>0</v>
      </c>
      <c r="AF357">
        <v>0</v>
      </c>
      <c r="AH357">
        <v>0</v>
      </c>
      <c r="AI357" t="s">
        <v>424</v>
      </c>
      <c r="AK357" t="s">
        <v>424</v>
      </c>
      <c r="AL357" t="s">
        <v>424</v>
      </c>
      <c r="AM357" t="s">
        <v>424</v>
      </c>
      <c r="AO357">
        <v>0</v>
      </c>
      <c r="AP357">
        <v>0</v>
      </c>
      <c r="AQ357">
        <v>0</v>
      </c>
      <c r="AR357">
        <v>0</v>
      </c>
      <c r="AS357">
        <v>2.2280000000000002</v>
      </c>
      <c r="AT357">
        <v>2.06</v>
      </c>
      <c r="AU357" t="s">
        <v>420</v>
      </c>
      <c r="AV357">
        <v>1</v>
      </c>
      <c r="AW357">
        <v>0</v>
      </c>
      <c r="AX357" t="s">
        <v>433</v>
      </c>
      <c r="AY357">
        <v>0</v>
      </c>
      <c r="AZ357">
        <v>0</v>
      </c>
      <c r="BA357">
        <v>0</v>
      </c>
      <c r="CE357">
        <v>2.1440000000000001</v>
      </c>
      <c r="CF357" t="s">
        <v>83</v>
      </c>
      <c r="CG357" t="s">
        <v>1670</v>
      </c>
      <c r="CH357" t="s">
        <v>83</v>
      </c>
      <c r="CI357">
        <v>1.9974602321345201</v>
      </c>
      <c r="CJ357">
        <v>1.77</v>
      </c>
      <c r="CK357">
        <v>1.8837301160672599</v>
      </c>
      <c r="CL357">
        <v>-0.18</v>
      </c>
      <c r="CM357">
        <v>1.70373011606726</v>
      </c>
    </row>
    <row r="358" spans="1:91" x14ac:dyDescent="0.25">
      <c r="A358">
        <v>1101</v>
      </c>
      <c r="B358" t="s">
        <v>735</v>
      </c>
      <c r="C358" t="s">
        <v>1134</v>
      </c>
      <c r="D358" t="s">
        <v>1533</v>
      </c>
      <c r="E358" t="s">
        <v>403</v>
      </c>
      <c r="F358">
        <v>2524539800</v>
      </c>
      <c r="G358">
        <v>4.8551149999999996</v>
      </c>
      <c r="H358" t="s">
        <v>413</v>
      </c>
      <c r="I358">
        <v>12256931051.077</v>
      </c>
      <c r="J358" t="s">
        <v>416</v>
      </c>
      <c r="K358">
        <v>18277486.079740301</v>
      </c>
      <c r="L358">
        <v>0.95</v>
      </c>
      <c r="M358">
        <v>11644084498.523149</v>
      </c>
      <c r="N358">
        <v>729087094240</v>
      </c>
      <c r="O358">
        <v>50205020</v>
      </c>
      <c r="P358">
        <v>5020</v>
      </c>
      <c r="Q358">
        <v>3.3371809527846099</v>
      </c>
      <c r="R358">
        <v>2.08</v>
      </c>
      <c r="S358" t="s">
        <v>420</v>
      </c>
      <c r="T358" t="s">
        <v>422</v>
      </c>
      <c r="U358">
        <v>0</v>
      </c>
      <c r="V358">
        <v>0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 t="s">
        <v>422</v>
      </c>
      <c r="AC358" t="s">
        <v>422</v>
      </c>
      <c r="AD358">
        <v>0</v>
      </c>
      <c r="AE358">
        <v>0</v>
      </c>
      <c r="AF358">
        <v>0</v>
      </c>
      <c r="AH358">
        <v>0</v>
      </c>
      <c r="AI358" t="s">
        <v>424</v>
      </c>
      <c r="AK358" t="s">
        <v>424</v>
      </c>
      <c r="AL358" t="s">
        <v>424</v>
      </c>
      <c r="AM358" t="s">
        <v>424</v>
      </c>
      <c r="AO358">
        <v>0</v>
      </c>
      <c r="AP358">
        <v>0</v>
      </c>
      <c r="AQ358">
        <v>0</v>
      </c>
      <c r="AR358">
        <v>0</v>
      </c>
      <c r="AS358">
        <v>2.3029999999999999</v>
      </c>
      <c r="AT358">
        <v>3.137</v>
      </c>
      <c r="AU358" t="s">
        <v>432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450</v>
      </c>
      <c r="CI358">
        <v>3.3371809527846099</v>
      </c>
      <c r="CJ358">
        <v>2.08</v>
      </c>
      <c r="CK358">
        <v>2.7085904763923052</v>
      </c>
      <c r="CL358">
        <v>0</v>
      </c>
      <c r="CM358">
        <v>2.7085904763923052</v>
      </c>
    </row>
    <row r="359" spans="1:91" x14ac:dyDescent="0.25">
      <c r="A359">
        <v>1102</v>
      </c>
      <c r="B359" t="s">
        <v>736</v>
      </c>
      <c r="C359" t="s">
        <v>1135</v>
      </c>
      <c r="D359" t="s">
        <v>1534</v>
      </c>
      <c r="E359" t="s">
        <v>404</v>
      </c>
      <c r="F359">
        <v>37411428</v>
      </c>
      <c r="G359">
        <v>159.69999999999999</v>
      </c>
      <c r="H359" t="s">
        <v>409</v>
      </c>
      <c r="I359">
        <v>5974605051.5999994</v>
      </c>
      <c r="J359" t="s">
        <v>415</v>
      </c>
      <c r="K359">
        <v>5330725.79344262</v>
      </c>
      <c r="L359">
        <v>0.65</v>
      </c>
      <c r="M359">
        <v>3883493283.54</v>
      </c>
      <c r="N359">
        <v>7392498172.8000002</v>
      </c>
      <c r="O359">
        <v>10101020</v>
      </c>
      <c r="P359">
        <v>1010</v>
      </c>
      <c r="S359" t="s">
        <v>418</v>
      </c>
      <c r="T359" t="s">
        <v>422</v>
      </c>
      <c r="U359">
        <v>0</v>
      </c>
      <c r="V359">
        <v>0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 t="s">
        <v>422</v>
      </c>
      <c r="AC359" t="s">
        <v>422</v>
      </c>
      <c r="AD359">
        <v>0</v>
      </c>
      <c r="AE359">
        <v>0</v>
      </c>
      <c r="AF359">
        <v>0</v>
      </c>
      <c r="AH359">
        <v>0</v>
      </c>
      <c r="AI359" t="s">
        <v>424</v>
      </c>
      <c r="AK359" t="s">
        <v>424</v>
      </c>
      <c r="AL359" t="s">
        <v>424</v>
      </c>
      <c r="AM359" t="s">
        <v>424</v>
      </c>
      <c r="AO359">
        <v>0</v>
      </c>
      <c r="AP359">
        <v>0</v>
      </c>
      <c r="AQ359">
        <v>0</v>
      </c>
      <c r="AR359">
        <v>0</v>
      </c>
      <c r="AS359">
        <v>1.77</v>
      </c>
      <c r="AT359">
        <v>2.129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1670</v>
      </c>
      <c r="CH359" t="s">
        <v>83</v>
      </c>
      <c r="CI359">
        <v>3.4</v>
      </c>
      <c r="CJ359">
        <v>3.1</v>
      </c>
      <c r="CK359">
        <v>3.25</v>
      </c>
      <c r="CL359">
        <v>-0.18</v>
      </c>
      <c r="CM359">
        <v>3.07</v>
      </c>
    </row>
    <row r="360" spans="1:91" x14ac:dyDescent="0.25">
      <c r="A360">
        <v>1103</v>
      </c>
      <c r="B360" t="s">
        <v>737</v>
      </c>
      <c r="C360" t="s">
        <v>1136</v>
      </c>
      <c r="D360" t="s">
        <v>1535</v>
      </c>
      <c r="E360" t="s">
        <v>401</v>
      </c>
      <c r="F360">
        <v>1157396000</v>
      </c>
      <c r="G360">
        <v>12.71</v>
      </c>
      <c r="H360" t="s">
        <v>409</v>
      </c>
      <c r="I360">
        <v>14710503160</v>
      </c>
      <c r="J360" t="s">
        <v>415</v>
      </c>
      <c r="K360">
        <v>57499807.820992097</v>
      </c>
      <c r="L360">
        <v>0.95</v>
      </c>
      <c r="M360">
        <v>13974978002</v>
      </c>
      <c r="N360">
        <v>334255964800</v>
      </c>
      <c r="O360">
        <v>60101000</v>
      </c>
      <c r="P360">
        <v>6010</v>
      </c>
      <c r="Q360">
        <v>3.33921286136844</v>
      </c>
      <c r="R360">
        <v>1.5</v>
      </c>
      <c r="S360" t="s">
        <v>418</v>
      </c>
      <c r="T360" t="s">
        <v>423</v>
      </c>
      <c r="U360">
        <v>0</v>
      </c>
      <c r="V360">
        <v>0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 t="s">
        <v>422</v>
      </c>
      <c r="AC360" t="s">
        <v>422</v>
      </c>
      <c r="AD360">
        <v>0</v>
      </c>
      <c r="AE360">
        <v>0.93600000000000005</v>
      </c>
      <c r="AF360">
        <v>1.18E-2</v>
      </c>
      <c r="AG360" t="s">
        <v>1654</v>
      </c>
      <c r="AH360">
        <v>0</v>
      </c>
      <c r="AI360" t="s">
        <v>1655</v>
      </c>
      <c r="AJ360" t="s">
        <v>1654</v>
      </c>
      <c r="AK360" t="s">
        <v>424</v>
      </c>
      <c r="AL360" t="s">
        <v>1655</v>
      </c>
      <c r="AM360" t="s">
        <v>424</v>
      </c>
      <c r="AO360">
        <v>0</v>
      </c>
      <c r="AP360">
        <v>0</v>
      </c>
      <c r="AQ360">
        <v>0</v>
      </c>
      <c r="AR360">
        <v>0</v>
      </c>
      <c r="AS360">
        <v>2.464</v>
      </c>
      <c r="AT360">
        <v>3.22</v>
      </c>
      <c r="AU360" t="s">
        <v>420</v>
      </c>
      <c r="AV360">
        <v>1</v>
      </c>
      <c r="AW360">
        <v>0</v>
      </c>
      <c r="AX360" t="s">
        <v>440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2.8420000000000001</v>
      </c>
      <c r="CG360" t="s">
        <v>1670</v>
      </c>
      <c r="CH360" t="s">
        <v>1690</v>
      </c>
      <c r="CI360">
        <v>3.33921286136844</v>
      </c>
      <c r="CJ360">
        <v>1.5</v>
      </c>
      <c r="CK360">
        <v>2.4196064306842202</v>
      </c>
      <c r="CL360">
        <v>-0.18</v>
      </c>
      <c r="CM360">
        <v>2.2396064306842201</v>
      </c>
    </row>
    <row r="361" spans="1:91" x14ac:dyDescent="0.25">
      <c r="A361">
        <v>1108</v>
      </c>
      <c r="B361" t="s">
        <v>186</v>
      </c>
      <c r="C361" t="s">
        <v>286</v>
      </c>
      <c r="D361" t="s">
        <v>386</v>
      </c>
      <c r="E361" t="s">
        <v>394</v>
      </c>
      <c r="F361">
        <v>298233069</v>
      </c>
      <c r="G361">
        <v>26.56</v>
      </c>
      <c r="H361" t="s">
        <v>409</v>
      </c>
      <c r="I361">
        <v>7921070312.6399994</v>
      </c>
      <c r="J361" t="s">
        <v>415</v>
      </c>
      <c r="K361">
        <v>13654330.0976191</v>
      </c>
      <c r="L361">
        <v>0.70000000000000007</v>
      </c>
      <c r="M361">
        <v>5544749218.8480005</v>
      </c>
      <c r="N361">
        <v>63463997083.199997</v>
      </c>
      <c r="O361">
        <v>50202010</v>
      </c>
      <c r="P361">
        <v>5020</v>
      </c>
      <c r="Q361">
        <v>1.7493489955167301</v>
      </c>
      <c r="R361">
        <v>2.39</v>
      </c>
      <c r="S361" t="s">
        <v>417</v>
      </c>
      <c r="T361" t="s">
        <v>422</v>
      </c>
      <c r="U361">
        <v>0</v>
      </c>
      <c r="V361">
        <v>0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 t="s">
        <v>422</v>
      </c>
      <c r="AC361" t="s">
        <v>422</v>
      </c>
      <c r="AD361">
        <v>0</v>
      </c>
      <c r="AE361">
        <v>0</v>
      </c>
      <c r="AF361">
        <v>0</v>
      </c>
      <c r="AH361">
        <v>0</v>
      </c>
      <c r="AI361" t="s">
        <v>424</v>
      </c>
      <c r="AK361" t="s">
        <v>424</v>
      </c>
      <c r="AL361" t="s">
        <v>424</v>
      </c>
      <c r="AM361" t="s">
        <v>424</v>
      </c>
      <c r="AO361">
        <v>0</v>
      </c>
      <c r="AP361">
        <v>0</v>
      </c>
      <c r="AQ361">
        <v>0</v>
      </c>
      <c r="AR361">
        <v>0</v>
      </c>
      <c r="AS361">
        <v>2.1520000000000001</v>
      </c>
      <c r="AT361">
        <v>3.1819999999999999</v>
      </c>
      <c r="AU361" t="s">
        <v>431</v>
      </c>
      <c r="AV361">
        <v>1</v>
      </c>
      <c r="AW361">
        <v>0</v>
      </c>
      <c r="AX361" t="s">
        <v>433</v>
      </c>
      <c r="AY361">
        <v>0</v>
      </c>
      <c r="AZ361">
        <v>0</v>
      </c>
      <c r="BA361">
        <v>0</v>
      </c>
      <c r="CE361">
        <v>2.6669999999999998</v>
      </c>
      <c r="CG361" t="s">
        <v>450</v>
      </c>
      <c r="CI361">
        <v>1.7493489955167301</v>
      </c>
      <c r="CJ361">
        <v>2.39</v>
      </c>
      <c r="CK361">
        <v>2.0696744977583652</v>
      </c>
      <c r="CL361">
        <v>-0.3</v>
      </c>
      <c r="CM361">
        <v>1.7696744977583649</v>
      </c>
    </row>
    <row r="362" spans="1:91" x14ac:dyDescent="0.25">
      <c r="A362">
        <v>1109</v>
      </c>
      <c r="B362" t="s">
        <v>738</v>
      </c>
      <c r="C362" t="s">
        <v>1137</v>
      </c>
      <c r="D362" t="s">
        <v>1536</v>
      </c>
      <c r="E362" t="s">
        <v>398</v>
      </c>
      <c r="F362">
        <v>43559498</v>
      </c>
      <c r="G362">
        <v>894.2</v>
      </c>
      <c r="H362" t="s">
        <v>409</v>
      </c>
      <c r="I362">
        <v>38950903111.599998</v>
      </c>
      <c r="J362" t="s">
        <v>415</v>
      </c>
      <c r="K362">
        <v>224805034.040984</v>
      </c>
      <c r="L362">
        <v>1</v>
      </c>
      <c r="M362">
        <v>38950903111.599998</v>
      </c>
      <c r="N362">
        <v>13242087392</v>
      </c>
      <c r="O362">
        <v>50201020</v>
      </c>
      <c r="P362">
        <v>5020</v>
      </c>
      <c r="Q362">
        <v>3.3563051409243201</v>
      </c>
      <c r="S362" t="s">
        <v>1650</v>
      </c>
      <c r="T362" t="s">
        <v>423</v>
      </c>
      <c r="U362">
        <v>0</v>
      </c>
      <c r="V362">
        <v>0</v>
      </c>
      <c r="W362" t="s">
        <v>422</v>
      </c>
      <c r="X362" t="s">
        <v>422</v>
      </c>
      <c r="Y362" t="s">
        <v>422</v>
      </c>
      <c r="Z362" t="s">
        <v>422</v>
      </c>
      <c r="AA362" t="s">
        <v>422</v>
      </c>
      <c r="AB362" t="s">
        <v>1651</v>
      </c>
      <c r="AC362" t="s">
        <v>422</v>
      </c>
      <c r="AD362">
        <v>0</v>
      </c>
      <c r="AE362">
        <v>0</v>
      </c>
      <c r="AF362">
        <v>0</v>
      </c>
      <c r="AH362">
        <v>0</v>
      </c>
      <c r="AI362" t="s">
        <v>424</v>
      </c>
      <c r="AK362" t="s">
        <v>424</v>
      </c>
      <c r="AL362" t="s">
        <v>424</v>
      </c>
      <c r="AM362" t="s">
        <v>424</v>
      </c>
      <c r="AO362">
        <v>0</v>
      </c>
      <c r="AP362">
        <v>0</v>
      </c>
      <c r="AQ362">
        <v>0</v>
      </c>
      <c r="AR362">
        <v>0</v>
      </c>
      <c r="AS362">
        <v>1.772</v>
      </c>
      <c r="AT362">
        <v>3.0870000000000002</v>
      </c>
      <c r="AU362" t="s">
        <v>420</v>
      </c>
      <c r="AV362">
        <v>1</v>
      </c>
      <c r="AW362">
        <v>0</v>
      </c>
      <c r="AX362" t="s">
        <v>437</v>
      </c>
      <c r="AY362">
        <v>0</v>
      </c>
      <c r="AZ362">
        <v>0</v>
      </c>
      <c r="BA362">
        <v>0</v>
      </c>
      <c r="BE362" t="s">
        <v>1664</v>
      </c>
      <c r="BN362" t="s">
        <v>65</v>
      </c>
      <c r="CE362">
        <v>2.4295</v>
      </c>
      <c r="CG362" t="s">
        <v>1670</v>
      </c>
      <c r="CH362" t="s">
        <v>1720</v>
      </c>
      <c r="CI362">
        <v>3.3563051409243201</v>
      </c>
      <c r="CJ362">
        <v>3.1</v>
      </c>
      <c r="CK362">
        <v>3.2281525704621599</v>
      </c>
      <c r="CL362">
        <v>-0.12</v>
      </c>
      <c r="CM362">
        <v>3.1081525704621602</v>
      </c>
    </row>
    <row r="363" spans="1:91" x14ac:dyDescent="0.25">
      <c r="A363">
        <v>1111</v>
      </c>
      <c r="B363" t="s">
        <v>739</v>
      </c>
      <c r="C363" t="s">
        <v>1138</v>
      </c>
      <c r="D363" t="s">
        <v>1537</v>
      </c>
      <c r="E363" t="s">
        <v>403</v>
      </c>
      <c r="F363">
        <v>783508360</v>
      </c>
      <c r="G363">
        <v>7.8943979999999998</v>
      </c>
      <c r="H363" t="s">
        <v>413</v>
      </c>
      <c r="I363">
        <v>6185326830.1672802</v>
      </c>
      <c r="J363" t="s">
        <v>416</v>
      </c>
      <c r="K363">
        <v>9850003.0018964</v>
      </c>
      <c r="L363">
        <v>1</v>
      </c>
      <c r="M363">
        <v>6185326830.1672802</v>
      </c>
      <c r="N363">
        <v>238186541440</v>
      </c>
      <c r="O363">
        <v>35101015</v>
      </c>
      <c r="P363">
        <v>3510</v>
      </c>
      <c r="Q363">
        <v>1.7117210497947599</v>
      </c>
      <c r="S363" t="s">
        <v>424</v>
      </c>
      <c r="T363" t="s">
        <v>422</v>
      </c>
      <c r="U363">
        <v>0</v>
      </c>
      <c r="V363">
        <v>0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 t="s">
        <v>422</v>
      </c>
      <c r="AC363" t="s">
        <v>422</v>
      </c>
      <c r="AD363">
        <v>0</v>
      </c>
      <c r="AE363">
        <v>0</v>
      </c>
      <c r="AF363">
        <v>0</v>
      </c>
      <c r="AH363">
        <v>0</v>
      </c>
      <c r="AI363" t="s">
        <v>424</v>
      </c>
      <c r="AK363" t="s">
        <v>424</v>
      </c>
      <c r="AL363" t="s">
        <v>424</v>
      </c>
      <c r="AM363" t="s">
        <v>424</v>
      </c>
      <c r="AO363">
        <v>0</v>
      </c>
      <c r="AP363">
        <v>0</v>
      </c>
      <c r="AQ363">
        <v>0</v>
      </c>
      <c r="AR363">
        <v>0</v>
      </c>
      <c r="AS363">
        <v>2.13</v>
      </c>
      <c r="AT363">
        <v>2.8439999999999999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2.4870000000000001</v>
      </c>
      <c r="CG363" t="s">
        <v>450</v>
      </c>
      <c r="CI363">
        <v>1.7117210497947599</v>
      </c>
      <c r="CJ363">
        <v>3.1</v>
      </c>
      <c r="CK363">
        <v>2.4058605248973799</v>
      </c>
      <c r="CL363">
        <v>0.3</v>
      </c>
      <c r="CM363">
        <v>2.7058605248973802</v>
      </c>
    </row>
    <row r="364" spans="1:91" x14ac:dyDescent="0.25">
      <c r="A364">
        <v>1112</v>
      </c>
      <c r="B364" t="s">
        <v>740</v>
      </c>
      <c r="C364" t="s">
        <v>1139</v>
      </c>
      <c r="D364" t="s">
        <v>1538</v>
      </c>
      <c r="E364" t="s">
        <v>402</v>
      </c>
      <c r="F364">
        <v>26706740</v>
      </c>
      <c r="G364">
        <v>157.3681</v>
      </c>
      <c r="H364" t="s">
        <v>412</v>
      </c>
      <c r="I364">
        <v>4202788930.994</v>
      </c>
      <c r="J364" t="s">
        <v>416</v>
      </c>
      <c r="K364">
        <v>4716246.3048326103</v>
      </c>
      <c r="L364">
        <v>0.9</v>
      </c>
      <c r="M364">
        <v>3782510037.8945999</v>
      </c>
      <c r="N364">
        <v>7306964064</v>
      </c>
      <c r="O364">
        <v>30101010</v>
      </c>
      <c r="P364">
        <v>3010</v>
      </c>
      <c r="S364" t="s">
        <v>420</v>
      </c>
      <c r="T364" t="s">
        <v>422</v>
      </c>
      <c r="U364">
        <v>0</v>
      </c>
      <c r="V364">
        <v>0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 t="s">
        <v>422</v>
      </c>
      <c r="AC364" t="s">
        <v>422</v>
      </c>
      <c r="AD364">
        <v>0</v>
      </c>
      <c r="AE364">
        <v>0</v>
      </c>
      <c r="AF364">
        <v>0</v>
      </c>
      <c r="AH364">
        <v>0</v>
      </c>
      <c r="AI364" t="s">
        <v>424</v>
      </c>
      <c r="AK364" t="s">
        <v>424</v>
      </c>
      <c r="AL364" t="s">
        <v>424</v>
      </c>
      <c r="AM364" t="s">
        <v>424</v>
      </c>
      <c r="AO364">
        <v>0</v>
      </c>
      <c r="AP364">
        <v>0</v>
      </c>
      <c r="AQ364">
        <v>0</v>
      </c>
      <c r="AR364">
        <v>0</v>
      </c>
      <c r="AS364">
        <v>1.9850000000000001</v>
      </c>
      <c r="AT364">
        <v>3.0590000000000002</v>
      </c>
      <c r="AU364" t="s">
        <v>430</v>
      </c>
      <c r="AV364">
        <v>0</v>
      </c>
      <c r="AW364">
        <v>0</v>
      </c>
      <c r="AX364" t="s">
        <v>441</v>
      </c>
      <c r="AY364">
        <v>0</v>
      </c>
      <c r="AZ364">
        <v>0</v>
      </c>
      <c r="BA364">
        <v>0</v>
      </c>
      <c r="CE364">
        <v>2.5219999999999998</v>
      </c>
      <c r="CG364" t="s">
        <v>450</v>
      </c>
      <c r="CI364">
        <v>3.4</v>
      </c>
      <c r="CJ364">
        <v>3.1</v>
      </c>
      <c r="CK364">
        <v>3.25</v>
      </c>
      <c r="CL364">
        <v>0</v>
      </c>
      <c r="CM364">
        <v>3.25</v>
      </c>
    </row>
    <row r="365" spans="1:91" x14ac:dyDescent="0.25">
      <c r="A365">
        <v>1114</v>
      </c>
      <c r="B365" t="s">
        <v>741</v>
      </c>
      <c r="C365" t="s">
        <v>1140</v>
      </c>
      <c r="D365" t="s">
        <v>1539</v>
      </c>
      <c r="E365" t="s">
        <v>403</v>
      </c>
      <c r="F365">
        <v>1253051600</v>
      </c>
      <c r="G365">
        <v>61.438490000000002</v>
      </c>
      <c r="H365" t="s">
        <v>413</v>
      </c>
      <c r="I365">
        <v>76985598196.084</v>
      </c>
      <c r="J365" t="s">
        <v>416</v>
      </c>
      <c r="K365">
        <v>100758236.53435899</v>
      </c>
      <c r="L365">
        <v>0.85</v>
      </c>
      <c r="M365">
        <v>65437758466.671387</v>
      </c>
      <c r="N365">
        <v>323788533440</v>
      </c>
      <c r="O365">
        <v>55102000</v>
      </c>
      <c r="P365">
        <v>5510</v>
      </c>
      <c r="Q365">
        <v>3.4</v>
      </c>
      <c r="R365">
        <v>2.7</v>
      </c>
      <c r="S365" t="s">
        <v>420</v>
      </c>
      <c r="T365" t="s">
        <v>423</v>
      </c>
      <c r="U365">
        <v>0</v>
      </c>
      <c r="V365">
        <v>0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 t="s">
        <v>422</v>
      </c>
      <c r="AC365" t="s">
        <v>422</v>
      </c>
      <c r="AD365">
        <v>6.7999999999999996E-3</v>
      </c>
      <c r="AE365">
        <v>0.01</v>
      </c>
      <c r="AF365">
        <v>1.32E-2</v>
      </c>
      <c r="AH365">
        <v>0</v>
      </c>
      <c r="AI365" t="s">
        <v>424</v>
      </c>
      <c r="AK365" t="s">
        <v>424</v>
      </c>
      <c r="AL365" t="s">
        <v>424</v>
      </c>
      <c r="AM365" t="s">
        <v>424</v>
      </c>
      <c r="AN365" t="s">
        <v>1654</v>
      </c>
      <c r="AO365">
        <v>0.01</v>
      </c>
      <c r="AP365">
        <v>0.01</v>
      </c>
      <c r="AQ365">
        <v>0</v>
      </c>
      <c r="AR365">
        <v>0</v>
      </c>
      <c r="AS365">
        <v>2.4889999999999999</v>
      </c>
      <c r="AT365">
        <v>2.907</v>
      </c>
      <c r="AU365" t="s">
        <v>418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1670</v>
      </c>
      <c r="CH365" t="s">
        <v>1721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 x14ac:dyDescent="0.25">
      <c r="A366">
        <v>1117</v>
      </c>
      <c r="B366" t="s">
        <v>742</v>
      </c>
      <c r="C366" t="s">
        <v>1141</v>
      </c>
      <c r="D366" t="s">
        <v>1540</v>
      </c>
      <c r="E366" t="s">
        <v>406</v>
      </c>
      <c r="F366">
        <v>702562700</v>
      </c>
      <c r="G366">
        <v>317.28489999999999</v>
      </c>
      <c r="H366" t="s">
        <v>414</v>
      </c>
      <c r="I366">
        <v>222912536013.23001</v>
      </c>
      <c r="J366" t="s">
        <v>416</v>
      </c>
      <c r="K366">
        <v>309147577.91078299</v>
      </c>
      <c r="L366">
        <v>1</v>
      </c>
      <c r="M366">
        <v>222912536013.23001</v>
      </c>
      <c r="N366">
        <v>213579060800</v>
      </c>
      <c r="O366">
        <v>20103015</v>
      </c>
      <c r="P366">
        <v>2010</v>
      </c>
      <c r="Q366">
        <v>3.4</v>
      </c>
      <c r="S366" t="s">
        <v>424</v>
      </c>
      <c r="T366" t="s">
        <v>422</v>
      </c>
      <c r="U366">
        <v>0</v>
      </c>
      <c r="V366">
        <v>0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 t="s">
        <v>422</v>
      </c>
      <c r="AC366" t="s">
        <v>422</v>
      </c>
      <c r="AD366">
        <v>0</v>
      </c>
      <c r="AE366">
        <v>0</v>
      </c>
      <c r="AF366">
        <v>0</v>
      </c>
      <c r="AH366">
        <v>0</v>
      </c>
      <c r="AI366" t="s">
        <v>424</v>
      </c>
      <c r="AK366" t="s">
        <v>424</v>
      </c>
      <c r="AL366" t="s">
        <v>424</v>
      </c>
      <c r="AM366" t="s">
        <v>424</v>
      </c>
      <c r="AO366">
        <v>0</v>
      </c>
      <c r="AP366">
        <v>0</v>
      </c>
      <c r="AQ366">
        <v>0</v>
      </c>
      <c r="AR366">
        <v>0</v>
      </c>
      <c r="AS366">
        <v>2.8759999999999999</v>
      </c>
      <c r="AT366">
        <v>2.17</v>
      </c>
      <c r="AU366" t="s">
        <v>420</v>
      </c>
      <c r="AV366">
        <v>1</v>
      </c>
      <c r="AW366">
        <v>0</v>
      </c>
      <c r="AX366" t="s">
        <v>446</v>
      </c>
      <c r="AY366">
        <v>0</v>
      </c>
      <c r="AZ366">
        <v>0</v>
      </c>
      <c r="BA366">
        <v>0</v>
      </c>
      <c r="CE366">
        <v>2.5230000000000001</v>
      </c>
      <c r="CG366" t="s">
        <v>450</v>
      </c>
      <c r="CI366">
        <v>3.4</v>
      </c>
      <c r="CJ366">
        <v>3.1</v>
      </c>
      <c r="CK366">
        <v>3.25</v>
      </c>
      <c r="CL366">
        <v>0.3</v>
      </c>
      <c r="CM366">
        <v>3.55</v>
      </c>
    </row>
    <row r="367" spans="1:91" x14ac:dyDescent="0.25">
      <c r="A367">
        <v>1119</v>
      </c>
      <c r="B367" t="s">
        <v>103</v>
      </c>
      <c r="C367" t="s">
        <v>203</v>
      </c>
      <c r="D367" t="s">
        <v>303</v>
      </c>
      <c r="E367" t="s">
        <v>402</v>
      </c>
      <c r="F367">
        <v>117541060</v>
      </c>
      <c r="G367">
        <v>37.532420000000002</v>
      </c>
      <c r="H367" t="s">
        <v>412</v>
      </c>
      <c r="I367">
        <v>4411600431.1652002</v>
      </c>
      <c r="J367" t="s">
        <v>416</v>
      </c>
      <c r="K367">
        <v>13834313.1880618</v>
      </c>
      <c r="L367">
        <v>0.85</v>
      </c>
      <c r="M367">
        <v>3749860366.4904199</v>
      </c>
      <c r="N367">
        <v>30372609904</v>
      </c>
      <c r="O367">
        <v>50101035</v>
      </c>
      <c r="P367">
        <v>5010</v>
      </c>
      <c r="Q367">
        <v>1.8363484043813201</v>
      </c>
      <c r="R367">
        <v>3.1</v>
      </c>
      <c r="S367" t="s">
        <v>418</v>
      </c>
      <c r="T367" t="s">
        <v>422</v>
      </c>
      <c r="U367">
        <v>0</v>
      </c>
      <c r="V367">
        <v>0</v>
      </c>
      <c r="W367" t="s">
        <v>422</v>
      </c>
      <c r="X367" t="s">
        <v>422</v>
      </c>
      <c r="Y367" t="s">
        <v>422</v>
      </c>
      <c r="Z367" t="s">
        <v>422</v>
      </c>
      <c r="AA367" t="s">
        <v>422</v>
      </c>
      <c r="AB367" t="s">
        <v>422</v>
      </c>
      <c r="AC367" t="s">
        <v>422</v>
      </c>
      <c r="AD367">
        <v>0</v>
      </c>
      <c r="AE367">
        <v>0</v>
      </c>
      <c r="AF367">
        <v>0</v>
      </c>
      <c r="AH367">
        <v>0</v>
      </c>
      <c r="AI367" t="s">
        <v>424</v>
      </c>
      <c r="AK367" t="s">
        <v>424</v>
      </c>
      <c r="AL367" t="s">
        <v>424</v>
      </c>
      <c r="AM367" t="s">
        <v>424</v>
      </c>
      <c r="AO367">
        <v>0</v>
      </c>
      <c r="AP367">
        <v>0</v>
      </c>
      <c r="AQ367">
        <v>0</v>
      </c>
      <c r="AR367">
        <v>0</v>
      </c>
      <c r="AS367">
        <v>2.1520000000000001</v>
      </c>
      <c r="AT367">
        <v>2.6040000000000001</v>
      </c>
      <c r="AU367" t="s">
        <v>420</v>
      </c>
      <c r="AV367">
        <v>1</v>
      </c>
      <c r="AW367">
        <v>1</v>
      </c>
      <c r="AX367" t="s">
        <v>441</v>
      </c>
      <c r="AY367">
        <v>0</v>
      </c>
      <c r="AZ367">
        <v>0</v>
      </c>
      <c r="BA367">
        <v>0</v>
      </c>
      <c r="CE367">
        <v>2.3780000000000001</v>
      </c>
      <c r="CG367" t="s">
        <v>450</v>
      </c>
      <c r="CI367">
        <v>1.8363484043813201</v>
      </c>
      <c r="CJ367">
        <v>3.1</v>
      </c>
      <c r="CK367">
        <v>2.4681742021906601</v>
      </c>
      <c r="CL367">
        <v>-0.18</v>
      </c>
      <c r="CM367">
        <v>2.2881742021906599</v>
      </c>
    </row>
    <row r="368" spans="1:91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403</v>
      </c>
      <c r="F368">
        <v>8504897000</v>
      </c>
      <c r="G368">
        <v>7.3914780000000002</v>
      </c>
      <c r="H368" t="s">
        <v>413</v>
      </c>
      <c r="I368">
        <v>62863759067.765999</v>
      </c>
      <c r="J368" t="s">
        <v>416</v>
      </c>
      <c r="K368">
        <v>76682435.714459807</v>
      </c>
      <c r="L368">
        <v>1</v>
      </c>
      <c r="M368">
        <v>62863759067.765999</v>
      </c>
      <c r="N368">
        <v>2585488688000</v>
      </c>
      <c r="O368">
        <v>50201010</v>
      </c>
      <c r="P368">
        <v>5020</v>
      </c>
      <c r="Q368">
        <v>3.4</v>
      </c>
      <c r="R368">
        <v>3.1</v>
      </c>
      <c r="S368" t="s">
        <v>420</v>
      </c>
      <c r="T368" t="s">
        <v>422</v>
      </c>
      <c r="U368">
        <v>0</v>
      </c>
      <c r="V368">
        <v>0</v>
      </c>
      <c r="W368" t="s">
        <v>422</v>
      </c>
      <c r="X368" t="s">
        <v>422</v>
      </c>
      <c r="Y368" t="s">
        <v>422</v>
      </c>
      <c r="Z368" t="s">
        <v>1651</v>
      </c>
      <c r="AA368" t="s">
        <v>422</v>
      </c>
      <c r="AB368" t="s">
        <v>422</v>
      </c>
      <c r="AC368" t="s">
        <v>422</v>
      </c>
      <c r="AD368">
        <v>0</v>
      </c>
      <c r="AE368">
        <v>0.05</v>
      </c>
      <c r="AF368">
        <v>0</v>
      </c>
      <c r="AG368" t="s">
        <v>1653</v>
      </c>
      <c r="AH368">
        <v>0</v>
      </c>
      <c r="AI368" t="s">
        <v>424</v>
      </c>
      <c r="AJ368" t="s">
        <v>1653</v>
      </c>
      <c r="AK368" t="s">
        <v>424</v>
      </c>
      <c r="AL368" t="s">
        <v>424</v>
      </c>
      <c r="AM368" t="s">
        <v>424</v>
      </c>
      <c r="AN368" t="s">
        <v>1653</v>
      </c>
      <c r="AO368">
        <v>0</v>
      </c>
      <c r="AP368">
        <v>0</v>
      </c>
      <c r="AQ368">
        <v>0</v>
      </c>
      <c r="AR368">
        <v>0</v>
      </c>
      <c r="AS368">
        <v>2.0859999999999999</v>
      </c>
      <c r="AT368">
        <v>3.2959999999999998</v>
      </c>
      <c r="AU368" t="s">
        <v>420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1663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2.6909999999999998</v>
      </c>
      <c r="CG368" t="s">
        <v>1670</v>
      </c>
      <c r="CH368" t="s">
        <v>1722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403</v>
      </c>
      <c r="F369">
        <v>846392940</v>
      </c>
      <c r="G369">
        <v>4.0064380000000002</v>
      </c>
      <c r="H369" t="s">
        <v>413</v>
      </c>
      <c r="I369">
        <v>3391020837.7477198</v>
      </c>
      <c r="J369" t="s">
        <v>416</v>
      </c>
      <c r="K369">
        <v>4567425.9986857204</v>
      </c>
      <c r="L369">
        <v>1</v>
      </c>
      <c r="M369">
        <v>3391020837.7477198</v>
      </c>
      <c r="N369">
        <v>18823778985.599998</v>
      </c>
      <c r="O369">
        <v>50202020</v>
      </c>
      <c r="P369">
        <v>5020</v>
      </c>
      <c r="Q369">
        <v>1.99197806822964</v>
      </c>
      <c r="R369">
        <v>2.08</v>
      </c>
      <c r="S369" t="s">
        <v>418</v>
      </c>
      <c r="T369" t="s">
        <v>422</v>
      </c>
      <c r="U369">
        <v>0</v>
      </c>
      <c r="V369">
        <v>0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 t="s">
        <v>422</v>
      </c>
      <c r="AC369" t="s">
        <v>422</v>
      </c>
      <c r="AD369">
        <v>0</v>
      </c>
      <c r="AE369">
        <v>0.70299999999999996</v>
      </c>
      <c r="AF369">
        <v>0</v>
      </c>
      <c r="AH369">
        <v>0</v>
      </c>
      <c r="AI369" t="s">
        <v>424</v>
      </c>
      <c r="AK369" t="s">
        <v>424</v>
      </c>
      <c r="AL369" t="s">
        <v>424</v>
      </c>
      <c r="AM369" t="s">
        <v>424</v>
      </c>
      <c r="AO369">
        <v>0</v>
      </c>
      <c r="AP369">
        <v>0</v>
      </c>
      <c r="AQ369">
        <v>0</v>
      </c>
      <c r="AR369">
        <v>0</v>
      </c>
      <c r="AS369">
        <v>2.161</v>
      </c>
      <c r="AT369">
        <v>3.1659999999999999</v>
      </c>
      <c r="AU369" t="s">
        <v>420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1670</v>
      </c>
      <c r="CH369" t="s">
        <v>68</v>
      </c>
      <c r="CI369">
        <v>1.99197806822964</v>
      </c>
      <c r="CJ369">
        <v>2.08</v>
      </c>
      <c r="CK369">
        <v>2.0359890341148201</v>
      </c>
      <c r="CL369">
        <v>-0.18</v>
      </c>
      <c r="CM369">
        <v>1.85598903411482</v>
      </c>
    </row>
    <row r="370" spans="1:91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412</v>
      </c>
      <c r="I370">
        <v>3690870664</v>
      </c>
      <c r="J370" t="s">
        <v>416</v>
      </c>
      <c r="K370">
        <v>6001786.9137484599</v>
      </c>
      <c r="L370">
        <v>0.85</v>
      </c>
      <c r="M370">
        <v>3137240064.4000001</v>
      </c>
      <c r="N370">
        <v>948980800</v>
      </c>
      <c r="O370">
        <v>45101010</v>
      </c>
      <c r="P370">
        <v>4510</v>
      </c>
      <c r="Q370">
        <v>1.7333717938572899</v>
      </c>
      <c r="S370" t="s">
        <v>418</v>
      </c>
      <c r="T370" t="s">
        <v>422</v>
      </c>
      <c r="U370">
        <v>0</v>
      </c>
      <c r="V370">
        <v>0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 t="s">
        <v>422</v>
      </c>
      <c r="AC370" t="s">
        <v>422</v>
      </c>
      <c r="AD370">
        <v>0</v>
      </c>
      <c r="AE370">
        <v>0</v>
      </c>
      <c r="AF370">
        <v>0</v>
      </c>
      <c r="AH370">
        <v>0</v>
      </c>
      <c r="AI370" t="s">
        <v>424</v>
      </c>
      <c r="AK370" t="s">
        <v>424</v>
      </c>
      <c r="AL370" t="s">
        <v>424</v>
      </c>
      <c r="AM370" t="s">
        <v>424</v>
      </c>
      <c r="AO370">
        <v>0</v>
      </c>
      <c r="AP370">
        <v>0</v>
      </c>
      <c r="AQ370">
        <v>0</v>
      </c>
      <c r="AR370">
        <v>0</v>
      </c>
      <c r="AS370">
        <v>1.8740000000000001</v>
      </c>
      <c r="AT370">
        <v>2.9849999999999999</v>
      </c>
      <c r="AU370" t="s">
        <v>420</v>
      </c>
      <c r="AV370">
        <v>1</v>
      </c>
      <c r="AW370">
        <v>0</v>
      </c>
      <c r="AX370" t="s">
        <v>441</v>
      </c>
      <c r="AY370">
        <v>0</v>
      </c>
      <c r="AZ370">
        <v>0</v>
      </c>
      <c r="BA370">
        <v>0</v>
      </c>
      <c r="CE370">
        <v>2.4295</v>
      </c>
      <c r="CG370" t="s">
        <v>450</v>
      </c>
      <c r="CI370">
        <v>1.7333717938572899</v>
      </c>
      <c r="CJ370">
        <v>3.1</v>
      </c>
      <c r="CK370">
        <v>2.4166858969286449</v>
      </c>
      <c r="CL370">
        <v>-0.18</v>
      </c>
      <c r="CM370">
        <v>2.2366858969286452</v>
      </c>
    </row>
    <row r="371" spans="1:91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403</v>
      </c>
      <c r="F371">
        <v>474049470</v>
      </c>
      <c r="G371">
        <v>7.7493249999999998</v>
      </c>
      <c r="H371" t="s">
        <v>413</v>
      </c>
      <c r="I371">
        <v>3673563409.1077499</v>
      </c>
      <c r="J371" t="s">
        <v>416</v>
      </c>
      <c r="K371">
        <v>4519321.1892360998</v>
      </c>
      <c r="L371">
        <v>1</v>
      </c>
      <c r="M371">
        <v>3673563409.1077499</v>
      </c>
      <c r="N371">
        <v>10542860212.799999</v>
      </c>
      <c r="O371">
        <v>50205010</v>
      </c>
      <c r="P371">
        <v>5020</v>
      </c>
      <c r="Q371">
        <v>1.9989197354821</v>
      </c>
      <c r="R371">
        <v>3.1</v>
      </c>
      <c r="S371" t="s">
        <v>417</v>
      </c>
      <c r="T371" t="s">
        <v>422</v>
      </c>
      <c r="U371">
        <v>0</v>
      </c>
      <c r="V371">
        <v>0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 t="s">
        <v>422</v>
      </c>
      <c r="AC371" t="s">
        <v>422</v>
      </c>
      <c r="AD371">
        <v>0</v>
      </c>
      <c r="AE371">
        <v>0</v>
      </c>
      <c r="AF371">
        <v>0</v>
      </c>
      <c r="AH371">
        <v>0</v>
      </c>
      <c r="AI371" t="s">
        <v>424</v>
      </c>
      <c r="AK371" t="s">
        <v>424</v>
      </c>
      <c r="AL371" t="s">
        <v>424</v>
      </c>
      <c r="AM371" t="s">
        <v>424</v>
      </c>
      <c r="AO371">
        <v>0</v>
      </c>
      <c r="AP371">
        <v>0</v>
      </c>
      <c r="AQ371">
        <v>0</v>
      </c>
      <c r="AR371">
        <v>0.05</v>
      </c>
      <c r="AS371">
        <v>2.4</v>
      </c>
      <c r="AT371">
        <v>3.43</v>
      </c>
      <c r="AU371" t="s">
        <v>431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1670</v>
      </c>
      <c r="CH371" t="s">
        <v>81</v>
      </c>
      <c r="CI371">
        <v>1.9989197354821</v>
      </c>
      <c r="CJ371">
        <v>3.1</v>
      </c>
      <c r="CK371">
        <v>2.5494598677410498</v>
      </c>
      <c r="CL371">
        <v>-0.3</v>
      </c>
      <c r="CM371">
        <v>2.24945986774105</v>
      </c>
    </row>
    <row r="372" spans="1:91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398</v>
      </c>
      <c r="F372">
        <v>743841200</v>
      </c>
      <c r="G372">
        <v>29.13</v>
      </c>
      <c r="H372" t="s">
        <v>409</v>
      </c>
      <c r="I372">
        <v>21668094156</v>
      </c>
      <c r="J372" t="s">
        <v>415</v>
      </c>
      <c r="K372">
        <v>76215607.565245897</v>
      </c>
      <c r="L372">
        <v>0.9</v>
      </c>
      <c r="M372">
        <v>19501284740.400002</v>
      </c>
      <c r="N372">
        <v>14888725459.200001</v>
      </c>
      <c r="O372">
        <v>65102000</v>
      </c>
      <c r="P372">
        <v>6510</v>
      </c>
      <c r="Q372">
        <v>1.54823981092048</v>
      </c>
      <c r="R372">
        <v>1.69</v>
      </c>
      <c r="S372" t="s">
        <v>418</v>
      </c>
      <c r="T372" t="s">
        <v>422</v>
      </c>
      <c r="U372">
        <v>0</v>
      </c>
      <c r="V372">
        <v>0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 t="s">
        <v>422</v>
      </c>
      <c r="AC372" t="s">
        <v>422</v>
      </c>
      <c r="AD372">
        <v>0.22189999999999999</v>
      </c>
      <c r="AE372">
        <v>0.55200000000000005</v>
      </c>
      <c r="AF372">
        <v>0.44390000000000002</v>
      </c>
      <c r="AH372">
        <v>0</v>
      </c>
      <c r="AI372" t="s">
        <v>424</v>
      </c>
      <c r="AK372" t="s">
        <v>424</v>
      </c>
      <c r="AL372" t="s">
        <v>424</v>
      </c>
      <c r="AM372" t="s">
        <v>1655</v>
      </c>
      <c r="AN372" t="s">
        <v>1656</v>
      </c>
      <c r="AO372">
        <v>2.1000000000000001E-2</v>
      </c>
      <c r="AP372">
        <v>0</v>
      </c>
      <c r="AQ372">
        <v>0</v>
      </c>
      <c r="AR372">
        <v>0</v>
      </c>
      <c r="AS372">
        <v>2.4649999999999999</v>
      </c>
      <c r="AT372">
        <v>3.0609999999999999</v>
      </c>
      <c r="AU372" t="s">
        <v>421</v>
      </c>
      <c r="AV372">
        <v>1</v>
      </c>
      <c r="AW372">
        <v>0</v>
      </c>
      <c r="AX372" t="s">
        <v>437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2.7629999999999999</v>
      </c>
      <c r="CG372" t="s">
        <v>1670</v>
      </c>
      <c r="CH372" t="s">
        <v>1671</v>
      </c>
      <c r="CI372">
        <v>1.54823981092048</v>
      </c>
      <c r="CJ372">
        <v>1.69</v>
      </c>
      <c r="CK372">
        <v>1.6191199054602401</v>
      </c>
      <c r="CL372">
        <v>-0.18</v>
      </c>
      <c r="CM372">
        <v>1.4391199054602399</v>
      </c>
    </row>
    <row r="373" spans="1:91" x14ac:dyDescent="0.25">
      <c r="A373">
        <v>1133</v>
      </c>
      <c r="B373" t="s">
        <v>169</v>
      </c>
      <c r="C373" t="s">
        <v>269</v>
      </c>
      <c r="D373" t="s">
        <v>369</v>
      </c>
      <c r="E373" t="s">
        <v>397</v>
      </c>
      <c r="F373">
        <v>1074613824</v>
      </c>
      <c r="G373">
        <v>20.260000000000002</v>
      </c>
      <c r="H373" t="s">
        <v>409</v>
      </c>
      <c r="I373">
        <v>21771676074.240002</v>
      </c>
      <c r="J373" t="s">
        <v>415</v>
      </c>
      <c r="K373">
        <v>37482966.910301603</v>
      </c>
      <c r="L373">
        <v>1</v>
      </c>
      <c r="M373">
        <v>21771676074.240002</v>
      </c>
      <c r="N373">
        <v>23899411445.759998</v>
      </c>
      <c r="O373">
        <v>40501010</v>
      </c>
      <c r="P373">
        <v>4050</v>
      </c>
      <c r="Q373">
        <v>1.6201795191173001</v>
      </c>
      <c r="R373">
        <v>2.7</v>
      </c>
      <c r="S373" t="s">
        <v>419</v>
      </c>
      <c r="T373" t="s">
        <v>423</v>
      </c>
      <c r="U373">
        <v>0</v>
      </c>
      <c r="V373">
        <v>0.01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 t="s">
        <v>422</v>
      </c>
      <c r="AC373" t="s">
        <v>422</v>
      </c>
      <c r="AD373">
        <v>0</v>
      </c>
      <c r="AE373">
        <v>0</v>
      </c>
      <c r="AF373">
        <v>0</v>
      </c>
      <c r="AH373">
        <v>0</v>
      </c>
      <c r="AI373" t="s">
        <v>424</v>
      </c>
      <c r="AK373" t="s">
        <v>424</v>
      </c>
      <c r="AL373" t="s">
        <v>424</v>
      </c>
      <c r="AM373" t="s">
        <v>424</v>
      </c>
      <c r="AO373">
        <v>0</v>
      </c>
      <c r="AP373">
        <v>0</v>
      </c>
      <c r="AQ373">
        <v>0</v>
      </c>
      <c r="AR373">
        <v>0</v>
      </c>
      <c r="AS373">
        <v>1.82</v>
      </c>
      <c r="AT373">
        <v>3.0049999999999999</v>
      </c>
      <c r="AU373" t="s">
        <v>427</v>
      </c>
      <c r="AV373">
        <v>1</v>
      </c>
      <c r="AW373">
        <v>0</v>
      </c>
      <c r="AX373" t="s">
        <v>436</v>
      </c>
      <c r="AY373">
        <v>0</v>
      </c>
      <c r="AZ373">
        <v>0</v>
      </c>
      <c r="BA373">
        <v>0</v>
      </c>
      <c r="CE373">
        <v>2.4125000000000001</v>
      </c>
      <c r="CG373" t="s">
        <v>450</v>
      </c>
      <c r="CI373">
        <v>1.6201795191173001</v>
      </c>
      <c r="CJ373">
        <v>2.7</v>
      </c>
      <c r="CK373">
        <v>2.1600897595586499</v>
      </c>
      <c r="CL373">
        <v>-0.24</v>
      </c>
      <c r="CM373">
        <v>1.9200897595586499</v>
      </c>
    </row>
    <row r="374" spans="1:91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395</v>
      </c>
      <c r="F374">
        <v>533847800</v>
      </c>
      <c r="G374">
        <v>26.69266</v>
      </c>
      <c r="H374" t="s">
        <v>410</v>
      </c>
      <c r="I374">
        <v>14249817817.148001</v>
      </c>
      <c r="J374" t="s">
        <v>416</v>
      </c>
      <c r="K374">
        <v>44380038.428900503</v>
      </c>
      <c r="L374">
        <v>0.6</v>
      </c>
      <c r="M374">
        <v>8549890690.2888002</v>
      </c>
      <c r="N374">
        <v>7123665043.1999998</v>
      </c>
      <c r="O374">
        <v>50201010</v>
      </c>
      <c r="P374">
        <v>5020</v>
      </c>
      <c r="Q374">
        <v>1.7425401242107099</v>
      </c>
      <c r="R374">
        <v>2.39</v>
      </c>
      <c r="S374" t="s">
        <v>417</v>
      </c>
      <c r="T374" t="s">
        <v>422</v>
      </c>
      <c r="U374">
        <v>0</v>
      </c>
      <c r="V374">
        <v>0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 t="s">
        <v>422</v>
      </c>
      <c r="AC374" t="s">
        <v>422</v>
      </c>
      <c r="AD374">
        <v>0</v>
      </c>
      <c r="AE374">
        <v>0</v>
      </c>
      <c r="AF374">
        <v>0</v>
      </c>
      <c r="AH374">
        <v>0</v>
      </c>
      <c r="AI374" t="s">
        <v>424</v>
      </c>
      <c r="AK374" t="s">
        <v>424</v>
      </c>
      <c r="AL374" t="s">
        <v>424</v>
      </c>
      <c r="AM374" t="s">
        <v>424</v>
      </c>
      <c r="AO374">
        <v>0</v>
      </c>
      <c r="AP374">
        <v>0</v>
      </c>
      <c r="AQ374">
        <v>0</v>
      </c>
      <c r="AR374">
        <v>0</v>
      </c>
      <c r="AS374">
        <v>2.0099999999999998</v>
      </c>
      <c r="AT374">
        <v>2.9649999999999999</v>
      </c>
      <c r="AU374" t="s">
        <v>420</v>
      </c>
      <c r="AV374">
        <v>1</v>
      </c>
      <c r="AW374">
        <v>0</v>
      </c>
      <c r="AX374" t="s">
        <v>434</v>
      </c>
      <c r="AY374">
        <v>0</v>
      </c>
      <c r="AZ374">
        <v>0</v>
      </c>
      <c r="BA374">
        <v>0</v>
      </c>
      <c r="BE374" t="s">
        <v>1663</v>
      </c>
      <c r="CE374">
        <v>2.4874999999999998</v>
      </c>
      <c r="CG374" t="s">
        <v>1670</v>
      </c>
      <c r="CH374" t="s">
        <v>1663</v>
      </c>
      <c r="CI374">
        <v>1.7425401242107099</v>
      </c>
      <c r="CJ374">
        <v>2.39</v>
      </c>
      <c r="CK374">
        <v>2.0662700621053549</v>
      </c>
      <c r="CL374">
        <v>-0.3</v>
      </c>
      <c r="CM374">
        <v>1.7662700621053551</v>
      </c>
    </row>
    <row r="375" spans="1:91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394</v>
      </c>
      <c r="F375">
        <v>423632587</v>
      </c>
      <c r="G375">
        <v>244.2</v>
      </c>
      <c r="H375" t="s">
        <v>409</v>
      </c>
      <c r="I375">
        <v>103451077745.39999</v>
      </c>
      <c r="J375" t="s">
        <v>415</v>
      </c>
      <c r="K375">
        <v>149242481.41587299</v>
      </c>
      <c r="L375">
        <v>0.85000000000000009</v>
      </c>
      <c r="M375">
        <v>87933416083.590012</v>
      </c>
      <c r="N375">
        <v>8008350424.6479998</v>
      </c>
      <c r="O375">
        <v>50201010</v>
      </c>
      <c r="P375">
        <v>5020</v>
      </c>
      <c r="Q375">
        <v>1.9967475991097701</v>
      </c>
      <c r="R375">
        <v>2.39</v>
      </c>
      <c r="S375" t="s">
        <v>417</v>
      </c>
      <c r="T375" t="s">
        <v>422</v>
      </c>
      <c r="U375">
        <v>0</v>
      </c>
      <c r="V375">
        <v>0</v>
      </c>
      <c r="W375" t="s">
        <v>422</v>
      </c>
      <c r="X375" t="s">
        <v>422</v>
      </c>
      <c r="Y375" t="s">
        <v>422</v>
      </c>
      <c r="Z375" t="s">
        <v>1651</v>
      </c>
      <c r="AA375" t="s">
        <v>422</v>
      </c>
      <c r="AB375" t="s">
        <v>422</v>
      </c>
      <c r="AC375" t="s">
        <v>422</v>
      </c>
      <c r="AD375">
        <v>0</v>
      </c>
      <c r="AE375">
        <v>0</v>
      </c>
      <c r="AF375">
        <v>0</v>
      </c>
      <c r="AH375">
        <v>0</v>
      </c>
      <c r="AI375" t="s">
        <v>424</v>
      </c>
      <c r="AK375" t="s">
        <v>424</v>
      </c>
      <c r="AL375" t="s">
        <v>424</v>
      </c>
      <c r="AM375" t="s">
        <v>424</v>
      </c>
      <c r="AO375">
        <v>0</v>
      </c>
      <c r="AP375">
        <v>0</v>
      </c>
      <c r="AQ375">
        <v>0</v>
      </c>
      <c r="AR375">
        <v>0</v>
      </c>
      <c r="AS375">
        <v>1.9890000000000001</v>
      </c>
      <c r="AT375">
        <v>2.8940000000000001</v>
      </c>
      <c r="AU375" t="s">
        <v>420</v>
      </c>
      <c r="AV375">
        <v>1</v>
      </c>
      <c r="AW375">
        <v>0</v>
      </c>
      <c r="AX375" t="s">
        <v>433</v>
      </c>
      <c r="AY375">
        <v>0</v>
      </c>
      <c r="AZ375">
        <v>0</v>
      </c>
      <c r="BA375">
        <v>0</v>
      </c>
      <c r="BE375" t="s">
        <v>1663</v>
      </c>
      <c r="BK375" t="s">
        <v>62</v>
      </c>
      <c r="CE375">
        <v>2.4415</v>
      </c>
      <c r="CG375" t="s">
        <v>1670</v>
      </c>
      <c r="CH375" t="s">
        <v>1678</v>
      </c>
      <c r="CI375">
        <v>1.9967475991097701</v>
      </c>
      <c r="CJ375">
        <v>2.39</v>
      </c>
      <c r="CK375">
        <v>2.1933737995548852</v>
      </c>
      <c r="CL375">
        <v>-0.3</v>
      </c>
      <c r="CM375">
        <v>1.8933737995548849</v>
      </c>
    </row>
    <row r="376" spans="1:91" x14ac:dyDescent="0.25">
      <c r="A376">
        <v>1139</v>
      </c>
      <c r="B376" t="s">
        <v>108</v>
      </c>
      <c r="C376" t="s">
        <v>208</v>
      </c>
      <c r="D376" t="s">
        <v>308</v>
      </c>
      <c r="E376" t="s">
        <v>403</v>
      </c>
      <c r="F376">
        <v>995756840</v>
      </c>
      <c r="G376">
        <v>15.692080000000001</v>
      </c>
      <c r="H376" t="s">
        <v>413</v>
      </c>
      <c r="I376">
        <v>15625495993.8272</v>
      </c>
      <c r="J376" t="s">
        <v>416</v>
      </c>
      <c r="K376">
        <v>29289351.006745402</v>
      </c>
      <c r="L376">
        <v>1</v>
      </c>
      <c r="M376">
        <v>15625495993.8272</v>
      </c>
      <c r="N376">
        <v>22145632121.599998</v>
      </c>
      <c r="O376">
        <v>10101015</v>
      </c>
      <c r="P376">
        <v>1010</v>
      </c>
      <c r="Q376">
        <v>1.7465783472899099</v>
      </c>
      <c r="R376">
        <v>1.5</v>
      </c>
      <c r="S376" t="s">
        <v>417</v>
      </c>
      <c r="T376" t="s">
        <v>422</v>
      </c>
      <c r="U376">
        <v>0</v>
      </c>
      <c r="V376">
        <v>0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 t="s">
        <v>422</v>
      </c>
      <c r="AC376" t="s">
        <v>422</v>
      </c>
      <c r="AD376">
        <v>0</v>
      </c>
      <c r="AE376">
        <v>0</v>
      </c>
      <c r="AF376">
        <v>0</v>
      </c>
      <c r="AH376">
        <v>0</v>
      </c>
      <c r="AI376" t="s">
        <v>424</v>
      </c>
      <c r="AK376" t="s">
        <v>424</v>
      </c>
      <c r="AL376" t="s">
        <v>424</v>
      </c>
      <c r="AM376" t="s">
        <v>424</v>
      </c>
      <c r="AO376">
        <v>0</v>
      </c>
      <c r="AP376">
        <v>0</v>
      </c>
      <c r="AQ376">
        <v>0</v>
      </c>
      <c r="AR376">
        <v>0</v>
      </c>
      <c r="AS376">
        <v>2.41</v>
      </c>
      <c r="AT376">
        <v>3.306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2.8580000000000001</v>
      </c>
      <c r="CG376" t="s">
        <v>450</v>
      </c>
      <c r="CI376">
        <v>1.7465783472899099</v>
      </c>
      <c r="CJ376">
        <v>1.5</v>
      </c>
      <c r="CK376">
        <v>1.6232891736449551</v>
      </c>
      <c r="CL376">
        <v>-0.3</v>
      </c>
      <c r="CM376">
        <v>1.323289173644955</v>
      </c>
    </row>
    <row r="377" spans="1:91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394</v>
      </c>
      <c r="F377">
        <v>499050774</v>
      </c>
      <c r="G377">
        <v>94.44</v>
      </c>
      <c r="H377" t="s">
        <v>409</v>
      </c>
      <c r="I377">
        <v>47130355096.559998</v>
      </c>
      <c r="J377" t="s">
        <v>415</v>
      </c>
      <c r="K377">
        <v>92318724.204126999</v>
      </c>
      <c r="L377">
        <v>0.9</v>
      </c>
      <c r="M377">
        <v>42417319586.903999</v>
      </c>
      <c r="N377">
        <v>9989000292.3839989</v>
      </c>
      <c r="O377">
        <v>50101035</v>
      </c>
      <c r="P377">
        <v>5010</v>
      </c>
      <c r="Q377">
        <v>1.7258284135658</v>
      </c>
      <c r="R377">
        <v>1.5</v>
      </c>
      <c r="S377" t="s">
        <v>417</v>
      </c>
      <c r="T377" t="s">
        <v>422</v>
      </c>
      <c r="U377">
        <v>0</v>
      </c>
      <c r="V377">
        <v>0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 t="s">
        <v>422</v>
      </c>
      <c r="AC377" t="s">
        <v>422</v>
      </c>
      <c r="AD377">
        <v>0</v>
      </c>
      <c r="AE377">
        <v>0.05</v>
      </c>
      <c r="AF377">
        <v>0</v>
      </c>
      <c r="AG377" t="s">
        <v>1653</v>
      </c>
      <c r="AH377">
        <v>0</v>
      </c>
      <c r="AI377" t="s">
        <v>424</v>
      </c>
      <c r="AJ377" t="s">
        <v>1653</v>
      </c>
      <c r="AK377" t="s">
        <v>424</v>
      </c>
      <c r="AL377" t="s">
        <v>424</v>
      </c>
      <c r="AM377" t="s">
        <v>424</v>
      </c>
      <c r="AN377" t="s">
        <v>1653</v>
      </c>
      <c r="AO377">
        <v>0.01</v>
      </c>
      <c r="AP377">
        <v>0</v>
      </c>
      <c r="AQ377">
        <v>0</v>
      </c>
      <c r="AR377">
        <v>0</v>
      </c>
      <c r="AS377">
        <v>2.419</v>
      </c>
      <c r="AT377">
        <v>2.9129999999999998</v>
      </c>
      <c r="AU377" t="s">
        <v>420</v>
      </c>
      <c r="AV377">
        <v>1</v>
      </c>
      <c r="AW377">
        <v>0</v>
      </c>
      <c r="AX377" t="s">
        <v>433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2.6659999999999999</v>
      </c>
      <c r="CG377" t="s">
        <v>1670</v>
      </c>
      <c r="CH377" t="s">
        <v>1723</v>
      </c>
      <c r="CI377">
        <v>1.7258284135658</v>
      </c>
      <c r="CJ377">
        <v>1.5</v>
      </c>
      <c r="CK377">
        <v>1.6129142067829001</v>
      </c>
      <c r="CL377">
        <v>-0.3</v>
      </c>
      <c r="CM377">
        <v>1.3129142067829001</v>
      </c>
    </row>
    <row r="378" spans="1:91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404</v>
      </c>
      <c r="F378">
        <v>1995557732</v>
      </c>
      <c r="G378">
        <v>2.3220000000000001</v>
      </c>
      <c r="H378" t="s">
        <v>409</v>
      </c>
      <c r="I378">
        <v>4633685053.7040005</v>
      </c>
      <c r="J378" t="s">
        <v>415</v>
      </c>
      <c r="K378">
        <v>75781913.571483597</v>
      </c>
      <c r="L378">
        <v>0.65</v>
      </c>
      <c r="M378">
        <v>3011895284.9075999</v>
      </c>
      <c r="N378">
        <v>28847782573.792</v>
      </c>
      <c r="O378">
        <v>60101030</v>
      </c>
      <c r="P378">
        <v>6010</v>
      </c>
      <c r="S378" t="s">
        <v>418</v>
      </c>
      <c r="T378" t="s">
        <v>423</v>
      </c>
      <c r="U378">
        <v>0</v>
      </c>
      <c r="V378">
        <v>0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 t="s">
        <v>422</v>
      </c>
      <c r="AC378" t="s">
        <v>422</v>
      </c>
      <c r="AD378">
        <v>0</v>
      </c>
      <c r="AE378">
        <v>1</v>
      </c>
      <c r="AF378">
        <v>0</v>
      </c>
      <c r="AH378">
        <v>0</v>
      </c>
      <c r="AI378" t="s">
        <v>1655</v>
      </c>
      <c r="AK378" t="s">
        <v>424</v>
      </c>
      <c r="AL378" t="s">
        <v>424</v>
      </c>
      <c r="AM378" t="s">
        <v>424</v>
      </c>
      <c r="AO378">
        <v>0</v>
      </c>
      <c r="AP378">
        <v>0</v>
      </c>
      <c r="AQ378">
        <v>0</v>
      </c>
      <c r="AR378">
        <v>0</v>
      </c>
      <c r="AS378">
        <v>2.831</v>
      </c>
      <c r="AT378">
        <v>3.3090000000000002</v>
      </c>
      <c r="AU378" t="s">
        <v>418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1666</v>
      </c>
      <c r="BQ378" t="s">
        <v>68</v>
      </c>
      <c r="BU378" t="s">
        <v>72</v>
      </c>
      <c r="CE378">
        <v>3.07</v>
      </c>
      <c r="CG378" t="s">
        <v>1670</v>
      </c>
      <c r="CH378" t="s">
        <v>1724</v>
      </c>
      <c r="CI378">
        <v>3.4</v>
      </c>
      <c r="CJ378">
        <v>3.1</v>
      </c>
      <c r="CK378">
        <v>3.25</v>
      </c>
      <c r="CL378">
        <v>-0.18</v>
      </c>
      <c r="CM378">
        <v>3.07</v>
      </c>
    </row>
    <row r="379" spans="1:91" x14ac:dyDescent="0.25">
      <c r="A379">
        <v>1143</v>
      </c>
      <c r="B379" t="s">
        <v>752</v>
      </c>
      <c r="C379" t="s">
        <v>1151</v>
      </c>
      <c r="D379" t="s">
        <v>1550</v>
      </c>
      <c r="E379" t="s">
        <v>400</v>
      </c>
      <c r="F379">
        <v>132038920</v>
      </c>
      <c r="G379">
        <v>49.447609999999997</v>
      </c>
      <c r="H379" t="s">
        <v>411</v>
      </c>
      <c r="I379">
        <v>6529009020.9811993</v>
      </c>
      <c r="J379" t="s">
        <v>416</v>
      </c>
      <c r="K379">
        <v>8761269.7928578407</v>
      </c>
      <c r="L379">
        <v>0.55000000000000004</v>
      </c>
      <c r="M379">
        <v>3590954961.53966</v>
      </c>
      <c r="N379">
        <v>1615100069.4400001</v>
      </c>
      <c r="O379">
        <v>45102010</v>
      </c>
      <c r="P379">
        <v>4510</v>
      </c>
      <c r="Q379">
        <v>1.9873155260473001</v>
      </c>
      <c r="R379">
        <v>2.08</v>
      </c>
      <c r="S379" t="s">
        <v>419</v>
      </c>
      <c r="T379" t="s">
        <v>422</v>
      </c>
      <c r="U379">
        <v>0</v>
      </c>
      <c r="V379">
        <v>0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 t="s">
        <v>422</v>
      </c>
      <c r="AC379" t="s">
        <v>422</v>
      </c>
      <c r="AD379">
        <v>0</v>
      </c>
      <c r="AE379">
        <v>0</v>
      </c>
      <c r="AF379">
        <v>0</v>
      </c>
      <c r="AH379">
        <v>0</v>
      </c>
      <c r="AI379" t="s">
        <v>424</v>
      </c>
      <c r="AK379" t="s">
        <v>424</v>
      </c>
      <c r="AL379" t="s">
        <v>424</v>
      </c>
      <c r="AM379" t="s">
        <v>424</v>
      </c>
      <c r="AO379">
        <v>0</v>
      </c>
      <c r="AP379">
        <v>0</v>
      </c>
      <c r="AQ379">
        <v>0</v>
      </c>
      <c r="AR379">
        <v>0</v>
      </c>
      <c r="AS379">
        <v>2.1779999999999999</v>
      </c>
      <c r="AT379">
        <v>2.923</v>
      </c>
      <c r="AU379" t="s">
        <v>417</v>
      </c>
      <c r="AV379">
        <v>1</v>
      </c>
      <c r="AW379">
        <v>0</v>
      </c>
      <c r="AX379" t="s">
        <v>439</v>
      </c>
      <c r="AY379">
        <v>0</v>
      </c>
      <c r="AZ379">
        <v>0</v>
      </c>
      <c r="BA379">
        <v>0</v>
      </c>
      <c r="CE379">
        <v>2.5505</v>
      </c>
      <c r="CG379" t="s">
        <v>450</v>
      </c>
      <c r="CI379">
        <v>1.9873155260473001</v>
      </c>
      <c r="CJ379">
        <v>2.08</v>
      </c>
      <c r="CK379">
        <v>2.0336577630236499</v>
      </c>
      <c r="CL379">
        <v>-0.24</v>
      </c>
      <c r="CM379">
        <v>1.7936577630236501</v>
      </c>
    </row>
    <row r="380" spans="1:91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399</v>
      </c>
      <c r="F380">
        <v>2690238800</v>
      </c>
      <c r="G380">
        <v>8.06</v>
      </c>
      <c r="H380" t="s">
        <v>409</v>
      </c>
      <c r="I380">
        <v>21683324728</v>
      </c>
      <c r="J380" t="s">
        <v>415</v>
      </c>
      <c r="K380">
        <v>27363741.577966101</v>
      </c>
      <c r="L380">
        <v>0.95</v>
      </c>
      <c r="M380">
        <v>20599158491.599998</v>
      </c>
      <c r="N380">
        <v>56839365366.399986</v>
      </c>
      <c r="O380">
        <v>30302025</v>
      </c>
      <c r="P380">
        <v>3030</v>
      </c>
      <c r="Q380">
        <v>1.91247625079164</v>
      </c>
      <c r="S380" t="s">
        <v>420</v>
      </c>
      <c r="T380" t="s">
        <v>422</v>
      </c>
      <c r="U380">
        <v>0</v>
      </c>
      <c r="V380">
        <v>0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 t="s">
        <v>422</v>
      </c>
      <c r="AC380" t="s">
        <v>422</v>
      </c>
      <c r="AD380">
        <v>0</v>
      </c>
      <c r="AE380">
        <v>0</v>
      </c>
      <c r="AF380">
        <v>0</v>
      </c>
      <c r="AH380">
        <v>0</v>
      </c>
      <c r="AI380" t="s">
        <v>424</v>
      </c>
      <c r="AK380" t="s">
        <v>424</v>
      </c>
      <c r="AL380" t="s">
        <v>424</v>
      </c>
      <c r="AM380" t="s">
        <v>424</v>
      </c>
      <c r="AO380">
        <v>0</v>
      </c>
      <c r="AP380">
        <v>0</v>
      </c>
      <c r="AQ380">
        <v>0</v>
      </c>
      <c r="AR380">
        <v>0</v>
      </c>
      <c r="AS380">
        <v>2.6970000000000001</v>
      </c>
      <c r="AT380">
        <v>3.0529999999999999</v>
      </c>
      <c r="AU380" t="s">
        <v>430</v>
      </c>
      <c r="AV380">
        <v>0</v>
      </c>
      <c r="AW380">
        <v>0</v>
      </c>
      <c r="AX380" t="s">
        <v>438</v>
      </c>
      <c r="AY380">
        <v>0</v>
      </c>
      <c r="AZ380">
        <v>0</v>
      </c>
      <c r="BA380">
        <v>0</v>
      </c>
      <c r="CE380">
        <v>2.875</v>
      </c>
      <c r="CG380" t="s">
        <v>450</v>
      </c>
      <c r="CI380">
        <v>1.91247625079164</v>
      </c>
      <c r="CJ380">
        <v>3.1</v>
      </c>
      <c r="CK380">
        <v>2.5062381253958201</v>
      </c>
      <c r="CL380">
        <v>0</v>
      </c>
      <c r="CM380">
        <v>2.5062381253958201</v>
      </c>
    </row>
    <row r="381" spans="1:91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406</v>
      </c>
      <c r="F381">
        <v>440000000</v>
      </c>
      <c r="G381">
        <v>44.402880000000003</v>
      </c>
      <c r="H381" t="s">
        <v>414</v>
      </c>
      <c r="I381">
        <v>19537267200</v>
      </c>
      <c r="J381" t="s">
        <v>416</v>
      </c>
      <c r="K381">
        <v>39588862.186575599</v>
      </c>
      <c r="L381">
        <v>1</v>
      </c>
      <c r="M381">
        <v>19537267200</v>
      </c>
      <c r="N381">
        <v>9785600000</v>
      </c>
      <c r="O381">
        <v>20103015</v>
      </c>
      <c r="P381">
        <v>2010</v>
      </c>
      <c r="S381" t="s">
        <v>1650</v>
      </c>
      <c r="T381" t="s">
        <v>422</v>
      </c>
      <c r="U381">
        <v>0</v>
      </c>
      <c r="V381">
        <v>0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 t="s">
        <v>422</v>
      </c>
      <c r="AC381" t="s">
        <v>422</v>
      </c>
      <c r="AD381">
        <v>0</v>
      </c>
      <c r="AE381">
        <v>0</v>
      </c>
      <c r="AF381">
        <v>0</v>
      </c>
      <c r="AH381">
        <v>0</v>
      </c>
      <c r="AI381" t="s">
        <v>424</v>
      </c>
      <c r="AK381" t="s">
        <v>424</v>
      </c>
      <c r="AL381" t="s">
        <v>424</v>
      </c>
      <c r="AM381" t="s">
        <v>424</v>
      </c>
      <c r="AO381">
        <v>0</v>
      </c>
      <c r="AP381">
        <v>0</v>
      </c>
      <c r="AQ381">
        <v>0</v>
      </c>
      <c r="AR381">
        <v>0</v>
      </c>
      <c r="AS381">
        <v>2.7509999999999999</v>
      </c>
      <c r="AT381">
        <v>2.8420000000000001</v>
      </c>
      <c r="AU381" t="s">
        <v>420</v>
      </c>
      <c r="AV381">
        <v>1</v>
      </c>
      <c r="AW381">
        <v>0</v>
      </c>
      <c r="AX381" t="s">
        <v>446</v>
      </c>
      <c r="AY381">
        <v>0</v>
      </c>
      <c r="AZ381">
        <v>0</v>
      </c>
      <c r="BA381">
        <v>0</v>
      </c>
      <c r="CE381">
        <v>2.7965</v>
      </c>
      <c r="CG381" t="s">
        <v>450</v>
      </c>
      <c r="CI381">
        <v>3.4</v>
      </c>
      <c r="CJ381">
        <v>3.1</v>
      </c>
      <c r="CK381">
        <v>3.25</v>
      </c>
      <c r="CL381">
        <v>-0.12</v>
      </c>
      <c r="CM381">
        <v>3.13</v>
      </c>
    </row>
    <row r="382" spans="1:91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395</v>
      </c>
      <c r="F382">
        <v>1254385900</v>
      </c>
      <c r="G382">
        <v>21.24802</v>
      </c>
      <c r="H382" t="s">
        <v>410</v>
      </c>
      <c r="I382">
        <v>26653216690.917999</v>
      </c>
      <c r="J382" t="s">
        <v>416</v>
      </c>
      <c r="K382">
        <v>33655276.394902699</v>
      </c>
      <c r="L382">
        <v>0.85</v>
      </c>
      <c r="M382">
        <v>22655234187.2803</v>
      </c>
      <c r="N382">
        <v>23712911053.599991</v>
      </c>
      <c r="O382">
        <v>50204040</v>
      </c>
      <c r="P382">
        <v>5020</v>
      </c>
      <c r="Q382">
        <v>1.7457279976731199</v>
      </c>
      <c r="S382" t="s">
        <v>1648</v>
      </c>
      <c r="T382" t="s">
        <v>422</v>
      </c>
      <c r="U382">
        <v>0</v>
      </c>
      <c r="V382">
        <v>0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 t="s">
        <v>422</v>
      </c>
      <c r="AC382" t="s">
        <v>422</v>
      </c>
      <c r="AD382">
        <v>6.3E-2</v>
      </c>
      <c r="AE382">
        <v>0.1</v>
      </c>
      <c r="AF382">
        <v>0</v>
      </c>
      <c r="AH382">
        <v>0</v>
      </c>
      <c r="AI382" t="s">
        <v>424</v>
      </c>
      <c r="AK382" t="s">
        <v>424</v>
      </c>
      <c r="AL382" t="s">
        <v>424</v>
      </c>
      <c r="AM382" t="s">
        <v>424</v>
      </c>
      <c r="AN382" t="s">
        <v>1653</v>
      </c>
      <c r="AO382">
        <v>0</v>
      </c>
      <c r="AP382">
        <v>0</v>
      </c>
      <c r="AQ382">
        <v>0</v>
      </c>
      <c r="AR382">
        <v>0</v>
      </c>
      <c r="AS382">
        <v>2.5510000000000002</v>
      </c>
      <c r="AT382">
        <v>3.1419999999999999</v>
      </c>
      <c r="AU382" t="s">
        <v>420</v>
      </c>
      <c r="AV382">
        <v>1</v>
      </c>
      <c r="AW382">
        <v>0</v>
      </c>
      <c r="AX382" t="s">
        <v>434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2.8464999999999998</v>
      </c>
      <c r="CG382" t="s">
        <v>1670</v>
      </c>
      <c r="CH382" t="s">
        <v>1680</v>
      </c>
      <c r="CI382">
        <v>1.7457279976731199</v>
      </c>
      <c r="CJ382">
        <v>3.1</v>
      </c>
      <c r="CK382">
        <v>2.4228639988365601</v>
      </c>
      <c r="CL382">
        <v>0.3</v>
      </c>
      <c r="CM382">
        <v>2.7228639988365599</v>
      </c>
    </row>
    <row r="383" spans="1:91" x14ac:dyDescent="0.25">
      <c r="A383">
        <v>1151</v>
      </c>
      <c r="B383" t="s">
        <v>120</v>
      </c>
      <c r="C383" t="s">
        <v>220</v>
      </c>
      <c r="D383" t="s">
        <v>320</v>
      </c>
      <c r="E383" t="s">
        <v>394</v>
      </c>
      <c r="F383">
        <v>1263122721</v>
      </c>
      <c r="G383">
        <v>104.12</v>
      </c>
      <c r="H383" t="s">
        <v>409</v>
      </c>
      <c r="I383">
        <v>131516337710.52</v>
      </c>
      <c r="J383" t="s">
        <v>415</v>
      </c>
      <c r="K383">
        <v>154796225.17039701</v>
      </c>
      <c r="L383">
        <v>0.95000000000000007</v>
      </c>
      <c r="M383">
        <v>124940520824.994</v>
      </c>
      <c r="N383">
        <v>26687256849.287998</v>
      </c>
      <c r="O383">
        <v>20103015</v>
      </c>
      <c r="P383">
        <v>2010</v>
      </c>
      <c r="Q383">
        <v>1.72319966282151</v>
      </c>
      <c r="R383">
        <v>1.5</v>
      </c>
      <c r="S383" t="s">
        <v>419</v>
      </c>
      <c r="T383" t="s">
        <v>422</v>
      </c>
      <c r="U383">
        <v>0</v>
      </c>
      <c r="V383">
        <v>0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 t="s">
        <v>422</v>
      </c>
      <c r="AC383" t="s">
        <v>422</v>
      </c>
      <c r="AD383">
        <v>0</v>
      </c>
      <c r="AE383">
        <v>0</v>
      </c>
      <c r="AF383">
        <v>0</v>
      </c>
      <c r="AH383">
        <v>0</v>
      </c>
      <c r="AI383" t="s">
        <v>424</v>
      </c>
      <c r="AK383" t="s">
        <v>424</v>
      </c>
      <c r="AL383" t="s">
        <v>424</v>
      </c>
      <c r="AM383" t="s">
        <v>424</v>
      </c>
      <c r="AO383">
        <v>0</v>
      </c>
      <c r="AP383">
        <v>0</v>
      </c>
      <c r="AQ383">
        <v>0</v>
      </c>
      <c r="AR383">
        <v>0</v>
      </c>
      <c r="AS383">
        <v>2.98</v>
      </c>
      <c r="AT383">
        <v>2.774</v>
      </c>
      <c r="AU383" t="s">
        <v>420</v>
      </c>
      <c r="AV383">
        <v>1</v>
      </c>
      <c r="AW383">
        <v>0</v>
      </c>
      <c r="AX383" t="s">
        <v>433</v>
      </c>
      <c r="AY383">
        <v>0</v>
      </c>
      <c r="AZ383">
        <v>0</v>
      </c>
      <c r="BA383">
        <v>0</v>
      </c>
      <c r="CE383">
        <v>2.8769999999999998</v>
      </c>
      <c r="CG383" t="s">
        <v>450</v>
      </c>
      <c r="CI383">
        <v>1.72319966282151</v>
      </c>
      <c r="CJ383">
        <v>1.5</v>
      </c>
      <c r="CK383">
        <v>1.6115998314107549</v>
      </c>
      <c r="CL383">
        <v>-0.24</v>
      </c>
      <c r="CM383">
        <v>1.3715998314107549</v>
      </c>
    </row>
    <row r="384" spans="1:91" x14ac:dyDescent="0.25">
      <c r="A384">
        <v>1156</v>
      </c>
      <c r="B384" t="s">
        <v>756</v>
      </c>
      <c r="C384" t="s">
        <v>1155</v>
      </c>
      <c r="D384" t="s">
        <v>1554</v>
      </c>
      <c r="E384" t="s">
        <v>398</v>
      </c>
      <c r="F384">
        <v>1228504300</v>
      </c>
      <c r="G384">
        <v>273.60000000000002</v>
      </c>
      <c r="H384" t="s">
        <v>409</v>
      </c>
      <c r="I384">
        <v>336118776480</v>
      </c>
      <c r="J384" t="s">
        <v>415</v>
      </c>
      <c r="K384">
        <v>368554481.884426</v>
      </c>
      <c r="L384">
        <v>0.95</v>
      </c>
      <c r="M384">
        <v>319312837656</v>
      </c>
      <c r="N384">
        <v>25955838850.39999</v>
      </c>
      <c r="O384">
        <v>10101015</v>
      </c>
      <c r="P384">
        <v>1010</v>
      </c>
      <c r="Q384">
        <v>1.74740684989184</v>
      </c>
      <c r="R384">
        <v>3.1</v>
      </c>
      <c r="S384" t="s">
        <v>418</v>
      </c>
      <c r="T384" t="s">
        <v>422</v>
      </c>
      <c r="U384">
        <v>0</v>
      </c>
      <c r="V384">
        <v>0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 t="s">
        <v>422</v>
      </c>
      <c r="AC384" t="s">
        <v>422</v>
      </c>
      <c r="AD384">
        <v>0</v>
      </c>
      <c r="AE384">
        <v>0</v>
      </c>
      <c r="AF384">
        <v>0</v>
      </c>
      <c r="AH384">
        <v>0</v>
      </c>
      <c r="AI384" t="s">
        <v>424</v>
      </c>
      <c r="AK384" t="s">
        <v>424</v>
      </c>
      <c r="AL384" t="s">
        <v>424</v>
      </c>
      <c r="AM384" t="s">
        <v>424</v>
      </c>
      <c r="AO384">
        <v>0</v>
      </c>
      <c r="AP384">
        <v>0</v>
      </c>
      <c r="AQ384">
        <v>0</v>
      </c>
      <c r="AR384">
        <v>0</v>
      </c>
      <c r="AS384">
        <v>2.9609999999999999</v>
      </c>
      <c r="AT384">
        <v>3.121</v>
      </c>
      <c r="AU384" t="s">
        <v>426</v>
      </c>
      <c r="AV384">
        <v>0</v>
      </c>
      <c r="AW384">
        <v>0</v>
      </c>
      <c r="AX384" t="s">
        <v>437</v>
      </c>
      <c r="AY384">
        <v>0</v>
      </c>
      <c r="AZ384">
        <v>0</v>
      </c>
      <c r="BA384">
        <v>0</v>
      </c>
      <c r="CE384">
        <v>3.0409999999999999</v>
      </c>
      <c r="CG384" t="s">
        <v>450</v>
      </c>
      <c r="CI384">
        <v>1.74740684989184</v>
      </c>
      <c r="CJ384">
        <v>3.1</v>
      </c>
      <c r="CK384">
        <v>2.4237034249459199</v>
      </c>
      <c r="CL384">
        <v>-0.18</v>
      </c>
      <c r="CM384">
        <v>2.2437034249459198</v>
      </c>
    </row>
    <row r="385" spans="1:91" x14ac:dyDescent="0.25">
      <c r="A385">
        <v>1158</v>
      </c>
      <c r="B385" t="s">
        <v>757</v>
      </c>
      <c r="C385" t="s">
        <v>1156</v>
      </c>
      <c r="D385" t="s">
        <v>1555</v>
      </c>
      <c r="E385" t="s">
        <v>398</v>
      </c>
      <c r="F385">
        <v>37440000</v>
      </c>
      <c r="G385">
        <v>242</v>
      </c>
      <c r="H385" t="s">
        <v>409</v>
      </c>
      <c r="I385">
        <v>9060480000</v>
      </c>
      <c r="J385" t="s">
        <v>415</v>
      </c>
      <c r="K385">
        <v>21304033.759016398</v>
      </c>
      <c r="L385">
        <v>0.65</v>
      </c>
      <c r="M385">
        <v>5889312000</v>
      </c>
      <c r="N385">
        <v>4823395200</v>
      </c>
      <c r="O385">
        <v>20102010</v>
      </c>
      <c r="P385">
        <v>2010</v>
      </c>
      <c r="Q385">
        <v>3.4</v>
      </c>
      <c r="S385" t="s">
        <v>424</v>
      </c>
      <c r="T385" t="s">
        <v>422</v>
      </c>
      <c r="U385">
        <v>0</v>
      </c>
      <c r="V385">
        <v>0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 t="s">
        <v>422</v>
      </c>
      <c r="AC385" t="s">
        <v>422</v>
      </c>
      <c r="AD385">
        <v>0</v>
      </c>
      <c r="AE385">
        <v>0</v>
      </c>
      <c r="AF385">
        <v>0</v>
      </c>
      <c r="AH385">
        <v>0</v>
      </c>
      <c r="AI385" t="s">
        <v>424</v>
      </c>
      <c r="AK385" t="s">
        <v>424</v>
      </c>
      <c r="AL385" t="s">
        <v>424</v>
      </c>
      <c r="AM385" t="s">
        <v>424</v>
      </c>
      <c r="AO385">
        <v>0</v>
      </c>
      <c r="AP385">
        <v>0</v>
      </c>
      <c r="AQ385">
        <v>0</v>
      </c>
      <c r="AR385">
        <v>0</v>
      </c>
      <c r="AS385">
        <v>2.4620000000000002</v>
      </c>
      <c r="AT385">
        <v>2.8980000000000001</v>
      </c>
      <c r="AU385" t="s">
        <v>420</v>
      </c>
      <c r="AV385">
        <v>1</v>
      </c>
      <c r="AW385">
        <v>0</v>
      </c>
      <c r="AX385" t="s">
        <v>437</v>
      </c>
      <c r="AY385">
        <v>0</v>
      </c>
      <c r="AZ385">
        <v>0</v>
      </c>
      <c r="BA385">
        <v>0</v>
      </c>
      <c r="CE385">
        <v>2.68</v>
      </c>
      <c r="CG385" t="s">
        <v>450</v>
      </c>
      <c r="CI385">
        <v>3.4</v>
      </c>
      <c r="CJ385">
        <v>3.1</v>
      </c>
      <c r="CK385">
        <v>3.25</v>
      </c>
      <c r="CL385">
        <v>0.3</v>
      </c>
      <c r="CM385">
        <v>3.55</v>
      </c>
    </row>
    <row r="386" spans="1:91" x14ac:dyDescent="0.25">
      <c r="A386">
        <v>1159</v>
      </c>
      <c r="B386" t="s">
        <v>758</v>
      </c>
      <c r="C386" t="s">
        <v>1157</v>
      </c>
      <c r="D386" t="s">
        <v>1556</v>
      </c>
      <c r="E386" t="s">
        <v>394</v>
      </c>
      <c r="F386">
        <v>97330405</v>
      </c>
      <c r="G386">
        <v>204.4</v>
      </c>
      <c r="H386" t="s">
        <v>409</v>
      </c>
      <c r="I386">
        <v>19894334782</v>
      </c>
      <c r="J386" t="s">
        <v>415</v>
      </c>
      <c r="K386">
        <v>11558105.1543651</v>
      </c>
      <c r="L386">
        <v>0.3</v>
      </c>
      <c r="M386">
        <v>5968300434.6000013</v>
      </c>
      <c r="N386">
        <v>5787265881.3000011</v>
      </c>
      <c r="O386">
        <v>20102015</v>
      </c>
      <c r="P386">
        <v>2010</v>
      </c>
      <c r="Q386">
        <v>3.4</v>
      </c>
      <c r="S386" t="s">
        <v>424</v>
      </c>
      <c r="T386" t="s">
        <v>422</v>
      </c>
      <c r="U386">
        <v>0</v>
      </c>
      <c r="V386">
        <v>0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 t="s">
        <v>422</v>
      </c>
      <c r="AC386" t="s">
        <v>422</v>
      </c>
      <c r="AD386">
        <v>0</v>
      </c>
      <c r="AE386">
        <v>0</v>
      </c>
      <c r="AF386">
        <v>0</v>
      </c>
      <c r="AH386">
        <v>0</v>
      </c>
      <c r="AI386" t="s">
        <v>424</v>
      </c>
      <c r="AK386" t="s">
        <v>424</v>
      </c>
      <c r="AL386" t="s">
        <v>424</v>
      </c>
      <c r="AM386" t="s">
        <v>424</v>
      </c>
      <c r="AO386">
        <v>0</v>
      </c>
      <c r="AP386">
        <v>0</v>
      </c>
      <c r="AQ386">
        <v>0</v>
      </c>
      <c r="AR386">
        <v>0</v>
      </c>
      <c r="AS386">
        <v>2.613</v>
      </c>
      <c r="AT386">
        <v>2.75</v>
      </c>
      <c r="AU386" t="s">
        <v>420</v>
      </c>
      <c r="AV386">
        <v>1</v>
      </c>
      <c r="AW386">
        <v>0</v>
      </c>
      <c r="AX386" t="s">
        <v>433</v>
      </c>
      <c r="AY386">
        <v>0</v>
      </c>
      <c r="AZ386">
        <v>0</v>
      </c>
      <c r="BA386">
        <v>0</v>
      </c>
      <c r="CE386">
        <v>2.6815000000000002</v>
      </c>
      <c r="CG386" t="s">
        <v>450</v>
      </c>
      <c r="CI386">
        <v>3.4</v>
      </c>
      <c r="CJ386">
        <v>3.1</v>
      </c>
      <c r="CK386">
        <v>3.25</v>
      </c>
      <c r="CL386">
        <v>0.3</v>
      </c>
      <c r="CM386">
        <v>3.55</v>
      </c>
    </row>
    <row r="387" spans="1:91" x14ac:dyDescent="0.25">
      <c r="A387">
        <v>1165</v>
      </c>
      <c r="B387" t="s">
        <v>759</v>
      </c>
      <c r="C387" t="s">
        <v>1158</v>
      </c>
      <c r="D387" t="s">
        <v>1557</v>
      </c>
      <c r="E387" t="s">
        <v>398</v>
      </c>
      <c r="F387">
        <v>944884640</v>
      </c>
      <c r="G387">
        <v>4.7484999999999999</v>
      </c>
      <c r="H387" t="s">
        <v>409</v>
      </c>
      <c r="I387">
        <v>4486784713.04</v>
      </c>
      <c r="J387" t="s">
        <v>415</v>
      </c>
      <c r="K387">
        <v>3455304.7308934401</v>
      </c>
      <c r="L387">
        <v>1</v>
      </c>
      <c r="M387">
        <v>4486784713.04</v>
      </c>
      <c r="N387">
        <v>187276135648</v>
      </c>
      <c r="O387">
        <v>40101025</v>
      </c>
      <c r="P387">
        <v>4010</v>
      </c>
      <c r="Q387">
        <v>1.99390071659444</v>
      </c>
      <c r="R387">
        <v>1.5</v>
      </c>
      <c r="S387" t="s">
        <v>417</v>
      </c>
      <c r="T387" t="s">
        <v>422</v>
      </c>
      <c r="U387">
        <v>0</v>
      </c>
      <c r="V387">
        <v>0</v>
      </c>
      <c r="W387" t="s">
        <v>422</v>
      </c>
      <c r="X387" t="s">
        <v>422</v>
      </c>
      <c r="Y387" t="s">
        <v>422</v>
      </c>
      <c r="Z387" t="s">
        <v>1651</v>
      </c>
      <c r="AA387" t="s">
        <v>422</v>
      </c>
      <c r="AB387" t="s">
        <v>422</v>
      </c>
      <c r="AC387" t="s">
        <v>422</v>
      </c>
      <c r="AD387">
        <v>0</v>
      </c>
      <c r="AE387">
        <v>0.01</v>
      </c>
      <c r="AF387">
        <v>0</v>
      </c>
      <c r="AH387">
        <v>0</v>
      </c>
      <c r="AI387" t="s">
        <v>424</v>
      </c>
      <c r="AK387" t="s">
        <v>424</v>
      </c>
      <c r="AL387" t="s">
        <v>424</v>
      </c>
      <c r="AM387" t="s">
        <v>424</v>
      </c>
      <c r="AO387">
        <v>0</v>
      </c>
      <c r="AP387">
        <v>0</v>
      </c>
      <c r="AQ387">
        <v>0</v>
      </c>
      <c r="AR387">
        <v>0</v>
      </c>
      <c r="AS387">
        <v>2.423</v>
      </c>
      <c r="AT387">
        <v>3.3740000000000001</v>
      </c>
      <c r="AU387" t="s">
        <v>420</v>
      </c>
      <c r="AV387">
        <v>1</v>
      </c>
      <c r="AW387">
        <v>0</v>
      </c>
      <c r="AX387" t="s">
        <v>437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2.8984999999999999</v>
      </c>
      <c r="CG387" t="s">
        <v>1670</v>
      </c>
      <c r="CH387" t="s">
        <v>1725</v>
      </c>
      <c r="CI387">
        <v>1.99390071659444</v>
      </c>
      <c r="CJ387">
        <v>1.5</v>
      </c>
      <c r="CK387">
        <v>1.7469503582972199</v>
      </c>
      <c r="CL387">
        <v>-0.3</v>
      </c>
      <c r="CM387">
        <v>1.4469503582972201</v>
      </c>
    </row>
    <row r="388" spans="1:91" x14ac:dyDescent="0.25">
      <c r="A388">
        <v>1166</v>
      </c>
      <c r="B388" t="s">
        <v>760</v>
      </c>
      <c r="C388" t="s">
        <v>1159</v>
      </c>
      <c r="D388" t="s">
        <v>1558</v>
      </c>
      <c r="E388" t="s">
        <v>406</v>
      </c>
      <c r="F388">
        <v>40716830</v>
      </c>
      <c r="G388">
        <v>293.25459999999998</v>
      </c>
      <c r="H388" t="s">
        <v>414</v>
      </c>
      <c r="I388">
        <v>11940397694.917999</v>
      </c>
      <c r="J388" t="s">
        <v>416</v>
      </c>
      <c r="K388">
        <v>29126770.267743301</v>
      </c>
      <c r="L388">
        <v>1</v>
      </c>
      <c r="M388">
        <v>11940397694.917999</v>
      </c>
      <c r="N388">
        <v>8070075706</v>
      </c>
      <c r="O388">
        <v>50204000</v>
      </c>
      <c r="P388">
        <v>5020</v>
      </c>
      <c r="Q388">
        <v>1.7459630665127199</v>
      </c>
      <c r="R388">
        <v>2.7</v>
      </c>
      <c r="S388" t="s">
        <v>418</v>
      </c>
      <c r="T388" t="s">
        <v>422</v>
      </c>
      <c r="U388">
        <v>0</v>
      </c>
      <c r="V388">
        <v>0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 t="s">
        <v>422</v>
      </c>
      <c r="AC388" t="s">
        <v>422</v>
      </c>
      <c r="AD388">
        <v>0</v>
      </c>
      <c r="AE388">
        <v>0</v>
      </c>
      <c r="AF388">
        <v>0</v>
      </c>
      <c r="AH388">
        <v>0</v>
      </c>
      <c r="AI388" t="s">
        <v>424</v>
      </c>
      <c r="AK388" t="s">
        <v>424</v>
      </c>
      <c r="AL388" t="s">
        <v>424</v>
      </c>
      <c r="AM388" t="s">
        <v>424</v>
      </c>
      <c r="AO388">
        <v>0</v>
      </c>
      <c r="AP388">
        <v>0</v>
      </c>
      <c r="AQ388">
        <v>0</v>
      </c>
      <c r="AR388">
        <v>0</v>
      </c>
      <c r="AS388">
        <v>2.3450000000000002</v>
      </c>
      <c r="AT388">
        <v>2.5179999999999998</v>
      </c>
      <c r="AU388" t="s">
        <v>420</v>
      </c>
      <c r="AV388">
        <v>1</v>
      </c>
      <c r="AW388">
        <v>0</v>
      </c>
      <c r="AX388" t="s">
        <v>446</v>
      </c>
      <c r="AY388">
        <v>0</v>
      </c>
      <c r="AZ388">
        <v>0</v>
      </c>
      <c r="BA388">
        <v>0</v>
      </c>
      <c r="CE388">
        <v>2.4315000000000002</v>
      </c>
      <c r="CG388" t="s">
        <v>450</v>
      </c>
      <c r="CI388">
        <v>1.7459630665127199</v>
      </c>
      <c r="CJ388">
        <v>2.7</v>
      </c>
      <c r="CK388">
        <v>2.2229815332563598</v>
      </c>
      <c r="CL388">
        <v>-0.18</v>
      </c>
      <c r="CM388">
        <v>2.0429815332563601</v>
      </c>
    </row>
    <row r="389" spans="1:91" x14ac:dyDescent="0.25">
      <c r="A389">
        <v>1168</v>
      </c>
      <c r="B389" t="s">
        <v>761</v>
      </c>
      <c r="C389" t="s">
        <v>1160</v>
      </c>
      <c r="D389" t="s">
        <v>1559</v>
      </c>
      <c r="E389" t="s">
        <v>394</v>
      </c>
      <c r="F389">
        <v>575631676</v>
      </c>
      <c r="G389">
        <v>257.39999999999998</v>
      </c>
      <c r="H389" t="s">
        <v>409</v>
      </c>
      <c r="I389">
        <v>148167593402.39999</v>
      </c>
      <c r="J389" t="s">
        <v>415</v>
      </c>
      <c r="K389">
        <v>224567152.73531801</v>
      </c>
      <c r="L389">
        <v>1</v>
      </c>
      <c r="M389">
        <v>148167593402.39999</v>
      </c>
      <c r="N389">
        <v>114090198183.2</v>
      </c>
      <c r="O389">
        <v>50202010</v>
      </c>
      <c r="P389">
        <v>5020</v>
      </c>
      <c r="Q389">
        <v>1.7490628469779299</v>
      </c>
      <c r="R389">
        <v>1.5</v>
      </c>
      <c r="S389" t="s">
        <v>417</v>
      </c>
      <c r="T389" t="s">
        <v>422</v>
      </c>
      <c r="U389">
        <v>0</v>
      </c>
      <c r="V389">
        <v>0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 t="s">
        <v>422</v>
      </c>
      <c r="AC389" t="s">
        <v>422</v>
      </c>
      <c r="AD389">
        <v>0</v>
      </c>
      <c r="AE389">
        <v>0.05</v>
      </c>
      <c r="AF389">
        <v>0</v>
      </c>
      <c r="AH389">
        <v>0</v>
      </c>
      <c r="AI389" t="s">
        <v>424</v>
      </c>
      <c r="AK389" t="s">
        <v>424</v>
      </c>
      <c r="AL389" t="s">
        <v>424</v>
      </c>
      <c r="AM389" t="s">
        <v>424</v>
      </c>
      <c r="AN389" t="s">
        <v>1653</v>
      </c>
      <c r="AO389">
        <v>0.01</v>
      </c>
      <c r="AP389">
        <v>0</v>
      </c>
      <c r="AQ389">
        <v>0</v>
      </c>
      <c r="AR389">
        <v>0</v>
      </c>
      <c r="AS389">
        <v>2.6579999999999999</v>
      </c>
      <c r="AT389">
        <v>3.4369999999999998</v>
      </c>
      <c r="AU389" t="s">
        <v>420</v>
      </c>
      <c r="AV389">
        <v>1</v>
      </c>
      <c r="AW389">
        <v>0</v>
      </c>
      <c r="AX389" t="s">
        <v>433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3.0474999999999999</v>
      </c>
      <c r="CG389" t="s">
        <v>1670</v>
      </c>
      <c r="CH389" t="s">
        <v>1672</v>
      </c>
      <c r="CI389">
        <v>1.7490628469779299</v>
      </c>
      <c r="CJ389">
        <v>1.5</v>
      </c>
      <c r="CK389">
        <v>1.624531423488965</v>
      </c>
      <c r="CL389">
        <v>-0.3</v>
      </c>
      <c r="CM389">
        <v>1.3245314234889649</v>
      </c>
    </row>
    <row r="390" spans="1:91" x14ac:dyDescent="0.25">
      <c r="A390">
        <v>1169</v>
      </c>
      <c r="B390" t="s">
        <v>762</v>
      </c>
      <c r="C390" t="s">
        <v>1161</v>
      </c>
      <c r="D390" t="s">
        <v>1560</v>
      </c>
      <c r="E390" t="s">
        <v>403</v>
      </c>
      <c r="F390">
        <v>1605687900</v>
      </c>
      <c r="G390">
        <v>4.6423420000000002</v>
      </c>
      <c r="H390" t="s">
        <v>413</v>
      </c>
      <c r="I390">
        <v>7454152377.0618</v>
      </c>
      <c r="J390" t="s">
        <v>416</v>
      </c>
      <c r="K390">
        <v>9324383.4876067191</v>
      </c>
      <c r="L390">
        <v>0.55000000000000004</v>
      </c>
      <c r="M390">
        <v>4099783807.3839898</v>
      </c>
      <c r="N390">
        <v>175036037979</v>
      </c>
      <c r="O390">
        <v>30202010</v>
      </c>
      <c r="P390">
        <v>3020</v>
      </c>
      <c r="Q390">
        <v>1.9999933728919099</v>
      </c>
      <c r="R390">
        <v>1.5</v>
      </c>
      <c r="S390" t="s">
        <v>418</v>
      </c>
      <c r="T390" t="s">
        <v>422</v>
      </c>
      <c r="U390">
        <v>0</v>
      </c>
      <c r="V390">
        <v>0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 t="s">
        <v>422</v>
      </c>
      <c r="AC390" t="s">
        <v>422</v>
      </c>
      <c r="AD390">
        <v>0</v>
      </c>
      <c r="AE390">
        <v>0</v>
      </c>
      <c r="AF390">
        <v>0</v>
      </c>
      <c r="AH390">
        <v>0</v>
      </c>
      <c r="AI390" t="s">
        <v>424</v>
      </c>
      <c r="AK390" t="s">
        <v>424</v>
      </c>
      <c r="AL390" t="s">
        <v>424</v>
      </c>
      <c r="AM390" t="s">
        <v>424</v>
      </c>
      <c r="AO390">
        <v>0</v>
      </c>
      <c r="AP390">
        <v>0</v>
      </c>
      <c r="AQ390">
        <v>0</v>
      </c>
      <c r="AR390">
        <v>0</v>
      </c>
      <c r="AS390">
        <v>2.0009999999999999</v>
      </c>
      <c r="AT390">
        <v>2.2850000000000001</v>
      </c>
      <c r="AU390" t="s">
        <v>430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2.1429999999999998</v>
      </c>
      <c r="CF390" t="s">
        <v>83</v>
      </c>
      <c r="CG390" t="s">
        <v>1670</v>
      </c>
      <c r="CH390" t="s">
        <v>83</v>
      </c>
      <c r="CI390">
        <v>1.9999933728919099</v>
      </c>
      <c r="CJ390">
        <v>1.5</v>
      </c>
      <c r="CK390">
        <v>1.7499966864459551</v>
      </c>
      <c r="CL390">
        <v>-0.18</v>
      </c>
      <c r="CM390">
        <v>1.5699966864459549</v>
      </c>
    </row>
    <row r="391" spans="1:91" x14ac:dyDescent="0.25">
      <c r="A391">
        <v>1170</v>
      </c>
      <c r="B391" t="s">
        <v>763</v>
      </c>
      <c r="C391" t="s">
        <v>1162</v>
      </c>
      <c r="D391" t="s">
        <v>1561</v>
      </c>
      <c r="E391" t="s">
        <v>394</v>
      </c>
      <c r="F391">
        <v>179362195</v>
      </c>
      <c r="G391">
        <v>25.66</v>
      </c>
      <c r="H391" t="s">
        <v>409</v>
      </c>
      <c r="I391">
        <v>4602433923.6999998</v>
      </c>
      <c r="J391" t="s">
        <v>415</v>
      </c>
      <c r="K391">
        <v>11100962.8446032</v>
      </c>
      <c r="L391">
        <v>0.85000000000000009</v>
      </c>
      <c r="M391">
        <v>3912068835.145</v>
      </c>
      <c r="N391">
        <v>30217148991.650002</v>
      </c>
      <c r="O391">
        <v>30302020</v>
      </c>
      <c r="P391">
        <v>3030</v>
      </c>
      <c r="Q391">
        <v>3.4</v>
      </c>
      <c r="R391">
        <v>1.77</v>
      </c>
      <c r="S391" t="s">
        <v>420</v>
      </c>
      <c r="T391" t="s">
        <v>422</v>
      </c>
      <c r="U391">
        <v>0</v>
      </c>
      <c r="V391">
        <v>0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 t="s">
        <v>422</v>
      </c>
      <c r="AC391" t="s">
        <v>422</v>
      </c>
      <c r="AD391">
        <v>0</v>
      </c>
      <c r="AE391">
        <v>0</v>
      </c>
      <c r="AF391">
        <v>0</v>
      </c>
      <c r="AH391">
        <v>0</v>
      </c>
      <c r="AI391" t="s">
        <v>424</v>
      </c>
      <c r="AK391" t="s">
        <v>424</v>
      </c>
      <c r="AL391" t="s">
        <v>424</v>
      </c>
      <c r="AM391" t="s">
        <v>424</v>
      </c>
      <c r="AO391">
        <v>0</v>
      </c>
      <c r="AP391">
        <v>0</v>
      </c>
      <c r="AQ391">
        <v>0</v>
      </c>
      <c r="AR391">
        <v>0</v>
      </c>
      <c r="AS391">
        <v>2.177</v>
      </c>
      <c r="AT391">
        <v>3.2829999999999999</v>
      </c>
      <c r="AU391" t="s">
        <v>430</v>
      </c>
      <c r="AV391">
        <v>0</v>
      </c>
      <c r="AW391">
        <v>0</v>
      </c>
      <c r="AX391" t="s">
        <v>433</v>
      </c>
      <c r="AY391">
        <v>0</v>
      </c>
      <c r="AZ391">
        <v>0</v>
      </c>
      <c r="BA391">
        <v>0</v>
      </c>
      <c r="CE391">
        <v>2.73</v>
      </c>
      <c r="CG391" t="s">
        <v>450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 x14ac:dyDescent="0.25">
      <c r="A392">
        <v>1171</v>
      </c>
      <c r="B392" t="s">
        <v>764</v>
      </c>
      <c r="C392" t="s">
        <v>1163</v>
      </c>
      <c r="D392" t="s">
        <v>1562</v>
      </c>
      <c r="E392" t="s">
        <v>398</v>
      </c>
      <c r="F392">
        <v>75000000</v>
      </c>
      <c r="G392">
        <v>94</v>
      </c>
      <c r="H392" t="s">
        <v>409</v>
      </c>
      <c r="I392">
        <v>7050000000</v>
      </c>
      <c r="J392" t="s">
        <v>415</v>
      </c>
      <c r="K392">
        <v>12789693.474590201</v>
      </c>
      <c r="L392">
        <v>1</v>
      </c>
      <c r="M392">
        <v>7050000000</v>
      </c>
      <c r="N392">
        <v>14865000000</v>
      </c>
      <c r="O392">
        <v>10101020</v>
      </c>
      <c r="P392">
        <v>1010</v>
      </c>
      <c r="Q392">
        <v>3.4</v>
      </c>
      <c r="S392" t="s">
        <v>424</v>
      </c>
      <c r="T392" t="s">
        <v>422</v>
      </c>
      <c r="U392">
        <v>0</v>
      </c>
      <c r="V392">
        <v>0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 t="s">
        <v>422</v>
      </c>
      <c r="AC392" t="s">
        <v>422</v>
      </c>
      <c r="AD392">
        <v>0</v>
      </c>
      <c r="AE392">
        <v>0</v>
      </c>
      <c r="AF392">
        <v>0</v>
      </c>
      <c r="AH392">
        <v>0</v>
      </c>
      <c r="AI392" t="s">
        <v>424</v>
      </c>
      <c r="AK392" t="s">
        <v>424</v>
      </c>
      <c r="AL392" t="s">
        <v>424</v>
      </c>
      <c r="AM392" t="s">
        <v>424</v>
      </c>
      <c r="AO392">
        <v>0</v>
      </c>
      <c r="AP392">
        <v>0</v>
      </c>
      <c r="AQ392">
        <v>0</v>
      </c>
      <c r="AR392">
        <v>0</v>
      </c>
      <c r="AS392">
        <v>2.3159999999999998</v>
      </c>
      <c r="AT392">
        <v>2.8919999999999999</v>
      </c>
      <c r="AU392" t="s">
        <v>426</v>
      </c>
      <c r="AV392">
        <v>0</v>
      </c>
      <c r="AW392">
        <v>0</v>
      </c>
      <c r="AX392" t="s">
        <v>437</v>
      </c>
      <c r="AY392">
        <v>0</v>
      </c>
      <c r="AZ392">
        <v>0</v>
      </c>
      <c r="BA392">
        <v>0</v>
      </c>
      <c r="CE392">
        <v>2.6040000000000001</v>
      </c>
      <c r="CG392" t="s">
        <v>450</v>
      </c>
      <c r="CI392">
        <v>3.4</v>
      </c>
      <c r="CJ392">
        <v>3.1</v>
      </c>
      <c r="CK392">
        <v>3.25</v>
      </c>
      <c r="CL392">
        <v>0.3</v>
      </c>
      <c r="CM392">
        <v>3.55</v>
      </c>
    </row>
    <row r="393" spans="1:91" x14ac:dyDescent="0.25">
      <c r="A393">
        <v>1177</v>
      </c>
      <c r="B393" t="s">
        <v>765</v>
      </c>
      <c r="C393" t="s">
        <v>1164</v>
      </c>
      <c r="D393" t="s">
        <v>1563</v>
      </c>
      <c r="E393" t="s">
        <v>395</v>
      </c>
      <c r="F393">
        <v>182017440</v>
      </c>
      <c r="G393">
        <v>21.872959999999999</v>
      </c>
      <c r="H393" t="s">
        <v>410</v>
      </c>
      <c r="I393">
        <v>3981260184.4224</v>
      </c>
      <c r="J393" t="s">
        <v>416</v>
      </c>
      <c r="K393">
        <v>3194424.91529821</v>
      </c>
      <c r="L393">
        <v>0.75</v>
      </c>
      <c r="M393">
        <v>2985945138.3168001</v>
      </c>
      <c r="N393">
        <v>27056892456</v>
      </c>
      <c r="O393">
        <v>20102010</v>
      </c>
      <c r="P393">
        <v>2010</v>
      </c>
      <c r="Q393">
        <v>3.4</v>
      </c>
      <c r="S393" t="s">
        <v>424</v>
      </c>
      <c r="T393" t="s">
        <v>422</v>
      </c>
      <c r="U393">
        <v>0</v>
      </c>
      <c r="V393">
        <v>0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 t="s">
        <v>422</v>
      </c>
      <c r="AC393" t="s">
        <v>422</v>
      </c>
      <c r="AD393">
        <v>0</v>
      </c>
      <c r="AE393">
        <v>0</v>
      </c>
      <c r="AF393">
        <v>0</v>
      </c>
      <c r="AH393">
        <v>0</v>
      </c>
      <c r="AI393" t="s">
        <v>424</v>
      </c>
      <c r="AK393" t="s">
        <v>424</v>
      </c>
      <c r="AL393" t="s">
        <v>424</v>
      </c>
      <c r="AM393" t="s">
        <v>424</v>
      </c>
      <c r="AO393">
        <v>0</v>
      </c>
      <c r="AP393">
        <v>0</v>
      </c>
      <c r="AQ393">
        <v>0</v>
      </c>
      <c r="AR393">
        <v>0</v>
      </c>
      <c r="AS393">
        <v>2.3690000000000002</v>
      </c>
      <c r="AT393">
        <v>2.1259999999999999</v>
      </c>
      <c r="AU393" t="s">
        <v>420</v>
      </c>
      <c r="AV393">
        <v>1</v>
      </c>
      <c r="AW393">
        <v>0</v>
      </c>
      <c r="AX393" t="s">
        <v>434</v>
      </c>
      <c r="AY393">
        <v>0</v>
      </c>
      <c r="AZ393">
        <v>0</v>
      </c>
      <c r="BA393">
        <v>0</v>
      </c>
      <c r="CE393">
        <v>2.2475000000000001</v>
      </c>
      <c r="CG393" t="s">
        <v>450</v>
      </c>
      <c r="CI393">
        <v>3.4</v>
      </c>
      <c r="CJ393">
        <v>3.1</v>
      </c>
      <c r="CK393">
        <v>3.25</v>
      </c>
      <c r="CL393">
        <v>0.3</v>
      </c>
      <c r="CM393">
        <v>3.55</v>
      </c>
    </row>
    <row r="394" spans="1:91" x14ac:dyDescent="0.25">
      <c r="A394">
        <v>1178</v>
      </c>
      <c r="B394" t="s">
        <v>766</v>
      </c>
      <c r="C394" t="s">
        <v>1165</v>
      </c>
      <c r="D394" t="s">
        <v>1564</v>
      </c>
      <c r="E394" t="s">
        <v>395</v>
      </c>
      <c r="F394">
        <v>546454160</v>
      </c>
      <c r="G394">
        <v>13.86561</v>
      </c>
      <c r="H394" t="s">
        <v>410</v>
      </c>
      <c r="I394">
        <v>7576920265.4376001</v>
      </c>
      <c r="J394" t="s">
        <v>416</v>
      </c>
      <c r="K394">
        <v>13962066.985252701</v>
      </c>
      <c r="L394">
        <v>0.9</v>
      </c>
      <c r="M394">
        <v>6819228238.8938398</v>
      </c>
      <c r="N394">
        <v>97476493060.800003</v>
      </c>
      <c r="O394">
        <v>50205040</v>
      </c>
      <c r="P394">
        <v>5020</v>
      </c>
      <c r="Q394">
        <v>1.9740686207401801</v>
      </c>
      <c r="R394">
        <v>3.1</v>
      </c>
      <c r="S394" t="s">
        <v>418</v>
      </c>
      <c r="T394" t="s">
        <v>423</v>
      </c>
      <c r="U394">
        <v>0</v>
      </c>
      <c r="V394">
        <v>0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 t="s">
        <v>422</v>
      </c>
      <c r="AC394" t="s">
        <v>422</v>
      </c>
      <c r="AD394">
        <v>0</v>
      </c>
      <c r="AE394">
        <v>0</v>
      </c>
      <c r="AF394">
        <v>0</v>
      </c>
      <c r="AH394">
        <v>0</v>
      </c>
      <c r="AI394" t="s">
        <v>424</v>
      </c>
      <c r="AK394" t="s">
        <v>424</v>
      </c>
      <c r="AL394" t="s">
        <v>424</v>
      </c>
      <c r="AM394" t="s">
        <v>424</v>
      </c>
      <c r="AO394">
        <v>0</v>
      </c>
      <c r="AP394">
        <v>0</v>
      </c>
      <c r="AQ394">
        <v>0</v>
      </c>
      <c r="AR394">
        <v>0</v>
      </c>
      <c r="AS394">
        <v>2.0510000000000002</v>
      </c>
      <c r="AT394">
        <v>2.637</v>
      </c>
      <c r="AU394" t="s">
        <v>432</v>
      </c>
      <c r="AV394">
        <v>0</v>
      </c>
      <c r="AW394">
        <v>0</v>
      </c>
      <c r="AX394" t="s">
        <v>434</v>
      </c>
      <c r="AY394">
        <v>0</v>
      </c>
      <c r="AZ394">
        <v>0</v>
      </c>
      <c r="BA394">
        <v>0</v>
      </c>
      <c r="CE394">
        <v>2.3439999999999999</v>
      </c>
      <c r="CG394" t="s">
        <v>450</v>
      </c>
      <c r="CI394">
        <v>1.9740686207401801</v>
      </c>
      <c r="CJ394">
        <v>3.1</v>
      </c>
      <c r="CK394">
        <v>2.5370343103700899</v>
      </c>
      <c r="CL394">
        <v>-0.18</v>
      </c>
      <c r="CM394">
        <v>2.3570343103700901</v>
      </c>
    </row>
    <row r="395" spans="1:91" x14ac:dyDescent="0.25">
      <c r="A395">
        <v>1181</v>
      </c>
      <c r="B395" t="s">
        <v>767</v>
      </c>
      <c r="C395" t="s">
        <v>1166</v>
      </c>
      <c r="D395" t="s">
        <v>1565</v>
      </c>
      <c r="E395" t="s">
        <v>403</v>
      </c>
      <c r="F395">
        <v>1352862500</v>
      </c>
      <c r="G395">
        <v>8.5883319999999994</v>
      </c>
      <c r="H395" t="s">
        <v>413</v>
      </c>
      <c r="I395">
        <v>11618832300.35</v>
      </c>
      <c r="J395" t="s">
        <v>416</v>
      </c>
      <c r="K395">
        <v>20340262.9003166</v>
      </c>
      <c r="L395">
        <v>0.9</v>
      </c>
      <c r="M395">
        <v>10456949070.315001</v>
      </c>
      <c r="N395">
        <v>241323612750</v>
      </c>
      <c r="O395">
        <v>35102020</v>
      </c>
      <c r="P395">
        <v>3510</v>
      </c>
      <c r="Q395">
        <v>2.6430599755841402</v>
      </c>
      <c r="S395" t="s">
        <v>417</v>
      </c>
      <c r="T395" t="s">
        <v>422</v>
      </c>
      <c r="U395">
        <v>0</v>
      </c>
      <c r="V395">
        <v>0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 t="s">
        <v>422</v>
      </c>
      <c r="AC395" t="s">
        <v>422</v>
      </c>
      <c r="AD395">
        <v>0</v>
      </c>
      <c r="AE395">
        <v>0</v>
      </c>
      <c r="AF395">
        <v>0</v>
      </c>
      <c r="AH395">
        <v>0</v>
      </c>
      <c r="AI395" t="s">
        <v>424</v>
      </c>
      <c r="AK395" t="s">
        <v>424</v>
      </c>
      <c r="AL395" t="s">
        <v>424</v>
      </c>
      <c r="AM395" t="s">
        <v>424</v>
      </c>
      <c r="AO395">
        <v>0</v>
      </c>
      <c r="AP395">
        <v>0</v>
      </c>
      <c r="AQ395">
        <v>0</v>
      </c>
      <c r="AR395">
        <v>0</v>
      </c>
      <c r="AS395">
        <v>2.214</v>
      </c>
      <c r="AT395">
        <v>3.1850000000000001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450</v>
      </c>
      <c r="CI395">
        <v>2.6430599755841402</v>
      </c>
      <c r="CJ395">
        <v>3.1</v>
      </c>
      <c r="CK395">
        <v>2.8715299877920701</v>
      </c>
      <c r="CL395">
        <v>-0.3</v>
      </c>
      <c r="CM395">
        <v>2.5715299877920699</v>
      </c>
    </row>
    <row r="396" spans="1:91" x14ac:dyDescent="0.25">
      <c r="A396">
        <v>1192</v>
      </c>
      <c r="B396" t="s">
        <v>104</v>
      </c>
      <c r="C396" t="s">
        <v>204</v>
      </c>
      <c r="D396" t="s">
        <v>304</v>
      </c>
      <c r="E396" t="s">
        <v>403</v>
      </c>
      <c r="F396">
        <v>300209100</v>
      </c>
      <c r="G396">
        <v>29.42568</v>
      </c>
      <c r="H396" t="s">
        <v>413</v>
      </c>
      <c r="I396">
        <v>8833856909.6879997</v>
      </c>
      <c r="J396" t="s">
        <v>416</v>
      </c>
      <c r="K396">
        <v>14800849.030249599</v>
      </c>
      <c r="L396">
        <v>0.9</v>
      </c>
      <c r="M396">
        <v>7950471218.7192001</v>
      </c>
      <c r="N396">
        <v>53551299258</v>
      </c>
      <c r="O396">
        <v>65102030</v>
      </c>
      <c r="P396">
        <v>6510</v>
      </c>
      <c r="Q396">
        <v>1.7824347572228401</v>
      </c>
      <c r="R396">
        <v>1.5</v>
      </c>
      <c r="S396" t="s">
        <v>419</v>
      </c>
      <c r="T396" t="s">
        <v>422</v>
      </c>
      <c r="U396">
        <v>0</v>
      </c>
      <c r="V396">
        <v>0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 t="s">
        <v>422</v>
      </c>
      <c r="AC396" t="s">
        <v>422</v>
      </c>
      <c r="AD396">
        <v>0</v>
      </c>
      <c r="AE396">
        <v>0</v>
      </c>
      <c r="AF396">
        <v>0</v>
      </c>
      <c r="AH396">
        <v>0</v>
      </c>
      <c r="AI396" t="s">
        <v>424</v>
      </c>
      <c r="AK396" t="s">
        <v>424</v>
      </c>
      <c r="AL396" t="s">
        <v>424</v>
      </c>
      <c r="AM396" t="s">
        <v>424</v>
      </c>
      <c r="AO396">
        <v>0</v>
      </c>
      <c r="AP396">
        <v>0</v>
      </c>
      <c r="AQ396">
        <v>0</v>
      </c>
      <c r="AR396">
        <v>0</v>
      </c>
      <c r="AS396">
        <v>2.8260000000000001</v>
      </c>
      <c r="AT396">
        <v>3.137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450</v>
      </c>
      <c r="CI396">
        <v>1.7824347572228401</v>
      </c>
      <c r="CJ396">
        <v>1.5</v>
      </c>
      <c r="CK396">
        <v>1.6412173786114199</v>
      </c>
      <c r="CL396">
        <v>-0.24</v>
      </c>
      <c r="CM396">
        <v>1.4012173786114199</v>
      </c>
    </row>
    <row r="397" spans="1:91" x14ac:dyDescent="0.25">
      <c r="A397">
        <v>1193</v>
      </c>
      <c r="B397" t="s">
        <v>768</v>
      </c>
      <c r="C397" t="s">
        <v>1167</v>
      </c>
      <c r="D397" t="s">
        <v>1566</v>
      </c>
      <c r="E397" t="s">
        <v>406</v>
      </c>
      <c r="F397">
        <v>38900000</v>
      </c>
      <c r="G397">
        <v>124.82989999999999</v>
      </c>
      <c r="H397" t="s">
        <v>414</v>
      </c>
      <c r="I397">
        <v>4855883110</v>
      </c>
      <c r="J397" t="s">
        <v>416</v>
      </c>
      <c r="K397">
        <v>3499241.6717073601</v>
      </c>
      <c r="L397">
        <v>0.75</v>
      </c>
      <c r="M397">
        <v>3641912332.5</v>
      </c>
      <c r="N397">
        <v>5782485000</v>
      </c>
      <c r="O397">
        <v>50203000</v>
      </c>
      <c r="P397">
        <v>5020</v>
      </c>
      <c r="Q397">
        <v>3.3878998995015599</v>
      </c>
      <c r="S397" t="s">
        <v>418</v>
      </c>
      <c r="T397" t="s">
        <v>422</v>
      </c>
      <c r="U397">
        <v>0</v>
      </c>
      <c r="V397">
        <v>0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 t="s">
        <v>422</v>
      </c>
      <c r="AC397" t="s">
        <v>422</v>
      </c>
      <c r="AD397">
        <v>0</v>
      </c>
      <c r="AE397">
        <v>0</v>
      </c>
      <c r="AF397">
        <v>0</v>
      </c>
      <c r="AH397">
        <v>0</v>
      </c>
      <c r="AI397" t="s">
        <v>424</v>
      </c>
      <c r="AK397" t="s">
        <v>424</v>
      </c>
      <c r="AL397" t="s">
        <v>424</v>
      </c>
      <c r="AM397" t="s">
        <v>424</v>
      </c>
      <c r="AO397">
        <v>0</v>
      </c>
      <c r="AP397">
        <v>0</v>
      </c>
      <c r="AQ397">
        <v>0</v>
      </c>
      <c r="AR397">
        <v>0</v>
      </c>
      <c r="AS397">
        <v>2.073</v>
      </c>
      <c r="AT397">
        <v>2.2709999999999999</v>
      </c>
      <c r="AU397" t="s">
        <v>420</v>
      </c>
      <c r="AV397">
        <v>1</v>
      </c>
      <c r="AW397">
        <v>0</v>
      </c>
      <c r="AX397" t="s">
        <v>446</v>
      </c>
      <c r="AY397">
        <v>0</v>
      </c>
      <c r="AZ397">
        <v>0</v>
      </c>
      <c r="BA397">
        <v>0</v>
      </c>
      <c r="CE397">
        <v>2.1720000000000002</v>
      </c>
      <c r="CG397" t="s">
        <v>450</v>
      </c>
      <c r="CI397">
        <v>3.3878998995015599</v>
      </c>
      <c r="CJ397">
        <v>3.1</v>
      </c>
      <c r="CK397">
        <v>3.24394994975078</v>
      </c>
      <c r="CL397">
        <v>-0.18</v>
      </c>
      <c r="CM397">
        <v>3.0639499497507798</v>
      </c>
    </row>
    <row r="398" spans="1:91" x14ac:dyDescent="0.25">
      <c r="A398">
        <v>1196</v>
      </c>
      <c r="B398" t="s">
        <v>769</v>
      </c>
      <c r="C398" t="s">
        <v>1168</v>
      </c>
      <c r="D398" t="s">
        <v>1567</v>
      </c>
      <c r="E398" t="s">
        <v>406</v>
      </c>
      <c r="F398">
        <v>189503270</v>
      </c>
      <c r="G398">
        <v>102.2457</v>
      </c>
      <c r="H398" t="s">
        <v>414</v>
      </c>
      <c r="I398">
        <v>19375894493.438999</v>
      </c>
      <c r="J398" t="s">
        <v>416</v>
      </c>
      <c r="K398">
        <v>41476567.172172703</v>
      </c>
      <c r="L398">
        <v>0.8</v>
      </c>
      <c r="M398">
        <v>15500715594.7512</v>
      </c>
      <c r="N398">
        <v>30047638491.200001</v>
      </c>
      <c r="O398">
        <v>50205040</v>
      </c>
      <c r="P398">
        <v>5020</v>
      </c>
      <c r="Q398">
        <v>1.74455569755428</v>
      </c>
      <c r="S398" t="s">
        <v>420</v>
      </c>
      <c r="T398" t="s">
        <v>422</v>
      </c>
      <c r="U398">
        <v>0</v>
      </c>
      <c r="V398">
        <v>0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 t="s">
        <v>422</v>
      </c>
      <c r="AC398" t="s">
        <v>422</v>
      </c>
      <c r="AD398">
        <v>0.05</v>
      </c>
      <c r="AE398">
        <v>0.2</v>
      </c>
      <c r="AF398">
        <v>0</v>
      </c>
      <c r="AG398" t="s">
        <v>1653</v>
      </c>
      <c r="AH398">
        <v>0</v>
      </c>
      <c r="AI398" t="s">
        <v>424</v>
      </c>
      <c r="AJ398" t="s">
        <v>1653</v>
      </c>
      <c r="AK398" t="s">
        <v>424</v>
      </c>
      <c r="AL398" t="s">
        <v>424</v>
      </c>
      <c r="AM398" t="s">
        <v>424</v>
      </c>
      <c r="AN398" t="s">
        <v>1653</v>
      </c>
      <c r="AO398">
        <v>0.01</v>
      </c>
      <c r="AP398">
        <v>0</v>
      </c>
      <c r="AQ398">
        <v>0</v>
      </c>
      <c r="AR398">
        <v>0</v>
      </c>
      <c r="AS398">
        <v>2.5760000000000001</v>
      </c>
      <c r="AT398">
        <v>3.363</v>
      </c>
      <c r="AU398" t="s">
        <v>429</v>
      </c>
      <c r="AV398">
        <v>0</v>
      </c>
      <c r="AW398">
        <v>0</v>
      </c>
      <c r="AX398" t="s">
        <v>446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1670</v>
      </c>
      <c r="CH398" t="s">
        <v>1726</v>
      </c>
      <c r="CI398">
        <v>1.74455569755428</v>
      </c>
      <c r="CJ398">
        <v>3.1</v>
      </c>
      <c r="CK398">
        <v>2.4222778487771399</v>
      </c>
      <c r="CL398">
        <v>0</v>
      </c>
      <c r="CM398">
        <v>2.4222778487771399</v>
      </c>
    </row>
    <row r="399" spans="1:91" x14ac:dyDescent="0.25">
      <c r="A399">
        <v>1197</v>
      </c>
      <c r="B399" t="s">
        <v>770</v>
      </c>
      <c r="C399" t="s">
        <v>1169</v>
      </c>
      <c r="D399" t="s">
        <v>1568</v>
      </c>
      <c r="E399" t="s">
        <v>396</v>
      </c>
      <c r="F399">
        <v>6115031158</v>
      </c>
      <c r="G399">
        <v>32.155000000000001</v>
      </c>
      <c r="H399" t="s">
        <v>409</v>
      </c>
      <c r="I399">
        <v>196628826885.48999</v>
      </c>
      <c r="J399" t="s">
        <v>415</v>
      </c>
      <c r="K399">
        <v>190001348.08571401</v>
      </c>
      <c r="L399">
        <v>1</v>
      </c>
      <c r="M399">
        <v>196628826885.48999</v>
      </c>
      <c r="N399">
        <v>1211999175515.6001</v>
      </c>
      <c r="O399">
        <v>60101000</v>
      </c>
      <c r="P399">
        <v>6010</v>
      </c>
      <c r="Q399">
        <v>3.4</v>
      </c>
      <c r="R399">
        <v>1.5</v>
      </c>
      <c r="S399" t="s">
        <v>424</v>
      </c>
      <c r="T399" t="s">
        <v>1651</v>
      </c>
      <c r="U399">
        <v>0</v>
      </c>
      <c r="V399">
        <v>0.01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 t="s">
        <v>422</v>
      </c>
      <c r="AC399" t="s">
        <v>422</v>
      </c>
      <c r="AD399">
        <v>0</v>
      </c>
      <c r="AE399">
        <v>1</v>
      </c>
      <c r="AF399">
        <v>0</v>
      </c>
      <c r="AG399" t="s">
        <v>1654</v>
      </c>
      <c r="AH399">
        <v>0</v>
      </c>
      <c r="AI399" t="s">
        <v>1655</v>
      </c>
      <c r="AJ399" t="s">
        <v>1654</v>
      </c>
      <c r="AK399" t="s">
        <v>424</v>
      </c>
      <c r="AL399" t="s">
        <v>1655</v>
      </c>
      <c r="AM399" t="s">
        <v>1655</v>
      </c>
      <c r="AO399">
        <v>0</v>
      </c>
      <c r="AP399">
        <v>0</v>
      </c>
      <c r="AQ399">
        <v>0</v>
      </c>
      <c r="AR399">
        <v>0</v>
      </c>
      <c r="AS399">
        <v>2.516</v>
      </c>
      <c r="AT399">
        <v>3.504</v>
      </c>
      <c r="AU399" t="s">
        <v>420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1667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1670</v>
      </c>
      <c r="CH399" t="s">
        <v>1727</v>
      </c>
      <c r="CI399">
        <v>3.4</v>
      </c>
      <c r="CJ399">
        <v>1.5</v>
      </c>
      <c r="CK399">
        <v>2.4500000000000002</v>
      </c>
      <c r="CL399">
        <v>0.3</v>
      </c>
      <c r="CM399">
        <v>2.75</v>
      </c>
    </row>
    <row r="400" spans="1:91" x14ac:dyDescent="0.25">
      <c r="A400">
        <v>1211</v>
      </c>
      <c r="B400" t="s">
        <v>771</v>
      </c>
      <c r="C400" t="s">
        <v>1170</v>
      </c>
      <c r="D400" t="s">
        <v>1569</v>
      </c>
      <c r="E400" t="s">
        <v>406</v>
      </c>
      <c r="F400">
        <v>4513000</v>
      </c>
      <c r="G400">
        <v>1059.0340000000001</v>
      </c>
      <c r="H400" t="s">
        <v>414</v>
      </c>
      <c r="I400">
        <v>4779420442</v>
      </c>
      <c r="J400" t="s">
        <v>416</v>
      </c>
      <c r="K400">
        <v>8836214.8853714094</v>
      </c>
      <c r="L400">
        <v>0.95</v>
      </c>
      <c r="M400">
        <v>4540449419.8999996</v>
      </c>
      <c r="N400">
        <v>849752770</v>
      </c>
      <c r="O400">
        <v>20103015</v>
      </c>
      <c r="P400">
        <v>2010</v>
      </c>
      <c r="S400" t="s">
        <v>421</v>
      </c>
      <c r="T400" t="s">
        <v>422</v>
      </c>
      <c r="U400">
        <v>0</v>
      </c>
      <c r="V400">
        <v>0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 t="s">
        <v>422</v>
      </c>
      <c r="AC400" t="s">
        <v>422</v>
      </c>
      <c r="AD400">
        <v>0</v>
      </c>
      <c r="AE400">
        <v>0</v>
      </c>
      <c r="AF400">
        <v>0</v>
      </c>
      <c r="AH400">
        <v>0</v>
      </c>
      <c r="AI400" t="s">
        <v>424</v>
      </c>
      <c r="AK400" t="s">
        <v>424</v>
      </c>
      <c r="AL400" t="s">
        <v>424</v>
      </c>
      <c r="AM400" t="s">
        <v>424</v>
      </c>
      <c r="AO400">
        <v>0</v>
      </c>
      <c r="AP400">
        <v>0</v>
      </c>
      <c r="AQ400">
        <v>0</v>
      </c>
      <c r="AR400">
        <v>0</v>
      </c>
      <c r="AS400">
        <v>2.593</v>
      </c>
      <c r="AT400">
        <v>3.0190000000000001</v>
      </c>
      <c r="AU400" t="s">
        <v>420</v>
      </c>
      <c r="AV400">
        <v>1</v>
      </c>
      <c r="AW400">
        <v>0</v>
      </c>
      <c r="AX400" t="s">
        <v>446</v>
      </c>
      <c r="AY400">
        <v>0</v>
      </c>
      <c r="AZ400">
        <v>0</v>
      </c>
      <c r="BA400">
        <v>0</v>
      </c>
      <c r="CE400">
        <v>2.806</v>
      </c>
      <c r="CG400" t="s">
        <v>450</v>
      </c>
      <c r="CI400">
        <v>3.4</v>
      </c>
      <c r="CJ400">
        <v>3.1</v>
      </c>
      <c r="CK400">
        <v>3.25</v>
      </c>
      <c r="CL400">
        <v>0.18</v>
      </c>
      <c r="CM400">
        <v>3.43</v>
      </c>
    </row>
    <row r="401" spans="1:91" x14ac:dyDescent="0.25">
      <c r="A401">
        <v>1212</v>
      </c>
      <c r="B401" t="s">
        <v>772</v>
      </c>
      <c r="C401" t="s">
        <v>1171</v>
      </c>
      <c r="D401" t="s">
        <v>1570</v>
      </c>
      <c r="E401" t="s">
        <v>398</v>
      </c>
      <c r="F401">
        <v>800000000</v>
      </c>
      <c r="G401">
        <v>221.45</v>
      </c>
      <c r="H401" t="s">
        <v>409</v>
      </c>
      <c r="I401">
        <v>177160000000</v>
      </c>
      <c r="J401" t="s">
        <v>415</v>
      </c>
      <c r="K401">
        <v>252550062.46221301</v>
      </c>
      <c r="L401">
        <v>0.95</v>
      </c>
      <c r="M401">
        <v>168302000000</v>
      </c>
      <c r="N401">
        <v>150632000000</v>
      </c>
      <c r="O401">
        <v>50203000</v>
      </c>
      <c r="P401">
        <v>5020</v>
      </c>
      <c r="Q401">
        <v>1.74968333188863</v>
      </c>
      <c r="S401" t="s">
        <v>417</v>
      </c>
      <c r="T401" t="s">
        <v>422</v>
      </c>
      <c r="U401">
        <v>0</v>
      </c>
      <c r="V401">
        <v>0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 t="s">
        <v>422</v>
      </c>
      <c r="AC401" t="s">
        <v>422</v>
      </c>
      <c r="AD401">
        <v>0</v>
      </c>
      <c r="AE401">
        <v>0.05</v>
      </c>
      <c r="AF401">
        <v>0</v>
      </c>
      <c r="AH401">
        <v>0</v>
      </c>
      <c r="AI401" t="s">
        <v>424</v>
      </c>
      <c r="AJ401" t="s">
        <v>1653</v>
      </c>
      <c r="AK401" t="s">
        <v>424</v>
      </c>
      <c r="AL401" t="s">
        <v>424</v>
      </c>
      <c r="AM401" t="s">
        <v>424</v>
      </c>
      <c r="AO401">
        <v>0</v>
      </c>
      <c r="AP401">
        <v>0</v>
      </c>
      <c r="AQ401">
        <v>0</v>
      </c>
      <c r="AR401">
        <v>0</v>
      </c>
      <c r="AS401">
        <v>2.8140000000000001</v>
      </c>
      <c r="AT401">
        <v>2.6440000000000001</v>
      </c>
      <c r="AU401" t="s">
        <v>420</v>
      </c>
      <c r="AV401">
        <v>1</v>
      </c>
      <c r="AW401">
        <v>0</v>
      </c>
      <c r="AX401" t="s">
        <v>437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2.7290000000000001</v>
      </c>
      <c r="CG401" t="s">
        <v>1670</v>
      </c>
      <c r="CH401" t="s">
        <v>1684</v>
      </c>
      <c r="CI401">
        <v>1.74968333188863</v>
      </c>
      <c r="CJ401">
        <v>3.1</v>
      </c>
      <c r="CK401">
        <v>2.4248416659443151</v>
      </c>
      <c r="CL401">
        <v>-0.3</v>
      </c>
      <c r="CM401">
        <v>2.1248416659443148</v>
      </c>
    </row>
    <row r="402" spans="1:91" x14ac:dyDescent="0.25">
      <c r="A402">
        <v>1213</v>
      </c>
      <c r="B402" t="s">
        <v>773</v>
      </c>
      <c r="C402" t="s">
        <v>1172</v>
      </c>
      <c r="D402" t="s">
        <v>1571</v>
      </c>
      <c r="E402" t="s">
        <v>398</v>
      </c>
      <c r="F402">
        <v>799309700</v>
      </c>
      <c r="G402">
        <v>57.96</v>
      </c>
      <c r="H402" t="s">
        <v>409</v>
      </c>
      <c r="I402">
        <v>46327990212</v>
      </c>
      <c r="J402" t="s">
        <v>415</v>
      </c>
      <c r="K402">
        <v>189374217.87696701</v>
      </c>
      <c r="L402">
        <v>0.85</v>
      </c>
      <c r="M402">
        <v>39378791680.199997</v>
      </c>
      <c r="N402">
        <v>134659705159</v>
      </c>
      <c r="O402">
        <v>60102020</v>
      </c>
      <c r="P402">
        <v>6010</v>
      </c>
      <c r="Q402">
        <v>1.9999196399864201</v>
      </c>
      <c r="S402" t="s">
        <v>417</v>
      </c>
      <c r="T402" t="s">
        <v>422</v>
      </c>
      <c r="U402">
        <v>0</v>
      </c>
      <c r="V402">
        <v>0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 t="s">
        <v>422</v>
      </c>
      <c r="AC402" t="s">
        <v>422</v>
      </c>
      <c r="AD402">
        <v>0</v>
      </c>
      <c r="AE402">
        <v>0.39</v>
      </c>
      <c r="AF402">
        <v>0</v>
      </c>
      <c r="AH402">
        <v>0</v>
      </c>
      <c r="AI402" t="s">
        <v>424</v>
      </c>
      <c r="AJ402" t="s">
        <v>1653</v>
      </c>
      <c r="AK402" t="s">
        <v>424</v>
      </c>
      <c r="AL402" t="s">
        <v>424</v>
      </c>
      <c r="AM402" t="s">
        <v>424</v>
      </c>
      <c r="AO402">
        <v>0</v>
      </c>
      <c r="AP402">
        <v>0</v>
      </c>
      <c r="AQ402">
        <v>0</v>
      </c>
      <c r="AR402">
        <v>0</v>
      </c>
      <c r="AS402">
        <v>2.6909999999999998</v>
      </c>
      <c r="AT402">
        <v>2.6789999999999998</v>
      </c>
      <c r="AU402" t="s">
        <v>420</v>
      </c>
      <c r="AV402">
        <v>1</v>
      </c>
      <c r="AW402">
        <v>0</v>
      </c>
      <c r="AX402" t="s">
        <v>437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2.6850000000000001</v>
      </c>
      <c r="CG402" t="s">
        <v>1670</v>
      </c>
      <c r="CH402" t="s">
        <v>1684</v>
      </c>
      <c r="CI402">
        <v>1.9999196399864201</v>
      </c>
      <c r="CJ402">
        <v>3.1</v>
      </c>
      <c r="CK402">
        <v>2.5499598199932101</v>
      </c>
      <c r="CL402">
        <v>-0.3</v>
      </c>
      <c r="CM402">
        <v>2.2499598199932098</v>
      </c>
    </row>
    <row r="403" spans="1:91" x14ac:dyDescent="0.25">
      <c r="A403">
        <v>1214</v>
      </c>
      <c r="B403" t="s">
        <v>774</v>
      </c>
      <c r="C403" t="s">
        <v>1173</v>
      </c>
      <c r="D403" t="s">
        <v>1572</v>
      </c>
      <c r="E403" t="s">
        <v>398</v>
      </c>
      <c r="F403">
        <v>1128000000</v>
      </c>
      <c r="G403">
        <v>55.74</v>
      </c>
      <c r="H403" t="s">
        <v>409</v>
      </c>
      <c r="I403">
        <v>62874720000</v>
      </c>
      <c r="J403" t="s">
        <v>415</v>
      </c>
      <c r="K403">
        <v>37144508.143114701</v>
      </c>
      <c r="L403">
        <v>0.25</v>
      </c>
      <c r="M403">
        <v>15718680000</v>
      </c>
      <c r="N403">
        <v>55892400000</v>
      </c>
      <c r="O403">
        <v>20102010</v>
      </c>
      <c r="P403">
        <v>2010</v>
      </c>
      <c r="Q403">
        <v>2</v>
      </c>
      <c r="S403" t="s">
        <v>417</v>
      </c>
      <c r="T403" t="s">
        <v>422</v>
      </c>
      <c r="U403">
        <v>0</v>
      </c>
      <c r="V403">
        <v>0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 t="s">
        <v>422</v>
      </c>
      <c r="AC403" t="s">
        <v>422</v>
      </c>
      <c r="AD403">
        <v>0</v>
      </c>
      <c r="AE403">
        <v>0</v>
      </c>
      <c r="AF403">
        <v>0</v>
      </c>
      <c r="AH403">
        <v>0</v>
      </c>
      <c r="AI403" t="s">
        <v>424</v>
      </c>
      <c r="AK403" t="s">
        <v>424</v>
      </c>
      <c r="AL403" t="s">
        <v>424</v>
      </c>
      <c r="AM403" t="s">
        <v>424</v>
      </c>
      <c r="AO403">
        <v>0</v>
      </c>
      <c r="AP403">
        <v>0</v>
      </c>
      <c r="AQ403">
        <v>0</v>
      </c>
      <c r="AR403">
        <v>0</v>
      </c>
      <c r="AS403">
        <v>2.9220000000000002</v>
      </c>
      <c r="AT403">
        <v>2.8780000000000001</v>
      </c>
      <c r="AU403" t="s">
        <v>420</v>
      </c>
      <c r="AV403">
        <v>1</v>
      </c>
      <c r="AW403">
        <v>0</v>
      </c>
      <c r="AX403" t="s">
        <v>437</v>
      </c>
      <c r="AY403">
        <v>0</v>
      </c>
      <c r="AZ403">
        <v>0</v>
      </c>
      <c r="BA403">
        <v>0</v>
      </c>
      <c r="CE403">
        <v>2.9</v>
      </c>
      <c r="CG403" t="s">
        <v>450</v>
      </c>
      <c r="CI403">
        <v>2</v>
      </c>
      <c r="CJ403">
        <v>3.1</v>
      </c>
      <c r="CK403">
        <v>2.5499999999999998</v>
      </c>
      <c r="CL403">
        <v>-0.3</v>
      </c>
      <c r="CM403">
        <v>2.25</v>
      </c>
    </row>
    <row r="404" spans="1:91" x14ac:dyDescent="0.25">
      <c r="A404">
        <v>1215</v>
      </c>
      <c r="B404" t="s">
        <v>775</v>
      </c>
      <c r="C404" t="s">
        <v>1174</v>
      </c>
      <c r="D404" t="s">
        <v>1573</v>
      </c>
      <c r="E404" t="s">
        <v>406</v>
      </c>
      <c r="F404">
        <v>382270870</v>
      </c>
      <c r="G404">
        <v>21.90372</v>
      </c>
      <c r="H404" t="s">
        <v>414</v>
      </c>
      <c r="I404">
        <v>8373154100.6364002</v>
      </c>
      <c r="J404" t="s">
        <v>416</v>
      </c>
      <c r="K404">
        <v>13951048.151531501</v>
      </c>
      <c r="L404">
        <v>0.8</v>
      </c>
      <c r="M404">
        <v>6698523280.5091209</v>
      </c>
      <c r="N404">
        <v>60612869147.199997</v>
      </c>
      <c r="O404">
        <v>50203030</v>
      </c>
      <c r="P404">
        <v>5020</v>
      </c>
      <c r="S404" t="s">
        <v>418</v>
      </c>
      <c r="T404" t="s">
        <v>422</v>
      </c>
      <c r="U404">
        <v>0</v>
      </c>
      <c r="V404">
        <v>0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 t="s">
        <v>422</v>
      </c>
      <c r="AC404" t="s">
        <v>422</v>
      </c>
      <c r="AD404">
        <v>0</v>
      </c>
      <c r="AE404">
        <v>0</v>
      </c>
      <c r="AF404">
        <v>0</v>
      </c>
      <c r="AH404">
        <v>0</v>
      </c>
      <c r="AI404" t="s">
        <v>424</v>
      </c>
      <c r="AK404" t="s">
        <v>424</v>
      </c>
      <c r="AL404" t="s">
        <v>424</v>
      </c>
      <c r="AM404" t="s">
        <v>424</v>
      </c>
      <c r="AO404">
        <v>0</v>
      </c>
      <c r="AP404">
        <v>0</v>
      </c>
      <c r="AQ404">
        <v>0</v>
      </c>
      <c r="AR404">
        <v>0</v>
      </c>
      <c r="AS404">
        <v>2.7029999999999998</v>
      </c>
      <c r="AT404">
        <v>2.8279999999999998</v>
      </c>
      <c r="AU404" t="s">
        <v>420</v>
      </c>
      <c r="AV404">
        <v>1</v>
      </c>
      <c r="AW404">
        <v>0</v>
      </c>
      <c r="AX404" t="s">
        <v>446</v>
      </c>
      <c r="AY404">
        <v>0</v>
      </c>
      <c r="AZ404">
        <v>0</v>
      </c>
      <c r="BA404">
        <v>0</v>
      </c>
      <c r="CE404">
        <v>2.7654999999999998</v>
      </c>
      <c r="CG404" t="s">
        <v>450</v>
      </c>
      <c r="CI404">
        <v>3.4</v>
      </c>
      <c r="CJ404">
        <v>3.1</v>
      </c>
      <c r="CK404">
        <v>3.25</v>
      </c>
      <c r="CL404">
        <v>-0.18</v>
      </c>
      <c r="CM404">
        <v>3.07</v>
      </c>
    </row>
    <row r="405" spans="1:91" x14ac:dyDescent="0.25">
      <c r="A405">
        <v>1218</v>
      </c>
      <c r="B405" t="s">
        <v>180</v>
      </c>
      <c r="C405" t="s">
        <v>280</v>
      </c>
      <c r="D405" t="s">
        <v>380</v>
      </c>
      <c r="E405" t="s">
        <v>406</v>
      </c>
      <c r="F405">
        <v>160479300</v>
      </c>
      <c r="G405">
        <v>252.84970000000001</v>
      </c>
      <c r="H405" t="s">
        <v>414</v>
      </c>
      <c r="I405">
        <v>40577142861.209999</v>
      </c>
      <c r="J405" t="s">
        <v>416</v>
      </c>
      <c r="K405">
        <v>92114432.940758303</v>
      </c>
      <c r="L405">
        <v>1</v>
      </c>
      <c r="M405">
        <v>40577142861.209999</v>
      </c>
      <c r="N405">
        <v>31806997260</v>
      </c>
      <c r="O405">
        <v>50101035</v>
      </c>
      <c r="P405">
        <v>5010</v>
      </c>
      <c r="Q405">
        <v>1.74390558393971</v>
      </c>
      <c r="S405" t="s">
        <v>420</v>
      </c>
      <c r="T405" t="s">
        <v>422</v>
      </c>
      <c r="U405">
        <v>0</v>
      </c>
      <c r="V405">
        <v>0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 t="s">
        <v>422</v>
      </c>
      <c r="AC405" t="s">
        <v>422</v>
      </c>
      <c r="AD405">
        <v>0</v>
      </c>
      <c r="AE405">
        <v>0</v>
      </c>
      <c r="AF405">
        <v>0</v>
      </c>
      <c r="AH405">
        <v>0</v>
      </c>
      <c r="AI405" t="s">
        <v>424</v>
      </c>
      <c r="AK405" t="s">
        <v>424</v>
      </c>
      <c r="AL405" t="s">
        <v>424</v>
      </c>
      <c r="AM405" t="s">
        <v>424</v>
      </c>
      <c r="AO405">
        <v>0</v>
      </c>
      <c r="AP405">
        <v>0</v>
      </c>
      <c r="AQ405">
        <v>0</v>
      </c>
      <c r="AR405">
        <v>0</v>
      </c>
      <c r="AS405">
        <v>2.6779999999999999</v>
      </c>
      <c r="AT405">
        <v>2.95</v>
      </c>
      <c r="AU405" t="s">
        <v>420</v>
      </c>
      <c r="AV405">
        <v>1</v>
      </c>
      <c r="AW405">
        <v>0</v>
      </c>
      <c r="AX405" t="s">
        <v>446</v>
      </c>
      <c r="AY405">
        <v>0</v>
      </c>
      <c r="AZ405">
        <v>0</v>
      </c>
      <c r="BA405">
        <v>0</v>
      </c>
      <c r="CE405">
        <v>2.8140000000000001</v>
      </c>
      <c r="CG405" t="s">
        <v>450</v>
      </c>
      <c r="CI405">
        <v>1.74390558393971</v>
      </c>
      <c r="CJ405">
        <v>3.1</v>
      </c>
      <c r="CK405">
        <v>2.4219527919698551</v>
      </c>
      <c r="CL405">
        <v>0</v>
      </c>
      <c r="CM405">
        <v>2.4219527919698551</v>
      </c>
    </row>
    <row r="406" spans="1:91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395</v>
      </c>
      <c r="F406">
        <v>2115831000</v>
      </c>
      <c r="G406">
        <v>15.232390000000001</v>
      </c>
      <c r="H406" t="s">
        <v>410</v>
      </c>
      <c r="I406">
        <v>32229162966.09</v>
      </c>
      <c r="J406" t="s">
        <v>416</v>
      </c>
      <c r="K406">
        <v>45246872.796090297</v>
      </c>
      <c r="L406">
        <v>0.8</v>
      </c>
      <c r="M406">
        <v>25783330372.872002</v>
      </c>
      <c r="N406">
        <v>335486163360</v>
      </c>
      <c r="O406">
        <v>30101010</v>
      </c>
      <c r="P406">
        <v>3010</v>
      </c>
      <c r="Q406">
        <v>3.4</v>
      </c>
      <c r="S406" t="s">
        <v>420</v>
      </c>
      <c r="T406" t="s">
        <v>422</v>
      </c>
      <c r="U406">
        <v>0</v>
      </c>
      <c r="V406">
        <v>0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 t="s">
        <v>422</v>
      </c>
      <c r="AC406" t="s">
        <v>422</v>
      </c>
      <c r="AD406">
        <v>0</v>
      </c>
      <c r="AE406">
        <v>0</v>
      </c>
      <c r="AF406">
        <v>0</v>
      </c>
      <c r="AH406">
        <v>0</v>
      </c>
      <c r="AI406" t="s">
        <v>424</v>
      </c>
      <c r="AK406" t="s">
        <v>424</v>
      </c>
      <c r="AL406" t="s">
        <v>424</v>
      </c>
      <c r="AM406" t="s">
        <v>424</v>
      </c>
      <c r="AO406">
        <v>0</v>
      </c>
      <c r="AP406">
        <v>0</v>
      </c>
      <c r="AQ406">
        <v>0</v>
      </c>
      <c r="AR406">
        <v>0</v>
      </c>
      <c r="AS406">
        <v>2.1139999999999999</v>
      </c>
      <c r="AT406">
        <v>2.665</v>
      </c>
      <c r="AU406" t="s">
        <v>430</v>
      </c>
      <c r="AV406">
        <v>0</v>
      </c>
      <c r="AW406">
        <v>0</v>
      </c>
      <c r="AX406" t="s">
        <v>434</v>
      </c>
      <c r="AY406">
        <v>0</v>
      </c>
      <c r="AZ406">
        <v>0</v>
      </c>
      <c r="BA406">
        <v>0</v>
      </c>
      <c r="CE406">
        <v>2.3895</v>
      </c>
      <c r="CG406" t="s">
        <v>450</v>
      </c>
      <c r="CI406">
        <v>3.4</v>
      </c>
      <c r="CJ406">
        <v>3.1</v>
      </c>
      <c r="CK406">
        <v>3.25</v>
      </c>
      <c r="CL406">
        <v>0</v>
      </c>
      <c r="CM406">
        <v>3.25</v>
      </c>
    </row>
    <row r="407" spans="1:91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395</v>
      </c>
      <c r="F407">
        <v>400350770</v>
      </c>
      <c r="G407">
        <v>22.488910000000001</v>
      </c>
      <c r="H407" t="s">
        <v>410</v>
      </c>
      <c r="I407">
        <v>9003452434.960701</v>
      </c>
      <c r="J407" t="s">
        <v>416</v>
      </c>
      <c r="K407">
        <v>13958398.191737499</v>
      </c>
      <c r="L407">
        <v>0.95</v>
      </c>
      <c r="M407">
        <v>8553279813.2126656</v>
      </c>
      <c r="N407">
        <v>75382046483.300003</v>
      </c>
      <c r="O407">
        <v>50101010</v>
      </c>
      <c r="P407">
        <v>5010</v>
      </c>
      <c r="Q407">
        <v>1.9582404329915699</v>
      </c>
      <c r="R407">
        <v>1.5</v>
      </c>
      <c r="S407" t="s">
        <v>418</v>
      </c>
      <c r="T407" t="s">
        <v>422</v>
      </c>
      <c r="U407">
        <v>0</v>
      </c>
      <c r="V407">
        <v>0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 t="s">
        <v>422</v>
      </c>
      <c r="AC407" t="s">
        <v>422</v>
      </c>
      <c r="AD407">
        <v>0</v>
      </c>
      <c r="AE407">
        <v>0.05</v>
      </c>
      <c r="AF407">
        <v>0</v>
      </c>
      <c r="AH407">
        <v>0</v>
      </c>
      <c r="AI407" t="s">
        <v>424</v>
      </c>
      <c r="AK407" t="s">
        <v>424</v>
      </c>
      <c r="AL407" t="s">
        <v>424</v>
      </c>
      <c r="AM407" t="s">
        <v>424</v>
      </c>
      <c r="AN407" t="s">
        <v>1653</v>
      </c>
      <c r="AO407">
        <v>0.01</v>
      </c>
      <c r="AP407">
        <v>0</v>
      </c>
      <c r="AQ407">
        <v>0</v>
      </c>
      <c r="AR407">
        <v>0</v>
      </c>
      <c r="AS407">
        <v>1.893</v>
      </c>
      <c r="AT407">
        <v>2.8650000000000002</v>
      </c>
      <c r="AU407" t="s">
        <v>424</v>
      </c>
      <c r="AV407">
        <v>1</v>
      </c>
      <c r="AW407">
        <v>0</v>
      </c>
      <c r="AX407" t="s">
        <v>434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1670</v>
      </c>
      <c r="CH407" t="s">
        <v>1672</v>
      </c>
      <c r="CI407">
        <v>1.9582404329915699</v>
      </c>
      <c r="CJ407">
        <v>1.5</v>
      </c>
      <c r="CK407">
        <v>1.7291202164957851</v>
      </c>
      <c r="CL407">
        <v>-0.18</v>
      </c>
      <c r="CM407">
        <v>1.5491202164957849</v>
      </c>
    </row>
    <row r="408" spans="1:91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395</v>
      </c>
      <c r="F408">
        <v>426392060</v>
      </c>
      <c r="G408">
        <v>20.89734</v>
      </c>
      <c r="H408" t="s">
        <v>410</v>
      </c>
      <c r="I408">
        <v>8910459851.1203995</v>
      </c>
      <c r="J408" t="s">
        <v>416</v>
      </c>
      <c r="K408">
        <v>24706467.5839823</v>
      </c>
      <c r="L408">
        <v>1</v>
      </c>
      <c r="M408">
        <v>8910459851.1203995</v>
      </c>
      <c r="N408">
        <v>84510906292</v>
      </c>
      <c r="O408">
        <v>55102015</v>
      </c>
      <c r="P408">
        <v>5510</v>
      </c>
      <c r="Q408">
        <v>1.73066243035672</v>
      </c>
      <c r="S408" t="s">
        <v>419</v>
      </c>
      <c r="T408" t="s">
        <v>422</v>
      </c>
      <c r="U408">
        <v>0</v>
      </c>
      <c r="V408">
        <v>0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 t="s">
        <v>422</v>
      </c>
      <c r="AC408" t="s">
        <v>422</v>
      </c>
      <c r="AD408">
        <v>0</v>
      </c>
      <c r="AE408">
        <v>0.02</v>
      </c>
      <c r="AF408">
        <v>0</v>
      </c>
      <c r="AH408">
        <v>0</v>
      </c>
      <c r="AI408" t="s">
        <v>424</v>
      </c>
      <c r="AK408" t="s">
        <v>424</v>
      </c>
      <c r="AL408" t="s">
        <v>424</v>
      </c>
      <c r="AM408" t="s">
        <v>424</v>
      </c>
      <c r="AO408">
        <v>0</v>
      </c>
      <c r="AP408">
        <v>0</v>
      </c>
      <c r="AQ408">
        <v>0</v>
      </c>
      <c r="AR408">
        <v>0</v>
      </c>
      <c r="AS408">
        <v>2.3780000000000001</v>
      </c>
      <c r="AT408">
        <v>3.1560000000000001</v>
      </c>
      <c r="AU408" t="s">
        <v>420</v>
      </c>
      <c r="AV408">
        <v>1</v>
      </c>
      <c r="AW408">
        <v>0</v>
      </c>
      <c r="AX408" t="s">
        <v>434</v>
      </c>
      <c r="AY408">
        <v>0</v>
      </c>
      <c r="AZ408">
        <v>0</v>
      </c>
      <c r="BA408">
        <v>0</v>
      </c>
      <c r="BQ408" t="s">
        <v>68</v>
      </c>
      <c r="CE408">
        <v>2.7669999999999999</v>
      </c>
      <c r="CG408" t="s">
        <v>1670</v>
      </c>
      <c r="CH408" t="s">
        <v>68</v>
      </c>
      <c r="CI408">
        <v>1.73066243035672</v>
      </c>
      <c r="CJ408">
        <v>3.1</v>
      </c>
      <c r="CK408">
        <v>2.4153312151783601</v>
      </c>
      <c r="CL408">
        <v>-0.24</v>
      </c>
      <c r="CM408">
        <v>2.1753312151783599</v>
      </c>
    </row>
    <row r="409" spans="1:91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403</v>
      </c>
      <c r="F409">
        <v>874396060</v>
      </c>
      <c r="G409">
        <v>12.494429999999999</v>
      </c>
      <c r="H409" t="s">
        <v>413</v>
      </c>
      <c r="I409">
        <v>10925080363.945801</v>
      </c>
      <c r="J409" t="s">
        <v>416</v>
      </c>
      <c r="K409">
        <v>18147097.5031357</v>
      </c>
      <c r="L409">
        <v>0.95</v>
      </c>
      <c r="M409">
        <v>10378826345.74851</v>
      </c>
      <c r="N409">
        <v>164640034137.39999</v>
      </c>
      <c r="O409">
        <v>20102010</v>
      </c>
      <c r="P409">
        <v>2010</v>
      </c>
      <c r="Q409">
        <v>3.4</v>
      </c>
      <c r="R409">
        <v>1.5</v>
      </c>
      <c r="S409" t="s">
        <v>418</v>
      </c>
      <c r="T409" t="s">
        <v>422</v>
      </c>
      <c r="U409">
        <v>0</v>
      </c>
      <c r="V409">
        <v>0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 t="s">
        <v>422</v>
      </c>
      <c r="AC409" t="s">
        <v>422</v>
      </c>
      <c r="AD409">
        <v>0</v>
      </c>
      <c r="AE409">
        <v>0</v>
      </c>
      <c r="AF409">
        <v>0</v>
      </c>
      <c r="AH409">
        <v>0</v>
      </c>
      <c r="AI409" t="s">
        <v>424</v>
      </c>
      <c r="AK409" t="s">
        <v>424</v>
      </c>
      <c r="AL409" t="s">
        <v>424</v>
      </c>
      <c r="AM409" t="s">
        <v>424</v>
      </c>
      <c r="AO409">
        <v>0</v>
      </c>
      <c r="AP409">
        <v>0</v>
      </c>
      <c r="AQ409">
        <v>0</v>
      </c>
      <c r="AR409">
        <v>0</v>
      </c>
      <c r="AS409">
        <v>3.0630000000000002</v>
      </c>
      <c r="AT409">
        <v>3.4209999999999998</v>
      </c>
      <c r="AU409" t="s">
        <v>420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450</v>
      </c>
      <c r="CI409">
        <v>3.4</v>
      </c>
      <c r="CJ409">
        <v>1.5</v>
      </c>
      <c r="CK409">
        <v>2.4500000000000002</v>
      </c>
      <c r="CL409">
        <v>-0.18</v>
      </c>
      <c r="CM409">
        <v>2.27</v>
      </c>
    </row>
    <row r="410" spans="1:91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403</v>
      </c>
      <c r="F410">
        <v>341426820</v>
      </c>
      <c r="G410">
        <v>24.807510000000001</v>
      </c>
      <c r="H410" t="s">
        <v>413</v>
      </c>
      <c r="I410">
        <v>8469949251.4181995</v>
      </c>
      <c r="J410" t="s">
        <v>416</v>
      </c>
      <c r="K410">
        <v>16516811.2699329</v>
      </c>
      <c r="L410">
        <v>1</v>
      </c>
      <c r="M410">
        <v>8469949251.4181995</v>
      </c>
      <c r="N410">
        <v>67670795723.999992</v>
      </c>
      <c r="O410">
        <v>50203000</v>
      </c>
      <c r="P410">
        <v>5020</v>
      </c>
      <c r="Q410">
        <v>1.7413542167387701</v>
      </c>
      <c r="R410">
        <v>1.5</v>
      </c>
      <c r="S410" t="s">
        <v>421</v>
      </c>
      <c r="T410" t="s">
        <v>422</v>
      </c>
      <c r="U410">
        <v>0</v>
      </c>
      <c r="V410">
        <v>0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 t="s">
        <v>422</v>
      </c>
      <c r="AC410" t="s">
        <v>422</v>
      </c>
      <c r="AD410">
        <v>0</v>
      </c>
      <c r="AE410">
        <v>0.217</v>
      </c>
      <c r="AF410">
        <v>0</v>
      </c>
      <c r="AH410">
        <v>0</v>
      </c>
      <c r="AI410" t="s">
        <v>424</v>
      </c>
      <c r="AJ410" t="s">
        <v>1653</v>
      </c>
      <c r="AK410" t="s">
        <v>424</v>
      </c>
      <c r="AL410" t="s">
        <v>424</v>
      </c>
      <c r="AM410" t="s">
        <v>424</v>
      </c>
      <c r="AO410">
        <v>0</v>
      </c>
      <c r="AP410">
        <v>0</v>
      </c>
      <c r="AQ410">
        <v>0</v>
      </c>
      <c r="AR410">
        <v>0</v>
      </c>
      <c r="AS410">
        <v>2.0259999999999998</v>
      </c>
      <c r="AT410">
        <v>3.3380000000000001</v>
      </c>
      <c r="AU410" t="s">
        <v>420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2.6819999999999999</v>
      </c>
      <c r="CG410" t="s">
        <v>1670</v>
      </c>
      <c r="CH410" t="s">
        <v>1684</v>
      </c>
      <c r="CI410">
        <v>1.7413542167387701</v>
      </c>
      <c r="CJ410">
        <v>1.5</v>
      </c>
      <c r="CK410">
        <v>1.6206771083693849</v>
      </c>
      <c r="CL410">
        <v>0.18</v>
      </c>
      <c r="CM410">
        <v>1.8006771083693851</v>
      </c>
    </row>
    <row r="411" spans="1:91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404</v>
      </c>
      <c r="F411">
        <v>3360857809</v>
      </c>
      <c r="G411">
        <v>4.4740000000000002</v>
      </c>
      <c r="H411" t="s">
        <v>409</v>
      </c>
      <c r="I411">
        <v>15036477837.466</v>
      </c>
      <c r="J411" t="s">
        <v>415</v>
      </c>
      <c r="K411">
        <v>34454059.824770503</v>
      </c>
      <c r="L411">
        <v>0.60000000000000009</v>
      </c>
      <c r="M411">
        <v>9021886702.4796028</v>
      </c>
      <c r="N411">
        <v>399673210646.28003</v>
      </c>
      <c r="O411">
        <v>60101035</v>
      </c>
      <c r="P411">
        <v>6010</v>
      </c>
      <c r="Q411">
        <v>1.52575851323473</v>
      </c>
      <c r="R411">
        <v>2.39</v>
      </c>
      <c r="S411" t="s">
        <v>418</v>
      </c>
      <c r="T411" t="s">
        <v>422</v>
      </c>
      <c r="U411">
        <v>0</v>
      </c>
      <c r="V411">
        <v>0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 t="s">
        <v>422</v>
      </c>
      <c r="AC411" t="s">
        <v>422</v>
      </c>
      <c r="AD411">
        <v>0</v>
      </c>
      <c r="AE411">
        <v>0.73299999999999998</v>
      </c>
      <c r="AF411">
        <v>0</v>
      </c>
      <c r="AH411">
        <v>0</v>
      </c>
      <c r="AI411" t="s">
        <v>424</v>
      </c>
      <c r="AK411" t="s">
        <v>424</v>
      </c>
      <c r="AL411" t="s">
        <v>424</v>
      </c>
      <c r="AM411" t="s">
        <v>1655</v>
      </c>
      <c r="AO411">
        <v>0</v>
      </c>
      <c r="AP411">
        <v>0</v>
      </c>
      <c r="AQ411">
        <v>0</v>
      </c>
      <c r="AR411">
        <v>0</v>
      </c>
      <c r="AS411">
        <v>2.5249999999999999</v>
      </c>
      <c r="AT411">
        <v>3.1139999999999999</v>
      </c>
      <c r="AU411" t="s">
        <v>421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2.8195000000000001</v>
      </c>
      <c r="CG411" t="s">
        <v>1670</v>
      </c>
      <c r="CH411" t="s">
        <v>1696</v>
      </c>
      <c r="CI411">
        <v>1.52575851323473</v>
      </c>
      <c r="CJ411">
        <v>2.39</v>
      </c>
      <c r="CK411">
        <v>1.9578792566173651</v>
      </c>
      <c r="CL411">
        <v>-0.18</v>
      </c>
      <c r="CM411">
        <v>1.7778792566173649</v>
      </c>
    </row>
    <row r="412" spans="1:91" x14ac:dyDescent="0.25">
      <c r="A412">
        <v>1239</v>
      </c>
      <c r="B412" t="s">
        <v>131</v>
      </c>
      <c r="C412" t="s">
        <v>231</v>
      </c>
      <c r="D412" t="s">
        <v>331</v>
      </c>
      <c r="E412" t="s">
        <v>394</v>
      </c>
      <c r="F412">
        <v>800316777</v>
      </c>
      <c r="G412">
        <v>37.835000000000001</v>
      </c>
      <c r="H412" t="s">
        <v>409</v>
      </c>
      <c r="I412">
        <v>30279985257.794998</v>
      </c>
      <c r="J412" t="s">
        <v>415</v>
      </c>
      <c r="K412">
        <v>97163081.891071394</v>
      </c>
      <c r="L412">
        <v>0.9</v>
      </c>
      <c r="M412">
        <v>27251986732.015499</v>
      </c>
      <c r="N412">
        <v>142760506681.26001</v>
      </c>
      <c r="O412">
        <v>30101010</v>
      </c>
      <c r="P412">
        <v>3010</v>
      </c>
      <c r="Q412">
        <v>2.89333333333333</v>
      </c>
      <c r="R412">
        <v>1.5</v>
      </c>
      <c r="S412" t="s">
        <v>419</v>
      </c>
      <c r="T412" t="s">
        <v>422</v>
      </c>
      <c r="U412">
        <v>0</v>
      </c>
      <c r="V412">
        <v>0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 t="s">
        <v>422</v>
      </c>
      <c r="AC412" t="s">
        <v>422</v>
      </c>
      <c r="AD412">
        <v>0</v>
      </c>
      <c r="AE412">
        <v>0</v>
      </c>
      <c r="AF412">
        <v>0</v>
      </c>
      <c r="AH412">
        <v>0</v>
      </c>
      <c r="AI412" t="s">
        <v>424</v>
      </c>
      <c r="AK412" t="s">
        <v>424</v>
      </c>
      <c r="AL412" t="s">
        <v>424</v>
      </c>
      <c r="AM412" t="s">
        <v>424</v>
      </c>
      <c r="AO412">
        <v>0</v>
      </c>
      <c r="AP412">
        <v>0</v>
      </c>
      <c r="AQ412">
        <v>0</v>
      </c>
      <c r="AR412">
        <v>0</v>
      </c>
      <c r="AS412">
        <v>2.452</v>
      </c>
      <c r="AT412">
        <v>3.1869999999999998</v>
      </c>
      <c r="AU412" t="s">
        <v>430</v>
      </c>
      <c r="AV412">
        <v>0</v>
      </c>
      <c r="AW412">
        <v>0</v>
      </c>
      <c r="AX412" t="s">
        <v>433</v>
      </c>
      <c r="AY412">
        <v>0</v>
      </c>
      <c r="AZ412">
        <v>0</v>
      </c>
      <c r="BA412">
        <v>0</v>
      </c>
      <c r="CE412">
        <v>2.8195000000000001</v>
      </c>
      <c r="CG412" t="s">
        <v>450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394</v>
      </c>
      <c r="F413">
        <v>147454887</v>
      </c>
      <c r="G413">
        <v>73.45</v>
      </c>
      <c r="H413" t="s">
        <v>409</v>
      </c>
      <c r="I413">
        <v>10830561450.15</v>
      </c>
      <c r="J413" t="s">
        <v>415</v>
      </c>
      <c r="K413">
        <v>16906012.7210318</v>
      </c>
      <c r="L413">
        <v>0.55000000000000004</v>
      </c>
      <c r="M413">
        <v>5956808797.5825005</v>
      </c>
      <c r="N413">
        <v>16074057231.870001</v>
      </c>
      <c r="O413">
        <v>40501040</v>
      </c>
      <c r="P413">
        <v>4050</v>
      </c>
      <c r="Q413">
        <v>1.74851532821013</v>
      </c>
      <c r="R413">
        <v>1.5</v>
      </c>
      <c r="S413" t="s">
        <v>419</v>
      </c>
      <c r="T413" t="s">
        <v>422</v>
      </c>
      <c r="U413">
        <v>0</v>
      </c>
      <c r="V413">
        <v>0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 t="s">
        <v>422</v>
      </c>
      <c r="AC413" t="s">
        <v>422</v>
      </c>
      <c r="AD413">
        <v>0</v>
      </c>
      <c r="AE413">
        <v>0</v>
      </c>
      <c r="AF413">
        <v>0</v>
      </c>
      <c r="AH413">
        <v>0</v>
      </c>
      <c r="AI413" t="s">
        <v>424</v>
      </c>
      <c r="AK413" t="s">
        <v>424</v>
      </c>
      <c r="AL413" t="s">
        <v>424</v>
      </c>
      <c r="AM413" t="s">
        <v>424</v>
      </c>
      <c r="AO413">
        <v>0</v>
      </c>
      <c r="AP413">
        <v>0</v>
      </c>
      <c r="AQ413">
        <v>0</v>
      </c>
      <c r="AR413">
        <v>0</v>
      </c>
      <c r="AS413">
        <v>2.06</v>
      </c>
      <c r="AT413">
        <v>2.258</v>
      </c>
      <c r="AU413" t="s">
        <v>1657</v>
      </c>
      <c r="AV413">
        <v>0</v>
      </c>
      <c r="AW413">
        <v>0</v>
      </c>
      <c r="AX413" t="s">
        <v>433</v>
      </c>
      <c r="AY413">
        <v>0</v>
      </c>
      <c r="AZ413">
        <v>0</v>
      </c>
      <c r="BA413">
        <v>0</v>
      </c>
      <c r="CE413">
        <v>2.1589999999999998</v>
      </c>
      <c r="CF413" t="s">
        <v>83</v>
      </c>
      <c r="CG413" t="s">
        <v>1670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407</v>
      </c>
      <c r="F414">
        <v>34250000</v>
      </c>
      <c r="G414">
        <v>237.4</v>
      </c>
      <c r="H414" t="s">
        <v>409</v>
      </c>
      <c r="I414">
        <v>8130950000</v>
      </c>
      <c r="J414" t="s">
        <v>415</v>
      </c>
      <c r="K414">
        <v>4215309.9031745996</v>
      </c>
      <c r="L414">
        <v>0.4</v>
      </c>
      <c r="M414">
        <v>3252380000</v>
      </c>
      <c r="N414">
        <v>2715340000</v>
      </c>
      <c r="O414">
        <v>30202010</v>
      </c>
      <c r="P414">
        <v>3020</v>
      </c>
      <c r="Q414">
        <v>2</v>
      </c>
      <c r="S414" t="s">
        <v>424</v>
      </c>
      <c r="T414" t="s">
        <v>422</v>
      </c>
      <c r="U414">
        <v>0</v>
      </c>
      <c r="V414">
        <v>0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 t="s">
        <v>422</v>
      </c>
      <c r="AC414" t="s">
        <v>422</v>
      </c>
      <c r="AD414">
        <v>0</v>
      </c>
      <c r="AE414">
        <v>0</v>
      </c>
      <c r="AF414">
        <v>0</v>
      </c>
      <c r="AH414">
        <v>0</v>
      </c>
      <c r="AI414" t="s">
        <v>424</v>
      </c>
      <c r="AK414" t="s">
        <v>424</v>
      </c>
      <c r="AL414" t="s">
        <v>424</v>
      </c>
      <c r="AM414" t="s">
        <v>424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2.3879999999999999</v>
      </c>
      <c r="AU414" t="s">
        <v>430</v>
      </c>
      <c r="AV414">
        <v>0</v>
      </c>
      <c r="AW414">
        <v>0</v>
      </c>
      <c r="AX414" t="s">
        <v>447</v>
      </c>
      <c r="AY414">
        <v>0</v>
      </c>
      <c r="AZ414">
        <v>0</v>
      </c>
      <c r="BA414">
        <v>0</v>
      </c>
      <c r="CE414">
        <v>2.194</v>
      </c>
      <c r="CG414" t="s">
        <v>450</v>
      </c>
      <c r="CI414">
        <v>2</v>
      </c>
      <c r="CJ414">
        <v>3.1</v>
      </c>
      <c r="CK414">
        <v>2.5499999999999998</v>
      </c>
      <c r="CL414">
        <v>0.3</v>
      </c>
      <c r="CM414">
        <v>2.85</v>
      </c>
    </row>
    <row r="415" spans="1:91" x14ac:dyDescent="0.25">
      <c r="A415">
        <v>1250</v>
      </c>
      <c r="B415" t="s">
        <v>124</v>
      </c>
      <c r="C415" t="s">
        <v>224</v>
      </c>
      <c r="D415" t="s">
        <v>324</v>
      </c>
      <c r="E415" t="s">
        <v>406</v>
      </c>
      <c r="F415">
        <v>59626810</v>
      </c>
      <c r="G415">
        <v>310.37360000000001</v>
      </c>
      <c r="H415" t="s">
        <v>414</v>
      </c>
      <c r="I415">
        <v>18506587676.216</v>
      </c>
      <c r="J415" t="s">
        <v>416</v>
      </c>
      <c r="K415">
        <v>37253581.499226198</v>
      </c>
      <c r="L415">
        <v>0.85</v>
      </c>
      <c r="M415">
        <v>15730599524.7836</v>
      </c>
      <c r="N415">
        <v>10045328680.700001</v>
      </c>
      <c r="O415">
        <v>20102010</v>
      </c>
      <c r="P415">
        <v>2010</v>
      </c>
      <c r="Q415">
        <v>1.9776400456237699</v>
      </c>
      <c r="R415">
        <v>2.39</v>
      </c>
      <c r="S415" t="s">
        <v>418</v>
      </c>
      <c r="T415" t="s">
        <v>422</v>
      </c>
      <c r="U415">
        <v>0</v>
      </c>
      <c r="V415">
        <v>0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 t="s">
        <v>422</v>
      </c>
      <c r="AC415" t="s">
        <v>422</v>
      </c>
      <c r="AD415">
        <v>0</v>
      </c>
      <c r="AE415">
        <v>0</v>
      </c>
      <c r="AF415">
        <v>0</v>
      </c>
      <c r="AH415">
        <v>0</v>
      </c>
      <c r="AI415" t="s">
        <v>424</v>
      </c>
      <c r="AK415" t="s">
        <v>424</v>
      </c>
      <c r="AL415" t="s">
        <v>424</v>
      </c>
      <c r="AM415" t="s">
        <v>424</v>
      </c>
      <c r="AO415">
        <v>0</v>
      </c>
      <c r="AP415">
        <v>0</v>
      </c>
      <c r="AQ415">
        <v>0</v>
      </c>
      <c r="AR415">
        <v>0</v>
      </c>
      <c r="AS415">
        <v>3.0779999999999998</v>
      </c>
      <c r="AT415">
        <v>3.0640000000000001</v>
      </c>
      <c r="AU415" t="s">
        <v>420</v>
      </c>
      <c r="AV415">
        <v>1</v>
      </c>
      <c r="AW415">
        <v>0</v>
      </c>
      <c r="AX415" t="s">
        <v>446</v>
      </c>
      <c r="AY415">
        <v>0</v>
      </c>
      <c r="AZ415">
        <v>0</v>
      </c>
      <c r="BA415">
        <v>0</v>
      </c>
      <c r="CE415">
        <v>3.0710000000000002</v>
      </c>
      <c r="CG415" t="s">
        <v>450</v>
      </c>
      <c r="CI415">
        <v>1.9776400456237699</v>
      </c>
      <c r="CJ415">
        <v>2.39</v>
      </c>
      <c r="CK415">
        <v>2.1838200228118851</v>
      </c>
      <c r="CL415">
        <v>-0.18</v>
      </c>
      <c r="CM415">
        <v>2.003820022811885</v>
      </c>
    </row>
    <row r="416" spans="1:91" x14ac:dyDescent="0.25">
      <c r="A416">
        <v>1255</v>
      </c>
      <c r="B416" t="s">
        <v>784</v>
      </c>
      <c r="C416" t="s">
        <v>1183</v>
      </c>
      <c r="D416" t="s">
        <v>1582</v>
      </c>
      <c r="E416" t="s">
        <v>400</v>
      </c>
      <c r="F416">
        <v>375456307</v>
      </c>
      <c r="G416">
        <v>13.587339999999999</v>
      </c>
      <c r="H416" t="s">
        <v>411</v>
      </c>
      <c r="I416">
        <v>5101452498.3533802</v>
      </c>
      <c r="J416" t="s">
        <v>416</v>
      </c>
      <c r="K416">
        <v>3367248.5429913201</v>
      </c>
      <c r="L416">
        <v>0.65</v>
      </c>
      <c r="M416">
        <v>3315944123.929697</v>
      </c>
      <c r="N416">
        <v>48370036030.809998</v>
      </c>
      <c r="O416">
        <v>30101010</v>
      </c>
      <c r="P416">
        <v>3010</v>
      </c>
      <c r="S416" t="s">
        <v>424</v>
      </c>
      <c r="T416" t="s">
        <v>422</v>
      </c>
      <c r="U416">
        <v>0</v>
      </c>
      <c r="V416">
        <v>0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 t="s">
        <v>422</v>
      </c>
      <c r="AC416" t="s">
        <v>422</v>
      </c>
      <c r="AD416">
        <v>0</v>
      </c>
      <c r="AE416">
        <v>0</v>
      </c>
      <c r="AF416">
        <v>0</v>
      </c>
      <c r="AH416">
        <v>0</v>
      </c>
      <c r="AI416" t="s">
        <v>424</v>
      </c>
      <c r="AK416" t="s">
        <v>424</v>
      </c>
      <c r="AL416" t="s">
        <v>424</v>
      </c>
      <c r="AM416" t="s">
        <v>424</v>
      </c>
      <c r="AO416">
        <v>0</v>
      </c>
      <c r="AP416">
        <v>0</v>
      </c>
      <c r="AQ416">
        <v>0</v>
      </c>
      <c r="AR416">
        <v>0</v>
      </c>
      <c r="AS416">
        <v>2.21</v>
      </c>
      <c r="AT416">
        <v>3.0910000000000002</v>
      </c>
      <c r="AU416" t="s">
        <v>430</v>
      </c>
      <c r="AV416">
        <v>0</v>
      </c>
      <c r="AW416">
        <v>0</v>
      </c>
      <c r="AX416" t="s">
        <v>439</v>
      </c>
      <c r="AY416">
        <v>0</v>
      </c>
      <c r="AZ416">
        <v>0</v>
      </c>
      <c r="BA416">
        <v>0</v>
      </c>
      <c r="CE416">
        <v>2.6505000000000001</v>
      </c>
      <c r="CG416" t="s">
        <v>450</v>
      </c>
      <c r="CI416">
        <v>3.4</v>
      </c>
      <c r="CJ416">
        <v>3.1</v>
      </c>
      <c r="CK416">
        <v>3.25</v>
      </c>
      <c r="CL416">
        <v>0.3</v>
      </c>
      <c r="CM416">
        <v>3.55</v>
      </c>
    </row>
    <row r="417" spans="1:91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403</v>
      </c>
      <c r="F417">
        <v>98905780</v>
      </c>
      <c r="G417">
        <v>35.397849999999998</v>
      </c>
      <c r="H417" t="s">
        <v>413</v>
      </c>
      <c r="I417">
        <v>3501051964.573</v>
      </c>
      <c r="J417" t="s">
        <v>416</v>
      </c>
      <c r="K417">
        <v>4976802.5069741402</v>
      </c>
      <c r="L417">
        <v>1</v>
      </c>
      <c r="M417">
        <v>3501051964.573</v>
      </c>
      <c r="N417">
        <v>19603125596</v>
      </c>
      <c r="O417">
        <v>50202010</v>
      </c>
      <c r="P417">
        <v>5020</v>
      </c>
      <c r="Q417">
        <v>1.98890419257859</v>
      </c>
      <c r="R417">
        <v>3.01</v>
      </c>
      <c r="S417" t="s">
        <v>419</v>
      </c>
      <c r="T417" t="s">
        <v>422</v>
      </c>
      <c r="U417">
        <v>0</v>
      </c>
      <c r="V417">
        <v>0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 t="s">
        <v>422</v>
      </c>
      <c r="AC417" t="s">
        <v>422</v>
      </c>
      <c r="AD417">
        <v>0</v>
      </c>
      <c r="AE417">
        <v>0</v>
      </c>
      <c r="AF417">
        <v>0</v>
      </c>
      <c r="AH417">
        <v>0</v>
      </c>
      <c r="AI417" t="s">
        <v>424</v>
      </c>
      <c r="AK417" t="s">
        <v>424</v>
      </c>
      <c r="AL417" t="s">
        <v>424</v>
      </c>
      <c r="AM417" t="s">
        <v>424</v>
      </c>
      <c r="AO417">
        <v>0</v>
      </c>
      <c r="AP417">
        <v>0</v>
      </c>
      <c r="AQ417">
        <v>0</v>
      </c>
      <c r="AR417">
        <v>0</v>
      </c>
      <c r="AS417">
        <v>1.9830000000000001</v>
      </c>
      <c r="AT417">
        <v>2.8879999999999999</v>
      </c>
      <c r="AU417" t="s">
        <v>420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2.4355000000000002</v>
      </c>
      <c r="CG417" t="s">
        <v>450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2.2594520962892952</v>
      </c>
    </row>
    <row r="418" spans="1:91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394</v>
      </c>
      <c r="F418">
        <v>168900560</v>
      </c>
      <c r="G418">
        <v>33.6</v>
      </c>
      <c r="H418" t="s">
        <v>409</v>
      </c>
      <c r="I418">
        <v>5675058816</v>
      </c>
      <c r="J418" t="s">
        <v>415</v>
      </c>
      <c r="K418">
        <v>7969505.6225396805</v>
      </c>
      <c r="L418">
        <v>0.85000000000000009</v>
      </c>
      <c r="M418">
        <v>4823799993.6000004</v>
      </c>
      <c r="N418">
        <v>28454677343.200001</v>
      </c>
      <c r="O418">
        <v>50101015</v>
      </c>
      <c r="P418">
        <v>5010</v>
      </c>
      <c r="Q418">
        <v>1.96324037594405</v>
      </c>
      <c r="S418" t="s">
        <v>418</v>
      </c>
      <c r="T418" t="s">
        <v>422</v>
      </c>
      <c r="U418">
        <v>0</v>
      </c>
      <c r="V418">
        <v>0</v>
      </c>
      <c r="W418" t="s">
        <v>422</v>
      </c>
      <c r="X418" t="s">
        <v>422</v>
      </c>
      <c r="Y418" t="s">
        <v>422</v>
      </c>
      <c r="Z418" t="s">
        <v>423</v>
      </c>
      <c r="AA418" t="s">
        <v>422</v>
      </c>
      <c r="AB418" t="s">
        <v>422</v>
      </c>
      <c r="AC418" t="s">
        <v>422</v>
      </c>
      <c r="AD418">
        <v>0</v>
      </c>
      <c r="AE418">
        <v>5.1999999999999998E-2</v>
      </c>
      <c r="AF418">
        <v>0</v>
      </c>
      <c r="AH418">
        <v>0</v>
      </c>
      <c r="AI418" t="s">
        <v>424</v>
      </c>
      <c r="AK418" t="s">
        <v>424</v>
      </c>
      <c r="AL418" t="s">
        <v>424</v>
      </c>
      <c r="AM418" t="s">
        <v>424</v>
      </c>
      <c r="AN418" t="s">
        <v>1653</v>
      </c>
      <c r="AO418">
        <v>1.7999999999999999E-2</v>
      </c>
      <c r="AP418">
        <v>0</v>
      </c>
      <c r="AQ418">
        <v>0</v>
      </c>
      <c r="AR418">
        <v>0</v>
      </c>
      <c r="AS418">
        <v>2.258</v>
      </c>
      <c r="AT418">
        <v>2.4980000000000002</v>
      </c>
      <c r="AU418" t="s">
        <v>429</v>
      </c>
      <c r="AV418">
        <v>0</v>
      </c>
      <c r="AW418">
        <v>0</v>
      </c>
      <c r="AX418" t="s">
        <v>433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2.3780000000000001</v>
      </c>
      <c r="CG418" t="s">
        <v>1670</v>
      </c>
      <c r="CH418" t="s">
        <v>1676</v>
      </c>
      <c r="CI418">
        <v>1.96324037594405</v>
      </c>
      <c r="CJ418">
        <v>3.1</v>
      </c>
      <c r="CK418">
        <v>2.5316201879720248</v>
      </c>
      <c r="CL418">
        <v>-0.18</v>
      </c>
      <c r="CM418">
        <v>2.3516201879720251</v>
      </c>
    </row>
    <row r="419" spans="1:91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403</v>
      </c>
      <c r="F419">
        <v>73776050</v>
      </c>
      <c r="G419">
        <v>92.000569999999996</v>
      </c>
      <c r="H419" t="s">
        <v>413</v>
      </c>
      <c r="I419">
        <v>6787438652.3484993</v>
      </c>
      <c r="J419" t="s">
        <v>416</v>
      </c>
      <c r="K419">
        <v>13559793.420091899</v>
      </c>
      <c r="L419">
        <v>1</v>
      </c>
      <c r="M419">
        <v>6787438652.3484993</v>
      </c>
      <c r="N419">
        <v>14622413110</v>
      </c>
      <c r="O419">
        <v>50204000</v>
      </c>
      <c r="P419">
        <v>5020</v>
      </c>
      <c r="Q419">
        <v>1.7472110206914999</v>
      </c>
      <c r="R419">
        <v>3.1</v>
      </c>
      <c r="S419" t="s">
        <v>419</v>
      </c>
      <c r="T419" t="s">
        <v>422</v>
      </c>
      <c r="U419">
        <v>0</v>
      </c>
      <c r="V419">
        <v>0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 t="s">
        <v>422</v>
      </c>
      <c r="AC419" t="s">
        <v>422</v>
      </c>
      <c r="AD419">
        <v>0</v>
      </c>
      <c r="AE419">
        <v>0.06</v>
      </c>
      <c r="AF419">
        <v>0</v>
      </c>
      <c r="AH419">
        <v>0</v>
      </c>
      <c r="AI419" t="s">
        <v>424</v>
      </c>
      <c r="AK419" t="s">
        <v>424</v>
      </c>
      <c r="AL419" t="s">
        <v>424</v>
      </c>
      <c r="AM419" t="s">
        <v>424</v>
      </c>
      <c r="AN419" t="s">
        <v>1653</v>
      </c>
      <c r="AO419">
        <v>0.01</v>
      </c>
      <c r="AP419">
        <v>0</v>
      </c>
      <c r="AQ419">
        <v>0</v>
      </c>
      <c r="AR419">
        <v>0</v>
      </c>
      <c r="AS419">
        <v>2.34</v>
      </c>
      <c r="AT419">
        <v>2.9929999999999999</v>
      </c>
      <c r="AU419" t="s">
        <v>429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2.6665000000000001</v>
      </c>
      <c r="CG419" t="s">
        <v>1670</v>
      </c>
      <c r="CH419" t="s">
        <v>1672</v>
      </c>
      <c r="CI419">
        <v>1.7472110206914999</v>
      </c>
      <c r="CJ419">
        <v>3.1</v>
      </c>
      <c r="CK419">
        <v>2.4236055103457499</v>
      </c>
      <c r="CL419">
        <v>-0.24</v>
      </c>
      <c r="CM419">
        <v>2.1836055103457501</v>
      </c>
    </row>
    <row r="420" spans="1:91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395</v>
      </c>
      <c r="F420">
        <v>700651370</v>
      </c>
      <c r="G420">
        <v>5.7548599999999999</v>
      </c>
      <c r="H420" t="s">
        <v>410</v>
      </c>
      <c r="I420">
        <v>4032150543.1581998</v>
      </c>
      <c r="J420" t="s">
        <v>416</v>
      </c>
      <c r="K420">
        <v>18671401.603981301</v>
      </c>
      <c r="L420">
        <v>0.85</v>
      </c>
      <c r="M420">
        <v>3427327961.6844702</v>
      </c>
      <c r="N420">
        <v>118038736303.89999</v>
      </c>
      <c r="O420">
        <v>55102010</v>
      </c>
      <c r="P420">
        <v>5510</v>
      </c>
      <c r="Q420">
        <v>1.5957211715527999</v>
      </c>
      <c r="R420">
        <v>2.93</v>
      </c>
      <c r="S420" t="s">
        <v>420</v>
      </c>
      <c r="T420" t="s">
        <v>422</v>
      </c>
      <c r="U420">
        <v>0</v>
      </c>
      <c r="V420">
        <v>0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 t="s">
        <v>422</v>
      </c>
      <c r="AC420" t="s">
        <v>422</v>
      </c>
      <c r="AD420">
        <v>0</v>
      </c>
      <c r="AE420">
        <v>0.1</v>
      </c>
      <c r="AF420">
        <v>0</v>
      </c>
      <c r="AH420">
        <v>0</v>
      </c>
      <c r="AI420" t="s">
        <v>424</v>
      </c>
      <c r="AK420" t="s">
        <v>424</v>
      </c>
      <c r="AL420" t="s">
        <v>424</v>
      </c>
      <c r="AM420" t="s">
        <v>424</v>
      </c>
      <c r="AO420">
        <v>0</v>
      </c>
      <c r="AP420">
        <v>0</v>
      </c>
      <c r="AQ420">
        <v>0</v>
      </c>
      <c r="AR420">
        <v>0</v>
      </c>
      <c r="AS420">
        <v>2.7429999999999999</v>
      </c>
      <c r="AT420">
        <v>3.2410000000000001</v>
      </c>
      <c r="AU420" t="s">
        <v>420</v>
      </c>
      <c r="AV420">
        <v>1</v>
      </c>
      <c r="AW420">
        <v>0</v>
      </c>
      <c r="AX420" t="s">
        <v>434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1670</v>
      </c>
      <c r="CH420" t="s">
        <v>68</v>
      </c>
      <c r="CI420">
        <v>1.5957211715527999</v>
      </c>
      <c r="CJ420">
        <v>2.93</v>
      </c>
      <c r="CK420">
        <v>2.2628605857764001</v>
      </c>
      <c r="CL420">
        <v>0</v>
      </c>
      <c r="CM420">
        <v>2.2628605857764001</v>
      </c>
    </row>
    <row r="421" spans="1:91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403</v>
      </c>
      <c r="F421">
        <v>1103560900</v>
      </c>
      <c r="G421">
        <v>18.06766</v>
      </c>
      <c r="H421" t="s">
        <v>413</v>
      </c>
      <c r="I421">
        <v>19938763130.493999</v>
      </c>
      <c r="J421" t="s">
        <v>416</v>
      </c>
      <c r="K421">
        <v>39063766.521369897</v>
      </c>
      <c r="L421">
        <v>1</v>
      </c>
      <c r="M421">
        <v>19938763130.493999</v>
      </c>
      <c r="N421">
        <v>218725770380</v>
      </c>
      <c r="O421">
        <v>65101015</v>
      </c>
      <c r="P421">
        <v>6510</v>
      </c>
      <c r="Q421">
        <v>1.8268165648739001</v>
      </c>
      <c r="R421">
        <v>2</v>
      </c>
      <c r="S421" t="s">
        <v>419</v>
      </c>
      <c r="T421" t="s">
        <v>422</v>
      </c>
      <c r="U421">
        <v>0</v>
      </c>
      <c r="V421">
        <v>0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 t="s">
        <v>422</v>
      </c>
      <c r="AC421" t="s">
        <v>422</v>
      </c>
      <c r="AD421">
        <v>0</v>
      </c>
      <c r="AE421">
        <v>0.28699999999999998</v>
      </c>
      <c r="AF421">
        <v>0.12959999999999999</v>
      </c>
      <c r="AH421">
        <v>0</v>
      </c>
      <c r="AI421" t="s">
        <v>424</v>
      </c>
      <c r="AK421" t="s">
        <v>424</v>
      </c>
      <c r="AL421" t="s">
        <v>424</v>
      </c>
      <c r="AM421" t="s">
        <v>424</v>
      </c>
      <c r="AO421">
        <v>0</v>
      </c>
      <c r="AP421">
        <v>0</v>
      </c>
      <c r="AQ421">
        <v>0</v>
      </c>
      <c r="AR421">
        <v>0</v>
      </c>
      <c r="AS421">
        <v>2.411</v>
      </c>
      <c r="AT421">
        <v>2.6920000000000002</v>
      </c>
      <c r="AU421" t="s">
        <v>421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2.5514999999999999</v>
      </c>
      <c r="CG421" t="s">
        <v>1670</v>
      </c>
      <c r="CH421" t="s">
        <v>1718</v>
      </c>
      <c r="CI421">
        <v>1.8268165648739001</v>
      </c>
      <c r="CJ421">
        <v>2</v>
      </c>
      <c r="CK421">
        <v>1.91340828243695</v>
      </c>
      <c r="CL421">
        <v>-0.24</v>
      </c>
      <c r="CM421">
        <v>1.6734082824369501</v>
      </c>
    </row>
    <row r="422" spans="1:91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403</v>
      </c>
      <c r="F422">
        <v>544014700</v>
      </c>
      <c r="G422">
        <v>13.419269999999999</v>
      </c>
      <c r="H422" t="s">
        <v>413</v>
      </c>
      <c r="I422">
        <v>7300280143.2689991</v>
      </c>
      <c r="J422" t="s">
        <v>416</v>
      </c>
      <c r="K422">
        <v>15801062.6867617</v>
      </c>
      <c r="L422">
        <v>1</v>
      </c>
      <c r="M422">
        <v>7300280143.2689991</v>
      </c>
      <c r="N422">
        <v>107823713540</v>
      </c>
      <c r="O422">
        <v>30202010</v>
      </c>
      <c r="P422">
        <v>3020</v>
      </c>
      <c r="Q422">
        <v>3.0199999999999898</v>
      </c>
      <c r="S422" t="s">
        <v>418</v>
      </c>
      <c r="T422" t="s">
        <v>422</v>
      </c>
      <c r="U422">
        <v>0</v>
      </c>
      <c r="V422">
        <v>0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 t="s">
        <v>422</v>
      </c>
      <c r="AC422" t="s">
        <v>422</v>
      </c>
      <c r="AD422">
        <v>0</v>
      </c>
      <c r="AE422">
        <v>0</v>
      </c>
      <c r="AF422">
        <v>0</v>
      </c>
      <c r="AH422">
        <v>0</v>
      </c>
      <c r="AI422" t="s">
        <v>424</v>
      </c>
      <c r="AK422" t="s">
        <v>424</v>
      </c>
      <c r="AL422" t="s">
        <v>424</v>
      </c>
      <c r="AM422" t="s">
        <v>424</v>
      </c>
      <c r="AO422">
        <v>0</v>
      </c>
      <c r="AP422">
        <v>0</v>
      </c>
      <c r="AQ422">
        <v>0</v>
      </c>
      <c r="AR422">
        <v>0</v>
      </c>
      <c r="AS422">
        <v>1.746</v>
      </c>
      <c r="AT422">
        <v>2.8820000000000001</v>
      </c>
      <c r="AU422" t="s">
        <v>430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2.3140000000000001</v>
      </c>
      <c r="CG422" t="s">
        <v>450</v>
      </c>
      <c r="CI422">
        <v>3.0199999999999898</v>
      </c>
      <c r="CJ422">
        <v>3.1</v>
      </c>
      <c r="CK422">
        <v>3.0599999999999952</v>
      </c>
      <c r="CL422">
        <v>-0.18</v>
      </c>
      <c r="CM422">
        <v>2.879999999999995</v>
      </c>
    </row>
    <row r="423" spans="1:91" x14ac:dyDescent="0.25">
      <c r="A423">
        <v>1266</v>
      </c>
      <c r="B423" t="s">
        <v>791</v>
      </c>
      <c r="C423" t="s">
        <v>1190</v>
      </c>
      <c r="D423" t="s">
        <v>1589</v>
      </c>
      <c r="E423" t="s">
        <v>403</v>
      </c>
      <c r="F423">
        <v>2414227500</v>
      </c>
      <c r="G423">
        <v>14.3018</v>
      </c>
      <c r="H423" t="s">
        <v>413</v>
      </c>
      <c r="I423">
        <v>34527798859.5</v>
      </c>
      <c r="J423" t="s">
        <v>416</v>
      </c>
      <c r="K423">
        <v>49461386.726039</v>
      </c>
      <c r="L423">
        <v>0.8</v>
      </c>
      <c r="M423">
        <v>27622239087.599998</v>
      </c>
      <c r="N423">
        <v>382799912400</v>
      </c>
      <c r="O423">
        <v>30101010</v>
      </c>
      <c r="P423">
        <v>3010</v>
      </c>
      <c r="Q423">
        <v>3.4</v>
      </c>
      <c r="R423">
        <v>1.77</v>
      </c>
      <c r="S423" t="s">
        <v>420</v>
      </c>
      <c r="T423" t="s">
        <v>422</v>
      </c>
      <c r="U423">
        <v>0</v>
      </c>
      <c r="V423">
        <v>0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 t="s">
        <v>422</v>
      </c>
      <c r="AC423" t="s">
        <v>422</v>
      </c>
      <c r="AD423">
        <v>0</v>
      </c>
      <c r="AE423">
        <v>0</v>
      </c>
      <c r="AF423">
        <v>0</v>
      </c>
      <c r="AH423">
        <v>0</v>
      </c>
      <c r="AI423" t="s">
        <v>424</v>
      </c>
      <c r="AK423" t="s">
        <v>424</v>
      </c>
      <c r="AL423" t="s">
        <v>424</v>
      </c>
      <c r="AM423" t="s">
        <v>424</v>
      </c>
      <c r="AO423">
        <v>0</v>
      </c>
      <c r="AP423">
        <v>0</v>
      </c>
      <c r="AQ423">
        <v>0</v>
      </c>
      <c r="AR423">
        <v>0</v>
      </c>
      <c r="AS423">
        <v>2.1509999999999998</v>
      </c>
      <c r="AT423">
        <v>3.052</v>
      </c>
      <c r="AU423" t="s">
        <v>430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2.6015000000000001</v>
      </c>
      <c r="CG423" t="s">
        <v>450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 x14ac:dyDescent="0.25">
      <c r="A424">
        <v>1272</v>
      </c>
      <c r="B424" t="s">
        <v>792</v>
      </c>
      <c r="C424" t="s">
        <v>1191</v>
      </c>
      <c r="D424" t="s">
        <v>1590</v>
      </c>
      <c r="E424" t="s">
        <v>404</v>
      </c>
      <c r="F424">
        <v>2896073567</v>
      </c>
      <c r="G424">
        <v>13.488</v>
      </c>
      <c r="H424" t="s">
        <v>409</v>
      </c>
      <c r="I424">
        <v>39062240271.695999</v>
      </c>
      <c r="J424" t="s">
        <v>415</v>
      </c>
      <c r="K424">
        <v>198824448.27852499</v>
      </c>
      <c r="L424">
        <v>0.70000000000000007</v>
      </c>
      <c r="M424">
        <v>27343568190.187199</v>
      </c>
      <c r="N424">
        <v>401801246685.58008</v>
      </c>
      <c r="O424">
        <v>40101020</v>
      </c>
      <c r="P424">
        <v>4010</v>
      </c>
      <c r="Q424">
        <v>3.4</v>
      </c>
      <c r="S424" t="s">
        <v>424</v>
      </c>
      <c r="T424" t="s">
        <v>423</v>
      </c>
      <c r="U424">
        <v>0</v>
      </c>
      <c r="V424">
        <v>0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 t="s">
        <v>422</v>
      </c>
      <c r="AC424" t="s">
        <v>422</v>
      </c>
      <c r="AD424">
        <v>0</v>
      </c>
      <c r="AE424">
        <v>0</v>
      </c>
      <c r="AF424">
        <v>0</v>
      </c>
      <c r="AH424">
        <v>0</v>
      </c>
      <c r="AI424" t="s">
        <v>424</v>
      </c>
      <c r="AK424" t="s">
        <v>424</v>
      </c>
      <c r="AL424" t="s">
        <v>424</v>
      </c>
      <c r="AM424" t="s">
        <v>424</v>
      </c>
      <c r="AO424">
        <v>0</v>
      </c>
      <c r="AP424">
        <v>0</v>
      </c>
      <c r="AQ424">
        <v>0</v>
      </c>
      <c r="AR424">
        <v>0</v>
      </c>
      <c r="AS424">
        <v>2.7130000000000001</v>
      </c>
      <c r="AT424">
        <v>2.1349999999999998</v>
      </c>
      <c r="AU424" t="s">
        <v>420</v>
      </c>
      <c r="AV424">
        <v>1</v>
      </c>
      <c r="AW424">
        <v>0</v>
      </c>
      <c r="AX424" t="s">
        <v>445</v>
      </c>
      <c r="AY424">
        <v>0</v>
      </c>
      <c r="AZ424">
        <v>0</v>
      </c>
      <c r="BA424">
        <v>0</v>
      </c>
      <c r="CE424">
        <v>2.4239999999999999</v>
      </c>
      <c r="CG424" t="s">
        <v>450</v>
      </c>
      <c r="CI424">
        <v>3.4</v>
      </c>
      <c r="CJ424">
        <v>3.1</v>
      </c>
      <c r="CK424">
        <v>3.25</v>
      </c>
      <c r="CL424">
        <v>0.3</v>
      </c>
      <c r="CM424">
        <v>3.55</v>
      </c>
    </row>
    <row r="425" spans="1:91" x14ac:dyDescent="0.25">
      <c r="A425">
        <v>1274</v>
      </c>
      <c r="B425" t="s">
        <v>793</v>
      </c>
      <c r="C425" t="s">
        <v>1192</v>
      </c>
      <c r="D425" t="s">
        <v>1591</v>
      </c>
      <c r="E425" t="s">
        <v>394</v>
      </c>
      <c r="F425">
        <v>911281920</v>
      </c>
      <c r="G425">
        <v>26.75</v>
      </c>
      <c r="H425" t="s">
        <v>409</v>
      </c>
      <c r="I425">
        <v>24376791360</v>
      </c>
      <c r="J425" t="s">
        <v>415</v>
      </c>
      <c r="K425">
        <v>69986935.472063407</v>
      </c>
      <c r="L425">
        <v>0.70000000000000007</v>
      </c>
      <c r="M425">
        <v>17063753952</v>
      </c>
      <c r="N425">
        <v>126431253580.8</v>
      </c>
      <c r="O425">
        <v>10102010</v>
      </c>
      <c r="P425">
        <v>1010</v>
      </c>
      <c r="Q425">
        <v>3.2675945310025298</v>
      </c>
      <c r="R425">
        <v>3.1</v>
      </c>
      <c r="S425" t="s">
        <v>417</v>
      </c>
      <c r="T425" t="s">
        <v>422</v>
      </c>
      <c r="U425">
        <v>0</v>
      </c>
      <c r="V425">
        <v>0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 t="s">
        <v>422</v>
      </c>
      <c r="AC425" t="s">
        <v>422</v>
      </c>
      <c r="AD425">
        <v>0</v>
      </c>
      <c r="AE425">
        <v>0</v>
      </c>
      <c r="AF425">
        <v>0</v>
      </c>
      <c r="AH425">
        <v>0</v>
      </c>
      <c r="AI425" t="s">
        <v>424</v>
      </c>
      <c r="AK425" t="s">
        <v>424</v>
      </c>
      <c r="AL425" t="s">
        <v>424</v>
      </c>
      <c r="AM425" t="s">
        <v>424</v>
      </c>
      <c r="AO425">
        <v>0</v>
      </c>
      <c r="AP425">
        <v>0</v>
      </c>
      <c r="AQ425">
        <v>0</v>
      </c>
      <c r="AR425">
        <v>0</v>
      </c>
      <c r="AS425">
        <v>2.911</v>
      </c>
      <c r="AT425">
        <v>2.8580000000000001</v>
      </c>
      <c r="AU425" t="s">
        <v>420</v>
      </c>
      <c r="AV425">
        <v>1</v>
      </c>
      <c r="AW425">
        <v>0</v>
      </c>
      <c r="AX425" t="s">
        <v>445</v>
      </c>
      <c r="AY425">
        <v>0</v>
      </c>
      <c r="AZ425">
        <v>0</v>
      </c>
      <c r="BA425">
        <v>0</v>
      </c>
      <c r="CE425">
        <v>2.8845000000000001</v>
      </c>
      <c r="CG425" t="s">
        <v>450</v>
      </c>
      <c r="CI425">
        <v>3.2675945310025298</v>
      </c>
      <c r="CJ425">
        <v>3.1</v>
      </c>
      <c r="CK425">
        <v>3.1837972655012652</v>
      </c>
      <c r="CL425">
        <v>-0.3</v>
      </c>
      <c r="CM425">
        <v>2.8837972655012649</v>
      </c>
    </row>
    <row r="426" spans="1:91" x14ac:dyDescent="0.25">
      <c r="A426">
        <v>1276</v>
      </c>
      <c r="B426" t="s">
        <v>189</v>
      </c>
      <c r="C426" t="s">
        <v>289</v>
      </c>
      <c r="D426" t="s">
        <v>389</v>
      </c>
      <c r="E426" t="s">
        <v>399</v>
      </c>
      <c r="F426">
        <v>613066600</v>
      </c>
      <c r="G426">
        <v>10.71</v>
      </c>
      <c r="H426" t="s">
        <v>409</v>
      </c>
      <c r="I426">
        <v>6565943286.000001</v>
      </c>
      <c r="J426" t="s">
        <v>415</v>
      </c>
      <c r="K426">
        <v>19128821.576101702</v>
      </c>
      <c r="L426">
        <v>1</v>
      </c>
      <c r="M426">
        <v>6565943286.000001</v>
      </c>
      <c r="N426">
        <v>121509800120</v>
      </c>
      <c r="O426">
        <v>55101015</v>
      </c>
      <c r="P426">
        <v>5510</v>
      </c>
      <c r="Q426">
        <v>1.8865311555342901</v>
      </c>
      <c r="R426">
        <v>1.5</v>
      </c>
      <c r="S426" t="s">
        <v>417</v>
      </c>
      <c r="T426" t="s">
        <v>423</v>
      </c>
      <c r="U426">
        <v>0</v>
      </c>
      <c r="V426">
        <v>0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 t="s">
        <v>422</v>
      </c>
      <c r="AC426" t="s">
        <v>422</v>
      </c>
      <c r="AD426">
        <v>0</v>
      </c>
      <c r="AE426">
        <v>0</v>
      </c>
      <c r="AF426">
        <v>0</v>
      </c>
      <c r="AH426">
        <v>0</v>
      </c>
      <c r="AI426" t="s">
        <v>424</v>
      </c>
      <c r="AK426" t="s">
        <v>424</v>
      </c>
      <c r="AL426" t="s">
        <v>424</v>
      </c>
      <c r="AM426" t="s">
        <v>424</v>
      </c>
      <c r="AO426">
        <v>0</v>
      </c>
      <c r="AP426">
        <v>0</v>
      </c>
      <c r="AQ426">
        <v>0</v>
      </c>
      <c r="AR426">
        <v>0</v>
      </c>
      <c r="AS426">
        <v>2.58</v>
      </c>
      <c r="AT426">
        <v>3.1419999999999999</v>
      </c>
      <c r="AU426" t="s">
        <v>420</v>
      </c>
      <c r="AV426">
        <v>1</v>
      </c>
      <c r="AW426">
        <v>0</v>
      </c>
      <c r="AX426" t="s">
        <v>438</v>
      </c>
      <c r="AY426">
        <v>0</v>
      </c>
      <c r="AZ426">
        <v>0</v>
      </c>
      <c r="BA426">
        <v>0</v>
      </c>
      <c r="CE426">
        <v>2.8610000000000002</v>
      </c>
      <c r="CG426" t="s">
        <v>450</v>
      </c>
      <c r="CI426">
        <v>1.8865311555342901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 x14ac:dyDescent="0.25">
      <c r="A427">
        <v>1277</v>
      </c>
      <c r="B427" t="s">
        <v>147</v>
      </c>
      <c r="C427" t="s">
        <v>247</v>
      </c>
      <c r="D427" t="s">
        <v>347</v>
      </c>
      <c r="E427" t="s">
        <v>400</v>
      </c>
      <c r="F427">
        <v>447972681</v>
      </c>
      <c r="G427">
        <v>10.611890000000001</v>
      </c>
      <c r="H427" t="s">
        <v>411</v>
      </c>
      <c r="I427">
        <v>4753836813.7770901</v>
      </c>
      <c r="J427" t="s">
        <v>416</v>
      </c>
      <c r="K427">
        <v>7342922.1966118803</v>
      </c>
      <c r="L427">
        <v>1</v>
      </c>
      <c r="M427">
        <v>4753836813.7770901</v>
      </c>
      <c r="N427">
        <v>88788185374.199997</v>
      </c>
      <c r="O427">
        <v>30301010</v>
      </c>
      <c r="P427">
        <v>3030</v>
      </c>
      <c r="Q427">
        <v>1.9999941425684999</v>
      </c>
      <c r="S427" t="s">
        <v>419</v>
      </c>
      <c r="T427" t="s">
        <v>422</v>
      </c>
      <c r="U427">
        <v>0</v>
      </c>
      <c r="V427">
        <v>0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 t="s">
        <v>422</v>
      </c>
      <c r="AC427" t="s">
        <v>422</v>
      </c>
      <c r="AD427">
        <v>0</v>
      </c>
      <c r="AE427">
        <v>0</v>
      </c>
      <c r="AF427">
        <v>0</v>
      </c>
      <c r="AH427">
        <v>0</v>
      </c>
      <c r="AI427" t="s">
        <v>424</v>
      </c>
      <c r="AK427" t="s">
        <v>424</v>
      </c>
      <c r="AL427" t="s">
        <v>424</v>
      </c>
      <c r="AM427" t="s">
        <v>424</v>
      </c>
      <c r="AO427">
        <v>0</v>
      </c>
      <c r="AP427">
        <v>0</v>
      </c>
      <c r="AQ427">
        <v>0</v>
      </c>
      <c r="AR427">
        <v>0</v>
      </c>
      <c r="AS427">
        <v>2.2010000000000001</v>
      </c>
      <c r="AT427">
        <v>3.4180000000000001</v>
      </c>
      <c r="AU427" t="s">
        <v>430</v>
      </c>
      <c r="AV427">
        <v>0</v>
      </c>
      <c r="AW427">
        <v>0</v>
      </c>
      <c r="AX427" t="s">
        <v>439</v>
      </c>
      <c r="AY427">
        <v>0</v>
      </c>
      <c r="AZ427">
        <v>0</v>
      </c>
      <c r="BA427">
        <v>0</v>
      </c>
      <c r="CE427">
        <v>2.8094999999999999</v>
      </c>
      <c r="CG427" t="s">
        <v>450</v>
      </c>
      <c r="CI427">
        <v>1.9999941425684999</v>
      </c>
      <c r="CJ427">
        <v>3.1</v>
      </c>
      <c r="CK427">
        <v>2.5499970712842499</v>
      </c>
      <c r="CL427">
        <v>-0.24</v>
      </c>
      <c r="CM427">
        <v>2.3099970712842501</v>
      </c>
    </row>
    <row r="428" spans="1:91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405</v>
      </c>
      <c r="F428">
        <v>118221980</v>
      </c>
      <c r="G428">
        <v>54.7</v>
      </c>
      <c r="H428" t="s">
        <v>409</v>
      </c>
      <c r="I428">
        <v>6466742306</v>
      </c>
      <c r="J428" t="s">
        <v>415</v>
      </c>
      <c r="K428">
        <v>793660.63360655704</v>
      </c>
      <c r="L428">
        <v>0.55000000000000004</v>
      </c>
      <c r="M428">
        <v>3556708268.3000002</v>
      </c>
      <c r="N428">
        <v>12887378039.799999</v>
      </c>
      <c r="O428">
        <v>50101010</v>
      </c>
      <c r="P428">
        <v>5010</v>
      </c>
      <c r="S428" t="s">
        <v>418</v>
      </c>
      <c r="T428" t="s">
        <v>423</v>
      </c>
      <c r="U428">
        <v>0</v>
      </c>
      <c r="V428">
        <v>0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 t="s">
        <v>422</v>
      </c>
      <c r="AC428" t="s">
        <v>422</v>
      </c>
      <c r="AD428">
        <v>0</v>
      </c>
      <c r="AE428">
        <v>0.05</v>
      </c>
      <c r="AF428">
        <v>0</v>
      </c>
      <c r="AH428">
        <v>0</v>
      </c>
      <c r="AI428" t="s">
        <v>424</v>
      </c>
      <c r="AK428" t="s">
        <v>424</v>
      </c>
      <c r="AL428" t="s">
        <v>424</v>
      </c>
      <c r="AM428" t="s">
        <v>424</v>
      </c>
      <c r="AN428" t="s">
        <v>1653</v>
      </c>
      <c r="AO428">
        <v>0</v>
      </c>
      <c r="AP428">
        <v>0</v>
      </c>
      <c r="AQ428">
        <v>0</v>
      </c>
      <c r="AR428">
        <v>0</v>
      </c>
      <c r="AS428">
        <v>1.718</v>
      </c>
      <c r="AT428">
        <v>2.2490000000000001</v>
      </c>
      <c r="AU428" t="s">
        <v>424</v>
      </c>
      <c r="AV428">
        <v>1</v>
      </c>
      <c r="AW428">
        <v>0</v>
      </c>
      <c r="AX428" t="s">
        <v>444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1670</v>
      </c>
      <c r="CH428" t="s">
        <v>1728</v>
      </c>
      <c r="CI428">
        <v>3.4</v>
      </c>
      <c r="CJ428">
        <v>3.1</v>
      </c>
      <c r="CK428">
        <v>3.25</v>
      </c>
      <c r="CL428">
        <v>-0.18</v>
      </c>
      <c r="CM428">
        <v>3.07</v>
      </c>
    </row>
    <row r="429" spans="1:91" x14ac:dyDescent="0.25">
      <c r="A429">
        <v>1279</v>
      </c>
      <c r="B429" t="s">
        <v>126</v>
      </c>
      <c r="C429" t="s">
        <v>226</v>
      </c>
      <c r="D429" t="s">
        <v>326</v>
      </c>
      <c r="E429" t="s">
        <v>406</v>
      </c>
      <c r="F429">
        <v>159455250</v>
      </c>
      <c r="G429">
        <v>138.75899999999999</v>
      </c>
      <c r="H429" t="s">
        <v>414</v>
      </c>
      <c r="I429">
        <v>22125851034.75</v>
      </c>
      <c r="J429" t="s">
        <v>416</v>
      </c>
      <c r="K429">
        <v>38963232.823840298</v>
      </c>
      <c r="L429">
        <v>0.75</v>
      </c>
      <c r="M429">
        <v>16594388276.0625</v>
      </c>
      <c r="N429">
        <v>23703022912.5</v>
      </c>
      <c r="O429">
        <v>20102015</v>
      </c>
      <c r="P429">
        <v>2010</v>
      </c>
      <c r="Q429">
        <v>1.74431611527946</v>
      </c>
      <c r="R429">
        <v>3.01</v>
      </c>
      <c r="S429" t="s">
        <v>418</v>
      </c>
      <c r="T429" t="s">
        <v>422</v>
      </c>
      <c r="U429">
        <v>0</v>
      </c>
      <c r="V429">
        <v>0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 t="s">
        <v>422</v>
      </c>
      <c r="AC429" t="s">
        <v>422</v>
      </c>
      <c r="AD429">
        <v>0</v>
      </c>
      <c r="AE429">
        <v>0</v>
      </c>
      <c r="AF429">
        <v>0</v>
      </c>
      <c r="AH429">
        <v>0</v>
      </c>
      <c r="AI429" t="s">
        <v>424</v>
      </c>
      <c r="AK429" t="s">
        <v>424</v>
      </c>
      <c r="AL429" t="s">
        <v>424</v>
      </c>
      <c r="AM429" t="s">
        <v>424</v>
      </c>
      <c r="AO429">
        <v>0</v>
      </c>
      <c r="AP429">
        <v>0</v>
      </c>
      <c r="AQ429">
        <v>0</v>
      </c>
      <c r="AR429">
        <v>0</v>
      </c>
      <c r="AS429">
        <v>2.85</v>
      </c>
      <c r="AT429">
        <v>2.2160000000000002</v>
      </c>
      <c r="AU429" t="s">
        <v>420</v>
      </c>
      <c r="AV429">
        <v>1</v>
      </c>
      <c r="AW429">
        <v>0</v>
      </c>
      <c r="AX429" t="s">
        <v>446</v>
      </c>
      <c r="AY429">
        <v>0</v>
      </c>
      <c r="AZ429">
        <v>0</v>
      </c>
      <c r="BA429">
        <v>0</v>
      </c>
      <c r="CE429">
        <v>2.5329999999999999</v>
      </c>
      <c r="CG429" t="s">
        <v>450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2.1971580576397298</v>
      </c>
    </row>
    <row r="430" spans="1:91" x14ac:dyDescent="0.25">
      <c r="A430">
        <v>1282</v>
      </c>
      <c r="B430" t="s">
        <v>795</v>
      </c>
      <c r="C430" t="s">
        <v>1194</v>
      </c>
      <c r="D430" t="s">
        <v>1593</v>
      </c>
      <c r="E430" t="s">
        <v>400</v>
      </c>
      <c r="F430">
        <v>299600000</v>
      </c>
      <c r="G430">
        <v>15.616849999999999</v>
      </c>
      <c r="H430" t="s">
        <v>411</v>
      </c>
      <c r="I430">
        <v>4678808260</v>
      </c>
      <c r="J430" t="s">
        <v>416</v>
      </c>
      <c r="K430">
        <v>6479610.5761454096</v>
      </c>
      <c r="L430">
        <v>0.75</v>
      </c>
      <c r="M430">
        <v>3509106195</v>
      </c>
      <c r="N430">
        <v>44535540000</v>
      </c>
      <c r="O430">
        <v>60101030</v>
      </c>
      <c r="P430">
        <v>6010</v>
      </c>
      <c r="S430" t="s">
        <v>420</v>
      </c>
      <c r="T430" t="s">
        <v>423</v>
      </c>
      <c r="U430">
        <v>0</v>
      </c>
      <c r="V430">
        <v>0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 t="s">
        <v>422</v>
      </c>
      <c r="AC430" t="s">
        <v>422</v>
      </c>
      <c r="AD430">
        <v>0</v>
      </c>
      <c r="AE430">
        <v>0.82399999999999995</v>
      </c>
      <c r="AF430">
        <v>0</v>
      </c>
      <c r="AH430">
        <v>0</v>
      </c>
      <c r="AI430" t="s">
        <v>1655</v>
      </c>
      <c r="AK430" t="s">
        <v>424</v>
      </c>
      <c r="AL430" t="s">
        <v>424</v>
      </c>
      <c r="AM430" t="s">
        <v>424</v>
      </c>
      <c r="AO430">
        <v>0</v>
      </c>
      <c r="AP430">
        <v>0</v>
      </c>
      <c r="AQ430">
        <v>0</v>
      </c>
      <c r="AR430">
        <v>0</v>
      </c>
      <c r="AS430">
        <v>2.0590000000000002</v>
      </c>
      <c r="AT430">
        <v>2.8879999999999999</v>
      </c>
      <c r="AU430" t="s">
        <v>418</v>
      </c>
      <c r="AV430">
        <v>1</v>
      </c>
      <c r="AW430">
        <v>0</v>
      </c>
      <c r="AX430" t="s">
        <v>435</v>
      </c>
      <c r="AY430">
        <v>0</v>
      </c>
      <c r="AZ430">
        <v>0</v>
      </c>
      <c r="BA430">
        <v>0</v>
      </c>
      <c r="BE430" t="s">
        <v>1666</v>
      </c>
      <c r="BQ430" t="s">
        <v>68</v>
      </c>
      <c r="BU430" t="s">
        <v>72</v>
      </c>
      <c r="CE430">
        <v>2.4735</v>
      </c>
      <c r="CG430" t="s">
        <v>1670</v>
      </c>
      <c r="CH430" t="s">
        <v>1724</v>
      </c>
      <c r="CI430">
        <v>3.4</v>
      </c>
      <c r="CJ430">
        <v>3.1</v>
      </c>
      <c r="CK430">
        <v>3.25</v>
      </c>
      <c r="CL430">
        <v>0</v>
      </c>
      <c r="CM430">
        <v>3.25</v>
      </c>
    </row>
    <row r="431" spans="1:91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406</v>
      </c>
      <c r="F431">
        <v>69759705</v>
      </c>
      <c r="G431">
        <v>45.210979999999999</v>
      </c>
      <c r="H431" t="s">
        <v>414</v>
      </c>
      <c r="I431">
        <v>3153904627.5609002</v>
      </c>
      <c r="J431" t="s">
        <v>416</v>
      </c>
      <c r="K431">
        <v>14965457.106192701</v>
      </c>
      <c r="L431">
        <v>0.95</v>
      </c>
      <c r="M431">
        <v>2996209396.1828551</v>
      </c>
      <c r="N431">
        <v>13135054854.450001</v>
      </c>
      <c r="O431">
        <v>15102015</v>
      </c>
      <c r="P431">
        <v>1510</v>
      </c>
      <c r="Q431">
        <v>2</v>
      </c>
      <c r="T431" t="s">
        <v>1652</v>
      </c>
      <c r="U431" t="s">
        <v>1652</v>
      </c>
      <c r="V431" t="s">
        <v>1652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B431" t="s">
        <v>422</v>
      </c>
      <c r="AC431" t="s">
        <v>422</v>
      </c>
      <c r="AE431">
        <v>0</v>
      </c>
      <c r="AS431" t="s">
        <v>1652</v>
      </c>
      <c r="AT431" t="s">
        <v>1652</v>
      </c>
      <c r="AU431" t="s">
        <v>426</v>
      </c>
      <c r="AV431">
        <v>0</v>
      </c>
      <c r="AW431">
        <v>0</v>
      </c>
      <c r="AX431" t="s">
        <v>446</v>
      </c>
      <c r="AY431">
        <v>0</v>
      </c>
      <c r="AZ431">
        <v>0</v>
      </c>
      <c r="BA431">
        <v>0</v>
      </c>
      <c r="CG431" t="s">
        <v>450</v>
      </c>
      <c r="CI431">
        <v>2</v>
      </c>
      <c r="CJ431">
        <v>3.1</v>
      </c>
      <c r="CK431">
        <v>2.5499999999999998</v>
      </c>
      <c r="CL431">
        <v>0.3</v>
      </c>
      <c r="CM431">
        <v>2.85</v>
      </c>
    </row>
    <row r="432" spans="1:91" x14ac:dyDescent="0.25">
      <c r="A432">
        <v>1302</v>
      </c>
      <c r="B432" t="s">
        <v>190</v>
      </c>
      <c r="C432" t="s">
        <v>290</v>
      </c>
      <c r="D432" t="s">
        <v>390</v>
      </c>
      <c r="E432" t="s">
        <v>395</v>
      </c>
      <c r="F432">
        <v>638676100</v>
      </c>
      <c r="G432">
        <v>13.483459999999999</v>
      </c>
      <c r="H432" t="s">
        <v>410</v>
      </c>
      <c r="I432">
        <v>8611563647.3059998</v>
      </c>
      <c r="J432" t="s">
        <v>416</v>
      </c>
      <c r="K432">
        <v>18512719.7292796</v>
      </c>
      <c r="L432">
        <v>0.85</v>
      </c>
      <c r="M432">
        <v>7319829100.2100992</v>
      </c>
      <c r="N432">
        <v>107597762567</v>
      </c>
      <c r="O432">
        <v>55101010</v>
      </c>
      <c r="P432">
        <v>5510</v>
      </c>
      <c r="Q432">
        <v>1.51093325943585</v>
      </c>
      <c r="S432" t="s">
        <v>419</v>
      </c>
      <c r="T432" t="s">
        <v>422</v>
      </c>
      <c r="U432">
        <v>0</v>
      </c>
      <c r="V432">
        <v>0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 t="s">
        <v>422</v>
      </c>
      <c r="AC432" t="s">
        <v>422</v>
      </c>
      <c r="AD432">
        <v>0</v>
      </c>
      <c r="AE432">
        <v>0</v>
      </c>
      <c r="AF432">
        <v>0</v>
      </c>
      <c r="AH432">
        <v>0</v>
      </c>
      <c r="AI432" t="s">
        <v>424</v>
      </c>
      <c r="AK432" t="s">
        <v>424</v>
      </c>
      <c r="AL432" t="s">
        <v>424</v>
      </c>
      <c r="AM432" t="s">
        <v>424</v>
      </c>
      <c r="AO432">
        <v>0</v>
      </c>
      <c r="AP432">
        <v>0</v>
      </c>
      <c r="AQ432">
        <v>0</v>
      </c>
      <c r="AR432">
        <v>0</v>
      </c>
      <c r="AS432">
        <v>2.3260000000000001</v>
      </c>
      <c r="AT432">
        <v>2.9609999999999999</v>
      </c>
      <c r="AU432" t="s">
        <v>420</v>
      </c>
      <c r="AV432">
        <v>1</v>
      </c>
      <c r="AW432">
        <v>0</v>
      </c>
      <c r="AX432" t="s">
        <v>434</v>
      </c>
      <c r="AY432">
        <v>0</v>
      </c>
      <c r="AZ432">
        <v>0</v>
      </c>
      <c r="BA432">
        <v>0</v>
      </c>
      <c r="CE432">
        <v>2.6435</v>
      </c>
      <c r="CG432" t="s">
        <v>450</v>
      </c>
      <c r="CI432">
        <v>1.51093325943585</v>
      </c>
      <c r="CJ432">
        <v>3.1</v>
      </c>
      <c r="CK432">
        <v>2.3054666297179249</v>
      </c>
      <c r="CL432">
        <v>-0.24</v>
      </c>
      <c r="CM432">
        <v>2.0654666297179252</v>
      </c>
    </row>
    <row r="433" spans="1:91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395</v>
      </c>
      <c r="F433">
        <v>1944777200</v>
      </c>
      <c r="G433">
        <v>12.089700000000001</v>
      </c>
      <c r="H433" t="s">
        <v>410</v>
      </c>
      <c r="I433">
        <v>23511772914.84</v>
      </c>
      <c r="J433" t="s">
        <v>416</v>
      </c>
      <c r="K433">
        <v>56749422.021813497</v>
      </c>
      <c r="L433">
        <v>0.8</v>
      </c>
      <c r="M433">
        <v>18809418331.872002</v>
      </c>
      <c r="N433">
        <v>308363872832</v>
      </c>
      <c r="O433">
        <v>30101010</v>
      </c>
      <c r="P433">
        <v>3010</v>
      </c>
      <c r="Q433">
        <v>3.4</v>
      </c>
      <c r="S433" t="s">
        <v>420</v>
      </c>
      <c r="T433" t="s">
        <v>422</v>
      </c>
      <c r="U433">
        <v>0</v>
      </c>
      <c r="V433">
        <v>0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 t="s">
        <v>422</v>
      </c>
      <c r="AC433" t="s">
        <v>422</v>
      </c>
      <c r="AD433">
        <v>0</v>
      </c>
      <c r="AE433">
        <v>0</v>
      </c>
      <c r="AF433">
        <v>0</v>
      </c>
      <c r="AH433">
        <v>0</v>
      </c>
      <c r="AI433" t="s">
        <v>424</v>
      </c>
      <c r="AK433" t="s">
        <v>424</v>
      </c>
      <c r="AL433" t="s">
        <v>424</v>
      </c>
      <c r="AM433" t="s">
        <v>424</v>
      </c>
      <c r="AO433">
        <v>0</v>
      </c>
      <c r="AP433">
        <v>0</v>
      </c>
      <c r="AQ433">
        <v>0</v>
      </c>
      <c r="AR433">
        <v>0</v>
      </c>
      <c r="AS433">
        <v>2.12</v>
      </c>
      <c r="AT433">
        <v>2.879</v>
      </c>
      <c r="AU433" t="s">
        <v>430</v>
      </c>
      <c r="AV433">
        <v>0</v>
      </c>
      <c r="AW433">
        <v>0</v>
      </c>
      <c r="AX433" t="s">
        <v>434</v>
      </c>
      <c r="AY433">
        <v>0</v>
      </c>
      <c r="AZ433">
        <v>0</v>
      </c>
      <c r="BA433">
        <v>0</v>
      </c>
      <c r="CE433">
        <v>2.4994999999999998</v>
      </c>
      <c r="CG433" t="s">
        <v>450</v>
      </c>
      <c r="CI433">
        <v>3.4</v>
      </c>
      <c r="CJ433">
        <v>3.1</v>
      </c>
      <c r="CK433">
        <v>3.25</v>
      </c>
      <c r="CL433">
        <v>0</v>
      </c>
      <c r="CM433">
        <v>3.25</v>
      </c>
    </row>
    <row r="434" spans="1:91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406</v>
      </c>
      <c r="F434">
        <v>28936000</v>
      </c>
      <c r="G434">
        <v>184.10820000000001</v>
      </c>
      <c r="H434" t="s">
        <v>414</v>
      </c>
      <c r="I434">
        <v>5327354875.2000008</v>
      </c>
      <c r="J434" t="s">
        <v>416</v>
      </c>
      <c r="K434">
        <v>37879192.307345897</v>
      </c>
      <c r="L434">
        <v>1</v>
      </c>
      <c r="M434">
        <v>5327354875.2000008</v>
      </c>
      <c r="N434">
        <v>5735115200</v>
      </c>
      <c r="O434">
        <v>40204030</v>
      </c>
      <c r="P434">
        <v>4020</v>
      </c>
      <c r="S434" t="s">
        <v>420</v>
      </c>
      <c r="T434" t="s">
        <v>422</v>
      </c>
      <c r="U434">
        <v>0</v>
      </c>
      <c r="V434">
        <v>0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 t="s">
        <v>422</v>
      </c>
      <c r="AC434" t="s">
        <v>422</v>
      </c>
      <c r="AD434">
        <v>0</v>
      </c>
      <c r="AE434">
        <v>0</v>
      </c>
      <c r="AF434">
        <v>0</v>
      </c>
      <c r="AH434">
        <v>0</v>
      </c>
      <c r="AI434" t="s">
        <v>424</v>
      </c>
      <c r="AK434" t="s">
        <v>424</v>
      </c>
      <c r="AL434" t="s">
        <v>424</v>
      </c>
      <c r="AM434" t="s">
        <v>424</v>
      </c>
      <c r="AO434">
        <v>0</v>
      </c>
      <c r="AP434">
        <v>0</v>
      </c>
      <c r="AQ434">
        <v>0</v>
      </c>
      <c r="AR434">
        <v>0</v>
      </c>
      <c r="AS434">
        <v>1.9890000000000001</v>
      </c>
      <c r="AT434">
        <v>1.18</v>
      </c>
      <c r="AU434" t="s">
        <v>420</v>
      </c>
      <c r="AV434">
        <v>1</v>
      </c>
      <c r="AW434">
        <v>0</v>
      </c>
      <c r="AX434" t="s">
        <v>446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1670</v>
      </c>
      <c r="CH434" t="s">
        <v>83</v>
      </c>
      <c r="CI434">
        <v>3.4</v>
      </c>
      <c r="CJ434">
        <v>3.1</v>
      </c>
      <c r="CK434">
        <v>3.25</v>
      </c>
      <c r="CL434">
        <v>0</v>
      </c>
      <c r="CM434">
        <v>3.25</v>
      </c>
    </row>
    <row r="435" spans="1:91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395</v>
      </c>
      <c r="F435">
        <v>332200320</v>
      </c>
      <c r="G435">
        <v>17.174659999999999</v>
      </c>
      <c r="H435" t="s">
        <v>410</v>
      </c>
      <c r="I435">
        <v>5705427547.8912001</v>
      </c>
      <c r="J435" t="s">
        <v>416</v>
      </c>
      <c r="K435">
        <v>4095567.2075344902</v>
      </c>
      <c r="L435">
        <v>0.55000000000000004</v>
      </c>
      <c r="M435">
        <v>3137985151.3401599</v>
      </c>
      <c r="N435">
        <v>36213156883.199997</v>
      </c>
      <c r="O435">
        <v>50101015</v>
      </c>
      <c r="P435">
        <v>5010</v>
      </c>
      <c r="Q435">
        <v>1.98622668743985</v>
      </c>
      <c r="S435" t="s">
        <v>420</v>
      </c>
      <c r="T435" t="s">
        <v>422</v>
      </c>
      <c r="U435">
        <v>0</v>
      </c>
      <c r="V435">
        <v>0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 t="s">
        <v>422</v>
      </c>
      <c r="AC435" t="s">
        <v>422</v>
      </c>
      <c r="AD435">
        <v>0</v>
      </c>
      <c r="AE435">
        <v>0</v>
      </c>
      <c r="AF435">
        <v>0</v>
      </c>
      <c r="AH435">
        <v>0</v>
      </c>
      <c r="AI435" t="s">
        <v>424</v>
      </c>
      <c r="AK435" t="s">
        <v>424</v>
      </c>
      <c r="AL435" t="s">
        <v>424</v>
      </c>
      <c r="AM435" t="s">
        <v>424</v>
      </c>
      <c r="AN435" t="s">
        <v>1653</v>
      </c>
      <c r="AO435">
        <v>0.01</v>
      </c>
      <c r="AP435">
        <v>0</v>
      </c>
      <c r="AQ435">
        <v>0</v>
      </c>
      <c r="AR435">
        <v>0</v>
      </c>
      <c r="AS435">
        <v>1.97</v>
      </c>
      <c r="AT435">
        <v>2.593</v>
      </c>
      <c r="AU435" t="s">
        <v>429</v>
      </c>
      <c r="AV435">
        <v>0</v>
      </c>
      <c r="AW435">
        <v>0</v>
      </c>
      <c r="AX435" t="s">
        <v>434</v>
      </c>
      <c r="AY435">
        <v>0</v>
      </c>
      <c r="AZ435">
        <v>0</v>
      </c>
      <c r="BA435">
        <v>0</v>
      </c>
      <c r="BZ435" t="s">
        <v>77</v>
      </c>
      <c r="CE435">
        <v>2.2814999999999999</v>
      </c>
      <c r="CG435" t="s">
        <v>1670</v>
      </c>
      <c r="CH435" t="s">
        <v>77</v>
      </c>
      <c r="CI435">
        <v>1.98622668743985</v>
      </c>
      <c r="CJ435">
        <v>3.1</v>
      </c>
      <c r="CK435">
        <v>2.5431133437199249</v>
      </c>
      <c r="CL435">
        <v>0</v>
      </c>
      <c r="CM435">
        <v>2.5431133437199249</v>
      </c>
    </row>
    <row r="436" spans="1:91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395</v>
      </c>
      <c r="F436">
        <v>1132005700</v>
      </c>
      <c r="G436">
        <v>22.911539999999999</v>
      </c>
      <c r="H436" t="s">
        <v>410</v>
      </c>
      <c r="I436">
        <v>25935993875.778</v>
      </c>
      <c r="J436" t="s">
        <v>416</v>
      </c>
      <c r="K436">
        <v>52696496.869358599</v>
      </c>
      <c r="L436">
        <v>0.9</v>
      </c>
      <c r="M436">
        <v>23342394488.200199</v>
      </c>
      <c r="N436">
        <v>201927176766</v>
      </c>
      <c r="O436">
        <v>30101010</v>
      </c>
      <c r="P436">
        <v>3010</v>
      </c>
      <c r="Q436">
        <v>2.7038476194512802</v>
      </c>
      <c r="R436">
        <v>3.1</v>
      </c>
      <c r="S436" t="s">
        <v>420</v>
      </c>
      <c r="T436" t="s">
        <v>422</v>
      </c>
      <c r="U436">
        <v>0</v>
      </c>
      <c r="V436">
        <v>0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 t="s">
        <v>422</v>
      </c>
      <c r="AC436" t="s">
        <v>422</v>
      </c>
      <c r="AD436">
        <v>0</v>
      </c>
      <c r="AE436">
        <v>0</v>
      </c>
      <c r="AF436">
        <v>0</v>
      </c>
      <c r="AH436">
        <v>0</v>
      </c>
      <c r="AI436" t="s">
        <v>424</v>
      </c>
      <c r="AK436" t="s">
        <v>424</v>
      </c>
      <c r="AL436" t="s">
        <v>424</v>
      </c>
      <c r="AM436" t="s">
        <v>424</v>
      </c>
      <c r="AO436">
        <v>0</v>
      </c>
      <c r="AP436">
        <v>0</v>
      </c>
      <c r="AQ436">
        <v>0</v>
      </c>
      <c r="AR436">
        <v>0</v>
      </c>
      <c r="AS436">
        <v>2.3650000000000002</v>
      </c>
      <c r="AT436">
        <v>3.2189999999999999</v>
      </c>
      <c r="AU436" t="s">
        <v>430</v>
      </c>
      <c r="AV436">
        <v>0</v>
      </c>
      <c r="AW436">
        <v>0</v>
      </c>
      <c r="AX436" t="s">
        <v>434</v>
      </c>
      <c r="AY436">
        <v>0</v>
      </c>
      <c r="AZ436">
        <v>0</v>
      </c>
      <c r="BA436">
        <v>0</v>
      </c>
      <c r="CE436">
        <v>2.7919999999999998</v>
      </c>
      <c r="CG436" t="s">
        <v>450</v>
      </c>
      <c r="CI436">
        <v>2.7038476194512802</v>
      </c>
      <c r="CJ436">
        <v>3.1</v>
      </c>
      <c r="CK436">
        <v>2.9019238097256399</v>
      </c>
      <c r="CL436">
        <v>0</v>
      </c>
      <c r="CM436">
        <v>2.9019238097256399</v>
      </c>
    </row>
    <row r="437" spans="1:91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395</v>
      </c>
      <c r="F437">
        <v>356000060</v>
      </c>
      <c r="G437">
        <v>28.090910000000001</v>
      </c>
      <c r="H437" t="s">
        <v>410</v>
      </c>
      <c r="I437">
        <v>10000365645.454599</v>
      </c>
      <c r="J437" t="s">
        <v>416</v>
      </c>
      <c r="K437">
        <v>9484698.7879996691</v>
      </c>
      <c r="L437">
        <v>0.55000000000000004</v>
      </c>
      <c r="M437">
        <v>5500201105.0000315</v>
      </c>
      <c r="N437">
        <v>38807566540.600014</v>
      </c>
      <c r="O437">
        <v>20103015</v>
      </c>
      <c r="P437">
        <v>2010</v>
      </c>
      <c r="S437" t="s">
        <v>420</v>
      </c>
      <c r="T437" t="s">
        <v>422</v>
      </c>
      <c r="U437">
        <v>0</v>
      </c>
      <c r="V437">
        <v>0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 t="s">
        <v>422</v>
      </c>
      <c r="AC437" t="s">
        <v>422</v>
      </c>
      <c r="AD437">
        <v>0</v>
      </c>
      <c r="AE437">
        <v>0</v>
      </c>
      <c r="AF437">
        <v>0</v>
      </c>
      <c r="AH437">
        <v>0</v>
      </c>
      <c r="AI437" t="s">
        <v>424</v>
      </c>
      <c r="AK437" t="s">
        <v>424</v>
      </c>
      <c r="AL437" t="s">
        <v>424</v>
      </c>
      <c r="AM437" t="s">
        <v>424</v>
      </c>
      <c r="AO437">
        <v>0</v>
      </c>
      <c r="AP437">
        <v>0</v>
      </c>
      <c r="AQ437">
        <v>0</v>
      </c>
      <c r="AR437">
        <v>0</v>
      </c>
      <c r="AS437">
        <v>2.5059999999999998</v>
      </c>
      <c r="AT437">
        <v>3.0790000000000002</v>
      </c>
      <c r="AU437" t="s">
        <v>429</v>
      </c>
      <c r="AV437">
        <v>0</v>
      </c>
      <c r="AW437">
        <v>0</v>
      </c>
      <c r="AX437" t="s">
        <v>434</v>
      </c>
      <c r="AY437">
        <v>0</v>
      </c>
      <c r="AZ437">
        <v>0</v>
      </c>
      <c r="BA437">
        <v>0</v>
      </c>
      <c r="CE437">
        <v>2.7925</v>
      </c>
      <c r="CG437" t="s">
        <v>450</v>
      </c>
      <c r="CI437">
        <v>3.4</v>
      </c>
      <c r="CJ437">
        <v>3.1</v>
      </c>
      <c r="CK437">
        <v>3.25</v>
      </c>
      <c r="CL437">
        <v>0</v>
      </c>
      <c r="CM437">
        <v>3.25</v>
      </c>
    </row>
    <row r="438" spans="1:91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406</v>
      </c>
      <c r="F438">
        <v>28727518</v>
      </c>
      <c r="G438">
        <v>812.77689999999996</v>
      </c>
      <c r="H438" t="s">
        <v>414</v>
      </c>
      <c r="I438">
        <v>23349063024.7342</v>
      </c>
      <c r="J438" t="s">
        <v>416</v>
      </c>
      <c r="K438">
        <v>52686100.382191204</v>
      </c>
      <c r="L438">
        <v>1</v>
      </c>
      <c r="M438">
        <v>23349063024.7342</v>
      </c>
      <c r="N438">
        <v>5693794067.5999994</v>
      </c>
      <c r="O438">
        <v>30301010</v>
      </c>
      <c r="P438">
        <v>3030</v>
      </c>
      <c r="Q438">
        <v>3.4</v>
      </c>
      <c r="R438">
        <v>2.08</v>
      </c>
      <c r="S438" t="s">
        <v>421</v>
      </c>
      <c r="T438" t="s">
        <v>422</v>
      </c>
      <c r="U438">
        <v>0</v>
      </c>
      <c r="V438">
        <v>0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 t="s">
        <v>422</v>
      </c>
      <c r="AC438" t="s">
        <v>422</v>
      </c>
      <c r="AD438">
        <v>0</v>
      </c>
      <c r="AE438">
        <v>0</v>
      </c>
      <c r="AF438">
        <v>0</v>
      </c>
      <c r="AH438">
        <v>0</v>
      </c>
      <c r="AI438" t="s">
        <v>424</v>
      </c>
      <c r="AK438" t="s">
        <v>424</v>
      </c>
      <c r="AL438" t="s">
        <v>424</v>
      </c>
      <c r="AM438" t="s">
        <v>424</v>
      </c>
      <c r="AO438">
        <v>0</v>
      </c>
      <c r="AP438">
        <v>0</v>
      </c>
      <c r="AQ438">
        <v>0</v>
      </c>
      <c r="AR438">
        <v>0</v>
      </c>
      <c r="AS438">
        <v>2.0960000000000001</v>
      </c>
      <c r="AT438">
        <v>2.4180000000000001</v>
      </c>
      <c r="AU438" t="s">
        <v>430</v>
      </c>
      <c r="AV438">
        <v>0</v>
      </c>
      <c r="AW438">
        <v>0</v>
      </c>
      <c r="AX438" t="s">
        <v>446</v>
      </c>
      <c r="AY438">
        <v>0</v>
      </c>
      <c r="AZ438">
        <v>0</v>
      </c>
      <c r="BA438">
        <v>0</v>
      </c>
      <c r="CE438">
        <v>2.2570000000000001</v>
      </c>
      <c r="CG438" t="s">
        <v>450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406</v>
      </c>
      <c r="F439">
        <v>77307550</v>
      </c>
      <c r="G439">
        <v>115.36669999999999</v>
      </c>
      <c r="H439" t="s">
        <v>414</v>
      </c>
      <c r="I439">
        <v>8918716928.5849991</v>
      </c>
      <c r="J439" t="s">
        <v>416</v>
      </c>
      <c r="K439">
        <v>14630639.937562499</v>
      </c>
      <c r="L439">
        <v>1</v>
      </c>
      <c r="M439">
        <v>8918716928.5849991</v>
      </c>
      <c r="N439">
        <v>15322356410</v>
      </c>
      <c r="O439">
        <v>35101010</v>
      </c>
      <c r="P439">
        <v>3510</v>
      </c>
      <c r="Q439">
        <v>3.4</v>
      </c>
      <c r="S439" t="s">
        <v>424</v>
      </c>
      <c r="T439" t="s">
        <v>422</v>
      </c>
      <c r="U439">
        <v>0</v>
      </c>
      <c r="V439">
        <v>0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 t="s">
        <v>422</v>
      </c>
      <c r="AC439" t="s">
        <v>422</v>
      </c>
      <c r="AD439">
        <v>0</v>
      </c>
      <c r="AE439">
        <v>0</v>
      </c>
      <c r="AF439">
        <v>0</v>
      </c>
      <c r="AH439">
        <v>0</v>
      </c>
      <c r="AI439" t="s">
        <v>424</v>
      </c>
      <c r="AK439" t="s">
        <v>424</v>
      </c>
      <c r="AL439" t="s">
        <v>424</v>
      </c>
      <c r="AM439" t="s">
        <v>424</v>
      </c>
      <c r="AO439">
        <v>0</v>
      </c>
      <c r="AP439">
        <v>0</v>
      </c>
      <c r="AQ439">
        <v>0</v>
      </c>
      <c r="AR439">
        <v>0</v>
      </c>
      <c r="AS439">
        <v>1.9770000000000001</v>
      </c>
      <c r="AT439">
        <v>2.9020000000000001</v>
      </c>
      <c r="AU439" t="s">
        <v>425</v>
      </c>
      <c r="AV439">
        <v>1</v>
      </c>
      <c r="AW439">
        <v>0</v>
      </c>
      <c r="AX439" t="s">
        <v>446</v>
      </c>
      <c r="AY439">
        <v>0</v>
      </c>
      <c r="AZ439">
        <v>0</v>
      </c>
      <c r="BA439">
        <v>0</v>
      </c>
      <c r="CE439">
        <v>2.4394999999999998</v>
      </c>
      <c r="CG439" t="s">
        <v>450</v>
      </c>
      <c r="CI439">
        <v>3.4</v>
      </c>
      <c r="CJ439">
        <v>3.1</v>
      </c>
      <c r="CK439">
        <v>3.25</v>
      </c>
      <c r="CL439">
        <v>0.3</v>
      </c>
      <c r="CM439">
        <v>3.55</v>
      </c>
    </row>
    <row r="440" spans="1:91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406</v>
      </c>
      <c r="F440">
        <v>317497300</v>
      </c>
      <c r="G440">
        <v>147.05260000000001</v>
      </c>
      <c r="H440" t="s">
        <v>414</v>
      </c>
      <c r="I440">
        <v>46688803457.980003</v>
      </c>
      <c r="J440" t="s">
        <v>416</v>
      </c>
      <c r="K440">
        <v>109881687.206549</v>
      </c>
      <c r="L440">
        <v>0.9</v>
      </c>
      <c r="M440">
        <v>42019923112.182007</v>
      </c>
      <c r="N440">
        <v>56635168374</v>
      </c>
      <c r="O440">
        <v>30302020</v>
      </c>
      <c r="P440">
        <v>3030</v>
      </c>
      <c r="Q440">
        <v>3.4</v>
      </c>
      <c r="S440" t="s">
        <v>418</v>
      </c>
      <c r="T440" t="s">
        <v>422</v>
      </c>
      <c r="U440">
        <v>0</v>
      </c>
      <c r="V440">
        <v>0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 t="s">
        <v>422</v>
      </c>
      <c r="AC440" t="s">
        <v>422</v>
      </c>
      <c r="AD440">
        <v>0</v>
      </c>
      <c r="AE440">
        <v>0</v>
      </c>
      <c r="AF440">
        <v>0</v>
      </c>
      <c r="AH440">
        <v>0</v>
      </c>
      <c r="AI440" t="s">
        <v>424</v>
      </c>
      <c r="AK440" t="s">
        <v>424</v>
      </c>
      <c r="AL440" t="s">
        <v>424</v>
      </c>
      <c r="AM440" t="s">
        <v>424</v>
      </c>
      <c r="AO440">
        <v>0</v>
      </c>
      <c r="AP440">
        <v>0</v>
      </c>
      <c r="AQ440">
        <v>0</v>
      </c>
      <c r="AR440">
        <v>0</v>
      </c>
      <c r="AS440">
        <v>2.278</v>
      </c>
      <c r="AT440">
        <v>3.2930000000000001</v>
      </c>
      <c r="AU440" t="s">
        <v>430</v>
      </c>
      <c r="AV440">
        <v>0</v>
      </c>
      <c r="AW440">
        <v>0</v>
      </c>
      <c r="AX440" t="s">
        <v>446</v>
      </c>
      <c r="AY440">
        <v>0</v>
      </c>
      <c r="AZ440">
        <v>0</v>
      </c>
      <c r="BA440">
        <v>0</v>
      </c>
      <c r="CE440">
        <v>2.7854999999999999</v>
      </c>
      <c r="CG440" t="s">
        <v>450</v>
      </c>
      <c r="CI440">
        <v>3.4</v>
      </c>
      <c r="CJ440">
        <v>3.1</v>
      </c>
      <c r="CK440">
        <v>3.25</v>
      </c>
      <c r="CL440">
        <v>-0.18</v>
      </c>
      <c r="CM440">
        <v>3.07</v>
      </c>
    </row>
    <row r="441" spans="1:91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406</v>
      </c>
      <c r="F441">
        <v>51801945</v>
      </c>
      <c r="G441">
        <v>531.21839999999997</v>
      </c>
      <c r="H441" t="s">
        <v>414</v>
      </c>
      <c r="I441">
        <v>27518146339.787998</v>
      </c>
      <c r="J441" t="s">
        <v>416</v>
      </c>
      <c r="K441">
        <v>54056194.880447403</v>
      </c>
      <c r="L441">
        <v>0.5</v>
      </c>
      <c r="M441">
        <v>13759073169.893999</v>
      </c>
      <c r="N441">
        <v>5133572749.5</v>
      </c>
      <c r="O441">
        <v>15102015</v>
      </c>
      <c r="P441">
        <v>1510</v>
      </c>
      <c r="Q441">
        <v>1.7043064448883301</v>
      </c>
      <c r="S441" t="s">
        <v>417</v>
      </c>
      <c r="T441" t="s">
        <v>422</v>
      </c>
      <c r="U441">
        <v>0</v>
      </c>
      <c r="V441">
        <v>0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 t="s">
        <v>422</v>
      </c>
      <c r="AC441" t="s">
        <v>422</v>
      </c>
      <c r="AD441">
        <v>0</v>
      </c>
      <c r="AE441">
        <v>0</v>
      </c>
      <c r="AF441">
        <v>0</v>
      </c>
      <c r="AH441">
        <v>0</v>
      </c>
      <c r="AI441" t="s">
        <v>424</v>
      </c>
      <c r="AK441" t="s">
        <v>424</v>
      </c>
      <c r="AL441" t="s">
        <v>424</v>
      </c>
      <c r="AM441" t="s">
        <v>424</v>
      </c>
      <c r="AO441">
        <v>0</v>
      </c>
      <c r="AP441">
        <v>0</v>
      </c>
      <c r="AQ441">
        <v>0</v>
      </c>
      <c r="AR441">
        <v>0</v>
      </c>
      <c r="AS441">
        <v>2.7719999999999998</v>
      </c>
      <c r="AT441">
        <v>2.488</v>
      </c>
      <c r="AU441" t="s">
        <v>426</v>
      </c>
      <c r="AV441">
        <v>0</v>
      </c>
      <c r="AW441">
        <v>0</v>
      </c>
      <c r="AX441" t="s">
        <v>446</v>
      </c>
      <c r="AY441">
        <v>0</v>
      </c>
      <c r="AZ441">
        <v>0</v>
      </c>
      <c r="BA441">
        <v>0</v>
      </c>
      <c r="CE441">
        <v>2.63</v>
      </c>
      <c r="CG441" t="s">
        <v>450</v>
      </c>
      <c r="CI441">
        <v>1.7043064448883301</v>
      </c>
      <c r="CJ441">
        <v>3.1</v>
      </c>
      <c r="CK441">
        <v>2.4021532224441651</v>
      </c>
      <c r="CL441">
        <v>-0.3</v>
      </c>
      <c r="CM441">
        <v>2.1021532224441648</v>
      </c>
    </row>
    <row r="442" spans="1:91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406</v>
      </c>
      <c r="F442">
        <v>15328170</v>
      </c>
      <c r="G442">
        <v>454.2364</v>
      </c>
      <c r="H442" t="s">
        <v>414</v>
      </c>
      <c r="I442">
        <v>6962612759.3879995</v>
      </c>
      <c r="J442" t="s">
        <v>416</v>
      </c>
      <c r="K442">
        <v>13548666.457774499</v>
      </c>
      <c r="L442">
        <v>0.7</v>
      </c>
      <c r="M442">
        <v>4873828931.5716</v>
      </c>
      <c r="N442">
        <v>34120506420</v>
      </c>
      <c r="O442">
        <v>30202015</v>
      </c>
      <c r="P442">
        <v>3020</v>
      </c>
      <c r="S442" t="s">
        <v>420</v>
      </c>
      <c r="T442" t="s">
        <v>422</v>
      </c>
      <c r="U442">
        <v>0</v>
      </c>
      <c r="V442">
        <v>0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 t="s">
        <v>422</v>
      </c>
      <c r="AC442" t="s">
        <v>422</v>
      </c>
      <c r="AD442">
        <v>0</v>
      </c>
      <c r="AE442">
        <v>0</v>
      </c>
      <c r="AF442">
        <v>0</v>
      </c>
      <c r="AH442">
        <v>0</v>
      </c>
      <c r="AI442" t="s">
        <v>424</v>
      </c>
      <c r="AK442" t="s">
        <v>424</v>
      </c>
      <c r="AL442" t="s">
        <v>424</v>
      </c>
      <c r="AM442" t="s">
        <v>424</v>
      </c>
      <c r="AO442">
        <v>0</v>
      </c>
      <c r="AP442">
        <v>0</v>
      </c>
      <c r="AQ442">
        <v>0</v>
      </c>
      <c r="AR442">
        <v>0</v>
      </c>
      <c r="AS442">
        <v>1.9550000000000001</v>
      </c>
      <c r="AT442">
        <v>2.234</v>
      </c>
      <c r="AU442" t="s">
        <v>430</v>
      </c>
      <c r="AV442">
        <v>0</v>
      </c>
      <c r="AW442">
        <v>0</v>
      </c>
      <c r="AX442" t="s">
        <v>446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1670</v>
      </c>
      <c r="CH442" t="s">
        <v>83</v>
      </c>
      <c r="CI442">
        <v>3.4</v>
      </c>
      <c r="CJ442">
        <v>3.1</v>
      </c>
      <c r="CK442">
        <v>3.25</v>
      </c>
      <c r="CL442">
        <v>0</v>
      </c>
      <c r="CM442">
        <v>3.25</v>
      </c>
    </row>
    <row r="443" spans="1:91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412</v>
      </c>
      <c r="I443">
        <v>3046911071.9094</v>
      </c>
      <c r="J443" t="s">
        <v>416</v>
      </c>
      <c r="K443">
        <v>6528818.7574102096</v>
      </c>
      <c r="L443">
        <v>0.95</v>
      </c>
      <c r="M443">
        <v>2894565518.31393</v>
      </c>
      <c r="N443">
        <v>164911616820</v>
      </c>
      <c r="O443">
        <v>30101010</v>
      </c>
      <c r="P443">
        <v>3010</v>
      </c>
      <c r="Q443">
        <v>3.4</v>
      </c>
      <c r="S443" t="s">
        <v>424</v>
      </c>
      <c r="T443" t="s">
        <v>422</v>
      </c>
      <c r="U443">
        <v>0</v>
      </c>
      <c r="V443">
        <v>0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 t="s">
        <v>422</v>
      </c>
      <c r="AC443" t="s">
        <v>422</v>
      </c>
      <c r="AD443">
        <v>0</v>
      </c>
      <c r="AE443">
        <v>0</v>
      </c>
      <c r="AF443">
        <v>0</v>
      </c>
      <c r="AH443">
        <v>0</v>
      </c>
      <c r="AI443" t="s">
        <v>424</v>
      </c>
      <c r="AK443" t="s">
        <v>424</v>
      </c>
      <c r="AL443" t="s">
        <v>424</v>
      </c>
      <c r="AM443" t="s">
        <v>424</v>
      </c>
      <c r="AO443">
        <v>0</v>
      </c>
      <c r="AP443">
        <v>0</v>
      </c>
      <c r="AQ443">
        <v>0</v>
      </c>
      <c r="AR443">
        <v>0</v>
      </c>
      <c r="AS443">
        <v>1.806</v>
      </c>
      <c r="AT443">
        <v>2.6840000000000002</v>
      </c>
      <c r="AU443" t="s">
        <v>430</v>
      </c>
      <c r="AV443">
        <v>0</v>
      </c>
      <c r="AW443">
        <v>0</v>
      </c>
      <c r="AX443" t="s">
        <v>441</v>
      </c>
      <c r="AY443">
        <v>0</v>
      </c>
      <c r="AZ443">
        <v>0</v>
      </c>
      <c r="BA443">
        <v>0</v>
      </c>
      <c r="CE443">
        <v>2.2450000000000001</v>
      </c>
      <c r="CG443" t="s">
        <v>450</v>
      </c>
      <c r="CI443">
        <v>3.4</v>
      </c>
      <c r="CJ443">
        <v>3.1</v>
      </c>
      <c r="CK443">
        <v>3.25</v>
      </c>
      <c r="CL443">
        <v>0.3</v>
      </c>
      <c r="CM443">
        <v>3.55</v>
      </c>
    </row>
    <row r="444" spans="1:91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407</v>
      </c>
      <c r="F444">
        <v>105032929</v>
      </c>
      <c r="G444">
        <v>79.97</v>
      </c>
      <c r="H444" t="s">
        <v>409</v>
      </c>
      <c r="I444">
        <v>8399483332.1300001</v>
      </c>
      <c r="J444" t="s">
        <v>415</v>
      </c>
      <c r="K444">
        <v>9670521.0715872999</v>
      </c>
      <c r="L444">
        <v>0.70000000000000007</v>
      </c>
      <c r="M444">
        <v>5879638332.4910002</v>
      </c>
      <c r="N444">
        <v>233803299954</v>
      </c>
      <c r="O444">
        <v>55101000</v>
      </c>
      <c r="P444">
        <v>5510</v>
      </c>
      <c r="Q444">
        <v>2</v>
      </c>
      <c r="S444" t="s">
        <v>1648</v>
      </c>
      <c r="T444" t="s">
        <v>422</v>
      </c>
      <c r="U444">
        <v>0</v>
      </c>
      <c r="V444">
        <v>0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 t="s">
        <v>422</v>
      </c>
      <c r="AC444" t="s">
        <v>422</v>
      </c>
      <c r="AD444">
        <v>0</v>
      </c>
      <c r="AE444">
        <v>6.0999999999999999E-2</v>
      </c>
      <c r="AF444">
        <v>0</v>
      </c>
      <c r="AG444" t="s">
        <v>1653</v>
      </c>
      <c r="AH444">
        <v>0</v>
      </c>
      <c r="AI444" t="s">
        <v>424</v>
      </c>
      <c r="AJ444" t="s">
        <v>1653</v>
      </c>
      <c r="AK444" t="s">
        <v>424</v>
      </c>
      <c r="AL444" t="s">
        <v>424</v>
      </c>
      <c r="AM444" t="s">
        <v>424</v>
      </c>
      <c r="AO444">
        <v>0</v>
      </c>
      <c r="AP444">
        <v>0</v>
      </c>
      <c r="AQ444">
        <v>0</v>
      </c>
      <c r="AR444">
        <v>0</v>
      </c>
      <c r="AS444">
        <v>2.6389999999999998</v>
      </c>
      <c r="AT444">
        <v>3.1469999999999998</v>
      </c>
      <c r="AU444" t="s">
        <v>420</v>
      </c>
      <c r="AV444">
        <v>1</v>
      </c>
      <c r="AW444">
        <v>0</v>
      </c>
      <c r="AX444" t="s">
        <v>447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2.8929999999999998</v>
      </c>
      <c r="CG444" t="s">
        <v>1670</v>
      </c>
      <c r="CH444" t="s">
        <v>1691</v>
      </c>
      <c r="CI444">
        <v>2</v>
      </c>
      <c r="CJ444">
        <v>3.1</v>
      </c>
      <c r="CK444">
        <v>2.5499999999999998</v>
      </c>
      <c r="CL444">
        <v>0.3</v>
      </c>
      <c r="CM444">
        <v>2.85</v>
      </c>
    </row>
    <row r="445" spans="1:91" x14ac:dyDescent="0.25">
      <c r="A445">
        <v>1316</v>
      </c>
      <c r="B445" t="s">
        <v>192</v>
      </c>
      <c r="C445" t="s">
        <v>292</v>
      </c>
      <c r="D445" t="s">
        <v>392</v>
      </c>
      <c r="E445" t="s">
        <v>398</v>
      </c>
      <c r="F445">
        <v>139772050</v>
      </c>
      <c r="G445">
        <v>98.02</v>
      </c>
      <c r="H445" t="s">
        <v>409</v>
      </c>
      <c r="I445">
        <v>13700456341</v>
      </c>
      <c r="J445" t="s">
        <v>415</v>
      </c>
      <c r="K445">
        <v>28548769.3108197</v>
      </c>
      <c r="L445">
        <v>0.9</v>
      </c>
      <c r="M445">
        <v>12330410706.9</v>
      </c>
      <c r="N445">
        <v>400027607100</v>
      </c>
      <c r="O445">
        <v>55201000</v>
      </c>
      <c r="P445">
        <v>5520</v>
      </c>
      <c r="Q445">
        <v>1.92369051873579</v>
      </c>
      <c r="R445">
        <v>3.1</v>
      </c>
      <c r="S445" t="s">
        <v>417</v>
      </c>
      <c r="T445" t="s">
        <v>422</v>
      </c>
      <c r="U445">
        <v>0</v>
      </c>
      <c r="V445">
        <v>0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 t="s">
        <v>422</v>
      </c>
      <c r="AC445" t="s">
        <v>422</v>
      </c>
      <c r="AD445">
        <v>0</v>
      </c>
      <c r="AE445">
        <v>0</v>
      </c>
      <c r="AF445">
        <v>0</v>
      </c>
      <c r="AH445">
        <v>0</v>
      </c>
      <c r="AI445" t="s">
        <v>424</v>
      </c>
      <c r="AK445" t="s">
        <v>424</v>
      </c>
      <c r="AL445" t="s">
        <v>424</v>
      </c>
      <c r="AM445" t="s">
        <v>424</v>
      </c>
      <c r="AO445">
        <v>0</v>
      </c>
      <c r="AP445">
        <v>0</v>
      </c>
      <c r="AQ445">
        <v>0</v>
      </c>
      <c r="AR445">
        <v>0</v>
      </c>
      <c r="AS445">
        <v>2.6389999999999998</v>
      </c>
      <c r="AT445">
        <v>3.008</v>
      </c>
      <c r="AU445" t="s">
        <v>420</v>
      </c>
      <c r="AV445">
        <v>1</v>
      </c>
      <c r="AW445">
        <v>0</v>
      </c>
      <c r="AX445" t="s">
        <v>437</v>
      </c>
      <c r="AY445">
        <v>0</v>
      </c>
      <c r="AZ445">
        <v>0</v>
      </c>
      <c r="BA445">
        <v>0</v>
      </c>
      <c r="CE445">
        <v>2.8235000000000001</v>
      </c>
      <c r="CG445" t="s">
        <v>450</v>
      </c>
      <c r="CI445">
        <v>1.92369051873579</v>
      </c>
      <c r="CJ445">
        <v>3.1</v>
      </c>
      <c r="CK445">
        <v>2.5118452593678948</v>
      </c>
      <c r="CL445">
        <v>-0.3</v>
      </c>
      <c r="CM445">
        <v>2.211845259367895</v>
      </c>
    </row>
    <row r="446" spans="1:91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398</v>
      </c>
      <c r="F446">
        <v>258229000</v>
      </c>
      <c r="G446">
        <v>83.6</v>
      </c>
      <c r="H446" t="s">
        <v>409</v>
      </c>
      <c r="I446">
        <v>21587944400</v>
      </c>
      <c r="J446" t="s">
        <v>415</v>
      </c>
      <c r="K446">
        <v>8563219.3114754092</v>
      </c>
      <c r="L446">
        <v>0.25</v>
      </c>
      <c r="M446">
        <v>5396986100</v>
      </c>
      <c r="N446">
        <v>205292055000</v>
      </c>
      <c r="O446">
        <v>30302020</v>
      </c>
      <c r="P446">
        <v>3030</v>
      </c>
      <c r="Q446">
        <v>3.4</v>
      </c>
      <c r="R446">
        <v>3.1</v>
      </c>
      <c r="S446" t="s">
        <v>418</v>
      </c>
      <c r="T446" t="s">
        <v>422</v>
      </c>
      <c r="U446">
        <v>0</v>
      </c>
      <c r="V446">
        <v>0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 t="s">
        <v>422</v>
      </c>
      <c r="AC446" t="s">
        <v>422</v>
      </c>
      <c r="AD446">
        <v>0</v>
      </c>
      <c r="AE446">
        <v>0</v>
      </c>
      <c r="AF446">
        <v>0</v>
      </c>
      <c r="AH446">
        <v>0</v>
      </c>
      <c r="AI446" t="s">
        <v>424</v>
      </c>
      <c r="AK446" t="s">
        <v>424</v>
      </c>
      <c r="AL446" t="s">
        <v>424</v>
      </c>
      <c r="AM446" t="s">
        <v>424</v>
      </c>
      <c r="AO446">
        <v>0</v>
      </c>
      <c r="AP446">
        <v>0</v>
      </c>
      <c r="AQ446">
        <v>0</v>
      </c>
      <c r="AR446">
        <v>0</v>
      </c>
      <c r="AS446">
        <v>2.2959999999999998</v>
      </c>
      <c r="AT446">
        <v>2.4860000000000002</v>
      </c>
      <c r="AU446" t="s">
        <v>430</v>
      </c>
      <c r="AV446">
        <v>0</v>
      </c>
      <c r="AW446">
        <v>0</v>
      </c>
      <c r="AX446" t="s">
        <v>437</v>
      </c>
      <c r="AY446">
        <v>0</v>
      </c>
      <c r="AZ446">
        <v>0</v>
      </c>
      <c r="BA446">
        <v>0</v>
      </c>
      <c r="CE446">
        <v>2.391</v>
      </c>
      <c r="CG446" t="s">
        <v>450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 x14ac:dyDescent="0.25">
      <c r="A447">
        <v>1336</v>
      </c>
      <c r="B447" t="s">
        <v>159</v>
      </c>
      <c r="C447" t="s">
        <v>259</v>
      </c>
      <c r="D447" t="s">
        <v>359</v>
      </c>
      <c r="E447" t="s">
        <v>403</v>
      </c>
      <c r="F447">
        <v>3540041300</v>
      </c>
      <c r="G447">
        <v>1.3824259999999999</v>
      </c>
      <c r="H447" t="s">
        <v>413</v>
      </c>
      <c r="I447">
        <v>4893845134.1938</v>
      </c>
      <c r="J447" t="s">
        <v>416</v>
      </c>
      <c r="K447">
        <v>19580322.357266299</v>
      </c>
      <c r="L447">
        <v>1</v>
      </c>
      <c r="M447">
        <v>4893845134.1938</v>
      </c>
      <c r="N447">
        <v>11257331334000</v>
      </c>
      <c r="O447">
        <v>40202010</v>
      </c>
      <c r="P447">
        <v>4020</v>
      </c>
      <c r="Q447">
        <v>1.7480510479370199</v>
      </c>
      <c r="R447">
        <v>1.5</v>
      </c>
      <c r="S447" t="s">
        <v>419</v>
      </c>
      <c r="T447" t="s">
        <v>422</v>
      </c>
      <c r="U447">
        <v>0</v>
      </c>
      <c r="V447">
        <v>0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 t="s">
        <v>422</v>
      </c>
      <c r="AC447" t="s">
        <v>422</v>
      </c>
      <c r="AD447">
        <v>0</v>
      </c>
      <c r="AE447">
        <v>0</v>
      </c>
      <c r="AF447">
        <v>0</v>
      </c>
      <c r="AH447">
        <v>0</v>
      </c>
      <c r="AI447" t="s">
        <v>424</v>
      </c>
      <c r="AK447" t="s">
        <v>424</v>
      </c>
      <c r="AL447" t="s">
        <v>424</v>
      </c>
      <c r="AM447" t="s">
        <v>424</v>
      </c>
      <c r="AO447">
        <v>0</v>
      </c>
      <c r="AP447">
        <v>0</v>
      </c>
      <c r="AQ447">
        <v>0</v>
      </c>
      <c r="AR447">
        <v>0</v>
      </c>
      <c r="AS447">
        <v>2.4900000000000002</v>
      </c>
      <c r="AT447">
        <v>2.7679999999999998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450</v>
      </c>
      <c r="CI447">
        <v>1.7480510479370199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394</v>
      </c>
      <c r="F448">
        <v>178378708</v>
      </c>
      <c r="G448">
        <v>27.22</v>
      </c>
      <c r="H448" t="s">
        <v>409</v>
      </c>
      <c r="I448">
        <v>4855468431.7600002</v>
      </c>
      <c r="J448" t="s">
        <v>415</v>
      </c>
      <c r="K448">
        <v>7829217.3561904803</v>
      </c>
      <c r="L448">
        <v>0.75</v>
      </c>
      <c r="M448">
        <v>3641601323.8200002</v>
      </c>
      <c r="N448">
        <v>425433218580</v>
      </c>
      <c r="O448">
        <v>60101030</v>
      </c>
      <c r="P448">
        <v>6010</v>
      </c>
      <c r="Q448">
        <v>3.4</v>
      </c>
      <c r="S448" t="s">
        <v>420</v>
      </c>
      <c r="T448" t="s">
        <v>422</v>
      </c>
      <c r="U448">
        <v>0</v>
      </c>
      <c r="V448">
        <v>0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 t="s">
        <v>422</v>
      </c>
      <c r="AC448" t="s">
        <v>422</v>
      </c>
      <c r="AD448">
        <v>0</v>
      </c>
      <c r="AE448">
        <v>1</v>
      </c>
      <c r="AF448">
        <v>0</v>
      </c>
      <c r="AH448">
        <v>0</v>
      </c>
      <c r="AI448" t="s">
        <v>1655</v>
      </c>
      <c r="AK448" t="s">
        <v>424</v>
      </c>
      <c r="AL448" t="s">
        <v>424</v>
      </c>
      <c r="AM448" t="s">
        <v>424</v>
      </c>
      <c r="AN448" t="s">
        <v>1653</v>
      </c>
      <c r="AO448">
        <v>0.01</v>
      </c>
      <c r="AP448">
        <v>0</v>
      </c>
      <c r="AQ448">
        <v>0</v>
      </c>
      <c r="AR448">
        <v>0</v>
      </c>
      <c r="AS448">
        <v>2.2450000000000001</v>
      </c>
      <c r="AT448">
        <v>3.323</v>
      </c>
      <c r="AU448" t="s">
        <v>424</v>
      </c>
      <c r="AV448">
        <v>1</v>
      </c>
      <c r="AW448">
        <v>0</v>
      </c>
      <c r="AX448" t="s">
        <v>445</v>
      </c>
      <c r="AY448">
        <v>0</v>
      </c>
      <c r="AZ448">
        <v>0</v>
      </c>
      <c r="BA448">
        <v>0</v>
      </c>
      <c r="BE448" t="s">
        <v>1666</v>
      </c>
      <c r="BQ448" t="s">
        <v>68</v>
      </c>
      <c r="BU448" t="s">
        <v>72</v>
      </c>
      <c r="BZ448" t="s">
        <v>77</v>
      </c>
      <c r="CE448">
        <v>2.7839999999999998</v>
      </c>
      <c r="CG448" t="s">
        <v>1670</v>
      </c>
      <c r="CH448" t="s">
        <v>1729</v>
      </c>
      <c r="CI448">
        <v>3.4</v>
      </c>
      <c r="CJ448">
        <v>3.1</v>
      </c>
      <c r="CK448">
        <v>3.25</v>
      </c>
      <c r="CL448">
        <v>0</v>
      </c>
      <c r="CM448">
        <v>3.25</v>
      </c>
    </row>
    <row r="449" spans="1:91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395</v>
      </c>
      <c r="F449">
        <v>683286900</v>
      </c>
      <c r="G449">
        <v>11.195</v>
      </c>
      <c r="H449" t="s">
        <v>410</v>
      </c>
      <c r="I449">
        <v>7649396845.5</v>
      </c>
      <c r="J449" t="s">
        <v>416</v>
      </c>
      <c r="K449">
        <v>18266804.221528899</v>
      </c>
      <c r="L449">
        <v>0.8</v>
      </c>
      <c r="M449">
        <v>6119517476.4000006</v>
      </c>
      <c r="N449">
        <v>1738281873600</v>
      </c>
      <c r="O449">
        <v>15102015</v>
      </c>
      <c r="P449">
        <v>1510</v>
      </c>
      <c r="Q449">
        <v>1.74727372151472</v>
      </c>
      <c r="S449" t="s">
        <v>417</v>
      </c>
      <c r="T449" t="s">
        <v>422</v>
      </c>
      <c r="U449">
        <v>0</v>
      </c>
      <c r="V449">
        <v>0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 t="s">
        <v>422</v>
      </c>
      <c r="AC449" t="s">
        <v>422</v>
      </c>
      <c r="AD449">
        <v>0</v>
      </c>
      <c r="AE449">
        <v>0</v>
      </c>
      <c r="AF449">
        <v>0</v>
      </c>
      <c r="AH449">
        <v>0</v>
      </c>
      <c r="AI449" t="s">
        <v>424</v>
      </c>
      <c r="AK449" t="s">
        <v>424</v>
      </c>
      <c r="AL449" t="s">
        <v>424</v>
      </c>
      <c r="AM449" t="s">
        <v>424</v>
      </c>
      <c r="AO449">
        <v>0</v>
      </c>
      <c r="AP449">
        <v>0</v>
      </c>
      <c r="AQ449">
        <v>0</v>
      </c>
      <c r="AR449">
        <v>0</v>
      </c>
      <c r="AS449">
        <v>2.5539999999999998</v>
      </c>
      <c r="AT449">
        <v>3.0670000000000002</v>
      </c>
      <c r="AU449" t="s">
        <v>426</v>
      </c>
      <c r="AV449">
        <v>0</v>
      </c>
      <c r="AW449">
        <v>0</v>
      </c>
      <c r="AX449" t="s">
        <v>434</v>
      </c>
      <c r="AY449">
        <v>0</v>
      </c>
      <c r="AZ449">
        <v>0</v>
      </c>
      <c r="BA449">
        <v>0</v>
      </c>
      <c r="CE449">
        <v>2.8105000000000002</v>
      </c>
      <c r="CG449" t="s">
        <v>450</v>
      </c>
      <c r="CI449">
        <v>1.74727372151472</v>
      </c>
      <c r="CJ449">
        <v>3.1</v>
      </c>
      <c r="CK449">
        <v>2.4236368607573602</v>
      </c>
      <c r="CL449">
        <v>-0.3</v>
      </c>
      <c r="CM449">
        <v>2.1236368607573599</v>
      </c>
    </row>
    <row r="450" spans="1:91" x14ac:dyDescent="0.25">
      <c r="A450">
        <v>1348</v>
      </c>
      <c r="B450" t="s">
        <v>112</v>
      </c>
      <c r="C450" t="s">
        <v>212</v>
      </c>
      <c r="D450" t="s">
        <v>312</v>
      </c>
      <c r="E450" t="s">
        <v>401</v>
      </c>
      <c r="F450">
        <v>5670161600</v>
      </c>
      <c r="G450">
        <v>4.1740000000000004</v>
      </c>
      <c r="H450" t="s">
        <v>409</v>
      </c>
      <c r="I450">
        <v>23667254518.400002</v>
      </c>
      <c r="J450" t="s">
        <v>415</v>
      </c>
      <c r="K450">
        <v>53268601.0030111</v>
      </c>
      <c r="L450">
        <v>0.7</v>
      </c>
      <c r="M450">
        <v>16567078162.879999</v>
      </c>
      <c r="N450">
        <v>12621779721600</v>
      </c>
      <c r="O450">
        <v>15102015</v>
      </c>
      <c r="P450">
        <v>1510</v>
      </c>
      <c r="Q450">
        <v>1.7233600828722999</v>
      </c>
      <c r="R450">
        <v>1.5</v>
      </c>
      <c r="S450" t="s">
        <v>417</v>
      </c>
      <c r="T450" t="s">
        <v>422</v>
      </c>
      <c r="U450">
        <v>0</v>
      </c>
      <c r="V450">
        <v>0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 t="s">
        <v>422</v>
      </c>
      <c r="AC450" t="s">
        <v>422</v>
      </c>
      <c r="AD450">
        <v>0</v>
      </c>
      <c r="AE450">
        <v>0</v>
      </c>
      <c r="AF450">
        <v>0</v>
      </c>
      <c r="AH450">
        <v>0</v>
      </c>
      <c r="AI450" t="s">
        <v>424</v>
      </c>
      <c r="AK450" t="s">
        <v>424</v>
      </c>
      <c r="AL450" t="s">
        <v>424</v>
      </c>
      <c r="AM450" t="s">
        <v>424</v>
      </c>
      <c r="AO450">
        <v>0</v>
      </c>
      <c r="AP450">
        <v>0</v>
      </c>
      <c r="AQ450">
        <v>0</v>
      </c>
      <c r="AR450">
        <v>0</v>
      </c>
      <c r="AS450">
        <v>3.1030000000000002</v>
      </c>
      <c r="AT450">
        <v>2.8849999999999998</v>
      </c>
      <c r="AU450" t="s">
        <v>426</v>
      </c>
      <c r="AV450">
        <v>0</v>
      </c>
      <c r="AW450">
        <v>0</v>
      </c>
      <c r="AX450" t="s">
        <v>440</v>
      </c>
      <c r="AY450">
        <v>0</v>
      </c>
      <c r="AZ450">
        <v>0</v>
      </c>
      <c r="BA450">
        <v>0</v>
      </c>
      <c r="CE450">
        <v>2.9940000000000002</v>
      </c>
      <c r="CG450" t="s">
        <v>450</v>
      </c>
      <c r="CI450">
        <v>1.7233600828722999</v>
      </c>
      <c r="CJ450">
        <v>1.5</v>
      </c>
      <c r="CK450">
        <v>1.6116800414361501</v>
      </c>
      <c r="CL450">
        <v>-0.3</v>
      </c>
      <c r="CM450">
        <v>1.31168004143615</v>
      </c>
    </row>
    <row r="451" spans="1:91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405</v>
      </c>
      <c r="F451">
        <v>664499940</v>
      </c>
      <c r="G451">
        <v>8.43</v>
      </c>
      <c r="H451" t="s">
        <v>409</v>
      </c>
      <c r="I451">
        <v>5601734494.1999998</v>
      </c>
      <c r="J451" t="s">
        <v>415</v>
      </c>
      <c r="K451">
        <v>447632.55360655801</v>
      </c>
      <c r="L451">
        <v>1</v>
      </c>
      <c r="M451">
        <v>5601734494.1999998</v>
      </c>
      <c r="N451">
        <v>2113109809200</v>
      </c>
      <c r="O451">
        <v>15102015</v>
      </c>
      <c r="P451">
        <v>1510</v>
      </c>
      <c r="Q451">
        <v>1.7182081201914601</v>
      </c>
      <c r="R451">
        <v>3.01</v>
      </c>
      <c r="S451" t="s">
        <v>419</v>
      </c>
      <c r="T451" t="s">
        <v>422</v>
      </c>
      <c r="U451">
        <v>0</v>
      </c>
      <c r="V451">
        <v>0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 t="s">
        <v>422</v>
      </c>
      <c r="AC451" t="s">
        <v>422</v>
      </c>
      <c r="AD451">
        <v>0</v>
      </c>
      <c r="AE451">
        <v>0</v>
      </c>
      <c r="AF451">
        <v>0</v>
      </c>
      <c r="AH451">
        <v>0</v>
      </c>
      <c r="AI451" t="s">
        <v>424</v>
      </c>
      <c r="AK451" t="s">
        <v>424</v>
      </c>
      <c r="AL451" t="s">
        <v>424</v>
      </c>
      <c r="AM451" t="s">
        <v>424</v>
      </c>
      <c r="AO451">
        <v>0</v>
      </c>
      <c r="AP451">
        <v>0</v>
      </c>
      <c r="AQ451">
        <v>0</v>
      </c>
      <c r="AR451">
        <v>0</v>
      </c>
      <c r="AS451">
        <v>2.4969999999999999</v>
      </c>
      <c r="AT451">
        <v>2.589</v>
      </c>
      <c r="AU451" t="s">
        <v>426</v>
      </c>
      <c r="AV451">
        <v>0</v>
      </c>
      <c r="AW451">
        <v>0</v>
      </c>
      <c r="AX451" t="s">
        <v>444</v>
      </c>
      <c r="AY451">
        <v>0</v>
      </c>
      <c r="AZ451">
        <v>0</v>
      </c>
      <c r="BA451">
        <v>0</v>
      </c>
      <c r="CE451">
        <v>2.5430000000000001</v>
      </c>
      <c r="CG451" t="s">
        <v>450</v>
      </c>
      <c r="CI451">
        <v>1.7182081201914601</v>
      </c>
      <c r="CJ451">
        <v>3.01</v>
      </c>
      <c r="CK451">
        <v>2.3641040600957299</v>
      </c>
      <c r="CL451">
        <v>-0.24</v>
      </c>
      <c r="CM451">
        <v>2.1241040600957302</v>
      </c>
    </row>
    <row r="452" spans="1:91" x14ac:dyDescent="0.25">
      <c r="A452">
        <v>1350</v>
      </c>
      <c r="B452" t="s">
        <v>115</v>
      </c>
      <c r="C452" t="s">
        <v>215</v>
      </c>
      <c r="D452" t="s">
        <v>315</v>
      </c>
      <c r="E452" t="s">
        <v>400</v>
      </c>
      <c r="F452">
        <v>1368349989</v>
      </c>
      <c r="G452">
        <v>12.142609999999999</v>
      </c>
      <c r="H452" t="s">
        <v>411</v>
      </c>
      <c r="I452">
        <v>16615340259.93129</v>
      </c>
      <c r="J452" t="s">
        <v>416</v>
      </c>
      <c r="K452">
        <v>14604406.268437199</v>
      </c>
      <c r="L452">
        <v>0.45</v>
      </c>
      <c r="M452">
        <v>7476903116.9690809</v>
      </c>
      <c r="N452">
        <v>1958108834259</v>
      </c>
      <c r="O452">
        <v>15102015</v>
      </c>
      <c r="P452">
        <v>1510</v>
      </c>
      <c r="Q452">
        <v>1.692422773381</v>
      </c>
      <c r="R452">
        <v>2.7</v>
      </c>
      <c r="S452" t="s">
        <v>419</v>
      </c>
      <c r="T452" t="s">
        <v>422</v>
      </c>
      <c r="U452">
        <v>0</v>
      </c>
      <c r="V452">
        <v>0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 t="s">
        <v>422</v>
      </c>
      <c r="AC452" t="s">
        <v>422</v>
      </c>
      <c r="AD452">
        <v>0</v>
      </c>
      <c r="AE452">
        <v>0</v>
      </c>
      <c r="AF452">
        <v>0</v>
      </c>
      <c r="AH452">
        <v>0</v>
      </c>
      <c r="AI452" t="s">
        <v>424</v>
      </c>
      <c r="AK452" t="s">
        <v>424</v>
      </c>
      <c r="AL452" t="s">
        <v>424</v>
      </c>
      <c r="AM452" t="s">
        <v>424</v>
      </c>
      <c r="AO452">
        <v>0</v>
      </c>
      <c r="AP452">
        <v>0</v>
      </c>
      <c r="AQ452">
        <v>0</v>
      </c>
      <c r="AR452">
        <v>0</v>
      </c>
      <c r="AS452">
        <v>2.3370000000000002</v>
      </c>
      <c r="AT452">
        <v>2.9340000000000002</v>
      </c>
      <c r="AU452" t="s">
        <v>426</v>
      </c>
      <c r="AV452">
        <v>0</v>
      </c>
      <c r="AW452">
        <v>0</v>
      </c>
      <c r="AX452" t="s">
        <v>439</v>
      </c>
      <c r="AY452">
        <v>0</v>
      </c>
      <c r="AZ452">
        <v>0</v>
      </c>
      <c r="BA452">
        <v>0</v>
      </c>
      <c r="CE452">
        <v>2.6355</v>
      </c>
      <c r="CG452" t="s">
        <v>450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394</v>
      </c>
      <c r="F453">
        <v>59874365</v>
      </c>
      <c r="G453">
        <v>100.95</v>
      </c>
      <c r="H453" t="s">
        <v>409</v>
      </c>
      <c r="I453">
        <v>6044317146.75</v>
      </c>
      <c r="J453" t="s">
        <v>415</v>
      </c>
      <c r="K453">
        <v>19608061.763730198</v>
      </c>
      <c r="L453">
        <v>0.95000000000000007</v>
      </c>
      <c r="M453">
        <v>5742101289.4125004</v>
      </c>
      <c r="N453">
        <v>180880456665</v>
      </c>
      <c r="O453">
        <v>50205020</v>
      </c>
      <c r="P453">
        <v>5020</v>
      </c>
      <c r="Q453">
        <v>1.8451450789305299</v>
      </c>
      <c r="R453">
        <v>2.7</v>
      </c>
      <c r="S453" t="s">
        <v>418</v>
      </c>
      <c r="T453" t="s">
        <v>422</v>
      </c>
      <c r="U453">
        <v>0</v>
      </c>
      <c r="V453">
        <v>0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 t="s">
        <v>422</v>
      </c>
      <c r="AC453" t="s">
        <v>422</v>
      </c>
      <c r="AD453">
        <v>0</v>
      </c>
      <c r="AE453">
        <v>0</v>
      </c>
      <c r="AF453">
        <v>0</v>
      </c>
      <c r="AH453">
        <v>0</v>
      </c>
      <c r="AI453" t="s">
        <v>424</v>
      </c>
      <c r="AK453" t="s">
        <v>424</v>
      </c>
      <c r="AL453" t="s">
        <v>424</v>
      </c>
      <c r="AM453" t="s">
        <v>424</v>
      </c>
      <c r="AO453">
        <v>0</v>
      </c>
      <c r="AP453">
        <v>0</v>
      </c>
      <c r="AQ453">
        <v>0</v>
      </c>
      <c r="AR453">
        <v>0</v>
      </c>
      <c r="AS453">
        <v>2.3149999999999999</v>
      </c>
      <c r="AT453">
        <v>2.6640000000000001</v>
      </c>
      <c r="AU453" t="s">
        <v>426</v>
      </c>
      <c r="AV453">
        <v>0</v>
      </c>
      <c r="AW453">
        <v>0</v>
      </c>
      <c r="AX453" t="s">
        <v>433</v>
      </c>
      <c r="AY453">
        <v>0</v>
      </c>
      <c r="AZ453">
        <v>0</v>
      </c>
      <c r="BA453">
        <v>0</v>
      </c>
      <c r="CE453">
        <v>2.4895</v>
      </c>
      <c r="CG453" t="s">
        <v>450</v>
      </c>
      <c r="CI453">
        <v>1.8451450789305299</v>
      </c>
      <c r="CJ453">
        <v>2.7</v>
      </c>
      <c r="CK453">
        <v>2.2725725394652652</v>
      </c>
      <c r="CL453">
        <v>-0.18</v>
      </c>
      <c r="CM453">
        <v>2.092572539465265</v>
      </c>
    </row>
    <row r="454" spans="1:91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395</v>
      </c>
      <c r="F454">
        <v>3932109400</v>
      </c>
      <c r="G454">
        <v>3.062665</v>
      </c>
      <c r="H454" t="s">
        <v>410</v>
      </c>
      <c r="I454">
        <v>12042733835.551001</v>
      </c>
      <c r="J454" t="s">
        <v>416</v>
      </c>
      <c r="K454">
        <v>23714827.3458638</v>
      </c>
      <c r="L454">
        <v>0.6</v>
      </c>
      <c r="M454">
        <v>7225640301.3305998</v>
      </c>
      <c r="N454">
        <v>7502464735200</v>
      </c>
      <c r="O454">
        <v>15102015</v>
      </c>
      <c r="P454">
        <v>1510</v>
      </c>
      <c r="Q454">
        <v>1.7484413889375301</v>
      </c>
      <c r="S454" t="s">
        <v>418</v>
      </c>
      <c r="T454" t="s">
        <v>422</v>
      </c>
      <c r="U454">
        <v>0</v>
      </c>
      <c r="V454">
        <v>0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 t="s">
        <v>422</v>
      </c>
      <c r="AC454" t="s">
        <v>422</v>
      </c>
      <c r="AD454">
        <v>0</v>
      </c>
      <c r="AE454">
        <v>0</v>
      </c>
      <c r="AF454">
        <v>0</v>
      </c>
      <c r="AH454">
        <v>0</v>
      </c>
      <c r="AI454" t="s">
        <v>424</v>
      </c>
      <c r="AK454" t="s">
        <v>424</v>
      </c>
      <c r="AL454" t="s">
        <v>424</v>
      </c>
      <c r="AM454" t="s">
        <v>424</v>
      </c>
      <c r="AO454">
        <v>0</v>
      </c>
      <c r="AP454">
        <v>0</v>
      </c>
      <c r="AQ454">
        <v>0</v>
      </c>
      <c r="AR454">
        <v>0</v>
      </c>
      <c r="AS454">
        <v>2.4809999999999999</v>
      </c>
      <c r="AT454">
        <v>3.2639999999999998</v>
      </c>
      <c r="AU454" t="s">
        <v>426</v>
      </c>
      <c r="AV454">
        <v>0</v>
      </c>
      <c r="AW454">
        <v>0</v>
      </c>
      <c r="AX454" t="s">
        <v>434</v>
      </c>
      <c r="AY454">
        <v>0</v>
      </c>
      <c r="AZ454">
        <v>0</v>
      </c>
      <c r="BA454">
        <v>0</v>
      </c>
      <c r="CE454">
        <v>2.8725000000000001</v>
      </c>
      <c r="CG454" t="s">
        <v>450</v>
      </c>
      <c r="CI454">
        <v>1.7484413889375301</v>
      </c>
      <c r="CJ454">
        <v>3.1</v>
      </c>
      <c r="CK454">
        <v>2.4242206944687652</v>
      </c>
      <c r="CL454">
        <v>-0.18</v>
      </c>
      <c r="CM454">
        <v>2.244220694468765</v>
      </c>
    </row>
    <row r="455" spans="1:91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406</v>
      </c>
      <c r="F455">
        <v>75171080</v>
      </c>
      <c r="G455">
        <v>79.587059999999994</v>
      </c>
      <c r="H455" t="s">
        <v>414</v>
      </c>
      <c r="I455">
        <v>5982645254.2247992</v>
      </c>
      <c r="J455" t="s">
        <v>416</v>
      </c>
      <c r="K455">
        <v>18044772.726358701</v>
      </c>
      <c r="L455">
        <v>0.8</v>
      </c>
      <c r="M455">
        <v>4786116203.3798399</v>
      </c>
      <c r="N455">
        <v>191235227520</v>
      </c>
      <c r="O455">
        <v>10101015</v>
      </c>
      <c r="P455">
        <v>1010</v>
      </c>
      <c r="Q455">
        <v>1.9728064315495999</v>
      </c>
      <c r="S455" t="s">
        <v>419</v>
      </c>
      <c r="T455" t="s">
        <v>422</v>
      </c>
      <c r="U455">
        <v>0</v>
      </c>
      <c r="V455">
        <v>0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 t="s">
        <v>422</v>
      </c>
      <c r="AC455" t="s">
        <v>422</v>
      </c>
      <c r="AD455">
        <v>0</v>
      </c>
      <c r="AE455">
        <v>0</v>
      </c>
      <c r="AF455">
        <v>0</v>
      </c>
      <c r="AH455">
        <v>0</v>
      </c>
      <c r="AI455" t="s">
        <v>424</v>
      </c>
      <c r="AK455" t="s">
        <v>424</v>
      </c>
      <c r="AL455" t="s">
        <v>424</v>
      </c>
      <c r="AM455" t="s">
        <v>424</v>
      </c>
      <c r="AO455">
        <v>0</v>
      </c>
      <c r="AP455">
        <v>0</v>
      </c>
      <c r="AQ455">
        <v>0</v>
      </c>
      <c r="AR455">
        <v>0</v>
      </c>
      <c r="AS455">
        <v>2.7850000000000001</v>
      </c>
      <c r="AT455">
        <v>3.222</v>
      </c>
      <c r="AU455" t="s">
        <v>426</v>
      </c>
      <c r="AV455">
        <v>0</v>
      </c>
      <c r="AW455">
        <v>0</v>
      </c>
      <c r="AX455" t="s">
        <v>446</v>
      </c>
      <c r="AY455">
        <v>0</v>
      </c>
      <c r="AZ455">
        <v>0</v>
      </c>
      <c r="BA455">
        <v>0</v>
      </c>
      <c r="CE455">
        <v>3.0034999999999998</v>
      </c>
      <c r="CG455" t="s">
        <v>450</v>
      </c>
      <c r="CI455">
        <v>1.9728064315495999</v>
      </c>
      <c r="CJ455">
        <v>3.1</v>
      </c>
      <c r="CK455">
        <v>2.5364032157748002</v>
      </c>
      <c r="CL455">
        <v>-0.24</v>
      </c>
      <c r="CM455">
        <v>2.2964032157748</v>
      </c>
    </row>
    <row r="456" spans="1:91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404</v>
      </c>
      <c r="F456">
        <v>1162757528</v>
      </c>
      <c r="G456">
        <v>18.28</v>
      </c>
      <c r="H456" t="s">
        <v>409</v>
      </c>
      <c r="I456">
        <v>21255207611.84</v>
      </c>
      <c r="J456" t="s">
        <v>415</v>
      </c>
      <c r="K456">
        <v>49179355.2693443</v>
      </c>
      <c r="L456">
        <v>0.3</v>
      </c>
      <c r="M456">
        <v>6376562283.552001</v>
      </c>
      <c r="N456">
        <v>1109270681712</v>
      </c>
      <c r="O456">
        <v>60101030</v>
      </c>
      <c r="P456">
        <v>6010</v>
      </c>
      <c r="S456" t="s">
        <v>418</v>
      </c>
      <c r="T456" t="s">
        <v>422</v>
      </c>
      <c r="U456">
        <v>0</v>
      </c>
      <c r="V456">
        <v>0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 t="s">
        <v>422</v>
      </c>
      <c r="AC456" t="s">
        <v>422</v>
      </c>
      <c r="AD456">
        <v>0</v>
      </c>
      <c r="AE456">
        <v>0.94799999999999995</v>
      </c>
      <c r="AF456">
        <v>6.0000000000000001E-3</v>
      </c>
      <c r="AG456" t="s">
        <v>1653</v>
      </c>
      <c r="AH456">
        <v>0</v>
      </c>
      <c r="AI456" t="s">
        <v>1655</v>
      </c>
      <c r="AJ456" t="s">
        <v>1653</v>
      </c>
      <c r="AK456" t="s">
        <v>424</v>
      </c>
      <c r="AL456" t="s">
        <v>424</v>
      </c>
      <c r="AM456" t="s">
        <v>424</v>
      </c>
      <c r="AO456">
        <v>0</v>
      </c>
      <c r="AP456">
        <v>0</v>
      </c>
      <c r="AQ456">
        <v>0</v>
      </c>
      <c r="AR456">
        <v>0</v>
      </c>
      <c r="AS456">
        <v>2.1480000000000001</v>
      </c>
      <c r="AT456">
        <v>2.6680000000000001</v>
      </c>
      <c r="AU456" t="s">
        <v>420</v>
      </c>
      <c r="AV456">
        <v>1</v>
      </c>
      <c r="AW456">
        <v>0</v>
      </c>
      <c r="AX456" t="s">
        <v>435</v>
      </c>
      <c r="AY456">
        <v>0</v>
      </c>
      <c r="AZ456">
        <v>0</v>
      </c>
      <c r="BA456">
        <v>0</v>
      </c>
      <c r="BE456" t="s">
        <v>1666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2.4079999999999999</v>
      </c>
      <c r="CG456" t="s">
        <v>1670</v>
      </c>
      <c r="CH456" t="s">
        <v>1730</v>
      </c>
      <c r="CI456">
        <v>3.4</v>
      </c>
      <c r="CJ456">
        <v>3.1</v>
      </c>
      <c r="CK456">
        <v>3.25</v>
      </c>
      <c r="CL456">
        <v>-0.18</v>
      </c>
      <c r="CM456">
        <v>3.07</v>
      </c>
    </row>
    <row r="457" spans="1:91" x14ac:dyDescent="0.25">
      <c r="A457">
        <v>1359</v>
      </c>
      <c r="B457" t="s">
        <v>105</v>
      </c>
      <c r="C457" t="s">
        <v>205</v>
      </c>
      <c r="D457" t="s">
        <v>305</v>
      </c>
      <c r="E457" t="s">
        <v>404</v>
      </c>
      <c r="F457">
        <v>2009992000</v>
      </c>
      <c r="G457">
        <v>7.8259999999999996</v>
      </c>
      <c r="H457" t="s">
        <v>409</v>
      </c>
      <c r="I457">
        <v>15730197392</v>
      </c>
      <c r="J457" t="s">
        <v>415</v>
      </c>
      <c r="K457">
        <v>30108575.329360701</v>
      </c>
      <c r="L457">
        <v>0.70000000000000007</v>
      </c>
      <c r="M457">
        <v>11011138174.4</v>
      </c>
      <c r="N457">
        <v>4474242192000</v>
      </c>
      <c r="O457">
        <v>65101015</v>
      </c>
      <c r="P457">
        <v>6510</v>
      </c>
      <c r="Q457">
        <v>1.7449210642355399</v>
      </c>
      <c r="S457" t="s">
        <v>419</v>
      </c>
      <c r="T457" t="s">
        <v>422</v>
      </c>
      <c r="U457">
        <v>0</v>
      </c>
      <c r="V457">
        <v>0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 t="s">
        <v>422</v>
      </c>
      <c r="AC457" t="s">
        <v>422</v>
      </c>
      <c r="AD457">
        <v>0</v>
      </c>
      <c r="AE457">
        <v>0</v>
      </c>
      <c r="AF457">
        <v>0</v>
      </c>
      <c r="AH457">
        <v>0</v>
      </c>
      <c r="AI457" t="s">
        <v>424</v>
      </c>
      <c r="AK457" t="s">
        <v>424</v>
      </c>
      <c r="AL457" t="s">
        <v>424</v>
      </c>
      <c r="AM457" t="s">
        <v>424</v>
      </c>
      <c r="AO457">
        <v>0</v>
      </c>
      <c r="AP457">
        <v>0</v>
      </c>
      <c r="AQ457">
        <v>0</v>
      </c>
      <c r="AR457">
        <v>0</v>
      </c>
      <c r="AS457">
        <v>2.8530000000000002</v>
      </c>
      <c r="AT457">
        <v>3.169</v>
      </c>
      <c r="AU457" t="s">
        <v>421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3.0110000000000001</v>
      </c>
      <c r="CG457" t="s">
        <v>450</v>
      </c>
      <c r="CI457">
        <v>1.7449210642355399</v>
      </c>
      <c r="CJ457">
        <v>3.1</v>
      </c>
      <c r="CK457">
        <v>2.4224605321177699</v>
      </c>
      <c r="CL457">
        <v>-0.24</v>
      </c>
      <c r="CM457">
        <v>2.1824605321177701</v>
      </c>
    </row>
    <row r="458" spans="1:91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403</v>
      </c>
      <c r="F458">
        <v>6736842000</v>
      </c>
      <c r="G458">
        <v>4.5226559999999996</v>
      </c>
      <c r="H458" t="s">
        <v>413</v>
      </c>
      <c r="I458">
        <v>30468418892.352001</v>
      </c>
      <c r="J458" t="s">
        <v>416</v>
      </c>
      <c r="K458">
        <v>51282283.913053602</v>
      </c>
      <c r="L458">
        <v>1</v>
      </c>
      <c r="M458">
        <v>30468418892.352001</v>
      </c>
      <c r="N458">
        <v>21423157560000</v>
      </c>
      <c r="O458">
        <v>45201010</v>
      </c>
      <c r="P458">
        <v>4520</v>
      </c>
      <c r="Q458">
        <v>1.7462963003310501</v>
      </c>
      <c r="R458">
        <v>1.5</v>
      </c>
      <c r="S458" t="s">
        <v>420</v>
      </c>
      <c r="T458" t="s">
        <v>422</v>
      </c>
      <c r="U458">
        <v>0</v>
      </c>
      <c r="V458">
        <v>0.05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 t="s">
        <v>422</v>
      </c>
      <c r="AC458" t="s">
        <v>422</v>
      </c>
      <c r="AD458">
        <v>0</v>
      </c>
      <c r="AE458">
        <v>9.9000000000000005E-2</v>
      </c>
      <c r="AF458">
        <v>0</v>
      </c>
      <c r="AH458">
        <v>0</v>
      </c>
      <c r="AI458" t="s">
        <v>424</v>
      </c>
      <c r="AK458" t="s">
        <v>424</v>
      </c>
      <c r="AL458" t="s">
        <v>424</v>
      </c>
      <c r="AM458" t="s">
        <v>424</v>
      </c>
      <c r="AO458">
        <v>0</v>
      </c>
      <c r="AP458">
        <v>0</v>
      </c>
      <c r="AQ458">
        <v>0</v>
      </c>
      <c r="AR458">
        <v>0</v>
      </c>
      <c r="AS458">
        <v>2.4089999999999998</v>
      </c>
      <c r="AT458">
        <v>3.3290000000000002</v>
      </c>
      <c r="AU458" t="s">
        <v>431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2.8690000000000002</v>
      </c>
      <c r="CG458" t="s">
        <v>1670</v>
      </c>
      <c r="CH458" t="s">
        <v>68</v>
      </c>
      <c r="CI458">
        <v>1.7462963003310501</v>
      </c>
      <c r="CJ458">
        <v>1.5</v>
      </c>
      <c r="CK458">
        <v>1.6231481501655249</v>
      </c>
      <c r="CL458">
        <v>0</v>
      </c>
      <c r="CM458">
        <v>1.6231481501655249</v>
      </c>
    </row>
    <row r="459" spans="1:91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394</v>
      </c>
      <c r="F459">
        <v>205941913</v>
      </c>
      <c r="G459">
        <v>182.25</v>
      </c>
      <c r="H459" t="s">
        <v>409</v>
      </c>
      <c r="I459">
        <v>37532913644.25</v>
      </c>
      <c r="J459" t="s">
        <v>415</v>
      </c>
      <c r="K459">
        <v>42645698.862301603</v>
      </c>
      <c r="L459">
        <v>0.45</v>
      </c>
      <c r="M459">
        <v>16889811139.9125</v>
      </c>
      <c r="N459">
        <v>294702877503</v>
      </c>
      <c r="O459">
        <v>50201020</v>
      </c>
      <c r="P459">
        <v>5020</v>
      </c>
      <c r="Q459">
        <v>1.9930585191652299</v>
      </c>
      <c r="R459">
        <v>1.5</v>
      </c>
      <c r="S459" t="s">
        <v>417</v>
      </c>
      <c r="T459" t="s">
        <v>422</v>
      </c>
      <c r="U459">
        <v>0</v>
      </c>
      <c r="V459">
        <v>0</v>
      </c>
      <c r="W459" t="s">
        <v>422</v>
      </c>
      <c r="X459" t="s">
        <v>422</v>
      </c>
      <c r="Y459" t="s">
        <v>422</v>
      </c>
      <c r="Z459" t="s">
        <v>1651</v>
      </c>
      <c r="AA459" t="s">
        <v>422</v>
      </c>
      <c r="AB459" t="s">
        <v>422</v>
      </c>
      <c r="AC459" t="s">
        <v>422</v>
      </c>
      <c r="AD459">
        <v>0</v>
      </c>
      <c r="AE459">
        <v>0</v>
      </c>
      <c r="AF459">
        <v>0</v>
      </c>
      <c r="AH459">
        <v>0</v>
      </c>
      <c r="AI459" t="s">
        <v>424</v>
      </c>
      <c r="AK459" t="s">
        <v>424</v>
      </c>
      <c r="AL459" t="s">
        <v>424</v>
      </c>
      <c r="AM459" t="s">
        <v>424</v>
      </c>
      <c r="AN459" t="s">
        <v>1653</v>
      </c>
      <c r="AO459">
        <v>0.01</v>
      </c>
      <c r="AP459">
        <v>0</v>
      </c>
      <c r="AQ459">
        <v>0.05</v>
      </c>
      <c r="AR459">
        <v>0</v>
      </c>
      <c r="AS459">
        <v>2.2410000000000001</v>
      </c>
      <c r="AT459">
        <v>3.1509999999999998</v>
      </c>
      <c r="AU459" t="s">
        <v>420</v>
      </c>
      <c r="AV459">
        <v>1</v>
      </c>
      <c r="AW459">
        <v>0</v>
      </c>
      <c r="AX459" t="s">
        <v>433</v>
      </c>
      <c r="AY459">
        <v>0</v>
      </c>
      <c r="AZ459">
        <v>0</v>
      </c>
      <c r="BA459">
        <v>0</v>
      </c>
      <c r="BE459" t="s">
        <v>1664</v>
      </c>
      <c r="BK459" t="s">
        <v>62</v>
      </c>
      <c r="BZ459" t="s">
        <v>77</v>
      </c>
      <c r="CC459" t="s">
        <v>80</v>
      </c>
      <c r="CE459">
        <v>2.6960000000000002</v>
      </c>
      <c r="CG459" t="s">
        <v>1670</v>
      </c>
      <c r="CH459" t="s">
        <v>1731</v>
      </c>
      <c r="CI459">
        <v>1.9930585191652299</v>
      </c>
      <c r="CJ459">
        <v>1.5</v>
      </c>
      <c r="CK459">
        <v>1.746529259582615</v>
      </c>
      <c r="CL459">
        <v>-0.3</v>
      </c>
      <c r="CM459">
        <v>1.4465292595826149</v>
      </c>
    </row>
    <row r="460" spans="1:91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395</v>
      </c>
      <c r="F460">
        <v>107838165</v>
      </c>
      <c r="G460">
        <v>32.281170000000003</v>
      </c>
      <c r="H460" t="s">
        <v>410</v>
      </c>
      <c r="I460">
        <v>3481142136.8530502</v>
      </c>
      <c r="J460" t="s">
        <v>416</v>
      </c>
      <c r="K460">
        <v>5319607.1481512701</v>
      </c>
      <c r="L460">
        <v>1</v>
      </c>
      <c r="M460">
        <v>3481142136.8530502</v>
      </c>
      <c r="N460">
        <v>342925364700</v>
      </c>
      <c r="O460">
        <v>40203050</v>
      </c>
      <c r="P460">
        <v>4020</v>
      </c>
      <c r="Q460">
        <v>1.73866922356208</v>
      </c>
      <c r="S460" t="s">
        <v>420</v>
      </c>
      <c r="T460" t="s">
        <v>422</v>
      </c>
      <c r="U460">
        <v>0</v>
      </c>
      <c r="V460">
        <v>0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 t="s">
        <v>422</v>
      </c>
      <c r="AC460" t="s">
        <v>422</v>
      </c>
      <c r="AD460">
        <v>0</v>
      </c>
      <c r="AE460">
        <v>0</v>
      </c>
      <c r="AF460">
        <v>0</v>
      </c>
      <c r="AH460">
        <v>0</v>
      </c>
      <c r="AI460" t="s">
        <v>424</v>
      </c>
      <c r="AK460" t="s">
        <v>424</v>
      </c>
      <c r="AL460" t="s">
        <v>424</v>
      </c>
      <c r="AM460" t="s">
        <v>424</v>
      </c>
      <c r="AO460">
        <v>0</v>
      </c>
      <c r="AP460">
        <v>0</v>
      </c>
      <c r="AQ460">
        <v>0</v>
      </c>
      <c r="AR460">
        <v>0</v>
      </c>
      <c r="AS460">
        <v>2.5659999999999998</v>
      </c>
      <c r="AT460">
        <v>3.2280000000000002</v>
      </c>
      <c r="AU460" t="s">
        <v>420</v>
      </c>
      <c r="AV460">
        <v>1</v>
      </c>
      <c r="AW460">
        <v>0</v>
      </c>
      <c r="AX460" t="s">
        <v>434</v>
      </c>
      <c r="AY460">
        <v>0</v>
      </c>
      <c r="AZ460">
        <v>0</v>
      </c>
      <c r="BA460">
        <v>0</v>
      </c>
      <c r="CE460">
        <v>2.8969999999999998</v>
      </c>
      <c r="CG460" t="s">
        <v>450</v>
      </c>
      <c r="CI460">
        <v>1.73866922356208</v>
      </c>
      <c r="CJ460">
        <v>3.1</v>
      </c>
      <c r="CK460">
        <v>2.4193346117810401</v>
      </c>
      <c r="CL460">
        <v>0</v>
      </c>
      <c r="CM460">
        <v>2.4193346117810401</v>
      </c>
    </row>
    <row r="461" spans="1:91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398</v>
      </c>
      <c r="F461">
        <v>622531740</v>
      </c>
      <c r="G461">
        <v>6.02</v>
      </c>
      <c r="H461" t="s">
        <v>409</v>
      </c>
      <c r="I461">
        <v>3747641074.8000002</v>
      </c>
      <c r="J461" t="s">
        <v>415</v>
      </c>
      <c r="K461">
        <v>15616358.654516401</v>
      </c>
      <c r="L461">
        <v>0.8</v>
      </c>
      <c r="M461">
        <v>2998112859.8400002</v>
      </c>
      <c r="N461">
        <v>1583720746560</v>
      </c>
      <c r="O461">
        <v>50203000</v>
      </c>
      <c r="P461">
        <v>5020</v>
      </c>
      <c r="Q461">
        <v>1.9213117528052499</v>
      </c>
      <c r="R461">
        <v>1.5</v>
      </c>
      <c r="S461" t="s">
        <v>417</v>
      </c>
      <c r="T461" t="s">
        <v>422</v>
      </c>
      <c r="U461">
        <v>0</v>
      </c>
      <c r="V461">
        <v>0</v>
      </c>
      <c r="W461" t="s">
        <v>422</v>
      </c>
      <c r="X461" t="s">
        <v>422</v>
      </c>
      <c r="Y461" t="s">
        <v>422</v>
      </c>
      <c r="Z461" t="s">
        <v>423</v>
      </c>
      <c r="AA461" t="s">
        <v>422</v>
      </c>
      <c r="AB461" t="s">
        <v>422</v>
      </c>
      <c r="AC461" t="s">
        <v>422</v>
      </c>
      <c r="AD461">
        <v>0</v>
      </c>
      <c r="AE461">
        <v>0.05</v>
      </c>
      <c r="AF461">
        <v>0</v>
      </c>
      <c r="AH461">
        <v>0</v>
      </c>
      <c r="AI461" t="s">
        <v>424</v>
      </c>
      <c r="AK461" t="s">
        <v>424</v>
      </c>
      <c r="AL461" t="s">
        <v>424</v>
      </c>
      <c r="AM461" t="s">
        <v>424</v>
      </c>
      <c r="AO461">
        <v>0</v>
      </c>
      <c r="AP461">
        <v>0</v>
      </c>
      <c r="AQ461">
        <v>0</v>
      </c>
      <c r="AR461">
        <v>0</v>
      </c>
      <c r="AS461">
        <v>2.0830000000000002</v>
      </c>
      <c r="AT461">
        <v>3.3</v>
      </c>
      <c r="AU461" t="s">
        <v>420</v>
      </c>
      <c r="AV461">
        <v>1</v>
      </c>
      <c r="AW461">
        <v>0</v>
      </c>
      <c r="AX461" t="s">
        <v>437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1670</v>
      </c>
      <c r="CH461" t="s">
        <v>1725</v>
      </c>
      <c r="CI461">
        <v>1.9213117528052499</v>
      </c>
      <c r="CJ461">
        <v>1.5</v>
      </c>
      <c r="CK461">
        <v>1.710655876402625</v>
      </c>
      <c r="CL461">
        <v>-0.3</v>
      </c>
      <c r="CM461">
        <v>1.4106558764026249</v>
      </c>
    </row>
    <row r="462" spans="1:91" x14ac:dyDescent="0.25">
      <c r="A462">
        <v>1390</v>
      </c>
      <c r="B462" t="s">
        <v>821</v>
      </c>
      <c r="C462" t="s">
        <v>1220</v>
      </c>
      <c r="D462" t="s">
        <v>1619</v>
      </c>
      <c r="E462" t="s">
        <v>400</v>
      </c>
      <c r="F462">
        <v>296040156</v>
      </c>
      <c r="G462">
        <v>15.04927</v>
      </c>
      <c r="H462" t="s">
        <v>411</v>
      </c>
      <c r="I462">
        <v>4455188238.4861202</v>
      </c>
      <c r="J462" t="s">
        <v>416</v>
      </c>
      <c r="K462">
        <v>4716455.0331286201</v>
      </c>
      <c r="L462">
        <v>0.75</v>
      </c>
      <c r="M462">
        <v>3341391178.8645902</v>
      </c>
      <c r="N462">
        <v>706055772060</v>
      </c>
      <c r="O462">
        <v>50204000</v>
      </c>
      <c r="P462">
        <v>5020</v>
      </c>
      <c r="Q462">
        <v>1.7386149893838201</v>
      </c>
      <c r="S462" t="s">
        <v>418</v>
      </c>
      <c r="T462" t="s">
        <v>422</v>
      </c>
      <c r="U462">
        <v>0</v>
      </c>
      <c r="V462">
        <v>0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 t="s">
        <v>422</v>
      </c>
      <c r="AC462" t="s">
        <v>422</v>
      </c>
      <c r="AD462">
        <v>0.01</v>
      </c>
      <c r="AE462">
        <v>0.01</v>
      </c>
      <c r="AF462">
        <v>0</v>
      </c>
      <c r="AH462">
        <v>0</v>
      </c>
      <c r="AI462" t="s">
        <v>424</v>
      </c>
      <c r="AK462" t="s">
        <v>424</v>
      </c>
      <c r="AL462" t="s">
        <v>424</v>
      </c>
      <c r="AM462" t="s">
        <v>424</v>
      </c>
      <c r="AO462">
        <v>0</v>
      </c>
      <c r="AP462">
        <v>0</v>
      </c>
      <c r="AQ462">
        <v>0</v>
      </c>
      <c r="AR462">
        <v>0</v>
      </c>
      <c r="AS462">
        <v>2.2549999999999999</v>
      </c>
      <c r="AT462">
        <v>2.7869999999999999</v>
      </c>
      <c r="AU462" t="s">
        <v>420</v>
      </c>
      <c r="AV462">
        <v>1</v>
      </c>
      <c r="AW462">
        <v>0</v>
      </c>
      <c r="AX462" t="s">
        <v>439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2.5209999999999999</v>
      </c>
      <c r="CG462" t="s">
        <v>1670</v>
      </c>
      <c r="CH462" t="s">
        <v>1701</v>
      </c>
      <c r="CI462">
        <v>1.7386149893838201</v>
      </c>
      <c r="CJ462">
        <v>3.1</v>
      </c>
      <c r="CK462">
        <v>2.41930749469191</v>
      </c>
      <c r="CL462">
        <v>-0.18</v>
      </c>
      <c r="CM462">
        <v>2.2393074946919098</v>
      </c>
    </row>
    <row r="463" spans="1:91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394</v>
      </c>
      <c r="F463">
        <v>2270057201</v>
      </c>
      <c r="G463">
        <v>58.12</v>
      </c>
      <c r="H463" t="s">
        <v>409</v>
      </c>
      <c r="I463">
        <v>131935724522.12</v>
      </c>
      <c r="J463" t="s">
        <v>415</v>
      </c>
      <c r="K463">
        <v>249728288.22166699</v>
      </c>
      <c r="L463">
        <v>0.95000000000000007</v>
      </c>
      <c r="M463">
        <v>125338938296.01401</v>
      </c>
      <c r="N463">
        <v>218674610172.32999</v>
      </c>
      <c r="O463">
        <v>60101000</v>
      </c>
      <c r="P463">
        <v>6010</v>
      </c>
      <c r="Q463">
        <v>2.50345321050695</v>
      </c>
      <c r="R463">
        <v>1.77</v>
      </c>
      <c r="S463" t="s">
        <v>1648</v>
      </c>
      <c r="T463" t="s">
        <v>1651</v>
      </c>
      <c r="U463">
        <v>0</v>
      </c>
      <c r="V463">
        <v>0.01</v>
      </c>
      <c r="W463" t="s">
        <v>422</v>
      </c>
      <c r="X463" t="s">
        <v>422</v>
      </c>
      <c r="Y463" t="s">
        <v>422</v>
      </c>
      <c r="Z463" t="s">
        <v>423</v>
      </c>
      <c r="AA463" t="s">
        <v>422</v>
      </c>
      <c r="AB463" t="s">
        <v>422</v>
      </c>
      <c r="AC463" t="s">
        <v>422</v>
      </c>
      <c r="AD463">
        <v>0</v>
      </c>
      <c r="AE463">
        <v>0.89500000000000002</v>
      </c>
      <c r="AF463">
        <v>4.7999999999999996E-3</v>
      </c>
      <c r="AG463" t="s">
        <v>1654</v>
      </c>
      <c r="AH463">
        <v>0</v>
      </c>
      <c r="AI463" t="s">
        <v>1655</v>
      </c>
      <c r="AJ463" t="s">
        <v>1654</v>
      </c>
      <c r="AK463" t="s">
        <v>424</v>
      </c>
      <c r="AL463" t="s">
        <v>1655</v>
      </c>
      <c r="AM463" t="s">
        <v>1655</v>
      </c>
      <c r="AO463">
        <v>0</v>
      </c>
      <c r="AP463">
        <v>0</v>
      </c>
      <c r="AQ463">
        <v>0</v>
      </c>
      <c r="AR463">
        <v>0</v>
      </c>
      <c r="AS463">
        <v>2.5369999999999999</v>
      </c>
      <c r="AT463">
        <v>3.1459999999999999</v>
      </c>
      <c r="AU463" t="s">
        <v>420</v>
      </c>
      <c r="AV463">
        <v>1</v>
      </c>
      <c r="AW463">
        <v>0</v>
      </c>
      <c r="AX463" t="s">
        <v>433</v>
      </c>
      <c r="AY463">
        <v>0</v>
      </c>
      <c r="AZ463">
        <v>0</v>
      </c>
      <c r="BA463">
        <v>0</v>
      </c>
      <c r="BF463" t="s">
        <v>1667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2.8414999999999999</v>
      </c>
      <c r="CG463" t="s">
        <v>1670</v>
      </c>
      <c r="CH463" t="s">
        <v>1732</v>
      </c>
      <c r="CI463">
        <v>2.50345321050695</v>
      </c>
      <c r="CJ463">
        <v>1.77</v>
      </c>
      <c r="CK463">
        <v>2.1367266052534748</v>
      </c>
      <c r="CL463">
        <v>0.3</v>
      </c>
      <c r="CM463">
        <v>2.4367266052534751</v>
      </c>
    </row>
    <row r="464" spans="1:91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395</v>
      </c>
      <c r="F464">
        <v>213047180</v>
      </c>
      <c r="G464">
        <v>38.251829999999998</v>
      </c>
      <c r="H464" t="s">
        <v>410</v>
      </c>
      <c r="I464">
        <v>8149444511.3393993</v>
      </c>
      <c r="J464" t="s">
        <v>416</v>
      </c>
      <c r="K464">
        <v>13822085.647705499</v>
      </c>
      <c r="L464">
        <v>1</v>
      </c>
      <c r="M464">
        <v>8149444511.3393993</v>
      </c>
      <c r="N464">
        <v>21602984052</v>
      </c>
      <c r="O464">
        <v>50204000</v>
      </c>
      <c r="P464">
        <v>5020</v>
      </c>
      <c r="Q464">
        <v>1.98026092196812</v>
      </c>
      <c r="R464">
        <v>3.1</v>
      </c>
      <c r="S464" t="s">
        <v>418</v>
      </c>
      <c r="T464" t="s">
        <v>422</v>
      </c>
      <c r="U464">
        <v>0</v>
      </c>
      <c r="V464">
        <v>0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 t="s">
        <v>422</v>
      </c>
      <c r="AC464" t="s">
        <v>422</v>
      </c>
      <c r="AD464">
        <v>0</v>
      </c>
      <c r="AE464">
        <v>0.01</v>
      </c>
      <c r="AF464">
        <v>0</v>
      </c>
      <c r="AH464">
        <v>0</v>
      </c>
      <c r="AI464" t="s">
        <v>1655</v>
      </c>
      <c r="AK464" t="s">
        <v>424</v>
      </c>
      <c r="AL464" t="s">
        <v>424</v>
      </c>
      <c r="AM464" t="s">
        <v>424</v>
      </c>
      <c r="AO464">
        <v>0</v>
      </c>
      <c r="AP464">
        <v>0</v>
      </c>
      <c r="AQ464">
        <v>0</v>
      </c>
      <c r="AR464">
        <v>0</v>
      </c>
      <c r="AS464">
        <v>2.0139999999999998</v>
      </c>
      <c r="AT464">
        <v>2.6019999999999999</v>
      </c>
      <c r="AU464" t="s">
        <v>420</v>
      </c>
      <c r="AV464">
        <v>1</v>
      </c>
      <c r="AW464">
        <v>0</v>
      </c>
      <c r="AX464" t="s">
        <v>434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2.3079999999999998</v>
      </c>
      <c r="CG464" t="s">
        <v>1670</v>
      </c>
      <c r="CH464" t="s">
        <v>1733</v>
      </c>
      <c r="CI464">
        <v>1.98026092196812</v>
      </c>
      <c r="CJ464">
        <v>3.1</v>
      </c>
      <c r="CK464">
        <v>2.5401304609840598</v>
      </c>
      <c r="CL464">
        <v>-0.18</v>
      </c>
      <c r="CM464">
        <v>2.3601304609840601</v>
      </c>
    </row>
    <row r="465" spans="1:91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403</v>
      </c>
      <c r="F465">
        <v>2480677500</v>
      </c>
      <c r="G465">
        <v>1.7698929999999999</v>
      </c>
      <c r="H465" t="s">
        <v>413</v>
      </c>
      <c r="I465">
        <v>4390533742.5074997</v>
      </c>
      <c r="J465" t="s">
        <v>416</v>
      </c>
      <c r="K465">
        <v>7722815.8409963399</v>
      </c>
      <c r="L465">
        <v>0.9</v>
      </c>
      <c r="M465">
        <v>3951480368.2567501</v>
      </c>
      <c r="N465">
        <v>226386628650</v>
      </c>
      <c r="O465">
        <v>35102070</v>
      </c>
      <c r="P465">
        <v>3510</v>
      </c>
      <c r="Q465">
        <v>2.4391719121134199</v>
      </c>
      <c r="S465" t="s">
        <v>418</v>
      </c>
      <c r="T465" t="s">
        <v>422</v>
      </c>
      <c r="U465">
        <v>0</v>
      </c>
      <c r="V465">
        <v>0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 t="s">
        <v>422</v>
      </c>
      <c r="AC465" t="s">
        <v>422</v>
      </c>
      <c r="AD465">
        <v>0</v>
      </c>
      <c r="AE465">
        <v>0</v>
      </c>
      <c r="AF465">
        <v>0</v>
      </c>
      <c r="AH465">
        <v>0</v>
      </c>
      <c r="AI465" t="s">
        <v>424</v>
      </c>
      <c r="AK465" t="s">
        <v>424</v>
      </c>
      <c r="AL465" t="s">
        <v>424</v>
      </c>
      <c r="AM465" t="s">
        <v>424</v>
      </c>
      <c r="AO465">
        <v>0</v>
      </c>
      <c r="AP465">
        <v>0</v>
      </c>
      <c r="AQ465">
        <v>0</v>
      </c>
      <c r="AR465">
        <v>0</v>
      </c>
      <c r="AS465">
        <v>2.1179999999999999</v>
      </c>
      <c r="AT465">
        <v>2.5339999999999998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2.3260000000000001</v>
      </c>
      <c r="CG465" t="s">
        <v>450</v>
      </c>
      <c r="CI465">
        <v>2.4391719121134199</v>
      </c>
      <c r="CJ465">
        <v>3.1</v>
      </c>
      <c r="CK465">
        <v>2.76958595605671</v>
      </c>
      <c r="CL465">
        <v>-0.18</v>
      </c>
      <c r="CM465">
        <v>2.5895859560567098</v>
      </c>
    </row>
    <row r="466" spans="1:91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412</v>
      </c>
      <c r="I466">
        <v>12401846035.525999</v>
      </c>
      <c r="J466" t="s">
        <v>416</v>
      </c>
      <c r="K466">
        <v>16625526.2193272</v>
      </c>
      <c r="L466">
        <v>0.5</v>
      </c>
      <c r="M466">
        <v>6200923017.7629995</v>
      </c>
      <c r="N466">
        <v>31251079470</v>
      </c>
      <c r="O466">
        <v>30302010</v>
      </c>
      <c r="P466">
        <v>3030</v>
      </c>
      <c r="Q466">
        <v>3.1466666666666598</v>
      </c>
      <c r="R466">
        <v>2.08</v>
      </c>
      <c r="S466" t="s">
        <v>1648</v>
      </c>
      <c r="T466" t="s">
        <v>422</v>
      </c>
      <c r="U466">
        <v>0</v>
      </c>
      <c r="V466">
        <v>0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 t="s">
        <v>422</v>
      </c>
      <c r="AC466" t="s">
        <v>422</v>
      </c>
      <c r="AD466">
        <v>0</v>
      </c>
      <c r="AE466">
        <v>0</v>
      </c>
      <c r="AF466">
        <v>0</v>
      </c>
      <c r="AH466">
        <v>0</v>
      </c>
      <c r="AI466" t="s">
        <v>424</v>
      </c>
      <c r="AK466" t="s">
        <v>424</v>
      </c>
      <c r="AL466" t="s">
        <v>424</v>
      </c>
      <c r="AM466" t="s">
        <v>424</v>
      </c>
      <c r="AO466">
        <v>0</v>
      </c>
      <c r="AP466">
        <v>0</v>
      </c>
      <c r="AQ466">
        <v>0</v>
      </c>
      <c r="AR466">
        <v>0</v>
      </c>
      <c r="AS466">
        <v>2.1019999999999999</v>
      </c>
      <c r="AT466">
        <v>3.028</v>
      </c>
      <c r="AU466" t="s">
        <v>430</v>
      </c>
      <c r="AV466">
        <v>0</v>
      </c>
      <c r="AW466">
        <v>0</v>
      </c>
      <c r="AX466" t="s">
        <v>441</v>
      </c>
      <c r="AY466">
        <v>0</v>
      </c>
      <c r="AZ466">
        <v>0</v>
      </c>
      <c r="BA466">
        <v>0</v>
      </c>
      <c r="CE466">
        <v>2.5649999999999999</v>
      </c>
      <c r="CG466" t="s">
        <v>450</v>
      </c>
      <c r="CI466">
        <v>3.1466666666666598</v>
      </c>
      <c r="CJ466">
        <v>2.08</v>
      </c>
      <c r="CK466">
        <v>2.6133333333333302</v>
      </c>
      <c r="CL466">
        <v>0.3</v>
      </c>
      <c r="CM466">
        <v>2.91333333333333</v>
      </c>
    </row>
    <row r="467" spans="1:91" x14ac:dyDescent="0.25">
      <c r="A467">
        <v>1419</v>
      </c>
      <c r="B467" t="s">
        <v>167</v>
      </c>
      <c r="C467" t="s">
        <v>267</v>
      </c>
      <c r="D467" t="s">
        <v>367</v>
      </c>
      <c r="E467" t="s">
        <v>398</v>
      </c>
      <c r="F467">
        <v>507431030</v>
      </c>
      <c r="G467">
        <v>6.5759999999999996</v>
      </c>
      <c r="H467" t="s">
        <v>409</v>
      </c>
      <c r="I467">
        <v>3336866453.2800002</v>
      </c>
      <c r="J467" t="s">
        <v>415</v>
      </c>
      <c r="K467">
        <v>30812669.2248688</v>
      </c>
      <c r="L467">
        <v>0.9</v>
      </c>
      <c r="M467">
        <v>3003179807.9520001</v>
      </c>
      <c r="N467">
        <v>46308155797.800003</v>
      </c>
      <c r="O467">
        <v>40501015</v>
      </c>
      <c r="P467">
        <v>4050</v>
      </c>
      <c r="Q467">
        <v>1.76815424438663</v>
      </c>
      <c r="R467">
        <v>1.5</v>
      </c>
      <c r="S467" t="s">
        <v>417</v>
      </c>
      <c r="T467" t="s">
        <v>422</v>
      </c>
      <c r="U467">
        <v>0</v>
      </c>
      <c r="V467">
        <v>0.01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 t="s">
        <v>422</v>
      </c>
      <c r="AC467" t="s">
        <v>422</v>
      </c>
      <c r="AD467">
        <v>0</v>
      </c>
      <c r="AE467">
        <v>0</v>
      </c>
      <c r="AF467">
        <v>0</v>
      </c>
      <c r="AH467">
        <v>0</v>
      </c>
      <c r="AI467" t="s">
        <v>424</v>
      </c>
      <c r="AK467" t="s">
        <v>424</v>
      </c>
      <c r="AL467" t="s">
        <v>424</v>
      </c>
      <c r="AM467" t="s">
        <v>424</v>
      </c>
      <c r="AO467">
        <v>0</v>
      </c>
      <c r="AP467">
        <v>0</v>
      </c>
      <c r="AQ467">
        <v>0</v>
      </c>
      <c r="AR467">
        <v>0</v>
      </c>
      <c r="AS467">
        <v>2.5910000000000002</v>
      </c>
      <c r="AT467">
        <v>2.93</v>
      </c>
      <c r="AU467" t="s">
        <v>432</v>
      </c>
      <c r="AV467">
        <v>0</v>
      </c>
      <c r="AW467">
        <v>0</v>
      </c>
      <c r="AX467" t="s">
        <v>437</v>
      </c>
      <c r="AY467">
        <v>0</v>
      </c>
      <c r="AZ467">
        <v>0</v>
      </c>
      <c r="BA467">
        <v>0</v>
      </c>
      <c r="CE467">
        <v>2.7605</v>
      </c>
      <c r="CG467" t="s">
        <v>450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406</v>
      </c>
      <c r="F468">
        <v>3462087600</v>
      </c>
      <c r="G468">
        <v>32.238869999999999</v>
      </c>
      <c r="H468" t="s">
        <v>414</v>
      </c>
      <c r="I468">
        <v>111613792065.01199</v>
      </c>
      <c r="J468" t="s">
        <v>416</v>
      </c>
      <c r="K468">
        <v>190335590.75150201</v>
      </c>
      <c r="L468">
        <v>0.85</v>
      </c>
      <c r="M468">
        <v>94871723255.260193</v>
      </c>
      <c r="N468">
        <v>298397330244</v>
      </c>
      <c r="O468">
        <v>30202010</v>
      </c>
      <c r="P468">
        <v>3020</v>
      </c>
      <c r="Q468">
        <v>3.4</v>
      </c>
      <c r="S468" t="s">
        <v>419</v>
      </c>
      <c r="T468" t="s">
        <v>423</v>
      </c>
      <c r="U468">
        <v>0</v>
      </c>
      <c r="V468">
        <v>0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 t="s">
        <v>422</v>
      </c>
      <c r="AC468" t="s">
        <v>422</v>
      </c>
      <c r="AD468">
        <v>0</v>
      </c>
      <c r="AE468">
        <v>0</v>
      </c>
      <c r="AF468">
        <v>0</v>
      </c>
      <c r="AH468">
        <v>0</v>
      </c>
      <c r="AI468" t="s">
        <v>424</v>
      </c>
      <c r="AK468" t="s">
        <v>424</v>
      </c>
      <c r="AL468" t="s">
        <v>424</v>
      </c>
      <c r="AM468" t="s">
        <v>424</v>
      </c>
      <c r="AO468">
        <v>0</v>
      </c>
      <c r="AP468">
        <v>0</v>
      </c>
      <c r="AQ468">
        <v>0</v>
      </c>
      <c r="AR468">
        <v>0</v>
      </c>
      <c r="AS468">
        <v>2.2610000000000001</v>
      </c>
      <c r="AT468">
        <v>2.4910000000000001</v>
      </c>
      <c r="AU468" t="s">
        <v>430</v>
      </c>
      <c r="AV468">
        <v>0</v>
      </c>
      <c r="AW468">
        <v>0</v>
      </c>
      <c r="AX468" t="s">
        <v>446</v>
      </c>
      <c r="AY468">
        <v>0</v>
      </c>
      <c r="AZ468">
        <v>0</v>
      </c>
      <c r="BA468">
        <v>0</v>
      </c>
      <c r="CE468">
        <v>2.3759999999999999</v>
      </c>
      <c r="CG468" t="s">
        <v>450</v>
      </c>
      <c r="CI468">
        <v>3.4</v>
      </c>
      <c r="CJ468">
        <v>3.1</v>
      </c>
      <c r="CK468">
        <v>3.25</v>
      </c>
      <c r="CL468">
        <v>-0.24</v>
      </c>
      <c r="CM468">
        <v>3.01</v>
      </c>
    </row>
    <row r="469" spans="1:91" x14ac:dyDescent="0.25">
      <c r="A469">
        <v>1426</v>
      </c>
      <c r="B469" t="s">
        <v>121</v>
      </c>
      <c r="C469" t="s">
        <v>221</v>
      </c>
      <c r="D469" t="s">
        <v>321</v>
      </c>
      <c r="E469" t="s">
        <v>407</v>
      </c>
      <c r="F469">
        <v>194505658</v>
      </c>
      <c r="G469">
        <v>181.8</v>
      </c>
      <c r="H469" t="s">
        <v>409</v>
      </c>
      <c r="I469">
        <v>35361128624.400002</v>
      </c>
      <c r="J469" t="s">
        <v>415</v>
      </c>
      <c r="K469">
        <v>36834331.3722222</v>
      </c>
      <c r="L469">
        <v>0.65</v>
      </c>
      <c r="M469">
        <v>22984733605.860001</v>
      </c>
      <c r="N469">
        <v>12819867918.780001</v>
      </c>
      <c r="O469">
        <v>20103015</v>
      </c>
      <c r="P469">
        <v>2010</v>
      </c>
      <c r="Q469">
        <v>1.74156423615151</v>
      </c>
      <c r="R469">
        <v>1.77</v>
      </c>
      <c r="S469" t="s">
        <v>419</v>
      </c>
      <c r="T469" t="s">
        <v>422</v>
      </c>
      <c r="U469">
        <v>0</v>
      </c>
      <c r="V469">
        <v>0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 t="s">
        <v>422</v>
      </c>
      <c r="AC469" t="s">
        <v>422</v>
      </c>
      <c r="AD469">
        <v>0</v>
      </c>
      <c r="AE469">
        <v>0</v>
      </c>
      <c r="AF469">
        <v>0</v>
      </c>
      <c r="AH469">
        <v>0</v>
      </c>
      <c r="AI469" t="s">
        <v>424</v>
      </c>
      <c r="AK469" t="s">
        <v>424</v>
      </c>
      <c r="AL469" t="s">
        <v>424</v>
      </c>
      <c r="AM469" t="s">
        <v>424</v>
      </c>
      <c r="AO469">
        <v>0</v>
      </c>
      <c r="AP469">
        <v>0</v>
      </c>
      <c r="AQ469">
        <v>0</v>
      </c>
      <c r="AR469">
        <v>0</v>
      </c>
      <c r="AS469">
        <v>2.661</v>
      </c>
      <c r="AT469">
        <v>2.8610000000000002</v>
      </c>
      <c r="AU469" t="s">
        <v>429</v>
      </c>
      <c r="AV469">
        <v>0</v>
      </c>
      <c r="AW469">
        <v>0</v>
      </c>
      <c r="AX469" t="s">
        <v>447</v>
      </c>
      <c r="AY469">
        <v>0</v>
      </c>
      <c r="AZ469">
        <v>0</v>
      </c>
      <c r="BA469">
        <v>0</v>
      </c>
      <c r="CE469">
        <v>2.7610000000000001</v>
      </c>
      <c r="CG469" t="s">
        <v>450</v>
      </c>
      <c r="CI469">
        <v>1.74156423615151</v>
      </c>
      <c r="CJ469">
        <v>1.77</v>
      </c>
      <c r="CK469">
        <v>1.7557821180757549</v>
      </c>
      <c r="CL469">
        <v>-0.24</v>
      </c>
      <c r="CM469">
        <v>1.5157821180757549</v>
      </c>
    </row>
    <row r="470" spans="1:91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396</v>
      </c>
      <c r="F470">
        <v>1829281171</v>
      </c>
      <c r="G470">
        <v>28.02</v>
      </c>
      <c r="H470" t="s">
        <v>409</v>
      </c>
      <c r="I470">
        <v>51256458411.419998</v>
      </c>
      <c r="J470" t="s">
        <v>415</v>
      </c>
      <c r="K470">
        <v>33560177.086428598</v>
      </c>
      <c r="L470">
        <v>0.45</v>
      </c>
      <c r="M470">
        <v>23065406285.139</v>
      </c>
      <c r="N470">
        <v>83470099832.730011</v>
      </c>
      <c r="O470">
        <v>40301010</v>
      </c>
      <c r="P470">
        <v>4030</v>
      </c>
      <c r="Q470">
        <v>1.98736553146424</v>
      </c>
      <c r="S470" t="s">
        <v>418</v>
      </c>
      <c r="T470" t="s">
        <v>422</v>
      </c>
      <c r="U470">
        <v>0</v>
      </c>
      <c r="V470">
        <v>0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 t="s">
        <v>422</v>
      </c>
      <c r="AC470" t="s">
        <v>422</v>
      </c>
      <c r="AD470">
        <v>0</v>
      </c>
      <c r="AE470">
        <v>0</v>
      </c>
      <c r="AF470">
        <v>0</v>
      </c>
      <c r="AH470">
        <v>0</v>
      </c>
      <c r="AI470" t="s">
        <v>424</v>
      </c>
      <c r="AK470" t="s">
        <v>424</v>
      </c>
      <c r="AL470" t="s">
        <v>424</v>
      </c>
      <c r="AM470" t="s">
        <v>424</v>
      </c>
      <c r="AO470">
        <v>0</v>
      </c>
      <c r="AP470">
        <v>0</v>
      </c>
      <c r="AQ470">
        <v>0</v>
      </c>
      <c r="AR470">
        <v>0</v>
      </c>
      <c r="AS470">
        <v>1.905</v>
      </c>
      <c r="AT470">
        <v>3.3580000000000001</v>
      </c>
      <c r="AU470" t="s">
        <v>426</v>
      </c>
      <c r="AV470">
        <v>0</v>
      </c>
      <c r="AW470">
        <v>0</v>
      </c>
      <c r="AX470" t="s">
        <v>445</v>
      </c>
      <c r="AY470">
        <v>0</v>
      </c>
      <c r="AZ470">
        <v>0</v>
      </c>
      <c r="BA470">
        <v>0</v>
      </c>
      <c r="CE470">
        <v>2.6315</v>
      </c>
      <c r="CG470" t="s">
        <v>450</v>
      </c>
      <c r="CI470">
        <v>1.98736553146424</v>
      </c>
      <c r="CJ470">
        <v>3.1</v>
      </c>
      <c r="CK470">
        <v>2.5436827657321199</v>
      </c>
      <c r="CL470">
        <v>-0.18</v>
      </c>
      <c r="CM470">
        <v>2.3636827657321202</v>
      </c>
    </row>
    <row r="471" spans="1:91" x14ac:dyDescent="0.25">
      <c r="A471">
        <v>1429</v>
      </c>
      <c r="B471" t="s">
        <v>153</v>
      </c>
      <c r="C471" t="s">
        <v>253</v>
      </c>
      <c r="D471" t="s">
        <v>353</v>
      </c>
      <c r="E471" t="s">
        <v>394</v>
      </c>
      <c r="F471">
        <v>142625428</v>
      </c>
      <c r="G471">
        <v>82.02</v>
      </c>
      <c r="H471" t="s">
        <v>409</v>
      </c>
      <c r="I471">
        <v>11698137604.559999</v>
      </c>
      <c r="J471" t="s">
        <v>415</v>
      </c>
      <c r="K471">
        <v>24417917.903809499</v>
      </c>
      <c r="L471">
        <v>0.85000000000000009</v>
      </c>
      <c r="M471">
        <v>9943416963.8760014</v>
      </c>
      <c r="N471">
        <v>12292885639.32</v>
      </c>
      <c r="O471">
        <v>35102045</v>
      </c>
      <c r="P471">
        <v>3510</v>
      </c>
      <c r="Q471">
        <v>1.7463750143176899</v>
      </c>
      <c r="R471">
        <v>2.7</v>
      </c>
      <c r="S471" t="s">
        <v>417</v>
      </c>
      <c r="T471" t="s">
        <v>422</v>
      </c>
      <c r="U471">
        <v>0</v>
      </c>
      <c r="V471">
        <v>0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 t="s">
        <v>422</v>
      </c>
      <c r="AC471" t="s">
        <v>422</v>
      </c>
      <c r="AD471">
        <v>0</v>
      </c>
      <c r="AE471">
        <v>0</v>
      </c>
      <c r="AF471">
        <v>0</v>
      </c>
      <c r="AH471">
        <v>0</v>
      </c>
      <c r="AI471" t="s">
        <v>424</v>
      </c>
      <c r="AK471" t="s">
        <v>424</v>
      </c>
      <c r="AL471" t="s">
        <v>424</v>
      </c>
      <c r="AM471" t="s">
        <v>424</v>
      </c>
      <c r="AO471">
        <v>0</v>
      </c>
      <c r="AP471">
        <v>0</v>
      </c>
      <c r="AQ471">
        <v>0</v>
      </c>
      <c r="AR471">
        <v>0</v>
      </c>
      <c r="AS471">
        <v>2.6110000000000002</v>
      </c>
      <c r="AT471">
        <v>3.1669999999999998</v>
      </c>
      <c r="AU471" t="s">
        <v>425</v>
      </c>
      <c r="AV471">
        <v>1</v>
      </c>
      <c r="AW471">
        <v>0</v>
      </c>
      <c r="AX471" t="s">
        <v>433</v>
      </c>
      <c r="AY471">
        <v>0</v>
      </c>
      <c r="AZ471">
        <v>0</v>
      </c>
      <c r="BA471">
        <v>0</v>
      </c>
      <c r="CE471">
        <v>2.8889999999999998</v>
      </c>
      <c r="CG471" t="s">
        <v>450</v>
      </c>
      <c r="CI471">
        <v>1.7463750143176899</v>
      </c>
      <c r="CJ471">
        <v>2.7</v>
      </c>
      <c r="CK471">
        <v>2.2231875071588449</v>
      </c>
      <c r="CL471">
        <v>-0.3</v>
      </c>
      <c r="CM471">
        <v>1.9231875071588449</v>
      </c>
    </row>
    <row r="472" spans="1:91" x14ac:dyDescent="0.25">
      <c r="A472">
        <v>1431</v>
      </c>
      <c r="B472" t="s">
        <v>136</v>
      </c>
      <c r="C472" t="s">
        <v>236</v>
      </c>
      <c r="D472" t="s">
        <v>336</v>
      </c>
      <c r="E472" t="s">
        <v>404</v>
      </c>
      <c r="F472">
        <v>1557675176</v>
      </c>
      <c r="G472">
        <v>47.784999999999997</v>
      </c>
      <c r="H472" t="s">
        <v>409</v>
      </c>
      <c r="I472">
        <v>74433508285.159988</v>
      </c>
      <c r="J472" t="s">
        <v>415</v>
      </c>
      <c r="K472">
        <v>328954382.36553299</v>
      </c>
      <c r="L472">
        <v>1</v>
      </c>
      <c r="M472">
        <v>74433508285.159988</v>
      </c>
      <c r="N472">
        <v>157948262846.39999</v>
      </c>
      <c r="O472">
        <v>30101010</v>
      </c>
      <c r="P472">
        <v>3010</v>
      </c>
      <c r="Q472">
        <v>3.4</v>
      </c>
      <c r="R472">
        <v>1.5</v>
      </c>
      <c r="S472" t="s">
        <v>418</v>
      </c>
      <c r="T472" t="s">
        <v>422</v>
      </c>
      <c r="U472">
        <v>0</v>
      </c>
      <c r="V472">
        <v>0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 t="s">
        <v>422</v>
      </c>
      <c r="AC472" t="s">
        <v>422</v>
      </c>
      <c r="AD472">
        <v>0</v>
      </c>
      <c r="AE472">
        <v>0</v>
      </c>
      <c r="AF472">
        <v>0</v>
      </c>
      <c r="AH472">
        <v>0</v>
      </c>
      <c r="AI472" t="s">
        <v>424</v>
      </c>
      <c r="AK472" t="s">
        <v>424</v>
      </c>
      <c r="AL472" t="s">
        <v>424</v>
      </c>
      <c r="AM472" t="s">
        <v>424</v>
      </c>
      <c r="AO472">
        <v>0</v>
      </c>
      <c r="AP472">
        <v>0</v>
      </c>
      <c r="AQ472">
        <v>0</v>
      </c>
      <c r="AR472">
        <v>0</v>
      </c>
      <c r="AS472">
        <v>2.355</v>
      </c>
      <c r="AT472">
        <v>3.0659999999999998</v>
      </c>
      <c r="AU472" t="s">
        <v>430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2.7105000000000001</v>
      </c>
      <c r="CG472" t="s">
        <v>450</v>
      </c>
      <c r="CI472">
        <v>3.4</v>
      </c>
      <c r="CJ472">
        <v>1.5</v>
      </c>
      <c r="CK472">
        <v>2.4500000000000002</v>
      </c>
      <c r="CL472">
        <v>-0.18</v>
      </c>
      <c r="CM472">
        <v>2.27</v>
      </c>
    </row>
    <row r="473" spans="1:91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396</v>
      </c>
      <c r="F473">
        <v>2637743772</v>
      </c>
      <c r="G473">
        <v>53.3</v>
      </c>
      <c r="H473" t="s">
        <v>409</v>
      </c>
      <c r="I473">
        <v>140591743047.60001</v>
      </c>
      <c r="J473" t="s">
        <v>415</v>
      </c>
      <c r="K473">
        <v>67116423.676190495</v>
      </c>
      <c r="L473">
        <v>1</v>
      </c>
      <c r="M473">
        <v>140591743047.60001</v>
      </c>
      <c r="N473">
        <v>267467218480.79999</v>
      </c>
      <c r="O473">
        <v>45201020</v>
      </c>
      <c r="P473">
        <v>4520</v>
      </c>
      <c r="Q473">
        <v>1.9946538426723599</v>
      </c>
      <c r="R473">
        <v>1.5</v>
      </c>
      <c r="S473" t="s">
        <v>418</v>
      </c>
      <c r="T473" t="s">
        <v>422</v>
      </c>
      <c r="U473">
        <v>0</v>
      </c>
      <c r="V473">
        <v>0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 t="s">
        <v>422</v>
      </c>
      <c r="AC473" t="s">
        <v>422</v>
      </c>
      <c r="AD473">
        <v>0</v>
      </c>
      <c r="AE473">
        <v>0</v>
      </c>
      <c r="AF473">
        <v>0</v>
      </c>
      <c r="AH473">
        <v>0</v>
      </c>
      <c r="AI473" t="s">
        <v>424</v>
      </c>
      <c r="AK473" t="s">
        <v>424</v>
      </c>
      <c r="AL473" t="s">
        <v>424</v>
      </c>
      <c r="AM473" t="s">
        <v>424</v>
      </c>
      <c r="AO473">
        <v>0</v>
      </c>
      <c r="AP473">
        <v>0</v>
      </c>
      <c r="AQ473">
        <v>0</v>
      </c>
      <c r="AR473">
        <v>0</v>
      </c>
      <c r="AS473">
        <v>2.464</v>
      </c>
      <c r="AT473">
        <v>3</v>
      </c>
      <c r="AU473" t="s">
        <v>420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2.7320000000000002</v>
      </c>
      <c r="CG473" t="s">
        <v>450</v>
      </c>
      <c r="CI473">
        <v>1.9946538426723599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404</v>
      </c>
      <c r="F474">
        <v>717473508</v>
      </c>
      <c r="G474">
        <v>13.81</v>
      </c>
      <c r="H474" t="s">
        <v>409</v>
      </c>
      <c r="I474">
        <v>9908309145.4799995</v>
      </c>
      <c r="J474" t="s">
        <v>415</v>
      </c>
      <c r="K474">
        <v>33150047.318852499</v>
      </c>
      <c r="L474">
        <v>0.55000000000000004</v>
      </c>
      <c r="M474">
        <v>5449570030.0139999</v>
      </c>
      <c r="N474">
        <v>40013497541.160004</v>
      </c>
      <c r="O474">
        <v>30302010</v>
      </c>
      <c r="P474">
        <v>3030</v>
      </c>
      <c r="Q474">
        <v>3.4</v>
      </c>
      <c r="R474">
        <v>3.1</v>
      </c>
      <c r="S474" t="s">
        <v>418</v>
      </c>
      <c r="T474" t="s">
        <v>422</v>
      </c>
      <c r="U474">
        <v>0</v>
      </c>
      <c r="V474">
        <v>0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 t="s">
        <v>422</v>
      </c>
      <c r="AC474" t="s">
        <v>422</v>
      </c>
      <c r="AD474">
        <v>0</v>
      </c>
      <c r="AE474">
        <v>0</v>
      </c>
      <c r="AF474">
        <v>0</v>
      </c>
      <c r="AH474">
        <v>0</v>
      </c>
      <c r="AI474" t="s">
        <v>424</v>
      </c>
      <c r="AK474" t="s">
        <v>424</v>
      </c>
      <c r="AL474" t="s">
        <v>424</v>
      </c>
      <c r="AM474" t="s">
        <v>424</v>
      </c>
      <c r="AO474">
        <v>0</v>
      </c>
      <c r="AP474">
        <v>0</v>
      </c>
      <c r="AQ474">
        <v>0</v>
      </c>
      <c r="AR474">
        <v>0</v>
      </c>
      <c r="AS474">
        <v>2.2250000000000001</v>
      </c>
      <c r="AT474">
        <v>2.2309999999999999</v>
      </c>
      <c r="AU474" t="s">
        <v>430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2.2280000000000002</v>
      </c>
      <c r="CG474" t="s">
        <v>450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403</v>
      </c>
      <c r="F475">
        <v>488792080</v>
      </c>
      <c r="G475">
        <v>10.40296</v>
      </c>
      <c r="H475" t="s">
        <v>413</v>
      </c>
      <c r="I475">
        <v>5084884456.5567999</v>
      </c>
      <c r="J475" t="s">
        <v>416</v>
      </c>
      <c r="K475">
        <v>7898997.63288505</v>
      </c>
      <c r="L475">
        <v>0.9</v>
      </c>
      <c r="M475">
        <v>4576396010.9011202</v>
      </c>
      <c r="N475">
        <v>44607165220.800003</v>
      </c>
      <c r="O475">
        <v>35102040</v>
      </c>
      <c r="P475">
        <v>3510</v>
      </c>
      <c r="Q475">
        <v>1.94404522330952</v>
      </c>
      <c r="S475" t="s">
        <v>421</v>
      </c>
      <c r="T475" t="s">
        <v>422</v>
      </c>
      <c r="U475">
        <v>0</v>
      </c>
      <c r="V475">
        <v>0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 t="s">
        <v>422</v>
      </c>
      <c r="AC475" t="s">
        <v>422</v>
      </c>
      <c r="AD475">
        <v>0</v>
      </c>
      <c r="AE475">
        <v>0</v>
      </c>
      <c r="AF475">
        <v>0</v>
      </c>
      <c r="AH475">
        <v>0</v>
      </c>
      <c r="AI475" t="s">
        <v>424</v>
      </c>
      <c r="AK475" t="s">
        <v>424</v>
      </c>
      <c r="AL475" t="s">
        <v>424</v>
      </c>
      <c r="AM475" t="s">
        <v>424</v>
      </c>
      <c r="AO475">
        <v>0</v>
      </c>
      <c r="AP475">
        <v>0</v>
      </c>
      <c r="AQ475">
        <v>0</v>
      </c>
      <c r="AR475">
        <v>0</v>
      </c>
      <c r="AS475">
        <v>2.089</v>
      </c>
      <c r="AT475">
        <v>2.8769999999999998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2.4830000000000001</v>
      </c>
      <c r="CG475" t="s">
        <v>450</v>
      </c>
      <c r="CI475">
        <v>1.94404522330952</v>
      </c>
      <c r="CJ475">
        <v>3.1</v>
      </c>
      <c r="CK475">
        <v>2.5220226116547599</v>
      </c>
      <c r="CL475">
        <v>0.18</v>
      </c>
      <c r="CM475">
        <v>2.7020226116547601</v>
      </c>
    </row>
    <row r="476" spans="1:91" x14ac:dyDescent="0.25">
      <c r="A476">
        <v>1442</v>
      </c>
      <c r="B476" t="s">
        <v>193</v>
      </c>
      <c r="C476" t="s">
        <v>293</v>
      </c>
      <c r="D476" t="s">
        <v>393</v>
      </c>
      <c r="E476" t="s">
        <v>403</v>
      </c>
      <c r="F476">
        <v>681888400</v>
      </c>
      <c r="G476">
        <v>11.622780000000001</v>
      </c>
      <c r="H476" t="s">
        <v>413</v>
      </c>
      <c r="I476">
        <v>7925438857.7520008</v>
      </c>
      <c r="J476" t="s">
        <v>416</v>
      </c>
      <c r="K476">
        <v>15580051.4032885</v>
      </c>
      <c r="L476">
        <v>1</v>
      </c>
      <c r="M476">
        <v>7925438857.7520008</v>
      </c>
      <c r="N476">
        <v>69143483760</v>
      </c>
      <c r="O476">
        <v>65102030</v>
      </c>
      <c r="P476">
        <v>6510</v>
      </c>
      <c r="Q476">
        <v>1.6963650110689901</v>
      </c>
      <c r="S476" t="s">
        <v>417</v>
      </c>
      <c r="T476" t="s">
        <v>422</v>
      </c>
      <c r="U476">
        <v>0</v>
      </c>
      <c r="V476">
        <v>0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 t="s">
        <v>422</v>
      </c>
      <c r="AC476" t="s">
        <v>422</v>
      </c>
      <c r="AD476">
        <v>0</v>
      </c>
      <c r="AE476">
        <v>0</v>
      </c>
      <c r="AF476">
        <v>0</v>
      </c>
      <c r="AH476">
        <v>0</v>
      </c>
      <c r="AI476" t="s">
        <v>424</v>
      </c>
      <c r="AK476" t="s">
        <v>424</v>
      </c>
      <c r="AL476" t="s">
        <v>424</v>
      </c>
      <c r="AM476" t="s">
        <v>424</v>
      </c>
      <c r="AO476">
        <v>0</v>
      </c>
      <c r="AP476">
        <v>0</v>
      </c>
      <c r="AQ476">
        <v>0</v>
      </c>
      <c r="AR476">
        <v>0</v>
      </c>
      <c r="AS476">
        <v>2.96</v>
      </c>
      <c r="AT476">
        <v>2.3919999999999999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2.6760000000000002</v>
      </c>
      <c r="CG476" t="s">
        <v>450</v>
      </c>
      <c r="CI476">
        <v>1.6963650110689901</v>
      </c>
      <c r="CJ476">
        <v>3.1</v>
      </c>
      <c r="CK476">
        <v>2.398182505534495</v>
      </c>
      <c r="CL476">
        <v>-0.3</v>
      </c>
      <c r="CM476">
        <v>2.0981825055344951</v>
      </c>
    </row>
    <row r="477" spans="1:91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399</v>
      </c>
      <c r="F477">
        <v>533735700</v>
      </c>
      <c r="G477">
        <v>29.2</v>
      </c>
      <c r="H477" t="s">
        <v>409</v>
      </c>
      <c r="I477">
        <v>15585082440</v>
      </c>
      <c r="J477" t="s">
        <v>415</v>
      </c>
      <c r="K477">
        <v>33824524.715084702</v>
      </c>
      <c r="L477">
        <v>1</v>
      </c>
      <c r="M477">
        <v>15585082440</v>
      </c>
      <c r="N477">
        <v>54120799980</v>
      </c>
      <c r="O477">
        <v>55101015</v>
      </c>
      <c r="P477">
        <v>5510</v>
      </c>
      <c r="Q477">
        <v>1.78000684488769</v>
      </c>
      <c r="R477">
        <v>1.5</v>
      </c>
      <c r="S477" t="s">
        <v>417</v>
      </c>
      <c r="T477" t="s">
        <v>422</v>
      </c>
      <c r="U477">
        <v>0</v>
      </c>
      <c r="V477">
        <v>0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B477" t="s">
        <v>422</v>
      </c>
      <c r="AC477" t="s">
        <v>422</v>
      </c>
      <c r="AE477">
        <v>2E-3</v>
      </c>
      <c r="AF477">
        <v>2.9999999999999997E-4</v>
      </c>
      <c r="AH477">
        <v>0</v>
      </c>
      <c r="AI477" t="s">
        <v>424</v>
      </c>
      <c r="AK477" t="s">
        <v>424</v>
      </c>
      <c r="AL477" t="s">
        <v>424</v>
      </c>
      <c r="AM477" t="s">
        <v>424</v>
      </c>
      <c r="AN477" t="s">
        <v>1654</v>
      </c>
      <c r="AO477">
        <v>2.3E-2</v>
      </c>
      <c r="AP477">
        <v>0</v>
      </c>
      <c r="AQ477">
        <v>0</v>
      </c>
      <c r="AR477">
        <v>0</v>
      </c>
      <c r="AS477">
        <v>2.7679999999999998</v>
      </c>
      <c r="AT477">
        <v>3.4249999999999998</v>
      </c>
      <c r="AU477" t="s">
        <v>420</v>
      </c>
      <c r="AV477">
        <v>1</v>
      </c>
      <c r="AW477">
        <v>0</v>
      </c>
      <c r="AX477" t="s">
        <v>438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3.0964999999999998</v>
      </c>
      <c r="CG477" t="s">
        <v>1670</v>
      </c>
      <c r="CH477" t="s">
        <v>1709</v>
      </c>
      <c r="CI477">
        <v>1.78000684488769</v>
      </c>
      <c r="CJ477">
        <v>1.5</v>
      </c>
      <c r="CK477">
        <v>1.6400034224438449</v>
      </c>
      <c r="CL477">
        <v>-0.3</v>
      </c>
      <c r="CM477">
        <v>1.3400034224438451</v>
      </c>
    </row>
    <row r="478" spans="1:91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394</v>
      </c>
      <c r="F478">
        <v>233875005</v>
      </c>
      <c r="G478">
        <v>18.78</v>
      </c>
      <c r="H478" t="s">
        <v>409</v>
      </c>
      <c r="I478">
        <v>4392172593.9000006</v>
      </c>
      <c r="J478" t="s">
        <v>415</v>
      </c>
      <c r="K478">
        <v>9251121.3691666592</v>
      </c>
      <c r="L478">
        <v>0.70000000000000007</v>
      </c>
      <c r="M478">
        <v>3074520815.73</v>
      </c>
      <c r="N478">
        <v>16600447854.9</v>
      </c>
      <c r="O478">
        <v>60101030</v>
      </c>
      <c r="P478">
        <v>6010</v>
      </c>
      <c r="Q478">
        <v>1.93563124479013</v>
      </c>
      <c r="R478">
        <v>1.5</v>
      </c>
      <c r="S478" t="s">
        <v>418</v>
      </c>
      <c r="T478" t="s">
        <v>422</v>
      </c>
      <c r="U478">
        <v>0</v>
      </c>
      <c r="V478">
        <v>0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 t="s">
        <v>422</v>
      </c>
      <c r="AC478" t="s">
        <v>422</v>
      </c>
      <c r="AD478">
        <v>0</v>
      </c>
      <c r="AE478">
        <v>0.73299999999999998</v>
      </c>
      <c r="AF478">
        <v>0</v>
      </c>
      <c r="AG478" t="s">
        <v>1653</v>
      </c>
      <c r="AH478">
        <v>0</v>
      </c>
      <c r="AI478" t="s">
        <v>424</v>
      </c>
      <c r="AJ478" t="s">
        <v>1653</v>
      </c>
      <c r="AK478" t="s">
        <v>424</v>
      </c>
      <c r="AL478" t="s">
        <v>424</v>
      </c>
      <c r="AM478" t="s">
        <v>424</v>
      </c>
      <c r="AN478" t="s">
        <v>1653</v>
      </c>
      <c r="AO478">
        <v>0.01</v>
      </c>
      <c r="AP478">
        <v>0</v>
      </c>
      <c r="AQ478">
        <v>0</v>
      </c>
      <c r="AR478">
        <v>0</v>
      </c>
      <c r="AS478">
        <v>2.1150000000000002</v>
      </c>
      <c r="AT478">
        <v>3.367</v>
      </c>
      <c r="AU478" t="s">
        <v>420</v>
      </c>
      <c r="AV478">
        <v>1</v>
      </c>
      <c r="AW478">
        <v>0</v>
      </c>
      <c r="AX478" t="s">
        <v>433</v>
      </c>
      <c r="AY478">
        <v>0</v>
      </c>
      <c r="AZ478">
        <v>0</v>
      </c>
      <c r="BA478">
        <v>0</v>
      </c>
      <c r="BE478" t="s">
        <v>1666</v>
      </c>
      <c r="BQ478" t="s">
        <v>68</v>
      </c>
      <c r="BS478" t="s">
        <v>70</v>
      </c>
      <c r="BV478" t="s">
        <v>73</v>
      </c>
      <c r="BZ478" t="s">
        <v>77</v>
      </c>
      <c r="CE478">
        <v>2.7410000000000001</v>
      </c>
      <c r="CG478" t="s">
        <v>1670</v>
      </c>
      <c r="CH478" t="s">
        <v>1734</v>
      </c>
      <c r="CI478">
        <v>1.93563124479013</v>
      </c>
      <c r="CJ478">
        <v>1.5</v>
      </c>
      <c r="CK478">
        <v>1.7178156223950649</v>
      </c>
      <c r="CL478">
        <v>-0.18</v>
      </c>
      <c r="CM478">
        <v>1.537815622395065</v>
      </c>
    </row>
    <row r="479" spans="1:91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399</v>
      </c>
      <c r="F479">
        <v>184529600</v>
      </c>
      <c r="G479">
        <v>27.3</v>
      </c>
      <c r="H479" t="s">
        <v>409</v>
      </c>
      <c r="I479">
        <v>5037658080</v>
      </c>
      <c r="J479" t="s">
        <v>415</v>
      </c>
      <c r="K479">
        <v>10486717.3045763</v>
      </c>
      <c r="L479">
        <v>0.8</v>
      </c>
      <c r="M479">
        <v>4030126464</v>
      </c>
      <c r="N479">
        <v>14969041152</v>
      </c>
      <c r="O479">
        <v>50204000</v>
      </c>
      <c r="P479">
        <v>5020</v>
      </c>
      <c r="Q479">
        <v>1.9994366991419801</v>
      </c>
      <c r="R479">
        <v>1.5</v>
      </c>
      <c r="S479" t="s">
        <v>417</v>
      </c>
      <c r="T479" t="s">
        <v>422</v>
      </c>
      <c r="U479">
        <v>0</v>
      </c>
      <c r="V479">
        <v>0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 t="s">
        <v>422</v>
      </c>
      <c r="AC479" t="s">
        <v>422</v>
      </c>
      <c r="AD479">
        <v>0</v>
      </c>
      <c r="AE479">
        <v>0.05</v>
      </c>
      <c r="AF479">
        <v>0</v>
      </c>
      <c r="AH479">
        <v>0</v>
      </c>
      <c r="AI479" t="s">
        <v>424</v>
      </c>
      <c r="AK479" t="s">
        <v>424</v>
      </c>
      <c r="AL479" t="s">
        <v>424</v>
      </c>
      <c r="AM479" t="s">
        <v>424</v>
      </c>
      <c r="AN479" t="s">
        <v>1653</v>
      </c>
      <c r="AO479">
        <v>0.01</v>
      </c>
      <c r="AP479">
        <v>0</v>
      </c>
      <c r="AQ479">
        <v>0</v>
      </c>
      <c r="AR479">
        <v>0</v>
      </c>
      <c r="AS479">
        <v>2.5430000000000001</v>
      </c>
      <c r="AT479">
        <v>3.4980000000000002</v>
      </c>
      <c r="AU479" t="s">
        <v>420</v>
      </c>
      <c r="AV479">
        <v>1</v>
      </c>
      <c r="AW479">
        <v>0</v>
      </c>
      <c r="AX479" t="s">
        <v>438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3.0205000000000002</v>
      </c>
      <c r="CG479" t="s">
        <v>1670</v>
      </c>
      <c r="CH479" t="s">
        <v>1672</v>
      </c>
      <c r="CI479">
        <v>1.9994366991419801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406</v>
      </c>
      <c r="F480">
        <v>30000000</v>
      </c>
      <c r="G480">
        <v>389.80110000000002</v>
      </c>
      <c r="H480" t="s">
        <v>414</v>
      </c>
      <c r="I480">
        <v>11694033000</v>
      </c>
      <c r="J480" t="s">
        <v>416</v>
      </c>
      <c r="K480">
        <v>34521108.4792215</v>
      </c>
      <c r="L480">
        <v>0.9</v>
      </c>
      <c r="M480">
        <v>10524629700</v>
      </c>
      <c r="N480">
        <v>2737800000</v>
      </c>
      <c r="O480">
        <v>50202020</v>
      </c>
      <c r="P480">
        <v>5020</v>
      </c>
      <c r="Q480">
        <v>3.4</v>
      </c>
      <c r="S480" t="s">
        <v>421</v>
      </c>
      <c r="T480" t="s">
        <v>422</v>
      </c>
      <c r="U480">
        <v>0</v>
      </c>
      <c r="V480">
        <v>0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 t="s">
        <v>422</v>
      </c>
      <c r="AC480" t="s">
        <v>422</v>
      </c>
      <c r="AD480">
        <v>0</v>
      </c>
      <c r="AE480">
        <v>0</v>
      </c>
      <c r="AF480">
        <v>0</v>
      </c>
      <c r="AH480">
        <v>0</v>
      </c>
      <c r="AI480" t="s">
        <v>424</v>
      </c>
      <c r="AK480" t="s">
        <v>424</v>
      </c>
      <c r="AL480" t="s">
        <v>424</v>
      </c>
      <c r="AM480" t="s">
        <v>424</v>
      </c>
      <c r="AO480">
        <v>0</v>
      </c>
      <c r="AP480">
        <v>0</v>
      </c>
      <c r="AQ480">
        <v>0</v>
      </c>
      <c r="AR480">
        <v>0</v>
      </c>
      <c r="AS480">
        <v>2.3010000000000002</v>
      </c>
      <c r="AT480">
        <v>2.9359999999999999</v>
      </c>
      <c r="AU480" t="s">
        <v>420</v>
      </c>
      <c r="AV480">
        <v>1</v>
      </c>
      <c r="AW480">
        <v>0</v>
      </c>
      <c r="AX480" t="s">
        <v>446</v>
      </c>
      <c r="AY480">
        <v>0</v>
      </c>
      <c r="AZ480">
        <v>0</v>
      </c>
      <c r="BA480">
        <v>0</v>
      </c>
      <c r="CE480">
        <v>2.6185</v>
      </c>
      <c r="CG480" t="s">
        <v>450</v>
      </c>
      <c r="CI480">
        <v>3.4</v>
      </c>
      <c r="CJ480">
        <v>3.1</v>
      </c>
      <c r="CK480">
        <v>3.25</v>
      </c>
      <c r="CL480">
        <v>0.18</v>
      </c>
      <c r="CM480">
        <v>3.43</v>
      </c>
    </row>
    <row r="481" spans="1:91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394</v>
      </c>
      <c r="F481">
        <v>740652608</v>
      </c>
      <c r="G481">
        <v>27.47</v>
      </c>
      <c r="H481" t="s">
        <v>409</v>
      </c>
      <c r="I481">
        <v>20345727141.759998</v>
      </c>
      <c r="J481" t="s">
        <v>415</v>
      </c>
      <c r="K481">
        <v>52724083.8451588</v>
      </c>
      <c r="L481">
        <v>0.95000000000000007</v>
      </c>
      <c r="M481">
        <v>19328440784.672001</v>
      </c>
      <c r="N481">
        <v>71347065728.639999</v>
      </c>
      <c r="O481">
        <v>65102030</v>
      </c>
      <c r="P481">
        <v>6510</v>
      </c>
      <c r="Q481">
        <v>1.6176163476718901</v>
      </c>
      <c r="R481">
        <v>2.08</v>
      </c>
      <c r="S481" t="s">
        <v>417</v>
      </c>
      <c r="T481" t="s">
        <v>422</v>
      </c>
      <c r="U481">
        <v>0</v>
      </c>
      <c r="V481">
        <v>0</v>
      </c>
      <c r="W481" t="s">
        <v>422</v>
      </c>
      <c r="X481" t="s">
        <v>422</v>
      </c>
      <c r="Y481" t="s">
        <v>422</v>
      </c>
      <c r="Z481" t="s">
        <v>1651</v>
      </c>
      <c r="AA481" t="s">
        <v>422</v>
      </c>
      <c r="AB481" t="s">
        <v>422</v>
      </c>
      <c r="AC481" t="s">
        <v>422</v>
      </c>
      <c r="AD481">
        <v>4.1999999999999997E-3</v>
      </c>
      <c r="AE481">
        <v>0.35099999999999998</v>
      </c>
      <c r="AF481">
        <v>5.3E-3</v>
      </c>
      <c r="AG481" t="s">
        <v>1653</v>
      </c>
      <c r="AH481">
        <v>0</v>
      </c>
      <c r="AI481" t="s">
        <v>424</v>
      </c>
      <c r="AJ481" t="s">
        <v>1653</v>
      </c>
      <c r="AK481" t="s">
        <v>424</v>
      </c>
      <c r="AL481" t="s">
        <v>424</v>
      </c>
      <c r="AM481" t="s">
        <v>1655</v>
      </c>
      <c r="AN481" t="s">
        <v>1653</v>
      </c>
      <c r="AO481">
        <v>0.05</v>
      </c>
      <c r="AP481">
        <v>0</v>
      </c>
      <c r="AQ481">
        <v>0</v>
      </c>
      <c r="AR481">
        <v>0</v>
      </c>
      <c r="AS481">
        <v>2.3740000000000001</v>
      </c>
      <c r="AT481">
        <v>3.246</v>
      </c>
      <c r="AU481" t="s">
        <v>428</v>
      </c>
      <c r="AV481">
        <v>1</v>
      </c>
      <c r="AW481">
        <v>0</v>
      </c>
      <c r="AX481" t="s">
        <v>433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1670</v>
      </c>
      <c r="CH481" t="s">
        <v>1735</v>
      </c>
      <c r="CI481">
        <v>1.6176163476718901</v>
      </c>
      <c r="CJ481">
        <v>2.08</v>
      </c>
      <c r="CK481">
        <v>1.848808173835945</v>
      </c>
      <c r="CL481">
        <v>-0.3</v>
      </c>
      <c r="CM481">
        <v>1.5488081738359449</v>
      </c>
    </row>
    <row r="482" spans="1:91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405</v>
      </c>
      <c r="F482">
        <v>170233670</v>
      </c>
      <c r="G482">
        <v>71.150000000000006</v>
      </c>
      <c r="H482" t="s">
        <v>409</v>
      </c>
      <c r="I482">
        <v>12112125620.5</v>
      </c>
      <c r="J482" t="s">
        <v>415</v>
      </c>
      <c r="K482">
        <v>8900853.2139344309</v>
      </c>
      <c r="L482">
        <v>0.4</v>
      </c>
      <c r="M482">
        <v>4844850248.2000008</v>
      </c>
      <c r="N482">
        <v>6904677655.2000008</v>
      </c>
      <c r="O482">
        <v>65101010</v>
      </c>
      <c r="P482">
        <v>6510</v>
      </c>
      <c r="Q482">
        <v>2.5028866737292099</v>
      </c>
      <c r="R482">
        <v>1.5</v>
      </c>
      <c r="S482" t="s">
        <v>419</v>
      </c>
      <c r="T482" t="s">
        <v>422</v>
      </c>
      <c r="U482">
        <v>0</v>
      </c>
      <c r="V482">
        <v>0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 t="s">
        <v>422</v>
      </c>
      <c r="AC482" t="s">
        <v>422</v>
      </c>
      <c r="AD482">
        <v>0</v>
      </c>
      <c r="AE482">
        <v>2.5999999999999999E-2</v>
      </c>
      <c r="AF482">
        <v>1.0699999999999999E-2</v>
      </c>
      <c r="AH482">
        <v>0</v>
      </c>
      <c r="AI482" t="s">
        <v>424</v>
      </c>
      <c r="AK482" t="s">
        <v>424</v>
      </c>
      <c r="AL482" t="s">
        <v>424</v>
      </c>
      <c r="AM482" t="s">
        <v>424</v>
      </c>
      <c r="AO482">
        <v>0</v>
      </c>
      <c r="AP482">
        <v>0</v>
      </c>
      <c r="AQ482">
        <v>0</v>
      </c>
      <c r="AR482">
        <v>0</v>
      </c>
      <c r="AS482">
        <v>2.5539999999999998</v>
      </c>
      <c r="AT482">
        <v>3.02</v>
      </c>
      <c r="AU482" t="s">
        <v>421</v>
      </c>
      <c r="AV482">
        <v>1</v>
      </c>
      <c r="AW482">
        <v>0</v>
      </c>
      <c r="AX482" t="s">
        <v>444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2.7869999999999999</v>
      </c>
      <c r="CG482" t="s">
        <v>1670</v>
      </c>
      <c r="CH482" t="s">
        <v>1718</v>
      </c>
      <c r="CI482">
        <v>2.5028866737292099</v>
      </c>
      <c r="CJ482">
        <v>1.5</v>
      </c>
      <c r="CK482">
        <v>2.0014433368646052</v>
      </c>
      <c r="CL482">
        <v>-0.24</v>
      </c>
      <c r="CM482">
        <v>1.761443336864605</v>
      </c>
    </row>
    <row r="483" spans="1:91" x14ac:dyDescent="0.25">
      <c r="A483">
        <v>1462</v>
      </c>
      <c r="B483" t="s">
        <v>106</v>
      </c>
      <c r="C483" t="s">
        <v>206</v>
      </c>
      <c r="D483" t="s">
        <v>306</v>
      </c>
      <c r="E483" t="s">
        <v>402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416</v>
      </c>
      <c r="K483">
        <v>50667588.035409801</v>
      </c>
      <c r="L483">
        <v>1</v>
      </c>
      <c r="M483">
        <v>13268676093.7675</v>
      </c>
      <c r="N483">
        <v>102400539150</v>
      </c>
      <c r="O483">
        <v>60102020</v>
      </c>
      <c r="P483">
        <v>6010</v>
      </c>
      <c r="Q483">
        <v>1.9940728394311</v>
      </c>
      <c r="R483">
        <v>3.1</v>
      </c>
      <c r="S483" t="s">
        <v>421</v>
      </c>
      <c r="T483" t="s">
        <v>422</v>
      </c>
      <c r="U483">
        <v>0</v>
      </c>
      <c r="V483">
        <v>0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 t="s">
        <v>422</v>
      </c>
      <c r="AC483" t="s">
        <v>422</v>
      </c>
      <c r="AD483">
        <v>0</v>
      </c>
      <c r="AE483">
        <v>0</v>
      </c>
      <c r="AF483">
        <v>0</v>
      </c>
      <c r="AH483">
        <v>0</v>
      </c>
      <c r="AI483" t="s">
        <v>424</v>
      </c>
      <c r="AK483" t="s">
        <v>424</v>
      </c>
      <c r="AL483" t="s">
        <v>424</v>
      </c>
      <c r="AM483" t="s">
        <v>424</v>
      </c>
      <c r="AO483">
        <v>0</v>
      </c>
      <c r="AP483">
        <v>0</v>
      </c>
      <c r="AQ483">
        <v>0</v>
      </c>
      <c r="AR483">
        <v>0</v>
      </c>
      <c r="AS483">
        <v>2.3039999999999998</v>
      </c>
      <c r="AT483">
        <v>3.2229999999999999</v>
      </c>
      <c r="AU483" t="s">
        <v>420</v>
      </c>
      <c r="AV483">
        <v>1</v>
      </c>
      <c r="AW483">
        <v>1</v>
      </c>
      <c r="AX483" t="s">
        <v>441</v>
      </c>
      <c r="AY483">
        <v>0</v>
      </c>
      <c r="AZ483">
        <v>0</v>
      </c>
      <c r="BA483">
        <v>0</v>
      </c>
      <c r="CE483">
        <v>2.7635000000000001</v>
      </c>
      <c r="CG483" t="s">
        <v>450</v>
      </c>
      <c r="CI483">
        <v>1.9940728394311</v>
      </c>
      <c r="CJ483">
        <v>3.1</v>
      </c>
      <c r="CK483">
        <v>2.5470364197155502</v>
      </c>
      <c r="CL483">
        <v>0.18</v>
      </c>
      <c r="CM483">
        <v>2.7270364197155499</v>
      </c>
    </row>
    <row r="484" spans="1:91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394</v>
      </c>
      <c r="F484">
        <v>582414397</v>
      </c>
      <c r="G484">
        <v>108.55</v>
      </c>
      <c r="H484" t="s">
        <v>409</v>
      </c>
      <c r="I484">
        <v>63221082794.349998</v>
      </c>
      <c r="J484" t="s">
        <v>415</v>
      </c>
      <c r="K484">
        <v>99708280.288333401</v>
      </c>
      <c r="L484">
        <v>0.9</v>
      </c>
      <c r="M484">
        <v>56898974514.915001</v>
      </c>
      <c r="N484">
        <v>53151137870.220001</v>
      </c>
      <c r="O484">
        <v>50101010</v>
      </c>
      <c r="P484">
        <v>5010</v>
      </c>
      <c r="Q484">
        <v>1.98809324277643</v>
      </c>
      <c r="R484">
        <v>2.39</v>
      </c>
      <c r="S484" t="s">
        <v>418</v>
      </c>
      <c r="T484" t="s">
        <v>422</v>
      </c>
      <c r="U484">
        <v>0</v>
      </c>
      <c r="V484">
        <v>0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 t="s">
        <v>422</v>
      </c>
      <c r="AC484" t="s">
        <v>422</v>
      </c>
      <c r="AD484">
        <v>0</v>
      </c>
      <c r="AE484">
        <v>0.1</v>
      </c>
      <c r="AF484">
        <v>0</v>
      </c>
      <c r="AH484">
        <v>0</v>
      </c>
      <c r="AI484" t="s">
        <v>424</v>
      </c>
      <c r="AJ484" t="s">
        <v>1653</v>
      </c>
      <c r="AK484" t="s">
        <v>424</v>
      </c>
      <c r="AL484" t="s">
        <v>424</v>
      </c>
      <c r="AM484" t="s">
        <v>424</v>
      </c>
      <c r="AN484" t="s">
        <v>1653</v>
      </c>
      <c r="AO484">
        <v>0.01</v>
      </c>
      <c r="AP484">
        <v>0</v>
      </c>
      <c r="AQ484">
        <v>0</v>
      </c>
      <c r="AR484">
        <v>0</v>
      </c>
      <c r="AS484">
        <v>2.2130000000000001</v>
      </c>
      <c r="AT484">
        <v>2.98</v>
      </c>
      <c r="AU484" t="s">
        <v>424</v>
      </c>
      <c r="AV484">
        <v>1</v>
      </c>
      <c r="AW484">
        <v>0</v>
      </c>
      <c r="AX484" t="s">
        <v>433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2.5964999999999998</v>
      </c>
      <c r="CG484" t="s">
        <v>1670</v>
      </c>
      <c r="CH484" t="s">
        <v>1736</v>
      </c>
      <c r="CI484">
        <v>1.98809324277643</v>
      </c>
      <c r="CJ484">
        <v>2.39</v>
      </c>
      <c r="CK484">
        <v>2.1890466213882149</v>
      </c>
      <c r="CL484">
        <v>-0.18</v>
      </c>
      <c r="CM484">
        <v>2.0090466213882152</v>
      </c>
    </row>
    <row r="485" spans="1:91" x14ac:dyDescent="0.25">
      <c r="A485">
        <v>1471</v>
      </c>
      <c r="B485" t="s">
        <v>113</v>
      </c>
      <c r="C485" t="s">
        <v>213</v>
      </c>
      <c r="D485" t="s">
        <v>313</v>
      </c>
      <c r="E485" t="s">
        <v>403</v>
      </c>
      <c r="F485">
        <v>25081295000</v>
      </c>
      <c r="G485">
        <v>0.80032029999999998</v>
      </c>
      <c r="H485" t="s">
        <v>413</v>
      </c>
      <c r="I485">
        <v>20073069538.788502</v>
      </c>
      <c r="J485" t="s">
        <v>416</v>
      </c>
      <c r="K485">
        <v>51438057.273945697</v>
      </c>
      <c r="L485">
        <v>0.8</v>
      </c>
      <c r="M485">
        <v>16058455631.0308</v>
      </c>
      <c r="N485">
        <v>2034594650400</v>
      </c>
      <c r="O485">
        <v>15102015</v>
      </c>
      <c r="P485">
        <v>1510</v>
      </c>
      <c r="Q485">
        <v>1.72809052700944</v>
      </c>
      <c r="R485">
        <v>1.5</v>
      </c>
      <c r="S485" t="s">
        <v>417</v>
      </c>
      <c r="T485" t="s">
        <v>422</v>
      </c>
      <c r="U485">
        <v>0</v>
      </c>
      <c r="V485">
        <v>0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 t="s">
        <v>422</v>
      </c>
      <c r="AC485" t="s">
        <v>422</v>
      </c>
      <c r="AD485">
        <v>0</v>
      </c>
      <c r="AE485">
        <v>0</v>
      </c>
      <c r="AF485">
        <v>0</v>
      </c>
      <c r="AH485">
        <v>0</v>
      </c>
      <c r="AI485" t="s">
        <v>424</v>
      </c>
      <c r="AK485" t="s">
        <v>424</v>
      </c>
      <c r="AL485" t="s">
        <v>424</v>
      </c>
      <c r="AM485" t="s">
        <v>424</v>
      </c>
      <c r="AO485">
        <v>0</v>
      </c>
      <c r="AP485">
        <v>0</v>
      </c>
      <c r="AQ485">
        <v>0</v>
      </c>
      <c r="AR485">
        <v>0</v>
      </c>
      <c r="AS485">
        <v>2.7650000000000001</v>
      </c>
      <c r="AT485">
        <v>3.141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2.9529999999999998</v>
      </c>
      <c r="CG485" t="s">
        <v>450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398</v>
      </c>
      <c r="F486">
        <v>206205440</v>
      </c>
      <c r="G486">
        <v>98.9</v>
      </c>
      <c r="H486" t="s">
        <v>409</v>
      </c>
      <c r="I486">
        <v>20393718016</v>
      </c>
      <c r="J486" t="s">
        <v>415</v>
      </c>
      <c r="K486">
        <v>98236018.425491795</v>
      </c>
      <c r="L486">
        <v>1</v>
      </c>
      <c r="M486">
        <v>20393718016</v>
      </c>
      <c r="N486">
        <v>20909231616</v>
      </c>
      <c r="O486">
        <v>40101020</v>
      </c>
      <c r="P486">
        <v>4010</v>
      </c>
      <c r="Q486">
        <v>1.99187596366764</v>
      </c>
      <c r="R486">
        <v>1.5</v>
      </c>
      <c r="S486" t="s">
        <v>419</v>
      </c>
      <c r="T486" t="s">
        <v>423</v>
      </c>
      <c r="U486">
        <v>0</v>
      </c>
      <c r="V486">
        <v>0</v>
      </c>
      <c r="W486" t="s">
        <v>422</v>
      </c>
      <c r="X486" t="s">
        <v>422</v>
      </c>
      <c r="Y486" t="s">
        <v>422</v>
      </c>
      <c r="Z486" t="s">
        <v>423</v>
      </c>
      <c r="AA486" t="s">
        <v>422</v>
      </c>
      <c r="AB486" t="s">
        <v>422</v>
      </c>
      <c r="AC486" t="s">
        <v>422</v>
      </c>
      <c r="AD486">
        <v>8.8000000000000005E-3</v>
      </c>
      <c r="AE486">
        <v>0.01</v>
      </c>
      <c r="AF486">
        <v>9.7999999999999997E-3</v>
      </c>
      <c r="AH486">
        <v>0</v>
      </c>
      <c r="AI486" t="s">
        <v>424</v>
      </c>
      <c r="AK486" t="s">
        <v>424</v>
      </c>
      <c r="AL486" t="s">
        <v>424</v>
      </c>
      <c r="AM486" t="s">
        <v>424</v>
      </c>
      <c r="AO486">
        <v>0</v>
      </c>
      <c r="AP486">
        <v>0</v>
      </c>
      <c r="AQ486">
        <v>0</v>
      </c>
      <c r="AR486">
        <v>0</v>
      </c>
      <c r="AS486">
        <v>2.7349999999999999</v>
      </c>
      <c r="AT486">
        <v>2.2749999999999999</v>
      </c>
      <c r="AU486" t="s">
        <v>420</v>
      </c>
      <c r="AV486">
        <v>1</v>
      </c>
      <c r="AW486">
        <v>0</v>
      </c>
      <c r="AX486" t="s">
        <v>437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2.5049999999999999</v>
      </c>
      <c r="CG486" t="s">
        <v>1670</v>
      </c>
      <c r="CH486" t="s">
        <v>1737</v>
      </c>
      <c r="CI486">
        <v>1.99187596366764</v>
      </c>
      <c r="CJ486">
        <v>1.5</v>
      </c>
      <c r="CK486">
        <v>1.7459379818338201</v>
      </c>
      <c r="CL486">
        <v>-0.24</v>
      </c>
      <c r="CM486">
        <v>1.5059379818338201</v>
      </c>
    </row>
    <row r="487" spans="1:91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395</v>
      </c>
      <c r="F487">
        <v>1588467400</v>
      </c>
      <c r="G487">
        <v>29.502649999999999</v>
      </c>
      <c r="H487" t="s">
        <v>410</v>
      </c>
      <c r="I487">
        <v>46863997738.610001</v>
      </c>
      <c r="J487" t="s">
        <v>416</v>
      </c>
      <c r="K487">
        <v>77388630.084493697</v>
      </c>
      <c r="L487">
        <v>1</v>
      </c>
      <c r="M487">
        <v>46863997738.610001</v>
      </c>
      <c r="N487">
        <v>161070594360</v>
      </c>
      <c r="O487">
        <v>50206015</v>
      </c>
      <c r="P487">
        <v>5020</v>
      </c>
      <c r="Q487">
        <v>2</v>
      </c>
      <c r="S487" t="s">
        <v>424</v>
      </c>
      <c r="T487" t="s">
        <v>422</v>
      </c>
      <c r="U487">
        <v>0</v>
      </c>
      <c r="V487">
        <v>0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 t="s">
        <v>422</v>
      </c>
      <c r="AC487" t="s">
        <v>422</v>
      </c>
      <c r="AD487">
        <v>0</v>
      </c>
      <c r="AE487">
        <v>0</v>
      </c>
      <c r="AF487">
        <v>0</v>
      </c>
      <c r="AH487">
        <v>0</v>
      </c>
      <c r="AI487" t="s">
        <v>424</v>
      </c>
      <c r="AK487" t="s">
        <v>424</v>
      </c>
      <c r="AL487" t="s">
        <v>424</v>
      </c>
      <c r="AM487" t="s">
        <v>424</v>
      </c>
      <c r="AO487">
        <v>0</v>
      </c>
      <c r="AP487">
        <v>0</v>
      </c>
      <c r="AQ487">
        <v>0</v>
      </c>
      <c r="AR487">
        <v>0</v>
      </c>
      <c r="AS487">
        <v>2.6949999999999998</v>
      </c>
      <c r="AT487">
        <v>3.036</v>
      </c>
      <c r="AU487" t="s">
        <v>420</v>
      </c>
      <c r="AV487">
        <v>1</v>
      </c>
      <c r="AW487">
        <v>0</v>
      </c>
      <c r="AX487" t="s">
        <v>434</v>
      </c>
      <c r="AY487">
        <v>0</v>
      </c>
      <c r="AZ487">
        <v>0</v>
      </c>
      <c r="BA487">
        <v>0</v>
      </c>
      <c r="CE487">
        <v>2.8654999999999999</v>
      </c>
      <c r="CG487" t="s">
        <v>450</v>
      </c>
      <c r="CI487">
        <v>2</v>
      </c>
      <c r="CJ487">
        <v>3.1</v>
      </c>
      <c r="CK487">
        <v>2.5499999999999998</v>
      </c>
      <c r="CL487">
        <v>0.3</v>
      </c>
      <c r="CM487">
        <v>2.85</v>
      </c>
    </row>
    <row r="488" spans="1:91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398</v>
      </c>
      <c r="F488">
        <v>822852900</v>
      </c>
      <c r="G488">
        <v>28.49</v>
      </c>
      <c r="H488" t="s">
        <v>409</v>
      </c>
      <c r="I488">
        <v>23443079121</v>
      </c>
      <c r="J488" t="s">
        <v>415</v>
      </c>
      <c r="K488">
        <v>58053347.874098398</v>
      </c>
      <c r="L488">
        <v>0.85</v>
      </c>
      <c r="M488">
        <v>19926617252.849998</v>
      </c>
      <c r="N488">
        <v>70921691451</v>
      </c>
      <c r="O488">
        <v>35101010</v>
      </c>
      <c r="P488">
        <v>3510</v>
      </c>
      <c r="Q488">
        <v>1.8469209156492401</v>
      </c>
      <c r="S488" t="s">
        <v>418</v>
      </c>
      <c r="T488" t="s">
        <v>422</v>
      </c>
      <c r="U488">
        <v>0</v>
      </c>
      <c r="V488">
        <v>0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 t="s">
        <v>422</v>
      </c>
      <c r="AC488" t="s">
        <v>422</v>
      </c>
      <c r="AD488">
        <v>0</v>
      </c>
      <c r="AE488">
        <v>0</v>
      </c>
      <c r="AF488">
        <v>0</v>
      </c>
      <c r="AH488">
        <v>0</v>
      </c>
      <c r="AI488" t="s">
        <v>424</v>
      </c>
      <c r="AK488" t="s">
        <v>424</v>
      </c>
      <c r="AL488" t="s">
        <v>424</v>
      </c>
      <c r="AM488" t="s">
        <v>424</v>
      </c>
      <c r="AO488">
        <v>0</v>
      </c>
      <c r="AP488">
        <v>0</v>
      </c>
      <c r="AQ488">
        <v>0</v>
      </c>
      <c r="AR488">
        <v>0</v>
      </c>
      <c r="AS488">
        <v>2.3359999999999999</v>
      </c>
      <c r="AT488">
        <v>2.91</v>
      </c>
      <c r="AU488" t="s">
        <v>425</v>
      </c>
      <c r="AV488">
        <v>1</v>
      </c>
      <c r="AW488">
        <v>0</v>
      </c>
      <c r="AX488" t="s">
        <v>437</v>
      </c>
      <c r="AY488">
        <v>0</v>
      </c>
      <c r="AZ488">
        <v>0</v>
      </c>
      <c r="BA488">
        <v>0</v>
      </c>
      <c r="CE488">
        <v>2.6230000000000002</v>
      </c>
      <c r="CG488" t="s">
        <v>450</v>
      </c>
      <c r="CI488">
        <v>1.8469209156492401</v>
      </c>
      <c r="CJ488">
        <v>3.1</v>
      </c>
      <c r="CK488">
        <v>2.4734604578246202</v>
      </c>
      <c r="CL488">
        <v>-0.18</v>
      </c>
      <c r="CM488">
        <v>2.29346045782462</v>
      </c>
    </row>
    <row r="489" spans="1:91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399</v>
      </c>
      <c r="F489">
        <v>591723400</v>
      </c>
      <c r="G489">
        <v>18.32</v>
      </c>
      <c r="H489" t="s">
        <v>409</v>
      </c>
      <c r="I489">
        <v>10840372688</v>
      </c>
      <c r="J489" t="s">
        <v>415</v>
      </c>
      <c r="K489">
        <v>16927839.842711899</v>
      </c>
      <c r="L489">
        <v>0.8</v>
      </c>
      <c r="M489">
        <v>8672298150.3999996</v>
      </c>
      <c r="N489">
        <v>48000602208</v>
      </c>
      <c r="O489">
        <v>50204030</v>
      </c>
      <c r="P489">
        <v>5020</v>
      </c>
      <c r="Q489">
        <v>3.4</v>
      </c>
      <c r="R489">
        <v>1.5</v>
      </c>
      <c r="S489" t="s">
        <v>418</v>
      </c>
      <c r="T489" t="s">
        <v>422</v>
      </c>
      <c r="U489">
        <v>0</v>
      </c>
      <c r="V489">
        <v>0</v>
      </c>
      <c r="W489" t="s">
        <v>422</v>
      </c>
      <c r="X489" t="s">
        <v>422</v>
      </c>
      <c r="Y489" t="s">
        <v>422</v>
      </c>
      <c r="Z489" t="s">
        <v>1651</v>
      </c>
      <c r="AA489" t="s">
        <v>422</v>
      </c>
      <c r="AB489" t="s">
        <v>422</v>
      </c>
      <c r="AC489" t="s">
        <v>422</v>
      </c>
      <c r="AD489">
        <v>0</v>
      </c>
      <c r="AE489">
        <v>0.15</v>
      </c>
      <c r="AF489">
        <v>0</v>
      </c>
      <c r="AH489">
        <v>0</v>
      </c>
      <c r="AI489" t="s">
        <v>424</v>
      </c>
      <c r="AK489" t="s">
        <v>424</v>
      </c>
      <c r="AL489" t="s">
        <v>424</v>
      </c>
      <c r="AM489" t="s">
        <v>424</v>
      </c>
      <c r="AO489">
        <v>0</v>
      </c>
      <c r="AP489">
        <v>0</v>
      </c>
      <c r="AQ489">
        <v>0</v>
      </c>
      <c r="AR489">
        <v>0</v>
      </c>
      <c r="AS489">
        <v>2.4409999999999998</v>
      </c>
      <c r="AT489">
        <v>3.2690000000000001</v>
      </c>
      <c r="AU489" t="s">
        <v>420</v>
      </c>
      <c r="AV489">
        <v>1</v>
      </c>
      <c r="AW489">
        <v>0</v>
      </c>
      <c r="AX489" t="s">
        <v>438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1670</v>
      </c>
      <c r="CH489" t="s">
        <v>1725</v>
      </c>
      <c r="CI489">
        <v>3.4</v>
      </c>
      <c r="CJ489">
        <v>1.5</v>
      </c>
      <c r="CK489">
        <v>2.4500000000000002</v>
      </c>
      <c r="CL489">
        <v>-0.18</v>
      </c>
      <c r="CM489">
        <v>2.27</v>
      </c>
    </row>
    <row r="490" spans="1:91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407</v>
      </c>
      <c r="F490">
        <v>225845971</v>
      </c>
      <c r="G490">
        <v>20.96</v>
      </c>
      <c r="H490" t="s">
        <v>409</v>
      </c>
      <c r="I490">
        <v>4733731552.1599998</v>
      </c>
      <c r="J490" t="s">
        <v>415</v>
      </c>
      <c r="K490">
        <v>8979727.3103968203</v>
      </c>
      <c r="L490">
        <v>0.8</v>
      </c>
      <c r="M490">
        <v>3786985241.7280002</v>
      </c>
      <c r="N490">
        <v>18320625167.52</v>
      </c>
      <c r="O490">
        <v>35102020</v>
      </c>
      <c r="P490">
        <v>3510</v>
      </c>
      <c r="Q490">
        <v>3.3551264172679298</v>
      </c>
      <c r="S490" t="s">
        <v>418</v>
      </c>
      <c r="T490" t="s">
        <v>422</v>
      </c>
      <c r="U490">
        <v>0</v>
      </c>
      <c r="V490">
        <v>0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 t="s">
        <v>422</v>
      </c>
      <c r="AC490" t="s">
        <v>422</v>
      </c>
      <c r="AD490">
        <v>0</v>
      </c>
      <c r="AE490">
        <v>0</v>
      </c>
      <c r="AF490">
        <v>0</v>
      </c>
      <c r="AH490">
        <v>0</v>
      </c>
      <c r="AI490" t="s">
        <v>424</v>
      </c>
      <c r="AK490" t="s">
        <v>424</v>
      </c>
      <c r="AL490" t="s">
        <v>424</v>
      </c>
      <c r="AM490" t="s">
        <v>424</v>
      </c>
      <c r="AO490">
        <v>0</v>
      </c>
      <c r="AP490">
        <v>0</v>
      </c>
      <c r="AQ490">
        <v>0</v>
      </c>
      <c r="AR490">
        <v>0</v>
      </c>
      <c r="AS490">
        <v>2.13</v>
      </c>
      <c r="AT490">
        <v>2.68</v>
      </c>
      <c r="AU490" t="s">
        <v>425</v>
      </c>
      <c r="AV490">
        <v>1</v>
      </c>
      <c r="AW490">
        <v>0</v>
      </c>
      <c r="AX490" t="s">
        <v>447</v>
      </c>
      <c r="AY490">
        <v>0</v>
      </c>
      <c r="AZ490">
        <v>0</v>
      </c>
      <c r="BA490">
        <v>0</v>
      </c>
      <c r="CE490">
        <v>2.4049999999999998</v>
      </c>
      <c r="CG490" t="s">
        <v>450</v>
      </c>
      <c r="CI490">
        <v>3.3551264172679298</v>
      </c>
      <c r="CJ490">
        <v>3.1</v>
      </c>
      <c r="CK490">
        <v>3.2275632086339652</v>
      </c>
      <c r="CL490">
        <v>-0.18</v>
      </c>
      <c r="CM490">
        <v>3.047563208633965</v>
      </c>
    </row>
    <row r="491" spans="1:91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403</v>
      </c>
      <c r="F491">
        <v>259612060</v>
      </c>
      <c r="G491">
        <v>27.854050000000001</v>
      </c>
      <c r="H491" t="s">
        <v>413</v>
      </c>
      <c r="I491">
        <v>7231247299.8430004</v>
      </c>
      <c r="J491" t="s">
        <v>416</v>
      </c>
      <c r="K491">
        <v>11563864.2202569</v>
      </c>
      <c r="L491">
        <v>1</v>
      </c>
      <c r="M491">
        <v>7231247299.8430004</v>
      </c>
      <c r="N491">
        <v>26324662884</v>
      </c>
      <c r="O491">
        <v>50204020</v>
      </c>
      <c r="P491">
        <v>5020</v>
      </c>
      <c r="Q491">
        <v>1.9990107643927499</v>
      </c>
      <c r="R491">
        <v>3.1</v>
      </c>
      <c r="S491" t="s">
        <v>418</v>
      </c>
      <c r="T491" t="s">
        <v>422</v>
      </c>
      <c r="U491">
        <v>0</v>
      </c>
      <c r="V491">
        <v>0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 t="s">
        <v>422</v>
      </c>
      <c r="AC491" t="s">
        <v>422</v>
      </c>
      <c r="AD491">
        <v>0.06</v>
      </c>
      <c r="AE491">
        <v>0.14000000000000001</v>
      </c>
      <c r="AF491">
        <v>0</v>
      </c>
      <c r="AH491">
        <v>0</v>
      </c>
      <c r="AI491" t="s">
        <v>424</v>
      </c>
      <c r="AJ491" t="s">
        <v>1653</v>
      </c>
      <c r="AK491" t="s">
        <v>424</v>
      </c>
      <c r="AL491" t="s">
        <v>424</v>
      </c>
      <c r="AM491" t="s">
        <v>424</v>
      </c>
      <c r="AN491" t="s">
        <v>1653</v>
      </c>
      <c r="AO491">
        <v>0.01</v>
      </c>
      <c r="AP491">
        <v>0</v>
      </c>
      <c r="AQ491">
        <v>0</v>
      </c>
      <c r="AR491">
        <v>0</v>
      </c>
      <c r="AS491">
        <v>2.181</v>
      </c>
      <c r="AT491">
        <v>3.25</v>
      </c>
      <c r="AU491" t="s">
        <v>420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1670</v>
      </c>
      <c r="CH491" t="s">
        <v>1738</v>
      </c>
      <c r="CI491">
        <v>1.9990107643927499</v>
      </c>
      <c r="CJ491">
        <v>3.1</v>
      </c>
      <c r="CK491">
        <v>2.5495053821963749</v>
      </c>
      <c r="CL491">
        <v>-0.18</v>
      </c>
      <c r="CM491">
        <v>2.3695053821963752</v>
      </c>
    </row>
    <row r="492" spans="1:91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403</v>
      </c>
      <c r="F492">
        <v>176424010</v>
      </c>
      <c r="G492">
        <v>32.012810000000002</v>
      </c>
      <c r="H492" t="s">
        <v>413</v>
      </c>
      <c r="I492">
        <v>5647828311.5681</v>
      </c>
      <c r="J492" t="s">
        <v>416</v>
      </c>
      <c r="K492">
        <v>15630698.560913401</v>
      </c>
      <c r="L492">
        <v>1</v>
      </c>
      <c r="M492">
        <v>5647828311.5681</v>
      </c>
      <c r="N492">
        <v>17889394614</v>
      </c>
      <c r="O492">
        <v>40501025</v>
      </c>
      <c r="P492">
        <v>4050</v>
      </c>
      <c r="S492" t="s">
        <v>418</v>
      </c>
      <c r="T492" t="s">
        <v>422</v>
      </c>
      <c r="U492">
        <v>0</v>
      </c>
      <c r="V492">
        <v>0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 t="s">
        <v>422</v>
      </c>
      <c r="AC492" t="s">
        <v>422</v>
      </c>
      <c r="AD492">
        <v>0</v>
      </c>
      <c r="AE492">
        <v>0</v>
      </c>
      <c r="AF492">
        <v>0</v>
      </c>
      <c r="AH492">
        <v>0</v>
      </c>
      <c r="AI492" t="s">
        <v>424</v>
      </c>
      <c r="AK492" t="s">
        <v>424</v>
      </c>
      <c r="AL492" t="s">
        <v>424</v>
      </c>
      <c r="AM492" t="s">
        <v>424</v>
      </c>
      <c r="AO492">
        <v>0</v>
      </c>
      <c r="AP492">
        <v>0</v>
      </c>
      <c r="AQ492">
        <v>0</v>
      </c>
      <c r="AR492">
        <v>0</v>
      </c>
      <c r="AS492">
        <v>2.67</v>
      </c>
      <c r="AT492">
        <v>3.17</v>
      </c>
      <c r="AU492" t="s">
        <v>1657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450</v>
      </c>
      <c r="CI492">
        <v>3.4</v>
      </c>
      <c r="CJ492">
        <v>3.1</v>
      </c>
      <c r="CK492">
        <v>3.25</v>
      </c>
      <c r="CL492">
        <v>-0.18</v>
      </c>
      <c r="CM492">
        <v>3.07</v>
      </c>
    </row>
    <row r="493" spans="1:91" x14ac:dyDescent="0.25">
      <c r="A493">
        <v>1505</v>
      </c>
      <c r="B493" t="s">
        <v>107</v>
      </c>
      <c r="C493" t="s">
        <v>207</v>
      </c>
      <c r="D493" t="s">
        <v>307</v>
      </c>
      <c r="E493" t="s">
        <v>405</v>
      </c>
      <c r="F493">
        <v>111732346</v>
      </c>
      <c r="G493">
        <v>29.66</v>
      </c>
      <c r="H493" t="s">
        <v>409</v>
      </c>
      <c r="I493">
        <v>3313981382.3600001</v>
      </c>
      <c r="J493" t="s">
        <v>415</v>
      </c>
      <c r="K493">
        <v>6821360.8039344298</v>
      </c>
      <c r="L493">
        <v>1</v>
      </c>
      <c r="M493">
        <v>3313981382.3600001</v>
      </c>
      <c r="N493">
        <v>11329659884.4</v>
      </c>
      <c r="O493">
        <v>50101035</v>
      </c>
      <c r="P493">
        <v>5010</v>
      </c>
      <c r="S493" t="s">
        <v>418</v>
      </c>
      <c r="T493" t="s">
        <v>422</v>
      </c>
      <c r="U493">
        <v>0</v>
      </c>
      <c r="V493">
        <v>0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 t="s">
        <v>422</v>
      </c>
      <c r="AC493" t="s">
        <v>422</v>
      </c>
      <c r="AD493">
        <v>0</v>
      </c>
      <c r="AE493">
        <v>0</v>
      </c>
      <c r="AF493">
        <v>0</v>
      </c>
      <c r="AH493">
        <v>0</v>
      </c>
      <c r="AI493" t="s">
        <v>424</v>
      </c>
      <c r="AK493" t="s">
        <v>424</v>
      </c>
      <c r="AL493" t="s">
        <v>424</v>
      </c>
      <c r="AM493" t="s">
        <v>424</v>
      </c>
      <c r="AO493">
        <v>0</v>
      </c>
      <c r="AP493">
        <v>0</v>
      </c>
      <c r="AQ493">
        <v>0</v>
      </c>
      <c r="AR493">
        <v>0</v>
      </c>
      <c r="AS493">
        <v>2.4409999999999998</v>
      </c>
      <c r="AT493">
        <v>3.4710000000000001</v>
      </c>
      <c r="AU493" t="s">
        <v>420</v>
      </c>
      <c r="AV493">
        <v>1</v>
      </c>
      <c r="AW493">
        <v>1</v>
      </c>
      <c r="AX493" t="s">
        <v>444</v>
      </c>
      <c r="AY493">
        <v>0</v>
      </c>
      <c r="AZ493">
        <v>0</v>
      </c>
      <c r="BA493">
        <v>0</v>
      </c>
      <c r="CE493">
        <v>2.956</v>
      </c>
      <c r="CG493" t="s">
        <v>450</v>
      </c>
      <c r="CI493">
        <v>3.4</v>
      </c>
      <c r="CJ493">
        <v>3.1</v>
      </c>
      <c r="CK493">
        <v>3.25</v>
      </c>
      <c r="CL493">
        <v>-0.18</v>
      </c>
      <c r="CM493">
        <v>3.07</v>
      </c>
    </row>
    <row r="494" spans="1:91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403</v>
      </c>
      <c r="F494">
        <v>1025000200</v>
      </c>
      <c r="G494">
        <v>12.307040000000001</v>
      </c>
      <c r="H494" t="s">
        <v>413</v>
      </c>
      <c r="I494">
        <v>12614718461.408001</v>
      </c>
      <c r="J494" t="s">
        <v>416</v>
      </c>
      <c r="K494">
        <v>16755582.785158001</v>
      </c>
      <c r="L494">
        <v>0.7</v>
      </c>
      <c r="M494">
        <v>8830302922.9855995</v>
      </c>
      <c r="N494">
        <v>72754514196</v>
      </c>
      <c r="O494">
        <v>50205015</v>
      </c>
      <c r="P494">
        <v>5020</v>
      </c>
      <c r="T494" t="s">
        <v>422</v>
      </c>
      <c r="U494">
        <v>0</v>
      </c>
      <c r="V494">
        <v>0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 t="s">
        <v>422</v>
      </c>
      <c r="AC494" t="s">
        <v>422</v>
      </c>
      <c r="AD494">
        <v>0</v>
      </c>
      <c r="AE494">
        <v>0</v>
      </c>
      <c r="AF494">
        <v>0</v>
      </c>
      <c r="AH494">
        <v>0</v>
      </c>
      <c r="AI494" t="s">
        <v>424</v>
      </c>
      <c r="AK494" t="s">
        <v>424</v>
      </c>
      <c r="AL494" t="s">
        <v>424</v>
      </c>
      <c r="AM494" t="s">
        <v>424</v>
      </c>
      <c r="AO494">
        <v>0</v>
      </c>
      <c r="AP494">
        <v>0</v>
      </c>
      <c r="AQ494">
        <v>0</v>
      </c>
      <c r="AR494">
        <v>0</v>
      </c>
      <c r="AS494">
        <v>2.0089999999999999</v>
      </c>
      <c r="AT494">
        <v>1.95</v>
      </c>
      <c r="AU494" t="s">
        <v>430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1670</v>
      </c>
      <c r="CH494" t="s">
        <v>83</v>
      </c>
      <c r="CI494">
        <v>3.4</v>
      </c>
      <c r="CJ494">
        <v>3.1</v>
      </c>
      <c r="CK494">
        <v>3.25</v>
      </c>
      <c r="CL494">
        <v>0.3</v>
      </c>
      <c r="CM494">
        <v>3.55</v>
      </c>
    </row>
    <row r="495" spans="1:91" x14ac:dyDescent="0.25">
      <c r="A495">
        <v>1512</v>
      </c>
      <c r="B495" t="s">
        <v>163</v>
      </c>
      <c r="C495" t="s">
        <v>263</v>
      </c>
      <c r="D495" t="s">
        <v>363</v>
      </c>
      <c r="E495" t="s">
        <v>396</v>
      </c>
      <c r="F495">
        <v>238516153</v>
      </c>
      <c r="G495">
        <v>172.6</v>
      </c>
      <c r="H495" t="s">
        <v>409</v>
      </c>
      <c r="I495">
        <v>41167888007.800003</v>
      </c>
      <c r="J495" t="s">
        <v>415</v>
      </c>
      <c r="K495">
        <v>74863714.427777797</v>
      </c>
      <c r="L495">
        <v>1</v>
      </c>
      <c r="M495">
        <v>41167888007.800003</v>
      </c>
      <c r="N495">
        <v>24185537914.200001</v>
      </c>
      <c r="O495">
        <v>40301030</v>
      </c>
      <c r="P495">
        <v>4030</v>
      </c>
      <c r="Q495">
        <v>1.5670644957319</v>
      </c>
      <c r="R495">
        <v>1.5</v>
      </c>
      <c r="S495" t="s">
        <v>418</v>
      </c>
      <c r="T495" t="s">
        <v>422</v>
      </c>
      <c r="U495">
        <v>0</v>
      </c>
      <c r="V495">
        <v>0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 t="s">
        <v>422</v>
      </c>
      <c r="AC495" t="s">
        <v>422</v>
      </c>
      <c r="AD495">
        <v>0</v>
      </c>
      <c r="AE495">
        <v>0</v>
      </c>
      <c r="AF495">
        <v>0</v>
      </c>
      <c r="AH495">
        <v>0</v>
      </c>
      <c r="AI495" t="s">
        <v>424</v>
      </c>
      <c r="AK495" t="s">
        <v>424</v>
      </c>
      <c r="AL495" t="s">
        <v>424</v>
      </c>
      <c r="AM495" t="s">
        <v>424</v>
      </c>
      <c r="AO495">
        <v>0</v>
      </c>
      <c r="AP495">
        <v>0</v>
      </c>
      <c r="AQ495">
        <v>0</v>
      </c>
      <c r="AR495">
        <v>0</v>
      </c>
      <c r="AS495">
        <v>2.13</v>
      </c>
      <c r="AT495">
        <v>3.66</v>
      </c>
      <c r="AU495" t="s">
        <v>429</v>
      </c>
      <c r="AV495">
        <v>0</v>
      </c>
      <c r="AW495">
        <v>0</v>
      </c>
      <c r="AX495" t="s">
        <v>445</v>
      </c>
      <c r="AY495">
        <v>0</v>
      </c>
      <c r="AZ495">
        <v>0</v>
      </c>
      <c r="BA495">
        <v>0</v>
      </c>
      <c r="CE495">
        <v>2.895</v>
      </c>
      <c r="CG495" t="s">
        <v>450</v>
      </c>
      <c r="CI495">
        <v>1.5670644957319</v>
      </c>
      <c r="CJ495">
        <v>1.5</v>
      </c>
      <c r="CK495">
        <v>1.5335322478659501</v>
      </c>
      <c r="CL495">
        <v>-0.18</v>
      </c>
      <c r="CM495">
        <v>1.3535322478659499</v>
      </c>
    </row>
    <row r="496" spans="1:91" x14ac:dyDescent="0.25">
      <c r="A496">
        <v>1517</v>
      </c>
      <c r="B496" t="s">
        <v>164</v>
      </c>
      <c r="C496" t="s">
        <v>264</v>
      </c>
      <c r="D496" t="s">
        <v>364</v>
      </c>
      <c r="E496" t="s">
        <v>403</v>
      </c>
      <c r="F496">
        <v>1078802400</v>
      </c>
      <c r="G496">
        <v>9.1105959999999993</v>
      </c>
      <c r="H496" t="s">
        <v>413</v>
      </c>
      <c r="I496">
        <v>9828532830.2304001</v>
      </c>
      <c r="J496" t="s">
        <v>416</v>
      </c>
      <c r="K496">
        <v>20881891.102371901</v>
      </c>
      <c r="L496">
        <v>0.95</v>
      </c>
      <c r="M496">
        <v>9337106188.7188797</v>
      </c>
      <c r="N496">
        <v>103921035192</v>
      </c>
      <c r="O496">
        <v>40301020</v>
      </c>
      <c r="P496">
        <v>4030</v>
      </c>
      <c r="Q496">
        <v>1.9934117984292601</v>
      </c>
      <c r="R496">
        <v>1.5</v>
      </c>
      <c r="S496" t="s">
        <v>418</v>
      </c>
      <c r="T496" t="s">
        <v>422</v>
      </c>
      <c r="U496">
        <v>0</v>
      </c>
      <c r="V496">
        <v>0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 t="s">
        <v>422</v>
      </c>
      <c r="AC496" t="s">
        <v>422</v>
      </c>
      <c r="AD496">
        <v>0</v>
      </c>
      <c r="AE496">
        <v>0</v>
      </c>
      <c r="AF496">
        <v>0</v>
      </c>
      <c r="AH496">
        <v>0</v>
      </c>
      <c r="AI496" t="s">
        <v>424</v>
      </c>
      <c r="AK496" t="s">
        <v>424</v>
      </c>
      <c r="AL496" t="s">
        <v>424</v>
      </c>
      <c r="AM496" t="s">
        <v>424</v>
      </c>
      <c r="AO496">
        <v>0</v>
      </c>
      <c r="AP496">
        <v>0</v>
      </c>
      <c r="AQ496">
        <v>0</v>
      </c>
      <c r="AR496">
        <v>0</v>
      </c>
      <c r="AS496">
        <v>2.2429999999999999</v>
      </c>
      <c r="AT496">
        <v>3.0659999999999998</v>
      </c>
      <c r="AU496" t="s">
        <v>429</v>
      </c>
      <c r="AV496">
        <v>0</v>
      </c>
      <c r="AW496">
        <v>0</v>
      </c>
      <c r="AX496" t="s">
        <v>448</v>
      </c>
      <c r="AY496">
        <v>0</v>
      </c>
      <c r="AZ496">
        <v>0</v>
      </c>
      <c r="BA496">
        <v>0</v>
      </c>
      <c r="CE496">
        <v>2.6545000000000001</v>
      </c>
      <c r="CG496" t="s">
        <v>450</v>
      </c>
      <c r="CI496">
        <v>1.9934117984292601</v>
      </c>
      <c r="CJ496">
        <v>1.5</v>
      </c>
      <c r="CK496">
        <v>1.74670589921463</v>
      </c>
      <c r="CL496">
        <v>-0.18</v>
      </c>
      <c r="CM496">
        <v>1.5667058992146301</v>
      </c>
    </row>
    <row r="497" spans="1:91" x14ac:dyDescent="0.25">
      <c r="A497">
        <v>1531</v>
      </c>
      <c r="B497" t="s">
        <v>846</v>
      </c>
      <c r="C497" t="s">
        <v>1245</v>
      </c>
      <c r="D497" t="s">
        <v>1644</v>
      </c>
      <c r="E497" t="s">
        <v>400</v>
      </c>
      <c r="F497">
        <v>254725627</v>
      </c>
      <c r="G497">
        <v>27.561669999999999</v>
      </c>
      <c r="H497" t="s">
        <v>411</v>
      </c>
      <c r="I497">
        <v>7020663671.9170895</v>
      </c>
      <c r="J497" t="s">
        <v>416</v>
      </c>
      <c r="K497">
        <v>16854533.268218201</v>
      </c>
      <c r="L497">
        <v>0.65</v>
      </c>
      <c r="M497">
        <v>4563431386.7461081</v>
      </c>
      <c r="N497">
        <v>16788966075.57</v>
      </c>
      <c r="O497">
        <v>55201015</v>
      </c>
      <c r="P497">
        <v>5520</v>
      </c>
      <c r="Q497">
        <v>2.9576728383146702</v>
      </c>
      <c r="R497">
        <v>3.1</v>
      </c>
      <c r="S497" t="s">
        <v>420</v>
      </c>
      <c r="T497" t="s">
        <v>422</v>
      </c>
      <c r="U497">
        <v>0</v>
      </c>
      <c r="V497">
        <v>0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 t="s">
        <v>422</v>
      </c>
      <c r="AC497" t="s">
        <v>422</v>
      </c>
      <c r="AD497">
        <v>0</v>
      </c>
      <c r="AE497">
        <v>0</v>
      </c>
      <c r="AF497">
        <v>0</v>
      </c>
      <c r="AH497">
        <v>0</v>
      </c>
      <c r="AI497" t="s">
        <v>424</v>
      </c>
      <c r="AK497" t="s">
        <v>424</v>
      </c>
      <c r="AL497" t="s">
        <v>424</v>
      </c>
      <c r="AM497" t="s">
        <v>424</v>
      </c>
      <c r="AO497">
        <v>0</v>
      </c>
      <c r="AP497">
        <v>0</v>
      </c>
      <c r="AQ497">
        <v>0</v>
      </c>
      <c r="AR497">
        <v>0</v>
      </c>
      <c r="AS497">
        <v>2.8450000000000002</v>
      </c>
      <c r="AT497">
        <v>3.3780000000000001</v>
      </c>
      <c r="AU497" t="s">
        <v>420</v>
      </c>
      <c r="AV497">
        <v>1</v>
      </c>
      <c r="AW497">
        <v>0</v>
      </c>
      <c r="AX497" t="s">
        <v>439</v>
      </c>
      <c r="AY497">
        <v>0</v>
      </c>
      <c r="AZ497">
        <v>0</v>
      </c>
      <c r="BA497">
        <v>0</v>
      </c>
      <c r="CE497">
        <v>3.1114999999999999</v>
      </c>
      <c r="CG497" t="s">
        <v>450</v>
      </c>
      <c r="CI497">
        <v>2.9576728383146702</v>
      </c>
      <c r="CJ497">
        <v>3.1</v>
      </c>
      <c r="CK497">
        <v>3.0288364191573351</v>
      </c>
      <c r="CL497">
        <v>0</v>
      </c>
      <c r="CM497">
        <v>3.0288364191573351</v>
      </c>
    </row>
    <row r="498" spans="1:91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398</v>
      </c>
      <c r="F498">
        <v>263982060</v>
      </c>
      <c r="G498">
        <v>36.979999999999997</v>
      </c>
      <c r="H498" t="s">
        <v>409</v>
      </c>
      <c r="I498">
        <v>9762056578.7999992</v>
      </c>
      <c r="J498" t="s">
        <v>415</v>
      </c>
      <c r="K498">
        <v>33253485.885327902</v>
      </c>
      <c r="L498">
        <v>0.9</v>
      </c>
      <c r="M498">
        <v>8785850920.9200001</v>
      </c>
      <c r="N498">
        <v>24091002795.599998</v>
      </c>
      <c r="O498">
        <v>40401020</v>
      </c>
      <c r="P498">
        <v>4040</v>
      </c>
      <c r="Q498">
        <v>1.99948141228607</v>
      </c>
      <c r="S498" t="s">
        <v>418</v>
      </c>
      <c r="T498" t="s">
        <v>422</v>
      </c>
      <c r="U498">
        <v>0</v>
      </c>
      <c r="V498">
        <v>0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 t="s">
        <v>422</v>
      </c>
      <c r="AC498" t="s">
        <v>422</v>
      </c>
      <c r="AD498">
        <v>0</v>
      </c>
      <c r="AE498">
        <v>0</v>
      </c>
      <c r="AF498">
        <v>0</v>
      </c>
      <c r="AH498">
        <v>0</v>
      </c>
      <c r="AI498" t="s">
        <v>424</v>
      </c>
      <c r="AK498" t="s">
        <v>424</v>
      </c>
      <c r="AL498" t="s">
        <v>424</v>
      </c>
      <c r="AM498" t="s">
        <v>424</v>
      </c>
      <c r="AO498">
        <v>0</v>
      </c>
      <c r="AP498">
        <v>0</v>
      </c>
      <c r="AQ498">
        <v>0</v>
      </c>
      <c r="AR498">
        <v>0</v>
      </c>
      <c r="AS498">
        <v>2.6619999999999999</v>
      </c>
      <c r="AT498">
        <v>3.024</v>
      </c>
      <c r="AU498" t="s">
        <v>431</v>
      </c>
      <c r="AV498">
        <v>1</v>
      </c>
      <c r="AW498">
        <v>0</v>
      </c>
      <c r="AX498" t="s">
        <v>437</v>
      </c>
      <c r="AY498">
        <v>0</v>
      </c>
      <c r="AZ498">
        <v>0</v>
      </c>
      <c r="BA498">
        <v>0</v>
      </c>
      <c r="CE498">
        <v>2.843</v>
      </c>
      <c r="CG498" t="s">
        <v>450</v>
      </c>
      <c r="CI498">
        <v>1.99948141228607</v>
      </c>
      <c r="CJ498">
        <v>3.1</v>
      </c>
      <c r="CK498">
        <v>2.5497407061430351</v>
      </c>
      <c r="CL498">
        <v>-0.18</v>
      </c>
      <c r="CM498">
        <v>2.3697407061430349</v>
      </c>
    </row>
    <row r="499" spans="1:91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412</v>
      </c>
      <c r="I499">
        <v>6797528401.8442001</v>
      </c>
      <c r="J499" t="s">
        <v>416</v>
      </c>
      <c r="K499">
        <v>18585941.2435234</v>
      </c>
      <c r="L499">
        <v>0.9</v>
      </c>
      <c r="M499">
        <v>6117775561.6597815</v>
      </c>
      <c r="N499">
        <v>6481638376.1999998</v>
      </c>
      <c r="O499">
        <v>20103010</v>
      </c>
      <c r="P499">
        <v>2010</v>
      </c>
      <c r="Q499">
        <v>3.4</v>
      </c>
      <c r="S499" t="s">
        <v>424</v>
      </c>
      <c r="T499" t="s">
        <v>422</v>
      </c>
      <c r="U499">
        <v>0</v>
      </c>
      <c r="V499">
        <v>0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 t="s">
        <v>422</v>
      </c>
      <c r="AC499" t="s">
        <v>422</v>
      </c>
      <c r="AD499">
        <v>0</v>
      </c>
      <c r="AE499">
        <v>0</v>
      </c>
      <c r="AF499">
        <v>0</v>
      </c>
      <c r="AH499">
        <v>0</v>
      </c>
      <c r="AI499" t="s">
        <v>424</v>
      </c>
      <c r="AK499" t="s">
        <v>424</v>
      </c>
      <c r="AL499" t="s">
        <v>424</v>
      </c>
      <c r="AM499" t="s">
        <v>424</v>
      </c>
      <c r="AO499">
        <v>0</v>
      </c>
      <c r="AP499">
        <v>0</v>
      </c>
      <c r="AQ499">
        <v>0</v>
      </c>
      <c r="AR499">
        <v>0</v>
      </c>
      <c r="AS499">
        <v>2.266</v>
      </c>
      <c r="AT499">
        <v>2.3730000000000002</v>
      </c>
      <c r="AU499" t="s">
        <v>429</v>
      </c>
      <c r="AV499">
        <v>0</v>
      </c>
      <c r="AW499">
        <v>0</v>
      </c>
      <c r="AX499" t="s">
        <v>441</v>
      </c>
      <c r="AY499">
        <v>0</v>
      </c>
      <c r="AZ499">
        <v>0</v>
      </c>
      <c r="BA499">
        <v>0</v>
      </c>
      <c r="CE499">
        <v>2.3195000000000001</v>
      </c>
      <c r="CG499" t="s">
        <v>450</v>
      </c>
      <c r="CI499">
        <v>3.4</v>
      </c>
      <c r="CJ499">
        <v>3.1</v>
      </c>
      <c r="CK499">
        <v>3.25</v>
      </c>
      <c r="CL499">
        <v>0.3</v>
      </c>
      <c r="CM499">
        <v>3.55</v>
      </c>
    </row>
    <row r="500" spans="1:91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406</v>
      </c>
      <c r="F500">
        <v>146355760</v>
      </c>
      <c r="G500">
        <v>614.58010000000002</v>
      </c>
      <c r="H500" t="s">
        <v>414</v>
      </c>
      <c r="I500">
        <v>89947337616.376007</v>
      </c>
      <c r="J500" t="s">
        <v>416</v>
      </c>
      <c r="K500">
        <v>167672036.70820701</v>
      </c>
      <c r="L500">
        <v>1</v>
      </c>
      <c r="M500">
        <v>89947337616.376007</v>
      </c>
      <c r="N500">
        <v>14840474064</v>
      </c>
      <c r="O500">
        <v>30302010</v>
      </c>
      <c r="P500">
        <v>3030</v>
      </c>
      <c r="Q500">
        <v>2.7666666666666599</v>
      </c>
      <c r="R500">
        <v>2.39</v>
      </c>
      <c r="S500" t="s">
        <v>418</v>
      </c>
      <c r="T500" t="s">
        <v>422</v>
      </c>
      <c r="U500">
        <v>0</v>
      </c>
      <c r="V500">
        <v>0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 t="s">
        <v>422</v>
      </c>
      <c r="AC500" t="s">
        <v>422</v>
      </c>
      <c r="AD500">
        <v>0</v>
      </c>
      <c r="AE500">
        <v>0</v>
      </c>
      <c r="AF500">
        <v>0</v>
      </c>
      <c r="AH500">
        <v>0</v>
      </c>
      <c r="AI500" t="s">
        <v>424</v>
      </c>
      <c r="AK500" t="s">
        <v>424</v>
      </c>
      <c r="AL500" t="s">
        <v>424</v>
      </c>
      <c r="AM500" t="s">
        <v>424</v>
      </c>
      <c r="AO500">
        <v>0</v>
      </c>
      <c r="AP500">
        <v>0</v>
      </c>
      <c r="AQ500">
        <v>0</v>
      </c>
      <c r="AR500">
        <v>0</v>
      </c>
      <c r="AS500">
        <v>2.1850000000000001</v>
      </c>
      <c r="AT500">
        <v>3.117</v>
      </c>
      <c r="AU500" t="s">
        <v>430</v>
      </c>
      <c r="AV500">
        <v>0</v>
      </c>
      <c r="AW500">
        <v>0</v>
      </c>
      <c r="AX500" t="s">
        <v>446</v>
      </c>
      <c r="AY500">
        <v>0</v>
      </c>
      <c r="AZ500">
        <v>0</v>
      </c>
      <c r="BA500">
        <v>0</v>
      </c>
      <c r="CE500">
        <v>2.6509999999999998</v>
      </c>
      <c r="CG500" t="s">
        <v>450</v>
      </c>
      <c r="CI500">
        <v>2.7666666666666599</v>
      </c>
      <c r="CJ500">
        <v>2.39</v>
      </c>
      <c r="CK500">
        <v>2.57833333333333</v>
      </c>
      <c r="CL500">
        <v>-0.18</v>
      </c>
      <c r="CM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1739</v>
      </c>
      <c r="B1" s="1" t="s">
        <v>1740</v>
      </c>
      <c r="C1" s="1" t="s">
        <v>1741</v>
      </c>
      <c r="D1" s="1" t="s">
        <v>1742</v>
      </c>
      <c r="E1" s="1" t="s">
        <v>1743</v>
      </c>
      <c r="F1" s="1" t="s">
        <v>1744</v>
      </c>
      <c r="G1" s="1" t="s">
        <v>1745</v>
      </c>
      <c r="H1" s="1" t="s">
        <v>1746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304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7</v>
      </c>
      <c r="B2" t="s">
        <v>453</v>
      </c>
      <c r="C2" t="s">
        <v>852</v>
      </c>
      <c r="D2" t="s">
        <v>1251</v>
      </c>
      <c r="E2" t="s">
        <v>395</v>
      </c>
      <c r="F2">
        <v>259559200</v>
      </c>
      <c r="G2">
        <v>27.4255</v>
      </c>
      <c r="H2" t="s">
        <v>410</v>
      </c>
      <c r="I2">
        <v>7118540839.5999994</v>
      </c>
      <c r="J2" t="s">
        <v>416</v>
      </c>
      <c r="K2">
        <v>10069959.027504999</v>
      </c>
      <c r="L2">
        <v>0.7</v>
      </c>
      <c r="M2">
        <v>4982978587.7199993</v>
      </c>
      <c r="N2">
        <v>750385647200</v>
      </c>
      <c r="O2">
        <v>45102020</v>
      </c>
      <c r="P2">
        <v>4510</v>
      </c>
      <c r="Q2">
        <v>1.9643056478929399</v>
      </c>
      <c r="S2" t="s">
        <v>420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2.42</v>
      </c>
      <c r="AT2">
        <v>3.1539999999999999</v>
      </c>
      <c r="AU2" t="s">
        <v>420</v>
      </c>
      <c r="AV2">
        <v>1</v>
      </c>
      <c r="AW2">
        <v>0</v>
      </c>
      <c r="AX2" t="s">
        <v>434</v>
      </c>
      <c r="AY2">
        <v>0</v>
      </c>
      <c r="AZ2">
        <v>0</v>
      </c>
      <c r="BA2">
        <v>0</v>
      </c>
      <c r="CE2">
        <v>2.7869999999999999</v>
      </c>
      <c r="CG2" t="s">
        <v>450</v>
      </c>
      <c r="CI2">
        <v>1.9643056478929399</v>
      </c>
      <c r="CJ2">
        <v>3.1</v>
      </c>
      <c r="CK2">
        <v>2.5321528239464701</v>
      </c>
      <c r="CL2">
        <v>0</v>
      </c>
      <c r="CM2">
        <v>2.5321528239464701</v>
      </c>
    </row>
    <row r="3" spans="1:91" x14ac:dyDescent="0.25">
      <c r="A3">
        <v>14</v>
      </c>
      <c r="B3" t="s">
        <v>458</v>
      </c>
      <c r="C3" t="s">
        <v>857</v>
      </c>
      <c r="D3" t="s">
        <v>1256</v>
      </c>
      <c r="E3" t="s">
        <v>396</v>
      </c>
      <c r="F3">
        <v>539163896</v>
      </c>
      <c r="G3">
        <v>17.8</v>
      </c>
      <c r="H3" t="s">
        <v>409</v>
      </c>
      <c r="I3">
        <v>9597117348.8000011</v>
      </c>
      <c r="J3" t="s">
        <v>415</v>
      </c>
      <c r="K3">
        <v>48401045.407301597</v>
      </c>
      <c r="L3">
        <v>1</v>
      </c>
      <c r="M3">
        <v>9597117348.8000011</v>
      </c>
      <c r="N3">
        <v>2226746890480</v>
      </c>
      <c r="O3">
        <v>30101010</v>
      </c>
      <c r="P3">
        <v>3010</v>
      </c>
      <c r="Q3">
        <v>3.2733333333333299</v>
      </c>
      <c r="S3" t="s">
        <v>420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2.3940000000000001</v>
      </c>
      <c r="AT3">
        <v>2.7789999999999999</v>
      </c>
      <c r="AU3" t="s">
        <v>430</v>
      </c>
      <c r="AV3">
        <v>0</v>
      </c>
      <c r="AW3">
        <v>0</v>
      </c>
      <c r="AX3" t="s">
        <v>445</v>
      </c>
      <c r="AY3">
        <v>0</v>
      </c>
      <c r="AZ3">
        <v>0</v>
      </c>
      <c r="BA3">
        <v>0</v>
      </c>
      <c r="CE3">
        <v>2.5865</v>
      </c>
      <c r="CG3" t="s">
        <v>450</v>
      </c>
      <c r="CI3">
        <v>3.2733333333333299</v>
      </c>
      <c r="CJ3">
        <v>3.1</v>
      </c>
      <c r="CK3">
        <v>3.1866666666666652</v>
      </c>
      <c r="CL3">
        <v>0</v>
      </c>
      <c r="CM3">
        <v>3.1866666666666652</v>
      </c>
    </row>
    <row r="4" spans="1:91" x14ac:dyDescent="0.25">
      <c r="A4">
        <v>15</v>
      </c>
      <c r="B4" t="s">
        <v>459</v>
      </c>
      <c r="C4" t="s">
        <v>858</v>
      </c>
      <c r="D4" t="s">
        <v>1257</v>
      </c>
      <c r="E4" t="s">
        <v>403</v>
      </c>
      <c r="F4">
        <v>1840742800</v>
      </c>
      <c r="G4">
        <v>1.908317</v>
      </c>
      <c r="H4" t="s">
        <v>413</v>
      </c>
      <c r="I4">
        <v>3512720777.8676</v>
      </c>
      <c r="J4" t="s">
        <v>416</v>
      </c>
      <c r="K4">
        <v>5431165.0947838696</v>
      </c>
      <c r="L4">
        <v>1</v>
      </c>
      <c r="M4">
        <v>3512720777.8676</v>
      </c>
      <c r="N4">
        <v>7602267764000</v>
      </c>
      <c r="O4">
        <v>30202010</v>
      </c>
      <c r="P4">
        <v>3020</v>
      </c>
      <c r="Q4">
        <v>3.0199999999999898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2.1389999999999998</v>
      </c>
      <c r="AT4">
        <v>3.161</v>
      </c>
      <c r="AU4" t="s">
        <v>430</v>
      </c>
      <c r="AV4">
        <v>0</v>
      </c>
      <c r="AW4">
        <v>0</v>
      </c>
      <c r="AX4" t="s">
        <v>442</v>
      </c>
      <c r="AY4">
        <v>0</v>
      </c>
      <c r="AZ4">
        <v>0</v>
      </c>
      <c r="BA4">
        <v>0</v>
      </c>
      <c r="CE4">
        <v>2.65</v>
      </c>
      <c r="CG4" t="s">
        <v>450</v>
      </c>
      <c r="CI4">
        <v>3.0199999999999898</v>
      </c>
      <c r="CJ4">
        <v>3.1</v>
      </c>
      <c r="CK4">
        <v>3.0599999999999952</v>
      </c>
      <c r="CL4">
        <v>0</v>
      </c>
      <c r="CM4">
        <v>3.0599999999999952</v>
      </c>
    </row>
    <row r="5" spans="1:91" x14ac:dyDescent="0.25">
      <c r="A5">
        <v>19</v>
      </c>
      <c r="B5" t="s">
        <v>461</v>
      </c>
      <c r="C5" t="s">
        <v>860</v>
      </c>
      <c r="D5" t="s">
        <v>1259</v>
      </c>
      <c r="E5" t="s">
        <v>394</v>
      </c>
      <c r="F5">
        <v>243667720</v>
      </c>
      <c r="G5">
        <v>46.43</v>
      </c>
      <c r="H5" t="s">
        <v>409</v>
      </c>
      <c r="I5">
        <v>11313492239.6</v>
      </c>
      <c r="J5" t="s">
        <v>415</v>
      </c>
      <c r="K5">
        <v>26555203.167381</v>
      </c>
      <c r="L5">
        <v>0.85000000000000009</v>
      </c>
      <c r="M5">
        <v>9616468403.6600018</v>
      </c>
      <c r="N5">
        <v>855395531060.00012</v>
      </c>
      <c r="O5">
        <v>40501025</v>
      </c>
      <c r="P5">
        <v>4050</v>
      </c>
      <c r="Q5">
        <v>1.7728124388961899</v>
      </c>
      <c r="R5">
        <v>3.01</v>
      </c>
      <c r="S5" t="s">
        <v>420</v>
      </c>
      <c r="T5" t="s">
        <v>422</v>
      </c>
      <c r="U5">
        <v>0</v>
      </c>
      <c r="V5">
        <v>0.01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2.754</v>
      </c>
      <c r="AT5">
        <v>3.0169999999999999</v>
      </c>
      <c r="AU5" t="s">
        <v>1657</v>
      </c>
      <c r="AV5">
        <v>0</v>
      </c>
      <c r="AW5">
        <v>0</v>
      </c>
      <c r="AX5" t="s">
        <v>433</v>
      </c>
      <c r="AY5">
        <v>0</v>
      </c>
      <c r="AZ5">
        <v>0</v>
      </c>
      <c r="BA5">
        <v>0</v>
      </c>
      <c r="CE5">
        <v>2.8855</v>
      </c>
      <c r="CG5" t="s">
        <v>450</v>
      </c>
      <c r="CI5">
        <v>1.7728124388961899</v>
      </c>
      <c r="CJ5">
        <v>3.01</v>
      </c>
      <c r="CK5">
        <v>2.3914062194480952</v>
      </c>
      <c r="CL5">
        <v>0</v>
      </c>
      <c r="CM5">
        <v>2.3914062194480952</v>
      </c>
    </row>
    <row r="6" spans="1:91" x14ac:dyDescent="0.25">
      <c r="A6">
        <v>24</v>
      </c>
      <c r="B6" t="s">
        <v>466</v>
      </c>
      <c r="C6" t="s">
        <v>865</v>
      </c>
      <c r="D6" t="s">
        <v>1264</v>
      </c>
      <c r="E6" t="s">
        <v>398</v>
      </c>
      <c r="F6">
        <v>180000000</v>
      </c>
      <c r="G6">
        <v>245.9</v>
      </c>
      <c r="H6" t="s">
        <v>409</v>
      </c>
      <c r="I6">
        <v>44262000000</v>
      </c>
      <c r="J6" t="s">
        <v>415</v>
      </c>
      <c r="K6">
        <v>95465480.766393393</v>
      </c>
      <c r="L6">
        <v>1</v>
      </c>
      <c r="M6">
        <v>44262000000</v>
      </c>
      <c r="N6">
        <v>743400000000</v>
      </c>
      <c r="O6">
        <v>40204025</v>
      </c>
      <c r="P6">
        <v>4020</v>
      </c>
      <c r="Q6">
        <v>1.74447151669083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2.3519999999999999</v>
      </c>
      <c r="AT6">
        <v>2.7490000000000001</v>
      </c>
      <c r="AU6" t="s">
        <v>420</v>
      </c>
      <c r="AV6">
        <v>1</v>
      </c>
      <c r="AW6">
        <v>0</v>
      </c>
      <c r="AX6" t="s">
        <v>437</v>
      </c>
      <c r="AY6">
        <v>0</v>
      </c>
      <c r="AZ6">
        <v>0</v>
      </c>
      <c r="BA6">
        <v>0</v>
      </c>
      <c r="CE6">
        <v>2.5505</v>
      </c>
      <c r="CG6" t="s">
        <v>450</v>
      </c>
      <c r="CI6">
        <v>1.74447151669083</v>
      </c>
      <c r="CJ6">
        <v>3.1</v>
      </c>
      <c r="CK6">
        <v>2.422235758345415</v>
      </c>
      <c r="CL6">
        <v>-0.3</v>
      </c>
      <c r="CM6">
        <v>2.1222357583454148</v>
      </c>
    </row>
    <row r="7" spans="1:91" x14ac:dyDescent="0.25">
      <c r="A7">
        <v>25</v>
      </c>
      <c r="B7" t="s">
        <v>148</v>
      </c>
      <c r="C7" t="s">
        <v>248</v>
      </c>
      <c r="D7" t="s">
        <v>348</v>
      </c>
      <c r="E7" t="s">
        <v>403</v>
      </c>
      <c r="F7">
        <v>306304700</v>
      </c>
      <c r="G7">
        <v>33.850409999999997</v>
      </c>
      <c r="H7" t="s">
        <v>413</v>
      </c>
      <c r="I7">
        <v>10368539679.927</v>
      </c>
      <c r="J7" t="s">
        <v>416</v>
      </c>
      <c r="K7">
        <v>10015139.725619299</v>
      </c>
      <c r="L7">
        <v>0.7</v>
      </c>
      <c r="M7">
        <v>7257977775.9488983</v>
      </c>
      <c r="N7">
        <v>885526887700</v>
      </c>
      <c r="O7">
        <v>30302025</v>
      </c>
      <c r="P7">
        <v>3030</v>
      </c>
      <c r="Q7">
        <v>1.99880903325661</v>
      </c>
      <c r="R7">
        <v>2.7</v>
      </c>
      <c r="S7" t="s">
        <v>420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1.88</v>
      </c>
      <c r="AT7">
        <v>2.7</v>
      </c>
      <c r="AU7" t="s">
        <v>430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2.29</v>
      </c>
      <c r="CG7" t="s">
        <v>450</v>
      </c>
      <c r="CI7">
        <v>1.99880903325661</v>
      </c>
      <c r="CJ7">
        <v>2.7</v>
      </c>
      <c r="CK7">
        <v>2.3494045166283049</v>
      </c>
      <c r="CL7">
        <v>0</v>
      </c>
      <c r="CM7">
        <v>2.3494045166283049</v>
      </c>
    </row>
    <row r="8" spans="1:91" x14ac:dyDescent="0.25">
      <c r="A8">
        <v>27</v>
      </c>
      <c r="B8" t="s">
        <v>467</v>
      </c>
      <c r="C8" t="s">
        <v>866</v>
      </c>
      <c r="D8" t="s">
        <v>1265</v>
      </c>
      <c r="E8" t="s">
        <v>394</v>
      </c>
      <c r="F8">
        <v>98960602</v>
      </c>
      <c r="G8">
        <v>102.7</v>
      </c>
      <c r="H8" t="s">
        <v>409</v>
      </c>
      <c r="I8">
        <v>10163253825.4</v>
      </c>
      <c r="J8" t="s">
        <v>415</v>
      </c>
      <c r="K8">
        <v>10050109.132539701</v>
      </c>
      <c r="L8">
        <v>0.3</v>
      </c>
      <c r="M8">
        <v>3048976147.6199999</v>
      </c>
      <c r="N8">
        <v>122612185878</v>
      </c>
      <c r="O8">
        <v>50206060</v>
      </c>
      <c r="P8">
        <v>5020</v>
      </c>
      <c r="Q8">
        <v>1.7486174961126399</v>
      </c>
      <c r="S8" t="s">
        <v>417</v>
      </c>
      <c r="T8" t="s">
        <v>422</v>
      </c>
      <c r="U8">
        <v>0</v>
      </c>
      <c r="V8">
        <v>0.05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2.2290000000000001</v>
      </c>
      <c r="AT8">
        <v>3.0819999999999999</v>
      </c>
      <c r="AU8" t="s">
        <v>427</v>
      </c>
      <c r="AV8">
        <v>1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2.6555</v>
      </c>
      <c r="CG8" t="s">
        <v>450</v>
      </c>
      <c r="CI8">
        <v>1.7486174961126399</v>
      </c>
      <c r="CJ8">
        <v>3.1</v>
      </c>
      <c r="CK8">
        <v>2.4243087480563199</v>
      </c>
      <c r="CL8">
        <v>-0.3</v>
      </c>
      <c r="CM8">
        <v>2.1243087480563201</v>
      </c>
    </row>
    <row r="9" spans="1:91" x14ac:dyDescent="0.25">
      <c r="A9">
        <v>32</v>
      </c>
      <c r="B9" t="s">
        <v>469</v>
      </c>
      <c r="C9" t="s">
        <v>868</v>
      </c>
      <c r="D9" t="s">
        <v>1267</v>
      </c>
      <c r="E9" t="s">
        <v>407</v>
      </c>
      <c r="F9">
        <v>47550119</v>
      </c>
      <c r="G9">
        <v>61.3</v>
      </c>
      <c r="H9" t="s">
        <v>409</v>
      </c>
      <c r="I9">
        <v>2914822294.6999998</v>
      </c>
      <c r="J9" t="s">
        <v>415</v>
      </c>
      <c r="K9">
        <v>3337881.6650793599</v>
      </c>
      <c r="L9">
        <v>1</v>
      </c>
      <c r="M9">
        <v>2914822294.6999998</v>
      </c>
      <c r="N9">
        <v>196381991470</v>
      </c>
      <c r="O9">
        <v>35102010</v>
      </c>
      <c r="P9">
        <v>3510</v>
      </c>
      <c r="Q9">
        <v>2.9403972222394801</v>
      </c>
      <c r="S9" t="s">
        <v>421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2.1819999999999999</v>
      </c>
      <c r="AT9">
        <v>2.1989999999999998</v>
      </c>
      <c r="AU9" t="s">
        <v>425</v>
      </c>
      <c r="AV9">
        <v>1</v>
      </c>
      <c r="AW9">
        <v>0</v>
      </c>
      <c r="AX9" t="s">
        <v>447</v>
      </c>
      <c r="AY9">
        <v>0</v>
      </c>
      <c r="AZ9">
        <v>0</v>
      </c>
      <c r="BA9">
        <v>0</v>
      </c>
      <c r="CE9">
        <v>2.1905000000000001</v>
      </c>
      <c r="CG9" t="s">
        <v>450</v>
      </c>
      <c r="CI9">
        <v>2.9403972222394801</v>
      </c>
      <c r="CJ9">
        <v>3.1</v>
      </c>
      <c r="CK9">
        <v>3.0201986111197399</v>
      </c>
      <c r="CL9">
        <v>0.18</v>
      </c>
      <c r="CM9">
        <v>3.20019861111974</v>
      </c>
    </row>
    <row r="10" spans="1:91" x14ac:dyDescent="0.25">
      <c r="A10">
        <v>33</v>
      </c>
      <c r="B10" t="s">
        <v>470</v>
      </c>
      <c r="C10" t="s">
        <v>869</v>
      </c>
      <c r="D10" t="s">
        <v>1268</v>
      </c>
      <c r="E10" t="s">
        <v>396</v>
      </c>
      <c r="F10">
        <v>1652797432</v>
      </c>
      <c r="G10">
        <v>5.8319999999999999</v>
      </c>
      <c r="H10" t="s">
        <v>409</v>
      </c>
      <c r="I10">
        <v>9639114623.4239998</v>
      </c>
      <c r="J10" t="s">
        <v>415</v>
      </c>
      <c r="K10">
        <v>27259477.492222201</v>
      </c>
      <c r="L10">
        <v>0.8</v>
      </c>
      <c r="M10">
        <v>7711291698.7392006</v>
      </c>
      <c r="N10">
        <v>5460842715328</v>
      </c>
      <c r="O10">
        <v>30301010</v>
      </c>
      <c r="P10">
        <v>3030</v>
      </c>
      <c r="Q10">
        <v>3.4</v>
      </c>
      <c r="S10" t="s">
        <v>421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2.1419999999999999</v>
      </c>
      <c r="AT10">
        <v>3.1560000000000001</v>
      </c>
      <c r="AU10" t="s">
        <v>430</v>
      </c>
      <c r="AV10">
        <v>0</v>
      </c>
      <c r="AW10">
        <v>0</v>
      </c>
      <c r="AX10" t="s">
        <v>1660</v>
      </c>
      <c r="AY10">
        <v>0</v>
      </c>
      <c r="AZ10">
        <v>0</v>
      </c>
      <c r="BA10">
        <v>0</v>
      </c>
      <c r="CE10">
        <v>2.649</v>
      </c>
      <c r="CG10" t="s">
        <v>450</v>
      </c>
      <c r="CI10">
        <v>3.4</v>
      </c>
      <c r="CJ10">
        <v>3.1</v>
      </c>
      <c r="CK10">
        <v>3.25</v>
      </c>
      <c r="CL10">
        <v>0.18</v>
      </c>
      <c r="CM10">
        <v>3.43</v>
      </c>
    </row>
    <row r="11" spans="1:91" x14ac:dyDescent="0.25">
      <c r="A11">
        <v>34</v>
      </c>
      <c r="B11" t="s">
        <v>471</v>
      </c>
      <c r="C11" t="s">
        <v>870</v>
      </c>
      <c r="D11" t="s">
        <v>1269</v>
      </c>
      <c r="E11" t="s">
        <v>401</v>
      </c>
      <c r="F11">
        <v>150000000</v>
      </c>
      <c r="G11">
        <v>211.4</v>
      </c>
      <c r="H11" t="s">
        <v>409</v>
      </c>
      <c r="I11">
        <v>31710000000</v>
      </c>
      <c r="J11" t="s">
        <v>415</v>
      </c>
      <c r="K11">
        <v>27930489.288095199</v>
      </c>
      <c r="L11">
        <v>0.5</v>
      </c>
      <c r="M11">
        <v>15855000000</v>
      </c>
      <c r="N11">
        <v>309750000000</v>
      </c>
      <c r="O11">
        <v>50206060</v>
      </c>
      <c r="P11">
        <v>5020</v>
      </c>
      <c r="Q11">
        <v>1.74674908413494</v>
      </c>
      <c r="S11" t="s">
        <v>419</v>
      </c>
      <c r="T11" t="s">
        <v>422</v>
      </c>
      <c r="U11">
        <v>0</v>
      </c>
      <c r="V11">
        <v>0.05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2.8759999999999999</v>
      </c>
      <c r="AT11">
        <v>3.2120000000000002</v>
      </c>
      <c r="AU11" t="s">
        <v>427</v>
      </c>
      <c r="AV11">
        <v>1</v>
      </c>
      <c r="AW11">
        <v>0</v>
      </c>
      <c r="AX11" t="s">
        <v>440</v>
      </c>
      <c r="AY11">
        <v>0</v>
      </c>
      <c r="AZ11">
        <v>0</v>
      </c>
      <c r="BA11">
        <v>0</v>
      </c>
      <c r="CE11">
        <v>3.044</v>
      </c>
      <c r="CG11" t="s">
        <v>450</v>
      </c>
      <c r="CI11">
        <v>1.74674908413494</v>
      </c>
      <c r="CJ11">
        <v>3.1</v>
      </c>
      <c r="CK11">
        <v>2.4233745420674699</v>
      </c>
      <c r="CL11">
        <v>-0.24</v>
      </c>
      <c r="CM11">
        <v>2.1833745420674702</v>
      </c>
    </row>
    <row r="12" spans="1:91" x14ac:dyDescent="0.25">
      <c r="A12">
        <v>39</v>
      </c>
      <c r="B12" t="s">
        <v>472</v>
      </c>
      <c r="C12" t="s">
        <v>871</v>
      </c>
      <c r="D12" t="s">
        <v>1270</v>
      </c>
      <c r="E12" t="s">
        <v>407</v>
      </c>
      <c r="F12">
        <v>187971187</v>
      </c>
      <c r="G12">
        <v>51</v>
      </c>
      <c r="H12" t="s">
        <v>409</v>
      </c>
      <c r="I12">
        <v>9586530537</v>
      </c>
      <c r="J12" t="s">
        <v>415</v>
      </c>
      <c r="K12">
        <v>17348499.9225397</v>
      </c>
      <c r="L12">
        <v>0.8</v>
      </c>
      <c r="M12">
        <v>7669224429.6000004</v>
      </c>
      <c r="N12">
        <v>312784055.16799998</v>
      </c>
      <c r="O12">
        <v>30301010</v>
      </c>
      <c r="P12">
        <v>3030</v>
      </c>
      <c r="Q12">
        <v>3.4</v>
      </c>
      <c r="R12">
        <v>2.39</v>
      </c>
      <c r="S12" t="s">
        <v>418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2.0579999999999998</v>
      </c>
      <c r="AT12">
        <v>3.0910000000000002</v>
      </c>
      <c r="AU12" t="s">
        <v>430</v>
      </c>
      <c r="AV12">
        <v>0</v>
      </c>
      <c r="AW12">
        <v>0</v>
      </c>
      <c r="AX12" t="s">
        <v>447</v>
      </c>
      <c r="AY12">
        <v>0</v>
      </c>
      <c r="AZ12">
        <v>0</v>
      </c>
      <c r="BA12">
        <v>0</v>
      </c>
      <c r="CE12">
        <v>2.5745</v>
      </c>
      <c r="CG12" t="s">
        <v>450</v>
      </c>
      <c r="CI12">
        <v>3.4</v>
      </c>
      <c r="CJ12">
        <v>2.39</v>
      </c>
      <c r="CK12">
        <v>2.895</v>
      </c>
      <c r="CL12">
        <v>-0.18</v>
      </c>
      <c r="CM12">
        <v>2.7149999999999999</v>
      </c>
    </row>
    <row r="13" spans="1:91" x14ac:dyDescent="0.25">
      <c r="A13">
        <v>45</v>
      </c>
      <c r="B13" t="s">
        <v>128</v>
      </c>
      <c r="C13" t="s">
        <v>228</v>
      </c>
      <c r="D13" t="s">
        <v>328</v>
      </c>
      <c r="E13" t="s">
        <v>397</v>
      </c>
      <c r="F13">
        <v>2328438575</v>
      </c>
      <c r="G13">
        <v>6.34</v>
      </c>
      <c r="H13" t="s">
        <v>409</v>
      </c>
      <c r="I13">
        <v>14762300565.5</v>
      </c>
      <c r="J13" t="s">
        <v>415</v>
      </c>
      <c r="K13">
        <v>28502146.137509499</v>
      </c>
      <c r="L13">
        <v>0.9</v>
      </c>
      <c r="M13">
        <v>13286070508.950001</v>
      </c>
      <c r="N13">
        <v>4358837012.4000006</v>
      </c>
      <c r="O13">
        <v>30101010</v>
      </c>
      <c r="P13">
        <v>3010</v>
      </c>
      <c r="Q13">
        <v>1.99934707512142</v>
      </c>
      <c r="R13">
        <v>1.5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2.4860000000000002</v>
      </c>
      <c r="AT13">
        <v>3.169</v>
      </c>
      <c r="AU13" t="s">
        <v>430</v>
      </c>
      <c r="AV13">
        <v>0</v>
      </c>
      <c r="AW13">
        <v>0</v>
      </c>
      <c r="AX13" t="s">
        <v>436</v>
      </c>
      <c r="AY13">
        <v>0</v>
      </c>
      <c r="AZ13">
        <v>0</v>
      </c>
      <c r="BA13">
        <v>0</v>
      </c>
      <c r="CE13">
        <v>2.8275000000000001</v>
      </c>
      <c r="CG13" t="s">
        <v>450</v>
      </c>
      <c r="CI13">
        <v>1.99934707512142</v>
      </c>
      <c r="CJ13">
        <v>1.5</v>
      </c>
      <c r="CK13">
        <v>1.74967353756071</v>
      </c>
      <c r="CL13">
        <v>-0.18</v>
      </c>
      <c r="CM13">
        <v>1.56967353756071</v>
      </c>
    </row>
    <row r="14" spans="1:91" x14ac:dyDescent="0.25">
      <c r="A14">
        <v>56</v>
      </c>
      <c r="B14" t="s">
        <v>478</v>
      </c>
      <c r="C14" t="s">
        <v>877</v>
      </c>
      <c r="D14" t="s">
        <v>1276</v>
      </c>
      <c r="E14" t="s">
        <v>406</v>
      </c>
      <c r="F14">
        <v>499700000</v>
      </c>
      <c r="G14">
        <v>86.381460000000004</v>
      </c>
      <c r="H14" t="s">
        <v>414</v>
      </c>
      <c r="I14">
        <v>43164815562</v>
      </c>
      <c r="J14" t="s">
        <v>416</v>
      </c>
      <c r="K14">
        <v>63266427.994974203</v>
      </c>
      <c r="L14">
        <v>1</v>
      </c>
      <c r="M14">
        <v>43164815562</v>
      </c>
      <c r="N14">
        <v>1039376000</v>
      </c>
      <c r="O14">
        <v>20102015</v>
      </c>
      <c r="P14">
        <v>2010</v>
      </c>
      <c r="Q14">
        <v>3.4</v>
      </c>
      <c r="S14" t="s">
        <v>424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2.8130000000000002</v>
      </c>
      <c r="AT14">
        <v>3.153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2.9830000000000001</v>
      </c>
      <c r="CG14" t="s">
        <v>450</v>
      </c>
      <c r="CI14">
        <v>3.4</v>
      </c>
      <c r="CJ14">
        <v>3.1</v>
      </c>
      <c r="CK14">
        <v>3.25</v>
      </c>
      <c r="CL14">
        <v>0.3</v>
      </c>
      <c r="CM14">
        <v>3.55</v>
      </c>
    </row>
    <row r="15" spans="1:91" x14ac:dyDescent="0.25">
      <c r="A15">
        <v>60</v>
      </c>
      <c r="B15" t="s">
        <v>480</v>
      </c>
      <c r="C15" t="s">
        <v>879</v>
      </c>
      <c r="D15" t="s">
        <v>1278</v>
      </c>
      <c r="E15" t="s">
        <v>398</v>
      </c>
      <c r="F15">
        <v>386166700</v>
      </c>
      <c r="G15">
        <v>320.2</v>
      </c>
      <c r="H15" t="s">
        <v>409</v>
      </c>
      <c r="I15">
        <v>123650577340</v>
      </c>
      <c r="J15" t="s">
        <v>415</v>
      </c>
      <c r="K15">
        <v>192557349.24016401</v>
      </c>
      <c r="L15">
        <v>1</v>
      </c>
      <c r="M15">
        <v>123650577340</v>
      </c>
      <c r="N15">
        <v>803226736</v>
      </c>
      <c r="O15">
        <v>30302010</v>
      </c>
      <c r="P15">
        <v>3030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2.419</v>
      </c>
      <c r="AT15">
        <v>2.8119999999999998</v>
      </c>
      <c r="AU15" t="s">
        <v>430</v>
      </c>
      <c r="AV15">
        <v>0</v>
      </c>
      <c r="AW15">
        <v>0</v>
      </c>
      <c r="AX15" t="s">
        <v>437</v>
      </c>
      <c r="AY15">
        <v>0</v>
      </c>
      <c r="AZ15">
        <v>0</v>
      </c>
      <c r="BA15">
        <v>0</v>
      </c>
      <c r="CE15">
        <v>2.6154999999999999</v>
      </c>
      <c r="CG15" t="s">
        <v>450</v>
      </c>
      <c r="CI15">
        <v>3.4</v>
      </c>
      <c r="CJ15">
        <v>3.1</v>
      </c>
      <c r="CK15">
        <v>3.25</v>
      </c>
      <c r="CL15">
        <v>0.3</v>
      </c>
      <c r="CM15">
        <v>3.55</v>
      </c>
    </row>
    <row r="16" spans="1:91" x14ac:dyDescent="0.25">
      <c r="A16">
        <v>61</v>
      </c>
      <c r="B16" t="s">
        <v>481</v>
      </c>
      <c r="C16" t="s">
        <v>880</v>
      </c>
      <c r="D16" t="s">
        <v>1279</v>
      </c>
      <c r="E16" t="s">
        <v>406</v>
      </c>
      <c r="F16">
        <v>16592821</v>
      </c>
      <c r="G16">
        <v>184.16139999999999</v>
      </c>
      <c r="H16" t="s">
        <v>414</v>
      </c>
      <c r="I16">
        <v>3055757145.3094001</v>
      </c>
      <c r="J16" t="s">
        <v>416</v>
      </c>
      <c r="K16">
        <v>5547061.9211534001</v>
      </c>
      <c r="L16">
        <v>0.95</v>
      </c>
      <c r="M16">
        <v>2902969288.0439301</v>
      </c>
      <c r="N16">
        <v>32787414.296</v>
      </c>
      <c r="O16">
        <v>35101010</v>
      </c>
      <c r="P16">
        <v>3510</v>
      </c>
      <c r="Q16">
        <v>3.2733333333333299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1.81</v>
      </c>
      <c r="AT16">
        <v>2.5760000000000001</v>
      </c>
      <c r="AU16" t="s">
        <v>425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2.1930000000000001</v>
      </c>
      <c r="CG16" t="s">
        <v>450</v>
      </c>
      <c r="CI16">
        <v>3.2733333333333299</v>
      </c>
      <c r="CJ16">
        <v>3.1</v>
      </c>
      <c r="CK16">
        <v>3.1866666666666652</v>
      </c>
      <c r="CL16">
        <v>-0.18</v>
      </c>
      <c r="CM16">
        <v>3.006666666666665</v>
      </c>
    </row>
    <row r="17" spans="1:91" x14ac:dyDescent="0.25">
      <c r="A17">
        <v>71</v>
      </c>
      <c r="B17" t="s">
        <v>484</v>
      </c>
      <c r="C17" t="s">
        <v>883</v>
      </c>
      <c r="D17" t="s">
        <v>1282</v>
      </c>
      <c r="E17" t="s">
        <v>401</v>
      </c>
      <c r="F17">
        <v>450499200</v>
      </c>
      <c r="G17">
        <v>69.459999999999994</v>
      </c>
      <c r="H17" t="s">
        <v>409</v>
      </c>
      <c r="I17">
        <v>31291674432</v>
      </c>
      <c r="J17" t="s">
        <v>415</v>
      </c>
      <c r="K17">
        <v>42461320.374285698</v>
      </c>
      <c r="L17">
        <v>1</v>
      </c>
      <c r="M17">
        <v>31291674432</v>
      </c>
      <c r="N17">
        <v>937038336</v>
      </c>
      <c r="O17">
        <v>10101010</v>
      </c>
      <c r="P17">
        <v>1010</v>
      </c>
      <c r="Q17">
        <v>1.7124185807336301</v>
      </c>
      <c r="R17">
        <v>3.01</v>
      </c>
      <c r="S17" t="s">
        <v>418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2.5059999999999998</v>
      </c>
      <c r="AT17">
        <v>3.1360000000000001</v>
      </c>
      <c r="AU17" t="s">
        <v>432</v>
      </c>
      <c r="AV17">
        <v>0</v>
      </c>
      <c r="AW17">
        <v>0</v>
      </c>
      <c r="AX17" t="s">
        <v>440</v>
      </c>
      <c r="AY17">
        <v>0</v>
      </c>
      <c r="AZ17">
        <v>0</v>
      </c>
      <c r="BA17">
        <v>0</v>
      </c>
      <c r="CE17">
        <v>2.8210000000000002</v>
      </c>
      <c r="CG17" t="s">
        <v>450</v>
      </c>
      <c r="CI17">
        <v>1.7124185807336301</v>
      </c>
      <c r="CJ17">
        <v>3.01</v>
      </c>
      <c r="CK17">
        <v>2.3612092903668152</v>
      </c>
      <c r="CL17">
        <v>-0.18</v>
      </c>
      <c r="CM17">
        <v>2.181209290366815</v>
      </c>
    </row>
    <row r="18" spans="1:91" x14ac:dyDescent="0.25">
      <c r="A18">
        <v>73</v>
      </c>
      <c r="B18" t="s">
        <v>123</v>
      </c>
      <c r="C18" t="s">
        <v>223</v>
      </c>
      <c r="D18" t="s">
        <v>323</v>
      </c>
      <c r="E18" t="s">
        <v>402</v>
      </c>
      <c r="F18">
        <v>234974400</v>
      </c>
      <c r="G18">
        <v>18.719290000000001</v>
      </c>
      <c r="H18" t="s">
        <v>412</v>
      </c>
      <c r="I18">
        <v>4398553936.1760006</v>
      </c>
      <c r="J18" t="s">
        <v>416</v>
      </c>
      <c r="K18">
        <v>7606684.1957903598</v>
      </c>
      <c r="L18">
        <v>0.85</v>
      </c>
      <c r="M18">
        <v>3738770845.7495999</v>
      </c>
      <c r="N18">
        <v>415434739.19999999</v>
      </c>
      <c r="O18">
        <v>20102010</v>
      </c>
      <c r="P18">
        <v>2010</v>
      </c>
      <c r="Q18">
        <v>1.91599093280441</v>
      </c>
      <c r="R18">
        <v>1.5</v>
      </c>
      <c r="S18" t="s">
        <v>421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2.6269999999999998</v>
      </c>
      <c r="AT18">
        <v>2.7530000000000001</v>
      </c>
      <c r="AU18" t="s">
        <v>420</v>
      </c>
      <c r="AV18">
        <v>1</v>
      </c>
      <c r="AW18">
        <v>0</v>
      </c>
      <c r="AX18" t="s">
        <v>441</v>
      </c>
      <c r="AY18">
        <v>0</v>
      </c>
      <c r="AZ18">
        <v>0</v>
      </c>
      <c r="BA18">
        <v>0</v>
      </c>
      <c r="CE18">
        <v>2.69</v>
      </c>
      <c r="CG18" t="s">
        <v>450</v>
      </c>
      <c r="CI18">
        <v>1.91599093280441</v>
      </c>
      <c r="CJ18">
        <v>1.5</v>
      </c>
      <c r="CK18">
        <v>1.707995466402205</v>
      </c>
      <c r="CL18">
        <v>0.18</v>
      </c>
      <c r="CM18">
        <v>1.8879954664022049</v>
      </c>
    </row>
    <row r="19" spans="1:91" x14ac:dyDescent="0.25">
      <c r="A19">
        <v>85</v>
      </c>
      <c r="B19" t="s">
        <v>485</v>
      </c>
      <c r="C19" t="s">
        <v>884</v>
      </c>
      <c r="D19" t="s">
        <v>1283</v>
      </c>
      <c r="E19" t="s">
        <v>404</v>
      </c>
      <c r="F19">
        <v>226388620</v>
      </c>
      <c r="G19">
        <v>25.22</v>
      </c>
      <c r="H19" t="s">
        <v>409</v>
      </c>
      <c r="I19">
        <v>5709520996.3999996</v>
      </c>
      <c r="J19" t="s">
        <v>415</v>
      </c>
      <c r="K19">
        <v>16355031.9673771</v>
      </c>
      <c r="L19">
        <v>0.60000000000000009</v>
      </c>
      <c r="M19">
        <v>3425712597.8400002</v>
      </c>
      <c r="N19">
        <v>282532997.76000011</v>
      </c>
      <c r="O19">
        <v>20102015</v>
      </c>
      <c r="P19">
        <v>2010</v>
      </c>
      <c r="Q19">
        <v>3.2515364392638801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2.4340000000000002</v>
      </c>
      <c r="AT19">
        <v>2.496</v>
      </c>
      <c r="AU19" t="s">
        <v>431</v>
      </c>
      <c r="AV19">
        <v>1</v>
      </c>
      <c r="AW19">
        <v>0</v>
      </c>
      <c r="AX19" t="s">
        <v>443</v>
      </c>
      <c r="AY19">
        <v>0</v>
      </c>
      <c r="AZ19">
        <v>0</v>
      </c>
      <c r="BA19">
        <v>0</v>
      </c>
      <c r="CE19">
        <v>2.4649999999999999</v>
      </c>
      <c r="CG19" t="s">
        <v>450</v>
      </c>
      <c r="CI19">
        <v>3.2515364392638801</v>
      </c>
      <c r="CJ19">
        <v>3.1</v>
      </c>
      <c r="CK19">
        <v>3.1757682196319399</v>
      </c>
      <c r="CL19">
        <v>-0.18</v>
      </c>
      <c r="CM19">
        <v>2.9957682196319402</v>
      </c>
    </row>
    <row r="20" spans="1:91" x14ac:dyDescent="0.25">
      <c r="A20">
        <v>87</v>
      </c>
      <c r="B20" t="s">
        <v>486</v>
      </c>
      <c r="C20" t="s">
        <v>885</v>
      </c>
      <c r="D20" t="s">
        <v>1284</v>
      </c>
      <c r="E20" t="s">
        <v>394</v>
      </c>
      <c r="F20">
        <v>205419262</v>
      </c>
      <c r="G20">
        <v>68.8</v>
      </c>
      <c r="H20" t="s">
        <v>409</v>
      </c>
      <c r="I20">
        <v>14132845225.6</v>
      </c>
      <c r="J20" t="s">
        <v>415</v>
      </c>
      <c r="K20">
        <v>10120375.6555556</v>
      </c>
      <c r="L20">
        <v>0.3</v>
      </c>
      <c r="M20">
        <v>4239853567.6799998</v>
      </c>
      <c r="N20">
        <v>128181619.48800001</v>
      </c>
      <c r="O20">
        <v>30202010</v>
      </c>
      <c r="P20">
        <v>3020</v>
      </c>
      <c r="S20" t="s">
        <v>419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2.2250000000000001</v>
      </c>
      <c r="AT20">
        <v>2.4649999999999999</v>
      </c>
      <c r="AU20" t="s">
        <v>430</v>
      </c>
      <c r="AV20">
        <v>0</v>
      </c>
      <c r="AW20">
        <v>0</v>
      </c>
      <c r="AX20" t="s">
        <v>433</v>
      </c>
      <c r="AY20">
        <v>0</v>
      </c>
      <c r="AZ20">
        <v>0</v>
      </c>
      <c r="BA20">
        <v>0</v>
      </c>
      <c r="CE20">
        <v>2.3450000000000002</v>
      </c>
      <c r="CG20" t="s">
        <v>450</v>
      </c>
      <c r="CI20">
        <v>3.4</v>
      </c>
      <c r="CJ20">
        <v>3.1</v>
      </c>
      <c r="CK20">
        <v>3.25</v>
      </c>
      <c r="CL20">
        <v>-0.24</v>
      </c>
      <c r="CM20">
        <v>3.01</v>
      </c>
    </row>
    <row r="21" spans="1:91" x14ac:dyDescent="0.25">
      <c r="A21">
        <v>94</v>
      </c>
      <c r="B21" t="s">
        <v>489</v>
      </c>
      <c r="C21" t="s">
        <v>888</v>
      </c>
      <c r="D21" t="s">
        <v>1287</v>
      </c>
      <c r="E21" t="s">
        <v>403</v>
      </c>
      <c r="F21">
        <v>985856700</v>
      </c>
      <c r="G21">
        <v>22.002770000000002</v>
      </c>
      <c r="H21" t="s">
        <v>413</v>
      </c>
      <c r="I21">
        <v>21691578223.058998</v>
      </c>
      <c r="J21" t="s">
        <v>416</v>
      </c>
      <c r="K21">
        <v>15462567.7601377</v>
      </c>
      <c r="L21">
        <v>0.4</v>
      </c>
      <c r="M21">
        <v>8676631289.2236004</v>
      </c>
      <c r="N21">
        <v>820232774.4000001</v>
      </c>
      <c r="O21">
        <v>55102040</v>
      </c>
      <c r="P21">
        <v>5510</v>
      </c>
      <c r="Q21">
        <v>2.66917264039561</v>
      </c>
      <c r="R21">
        <v>3.1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2.331</v>
      </c>
      <c r="AT21">
        <v>3.169</v>
      </c>
      <c r="AU21" t="s">
        <v>418</v>
      </c>
      <c r="AV21">
        <v>1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2.75</v>
      </c>
      <c r="CG21" t="s">
        <v>450</v>
      </c>
      <c r="CI21">
        <v>2.66917264039561</v>
      </c>
      <c r="CJ21">
        <v>3.1</v>
      </c>
      <c r="CK21">
        <v>2.8845863201978048</v>
      </c>
      <c r="CL21">
        <v>-0.18</v>
      </c>
      <c r="CM21">
        <v>2.7045863201978051</v>
      </c>
    </row>
    <row r="22" spans="1:91" x14ac:dyDescent="0.25">
      <c r="A22">
        <v>108</v>
      </c>
      <c r="B22" t="s">
        <v>493</v>
      </c>
      <c r="C22" t="s">
        <v>892</v>
      </c>
      <c r="D22" t="s">
        <v>1291</v>
      </c>
      <c r="E22" t="s">
        <v>407</v>
      </c>
      <c r="F22">
        <v>60760957</v>
      </c>
      <c r="G22">
        <v>619.20000000000005</v>
      </c>
      <c r="H22" t="s">
        <v>409</v>
      </c>
      <c r="I22">
        <v>37623184574.400002</v>
      </c>
      <c r="J22" t="s">
        <v>415</v>
      </c>
      <c r="K22">
        <v>36004032.6809524</v>
      </c>
      <c r="L22">
        <v>1</v>
      </c>
      <c r="M22">
        <v>37623184574.400002</v>
      </c>
      <c r="N22">
        <v>16599893452.4</v>
      </c>
      <c r="O22">
        <v>20103010</v>
      </c>
      <c r="P22">
        <v>2010</v>
      </c>
      <c r="Q22">
        <v>3.4</v>
      </c>
      <c r="S22" t="s">
        <v>424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2.3410000000000002</v>
      </c>
      <c r="AT22">
        <v>3.0019999999999998</v>
      </c>
      <c r="AU22" t="s">
        <v>429</v>
      </c>
      <c r="AV22">
        <v>0</v>
      </c>
      <c r="AW22">
        <v>0</v>
      </c>
      <c r="AX22" t="s">
        <v>445</v>
      </c>
      <c r="AY22">
        <v>0</v>
      </c>
      <c r="AZ22">
        <v>0</v>
      </c>
      <c r="BA22">
        <v>0</v>
      </c>
      <c r="CE22">
        <v>2.6715</v>
      </c>
      <c r="CG22" t="s">
        <v>450</v>
      </c>
      <c r="CI22">
        <v>3.4</v>
      </c>
      <c r="CJ22">
        <v>3.1</v>
      </c>
      <c r="CK22">
        <v>3.25</v>
      </c>
      <c r="CL22">
        <v>0.3</v>
      </c>
      <c r="CM22">
        <v>3.55</v>
      </c>
    </row>
    <row r="23" spans="1:91" x14ac:dyDescent="0.25">
      <c r="A23">
        <v>119</v>
      </c>
      <c r="B23" t="s">
        <v>110</v>
      </c>
      <c r="C23" t="s">
        <v>210</v>
      </c>
      <c r="D23" t="s">
        <v>310</v>
      </c>
      <c r="E23" t="s">
        <v>396</v>
      </c>
      <c r="F23">
        <v>49328548</v>
      </c>
      <c r="G23">
        <v>569.79999999999995</v>
      </c>
      <c r="H23" t="s">
        <v>409</v>
      </c>
      <c r="I23">
        <v>28107406650.400002</v>
      </c>
      <c r="J23" t="s">
        <v>415</v>
      </c>
      <c r="K23">
        <v>78679459.003174603</v>
      </c>
      <c r="L23">
        <v>0.95000000000000007</v>
      </c>
      <c r="M23">
        <v>26702036317.880001</v>
      </c>
      <c r="N23">
        <v>12802731347.92</v>
      </c>
      <c r="O23">
        <v>10102020</v>
      </c>
      <c r="P23">
        <v>1010</v>
      </c>
      <c r="Q23">
        <v>1.7486641100579701</v>
      </c>
      <c r="R23">
        <v>3.1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2.4460000000000002</v>
      </c>
      <c r="AT23">
        <v>3.2189999999999999</v>
      </c>
      <c r="AU23" t="s">
        <v>420</v>
      </c>
      <c r="AV23">
        <v>1</v>
      </c>
      <c r="AW23">
        <v>0</v>
      </c>
      <c r="AX23" t="s">
        <v>445</v>
      </c>
      <c r="AY23">
        <v>0</v>
      </c>
      <c r="AZ23">
        <v>0</v>
      </c>
      <c r="BA23">
        <v>0</v>
      </c>
      <c r="CE23">
        <v>2.8325</v>
      </c>
      <c r="CG23" t="s">
        <v>450</v>
      </c>
      <c r="CI23">
        <v>1.7486641100579701</v>
      </c>
      <c r="CJ23">
        <v>3.1</v>
      </c>
      <c r="CK23">
        <v>2.4243320550289851</v>
      </c>
      <c r="CL23">
        <v>-0.3</v>
      </c>
      <c r="CM23">
        <v>2.1243320550289848</v>
      </c>
    </row>
    <row r="24" spans="1:91" x14ac:dyDescent="0.25">
      <c r="A24">
        <v>120</v>
      </c>
      <c r="B24" t="s">
        <v>496</v>
      </c>
      <c r="C24" t="s">
        <v>895</v>
      </c>
      <c r="D24" t="s">
        <v>1294</v>
      </c>
      <c r="E24" t="s">
        <v>396</v>
      </c>
      <c r="F24">
        <v>393830692</v>
      </c>
      <c r="G24">
        <v>710.1</v>
      </c>
      <c r="H24" t="s">
        <v>409</v>
      </c>
      <c r="I24">
        <v>279659174389.20001</v>
      </c>
      <c r="J24" t="s">
        <v>415</v>
      </c>
      <c r="K24">
        <v>522122564.220635</v>
      </c>
      <c r="L24">
        <v>1</v>
      </c>
      <c r="M24">
        <v>279659174389.20001</v>
      </c>
      <c r="N24">
        <v>107594545054.39999</v>
      </c>
      <c r="O24">
        <v>10102020</v>
      </c>
      <c r="P24">
        <v>1010</v>
      </c>
      <c r="Q24">
        <v>1.9984585218575901</v>
      </c>
      <c r="S24" t="s">
        <v>419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2.5920000000000001</v>
      </c>
      <c r="AT24">
        <v>3.641</v>
      </c>
      <c r="AU24" t="s">
        <v>420</v>
      </c>
      <c r="AV24">
        <v>1</v>
      </c>
      <c r="AW24">
        <v>0</v>
      </c>
      <c r="AX24" t="s">
        <v>445</v>
      </c>
      <c r="AY24">
        <v>0</v>
      </c>
      <c r="AZ24">
        <v>0</v>
      </c>
      <c r="BA24">
        <v>0</v>
      </c>
      <c r="CE24">
        <v>3.1164999999999998</v>
      </c>
      <c r="CG24" t="s">
        <v>450</v>
      </c>
      <c r="CI24">
        <v>1.9984585218575901</v>
      </c>
      <c r="CJ24">
        <v>3.1</v>
      </c>
      <c r="CK24">
        <v>2.549229260928795</v>
      </c>
      <c r="CL24">
        <v>-0.24</v>
      </c>
      <c r="CM24">
        <v>2.3092292609287952</v>
      </c>
    </row>
    <row r="25" spans="1:91" x14ac:dyDescent="0.25">
      <c r="A25">
        <v>122</v>
      </c>
      <c r="B25" t="s">
        <v>497</v>
      </c>
      <c r="C25" t="s">
        <v>896</v>
      </c>
      <c r="D25" t="s">
        <v>1295</v>
      </c>
      <c r="E25" t="s">
        <v>396</v>
      </c>
      <c r="F25">
        <v>211326978</v>
      </c>
      <c r="G25">
        <v>48.4</v>
      </c>
      <c r="H25" t="s">
        <v>409</v>
      </c>
      <c r="I25">
        <v>10228225735.200001</v>
      </c>
      <c r="J25" t="s">
        <v>415</v>
      </c>
      <c r="K25">
        <v>18152462.072539698</v>
      </c>
      <c r="L25">
        <v>0.65</v>
      </c>
      <c r="M25">
        <v>6648346727.8799992</v>
      </c>
      <c r="N25">
        <v>37527444753.239998</v>
      </c>
      <c r="O25">
        <v>30302010</v>
      </c>
      <c r="P25">
        <v>3030</v>
      </c>
      <c r="Q25">
        <v>3.4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2.133</v>
      </c>
      <c r="AT25">
        <v>3.2040000000000002</v>
      </c>
      <c r="AU25" t="s">
        <v>430</v>
      </c>
      <c r="AV25">
        <v>0</v>
      </c>
      <c r="AW25">
        <v>0</v>
      </c>
      <c r="AX25" t="s">
        <v>445</v>
      </c>
      <c r="AY25">
        <v>0</v>
      </c>
      <c r="AZ25">
        <v>0</v>
      </c>
      <c r="BA25">
        <v>0</v>
      </c>
      <c r="CE25">
        <v>2.6684999999999999</v>
      </c>
      <c r="CG25" t="s">
        <v>450</v>
      </c>
      <c r="CI25">
        <v>3.4</v>
      </c>
      <c r="CJ25">
        <v>3.1</v>
      </c>
      <c r="CK25">
        <v>3.25</v>
      </c>
      <c r="CL25">
        <v>-0.18</v>
      </c>
      <c r="CM25">
        <v>3.07</v>
      </c>
    </row>
    <row r="26" spans="1:91" x14ac:dyDescent="0.25">
      <c r="A26">
        <v>123</v>
      </c>
      <c r="B26" t="s">
        <v>179</v>
      </c>
      <c r="C26" t="s">
        <v>279</v>
      </c>
      <c r="D26" t="s">
        <v>379</v>
      </c>
      <c r="E26" t="s">
        <v>395</v>
      </c>
      <c r="F26">
        <v>1055050400</v>
      </c>
      <c r="G26">
        <v>29.5566</v>
      </c>
      <c r="H26" t="s">
        <v>410</v>
      </c>
      <c r="I26">
        <v>31183702652.639999</v>
      </c>
      <c r="J26" t="s">
        <v>416</v>
      </c>
      <c r="K26">
        <v>42342444.337286301</v>
      </c>
      <c r="L26">
        <v>0.95</v>
      </c>
      <c r="M26">
        <v>29624517520.007999</v>
      </c>
      <c r="N26">
        <v>273827780816</v>
      </c>
      <c r="O26">
        <v>50101035</v>
      </c>
      <c r="P26">
        <v>5010</v>
      </c>
      <c r="Q26">
        <v>1.74887448110706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1.956</v>
      </c>
      <c r="AT26">
        <v>3.0419999999999998</v>
      </c>
      <c r="AU26" t="s">
        <v>432</v>
      </c>
      <c r="AV26">
        <v>0</v>
      </c>
      <c r="AW26">
        <v>0</v>
      </c>
      <c r="AX26" t="s">
        <v>434</v>
      </c>
      <c r="AY26">
        <v>0</v>
      </c>
      <c r="AZ26">
        <v>0</v>
      </c>
      <c r="BA26">
        <v>0</v>
      </c>
      <c r="CE26">
        <v>2.4990000000000001</v>
      </c>
      <c r="CG26" t="s">
        <v>450</v>
      </c>
      <c r="CI26">
        <v>1.74887448110706</v>
      </c>
      <c r="CJ26">
        <v>1.5</v>
      </c>
      <c r="CK26">
        <v>1.6244372405535299</v>
      </c>
      <c r="CL26">
        <v>-0.18</v>
      </c>
      <c r="CM26">
        <v>1.44443724055353</v>
      </c>
    </row>
    <row r="27" spans="1:91" x14ac:dyDescent="0.25">
      <c r="A27">
        <v>124</v>
      </c>
      <c r="B27" t="s">
        <v>498</v>
      </c>
      <c r="C27" t="s">
        <v>897</v>
      </c>
      <c r="D27" t="s">
        <v>1296</v>
      </c>
      <c r="E27" t="s">
        <v>403</v>
      </c>
      <c r="F27">
        <v>728033000</v>
      </c>
      <c r="G27">
        <v>23.102900000000002</v>
      </c>
      <c r="H27" t="s">
        <v>413</v>
      </c>
      <c r="I27">
        <v>16819673595.700001</v>
      </c>
      <c r="J27" t="s">
        <v>416</v>
      </c>
      <c r="K27">
        <v>20593004.536175001</v>
      </c>
      <c r="L27">
        <v>0.4</v>
      </c>
      <c r="M27">
        <v>6727869438.2800007</v>
      </c>
      <c r="N27">
        <v>79559446240</v>
      </c>
      <c r="O27">
        <v>45102020</v>
      </c>
      <c r="P27">
        <v>4510</v>
      </c>
      <c r="Q27">
        <v>2.3866666666666601</v>
      </c>
      <c r="R27">
        <v>2.08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2.008</v>
      </c>
      <c r="AT27">
        <v>2.8860000000000001</v>
      </c>
      <c r="AU27" t="s">
        <v>431</v>
      </c>
      <c r="AV27">
        <v>1</v>
      </c>
      <c r="AW27">
        <v>0</v>
      </c>
      <c r="AX27" t="s">
        <v>442</v>
      </c>
      <c r="AY27">
        <v>0</v>
      </c>
      <c r="AZ27">
        <v>0</v>
      </c>
      <c r="BA27">
        <v>0</v>
      </c>
      <c r="CE27">
        <v>2.4470000000000001</v>
      </c>
      <c r="CG27" t="s">
        <v>450</v>
      </c>
      <c r="CI27">
        <v>2.3866666666666601</v>
      </c>
      <c r="CJ27">
        <v>2.08</v>
      </c>
      <c r="CK27">
        <v>2.2333333333333298</v>
      </c>
      <c r="CL27">
        <v>-0.18</v>
      </c>
      <c r="CM27">
        <v>2.0533333333333301</v>
      </c>
    </row>
    <row r="28" spans="1:91" x14ac:dyDescent="0.25">
      <c r="A28">
        <v>126</v>
      </c>
      <c r="B28" t="s">
        <v>119</v>
      </c>
      <c r="C28" t="s">
        <v>219</v>
      </c>
      <c r="D28" t="s">
        <v>319</v>
      </c>
      <c r="E28" t="s">
        <v>403</v>
      </c>
      <c r="F28">
        <v>1550581200</v>
      </c>
      <c r="G28">
        <v>141.54310000000001</v>
      </c>
      <c r="H28" t="s">
        <v>413</v>
      </c>
      <c r="I28">
        <v>219474069849.72</v>
      </c>
      <c r="J28" t="s">
        <v>416</v>
      </c>
      <c r="K28">
        <v>175769656.35404101</v>
      </c>
      <c r="L28">
        <v>1</v>
      </c>
      <c r="M28">
        <v>219474069849.72</v>
      </c>
      <c r="N28">
        <v>423618783840</v>
      </c>
      <c r="O28">
        <v>20103015</v>
      </c>
      <c r="P28">
        <v>2010</v>
      </c>
      <c r="Q28">
        <v>1.74009250374075</v>
      </c>
      <c r="R28">
        <v>1.5</v>
      </c>
      <c r="S28" t="s">
        <v>417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2.7770000000000001</v>
      </c>
      <c r="AT28">
        <v>2.399</v>
      </c>
      <c r="AU28" t="s">
        <v>420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2.5880000000000001</v>
      </c>
      <c r="CG28" t="s">
        <v>450</v>
      </c>
      <c r="CI28">
        <v>1.74009250374075</v>
      </c>
      <c r="CJ28">
        <v>1.5</v>
      </c>
      <c r="CK28">
        <v>1.6200462518703751</v>
      </c>
      <c r="CL28">
        <v>-0.3</v>
      </c>
      <c r="CM28">
        <v>1.3200462518703751</v>
      </c>
    </row>
    <row r="29" spans="1:91" x14ac:dyDescent="0.25">
      <c r="A29">
        <v>142</v>
      </c>
      <c r="B29" t="s">
        <v>501</v>
      </c>
      <c r="C29" t="s">
        <v>900</v>
      </c>
      <c r="D29" t="s">
        <v>1299</v>
      </c>
      <c r="E29" t="s">
        <v>395</v>
      </c>
      <c r="F29">
        <v>157236950</v>
      </c>
      <c r="G29">
        <v>30.078130000000002</v>
      </c>
      <c r="H29" t="s">
        <v>410</v>
      </c>
      <c r="I29">
        <v>4729393422.9035006</v>
      </c>
      <c r="J29" t="s">
        <v>416</v>
      </c>
      <c r="K29">
        <v>8967483.0466652308</v>
      </c>
      <c r="L29">
        <v>0.75</v>
      </c>
      <c r="M29">
        <v>3547045067.1776261</v>
      </c>
      <c r="N29">
        <v>3209992334.25</v>
      </c>
      <c r="O29">
        <v>30101010</v>
      </c>
      <c r="P29">
        <v>3010</v>
      </c>
      <c r="Q29">
        <v>1.9434610102243199</v>
      </c>
      <c r="S29" t="s">
        <v>424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2.1560000000000001</v>
      </c>
      <c r="AT29">
        <v>2.677</v>
      </c>
      <c r="AU29" t="s">
        <v>430</v>
      </c>
      <c r="AV29">
        <v>0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2.4165000000000001</v>
      </c>
      <c r="CG29" t="s">
        <v>450</v>
      </c>
      <c r="CI29">
        <v>1.9434610102243199</v>
      </c>
      <c r="CJ29">
        <v>3.1</v>
      </c>
      <c r="CK29">
        <v>2.5217305051121599</v>
      </c>
      <c r="CL29">
        <v>0.3</v>
      </c>
      <c r="CM29">
        <v>2.8217305051121602</v>
      </c>
    </row>
    <row r="30" spans="1:91" x14ac:dyDescent="0.25">
      <c r="A30">
        <v>143</v>
      </c>
      <c r="B30" t="s">
        <v>150</v>
      </c>
      <c r="C30" t="s">
        <v>250</v>
      </c>
      <c r="D30" t="s">
        <v>350</v>
      </c>
      <c r="E30" t="s">
        <v>403</v>
      </c>
      <c r="F30">
        <v>2677649400</v>
      </c>
      <c r="G30">
        <v>6.0277909999999997</v>
      </c>
      <c r="H30" t="s">
        <v>413</v>
      </c>
      <c r="I30">
        <v>16140310954.475401</v>
      </c>
      <c r="J30" t="s">
        <v>416</v>
      </c>
      <c r="K30">
        <v>29758651.104662601</v>
      </c>
      <c r="L30">
        <v>1</v>
      </c>
      <c r="M30">
        <v>16140310954.475401</v>
      </c>
      <c r="N30">
        <v>72885616668</v>
      </c>
      <c r="O30">
        <v>30301010</v>
      </c>
      <c r="P30">
        <v>3030</v>
      </c>
      <c r="Q30">
        <v>1.9994209635284099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2.2200000000000002</v>
      </c>
      <c r="AT30">
        <v>3.3250000000000002</v>
      </c>
      <c r="AU30" t="s">
        <v>430</v>
      </c>
      <c r="AV30">
        <v>0</v>
      </c>
      <c r="AW30">
        <v>0</v>
      </c>
      <c r="AX30" t="s">
        <v>442</v>
      </c>
      <c r="AY30">
        <v>0</v>
      </c>
      <c r="AZ30">
        <v>0</v>
      </c>
      <c r="BA30">
        <v>0</v>
      </c>
      <c r="CE30">
        <v>2.7725</v>
      </c>
      <c r="CG30" t="s">
        <v>450</v>
      </c>
      <c r="CI30">
        <v>1.9994209635284099</v>
      </c>
      <c r="CJ30">
        <v>3.1</v>
      </c>
      <c r="CK30">
        <v>2.5497104817642051</v>
      </c>
      <c r="CL30">
        <v>-0.18</v>
      </c>
      <c r="CM30">
        <v>2.369710481764205</v>
      </c>
    </row>
    <row r="31" spans="1:91" x14ac:dyDescent="0.25">
      <c r="A31">
        <v>145</v>
      </c>
      <c r="B31" t="s">
        <v>151</v>
      </c>
      <c r="C31" t="s">
        <v>251</v>
      </c>
      <c r="D31" t="s">
        <v>351</v>
      </c>
      <c r="E31" t="s">
        <v>394</v>
      </c>
      <c r="F31">
        <v>2214797873</v>
      </c>
      <c r="G31">
        <v>36.979999999999997</v>
      </c>
      <c r="H31" t="s">
        <v>409</v>
      </c>
      <c r="I31">
        <v>81903225343.539993</v>
      </c>
      <c r="J31" t="s">
        <v>415</v>
      </c>
      <c r="K31">
        <v>141293081.09468201</v>
      </c>
      <c r="L31">
        <v>0.85000000000000009</v>
      </c>
      <c r="M31">
        <v>69617741542.009003</v>
      </c>
      <c r="N31">
        <v>51243778387.601013</v>
      </c>
      <c r="O31">
        <v>30302010</v>
      </c>
      <c r="P31">
        <v>3030</v>
      </c>
      <c r="Q31">
        <v>3.2733333333333299</v>
      </c>
      <c r="R31">
        <v>1.5</v>
      </c>
      <c r="S31" t="s">
        <v>420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2.3420000000000001</v>
      </c>
      <c r="AT31">
        <v>2.6240000000000001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2.4830000000000001</v>
      </c>
      <c r="CG31" t="s">
        <v>450</v>
      </c>
      <c r="CI31">
        <v>3.2733333333333299</v>
      </c>
      <c r="CJ31">
        <v>1.5</v>
      </c>
      <c r="CK31">
        <v>2.3866666666666649</v>
      </c>
      <c r="CL31">
        <v>0</v>
      </c>
      <c r="CM31">
        <v>2.3866666666666649</v>
      </c>
    </row>
    <row r="32" spans="1:91" x14ac:dyDescent="0.25">
      <c r="A32">
        <v>151</v>
      </c>
      <c r="B32" t="s">
        <v>506</v>
      </c>
      <c r="C32" t="s">
        <v>905</v>
      </c>
      <c r="D32" t="s">
        <v>1304</v>
      </c>
      <c r="E32" t="s">
        <v>408</v>
      </c>
      <c r="F32">
        <v>15113989952</v>
      </c>
      <c r="G32">
        <v>0.54979999999999996</v>
      </c>
      <c r="H32" t="s">
        <v>409</v>
      </c>
      <c r="I32">
        <v>8309671675.6095991</v>
      </c>
      <c r="J32" t="s">
        <v>415</v>
      </c>
      <c r="K32">
        <v>29346586.367082499</v>
      </c>
      <c r="L32">
        <v>0.60000000000000009</v>
      </c>
      <c r="M32">
        <v>4985803005.3657598</v>
      </c>
      <c r="N32">
        <v>246841683896.064</v>
      </c>
      <c r="O32">
        <v>30101010</v>
      </c>
      <c r="P32">
        <v>3010</v>
      </c>
      <c r="Q32">
        <v>3.4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2.1379999999999999</v>
      </c>
      <c r="AT32">
        <v>2.69</v>
      </c>
      <c r="AU32" t="s">
        <v>430</v>
      </c>
      <c r="AV32">
        <v>0</v>
      </c>
      <c r="AW32">
        <v>0</v>
      </c>
      <c r="AX32" t="s">
        <v>449</v>
      </c>
      <c r="AY32">
        <v>0</v>
      </c>
      <c r="AZ32">
        <v>0</v>
      </c>
      <c r="BA32">
        <v>0</v>
      </c>
      <c r="CE32">
        <v>2.4140000000000001</v>
      </c>
      <c r="CG32" t="s">
        <v>450</v>
      </c>
      <c r="CI32">
        <v>3.4</v>
      </c>
      <c r="CJ32">
        <v>3.1</v>
      </c>
      <c r="CK32">
        <v>3.25</v>
      </c>
      <c r="CL32">
        <v>-0.18</v>
      </c>
      <c r="CM32">
        <v>3.07</v>
      </c>
    </row>
    <row r="33" spans="1:91" x14ac:dyDescent="0.25">
      <c r="A33">
        <v>155</v>
      </c>
      <c r="B33" t="s">
        <v>509</v>
      </c>
      <c r="C33" t="s">
        <v>908</v>
      </c>
      <c r="D33" t="s">
        <v>1307</v>
      </c>
      <c r="E33" t="s">
        <v>406</v>
      </c>
      <c r="F33">
        <v>45800000</v>
      </c>
      <c r="G33">
        <v>178.20699999999999</v>
      </c>
      <c r="H33" t="s">
        <v>414</v>
      </c>
      <c r="I33">
        <v>8161880600</v>
      </c>
      <c r="J33" t="s">
        <v>416</v>
      </c>
      <c r="K33">
        <v>12889251.209706601</v>
      </c>
      <c r="L33">
        <v>0.95</v>
      </c>
      <c r="M33">
        <v>7753786570</v>
      </c>
      <c r="N33">
        <v>1184342200</v>
      </c>
      <c r="O33">
        <v>30302010</v>
      </c>
      <c r="P33">
        <v>3030</v>
      </c>
      <c r="Q33">
        <v>3.4</v>
      </c>
      <c r="S33" t="s">
        <v>420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1.931</v>
      </c>
      <c r="AT33">
        <v>2.6989999999999998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2.3149999999999999</v>
      </c>
      <c r="CG33" t="s">
        <v>450</v>
      </c>
      <c r="CI33">
        <v>3.4</v>
      </c>
      <c r="CJ33">
        <v>3.1</v>
      </c>
      <c r="CK33">
        <v>3.25</v>
      </c>
      <c r="CL33">
        <v>0</v>
      </c>
      <c r="CM33">
        <v>3.25</v>
      </c>
    </row>
    <row r="34" spans="1:91" x14ac:dyDescent="0.25">
      <c r="A34">
        <v>157</v>
      </c>
      <c r="B34" t="s">
        <v>510</v>
      </c>
      <c r="C34" t="s">
        <v>909</v>
      </c>
      <c r="D34" t="s">
        <v>1308</v>
      </c>
      <c r="E34" t="s">
        <v>404</v>
      </c>
      <c r="F34">
        <v>745343391</v>
      </c>
      <c r="G34">
        <v>13.54</v>
      </c>
      <c r="H34" t="s">
        <v>409</v>
      </c>
      <c r="I34">
        <v>10091949514.139999</v>
      </c>
      <c r="J34" t="s">
        <v>415</v>
      </c>
      <c r="K34">
        <v>13825196.131885201</v>
      </c>
      <c r="L34">
        <v>0.3</v>
      </c>
      <c r="M34">
        <v>3027584854.2420001</v>
      </c>
      <c r="N34">
        <v>6086474130.9060011</v>
      </c>
      <c r="O34">
        <v>30202000</v>
      </c>
      <c r="P34">
        <v>3020</v>
      </c>
      <c r="Q34">
        <v>3.4</v>
      </c>
      <c r="S34" t="s">
        <v>420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2.23</v>
      </c>
      <c r="AT34">
        <v>2.9359999999999999</v>
      </c>
      <c r="AU34" t="s">
        <v>430</v>
      </c>
      <c r="AV34">
        <v>0</v>
      </c>
      <c r="AW34">
        <v>0</v>
      </c>
      <c r="AX34" t="s">
        <v>443</v>
      </c>
      <c r="AY34">
        <v>0</v>
      </c>
      <c r="AZ34">
        <v>0</v>
      </c>
      <c r="BA34">
        <v>0</v>
      </c>
      <c r="CE34">
        <v>2.5830000000000002</v>
      </c>
      <c r="CG34" t="s">
        <v>450</v>
      </c>
      <c r="CI34">
        <v>3.4</v>
      </c>
      <c r="CJ34">
        <v>3.1</v>
      </c>
      <c r="CK34">
        <v>3.25</v>
      </c>
      <c r="CL34">
        <v>0</v>
      </c>
      <c r="CM34">
        <v>3.25</v>
      </c>
    </row>
    <row r="35" spans="1:91" x14ac:dyDescent="0.25">
      <c r="A35">
        <v>158</v>
      </c>
      <c r="B35" t="s">
        <v>511</v>
      </c>
      <c r="C35" t="s">
        <v>910</v>
      </c>
      <c r="D35" t="s">
        <v>1309</v>
      </c>
      <c r="E35" t="s">
        <v>404</v>
      </c>
      <c r="F35">
        <v>1259689706</v>
      </c>
      <c r="G35">
        <v>6.43</v>
      </c>
      <c r="H35" t="s">
        <v>409</v>
      </c>
      <c r="I35">
        <v>8099804809.5799999</v>
      </c>
      <c r="J35" t="s">
        <v>415</v>
      </c>
      <c r="K35">
        <v>101530512.28059</v>
      </c>
      <c r="L35">
        <v>0.70000000000000007</v>
      </c>
      <c r="M35">
        <v>5669863366.7060003</v>
      </c>
      <c r="N35">
        <v>24002127658.124001</v>
      </c>
      <c r="O35">
        <v>30101010</v>
      </c>
      <c r="P35">
        <v>3010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2.1349999999999998</v>
      </c>
      <c r="AT35">
        <v>2.6760000000000002</v>
      </c>
      <c r="AU35" t="s">
        <v>430</v>
      </c>
      <c r="AV35">
        <v>0</v>
      </c>
      <c r="AW35">
        <v>0</v>
      </c>
      <c r="AX35" t="s">
        <v>443</v>
      </c>
      <c r="AY35">
        <v>0</v>
      </c>
      <c r="AZ35">
        <v>0</v>
      </c>
      <c r="BA35">
        <v>0</v>
      </c>
      <c r="CE35">
        <v>2.4055</v>
      </c>
      <c r="CG35" t="s">
        <v>450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159</v>
      </c>
      <c r="B36" t="s">
        <v>512</v>
      </c>
      <c r="C36" t="s">
        <v>911</v>
      </c>
      <c r="D36" t="s">
        <v>1310</v>
      </c>
      <c r="E36" t="s">
        <v>404</v>
      </c>
      <c r="F36">
        <v>1515182126</v>
      </c>
      <c r="G36">
        <v>9.0960000000000001</v>
      </c>
      <c r="H36" t="s">
        <v>409</v>
      </c>
      <c r="I36">
        <v>13782096618.096001</v>
      </c>
      <c r="J36" t="s">
        <v>415</v>
      </c>
      <c r="K36">
        <v>107595421.248656</v>
      </c>
      <c r="L36">
        <v>0.8</v>
      </c>
      <c r="M36">
        <v>11025677294.476801</v>
      </c>
      <c r="N36">
        <v>32994605975.776001</v>
      </c>
      <c r="O36">
        <v>30101010</v>
      </c>
      <c r="P36">
        <v>3010</v>
      </c>
      <c r="Q36">
        <v>3.4</v>
      </c>
      <c r="S36" t="s">
        <v>418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2.3959999999999999</v>
      </c>
      <c r="AT36">
        <v>2.5619999999999998</v>
      </c>
      <c r="AU36" t="s">
        <v>430</v>
      </c>
      <c r="AV36">
        <v>0</v>
      </c>
      <c r="AW36">
        <v>0</v>
      </c>
      <c r="AX36" t="s">
        <v>443</v>
      </c>
      <c r="AY36">
        <v>0</v>
      </c>
      <c r="AZ36">
        <v>0</v>
      </c>
      <c r="BA36">
        <v>0</v>
      </c>
      <c r="CE36">
        <v>2.4790000000000001</v>
      </c>
      <c r="CG36" t="s">
        <v>450</v>
      </c>
      <c r="CI36">
        <v>3.4</v>
      </c>
      <c r="CJ36">
        <v>3.1</v>
      </c>
      <c r="CK36">
        <v>3.25</v>
      </c>
      <c r="CL36">
        <v>-0.18</v>
      </c>
      <c r="CM36">
        <v>3.07</v>
      </c>
    </row>
    <row r="37" spans="1:91" x14ac:dyDescent="0.25">
      <c r="A37">
        <v>160</v>
      </c>
      <c r="B37" t="s">
        <v>513</v>
      </c>
      <c r="C37" t="s">
        <v>912</v>
      </c>
      <c r="D37" t="s">
        <v>1311</v>
      </c>
      <c r="E37" t="s">
        <v>401</v>
      </c>
      <c r="F37">
        <v>5440221700</v>
      </c>
      <c r="G37">
        <v>2.52</v>
      </c>
      <c r="H37" t="s">
        <v>409</v>
      </c>
      <c r="I37">
        <v>13709358684</v>
      </c>
      <c r="J37" t="s">
        <v>415</v>
      </c>
      <c r="K37">
        <v>27278072.916000001</v>
      </c>
      <c r="L37">
        <v>1</v>
      </c>
      <c r="M37">
        <v>13709358684</v>
      </c>
      <c r="N37">
        <v>148082834674</v>
      </c>
      <c r="O37">
        <v>30101010</v>
      </c>
      <c r="P37">
        <v>3010</v>
      </c>
      <c r="Q37">
        <v>3.06327446033775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2.6110000000000002</v>
      </c>
      <c r="AT37">
        <v>3.254</v>
      </c>
      <c r="AU37" t="s">
        <v>430</v>
      </c>
      <c r="AV37">
        <v>0</v>
      </c>
      <c r="AW37">
        <v>0</v>
      </c>
      <c r="AX37" t="s">
        <v>440</v>
      </c>
      <c r="AY37">
        <v>0</v>
      </c>
      <c r="AZ37">
        <v>0</v>
      </c>
      <c r="BA37">
        <v>0</v>
      </c>
      <c r="CE37">
        <v>2.9325000000000001</v>
      </c>
      <c r="CG37" t="s">
        <v>450</v>
      </c>
      <c r="CI37">
        <v>3.06327446033775</v>
      </c>
      <c r="CJ37">
        <v>3.1</v>
      </c>
      <c r="CK37">
        <v>3.0816372301688748</v>
      </c>
      <c r="CL37">
        <v>-0.18</v>
      </c>
      <c r="CM37">
        <v>2.9016372301688751</v>
      </c>
    </row>
    <row r="38" spans="1:91" x14ac:dyDescent="0.25">
      <c r="A38">
        <v>161</v>
      </c>
      <c r="B38" t="s">
        <v>132</v>
      </c>
      <c r="C38" t="s">
        <v>232</v>
      </c>
      <c r="D38" t="s">
        <v>332</v>
      </c>
      <c r="E38" t="s">
        <v>401</v>
      </c>
      <c r="F38">
        <v>15152492000</v>
      </c>
      <c r="G38">
        <v>5.8840000000000003</v>
      </c>
      <c r="H38" t="s">
        <v>409</v>
      </c>
      <c r="I38">
        <v>89157262928</v>
      </c>
      <c r="J38" t="s">
        <v>415</v>
      </c>
      <c r="K38">
        <v>149229392.385506</v>
      </c>
      <c r="L38">
        <v>1</v>
      </c>
      <c r="M38">
        <v>89157262928</v>
      </c>
      <c r="N38">
        <v>412450832240</v>
      </c>
      <c r="O38">
        <v>30101010</v>
      </c>
      <c r="P38">
        <v>3010</v>
      </c>
      <c r="Q38">
        <v>3.1466666666666598</v>
      </c>
      <c r="R38">
        <v>1.5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2.3980000000000001</v>
      </c>
      <c r="AT38">
        <v>3.1459999999999999</v>
      </c>
      <c r="AU38" t="s">
        <v>430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2.7719999999999998</v>
      </c>
      <c r="CG38" t="s">
        <v>450</v>
      </c>
      <c r="CI38">
        <v>3.1466666666666598</v>
      </c>
      <c r="CJ38">
        <v>1.5</v>
      </c>
      <c r="CK38">
        <v>2.3233333333333301</v>
      </c>
      <c r="CL38">
        <v>-0.3</v>
      </c>
      <c r="CM38">
        <v>2.0233333333333299</v>
      </c>
    </row>
    <row r="39" spans="1:91" x14ac:dyDescent="0.25">
      <c r="A39">
        <v>165</v>
      </c>
      <c r="B39" t="s">
        <v>138</v>
      </c>
      <c r="C39" t="s">
        <v>238</v>
      </c>
      <c r="D39" t="s">
        <v>338</v>
      </c>
      <c r="E39" t="s">
        <v>397</v>
      </c>
      <c r="F39">
        <v>1003409101</v>
      </c>
      <c r="G39">
        <v>10.44</v>
      </c>
      <c r="H39" t="s">
        <v>409</v>
      </c>
      <c r="I39">
        <v>10475591014.440001</v>
      </c>
      <c r="J39" t="s">
        <v>415</v>
      </c>
      <c r="K39">
        <v>17800026.3292921</v>
      </c>
      <c r="L39">
        <v>1</v>
      </c>
      <c r="M39">
        <v>10475591014.440001</v>
      </c>
      <c r="N39">
        <v>27312795729.220001</v>
      </c>
      <c r="O39">
        <v>30101010</v>
      </c>
      <c r="P39">
        <v>3010</v>
      </c>
      <c r="Q39">
        <v>1.9796332440151201</v>
      </c>
      <c r="S39" t="s">
        <v>420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2.3170000000000002</v>
      </c>
      <c r="AT39">
        <v>2.5430000000000001</v>
      </c>
      <c r="AU39" t="s">
        <v>430</v>
      </c>
      <c r="AV39">
        <v>0</v>
      </c>
      <c r="AW39">
        <v>0</v>
      </c>
      <c r="AX39" t="s">
        <v>436</v>
      </c>
      <c r="AY39">
        <v>0</v>
      </c>
      <c r="AZ39">
        <v>0</v>
      </c>
      <c r="BA39">
        <v>0</v>
      </c>
      <c r="CE39">
        <v>2.4300000000000002</v>
      </c>
      <c r="CG39" t="s">
        <v>450</v>
      </c>
      <c r="CI39">
        <v>1.9796332440151201</v>
      </c>
      <c r="CJ39">
        <v>3.1</v>
      </c>
      <c r="CK39">
        <v>2.5398166220075602</v>
      </c>
      <c r="CL39">
        <v>0</v>
      </c>
      <c r="CM39">
        <v>2.5398166220075602</v>
      </c>
    </row>
    <row r="40" spans="1:91" x14ac:dyDescent="0.25">
      <c r="A40">
        <v>169</v>
      </c>
      <c r="B40" t="s">
        <v>514</v>
      </c>
      <c r="C40" t="s">
        <v>913</v>
      </c>
      <c r="D40" t="s">
        <v>1312</v>
      </c>
      <c r="E40" t="s">
        <v>401</v>
      </c>
      <c r="F40">
        <v>898866150</v>
      </c>
      <c r="G40">
        <v>8.968</v>
      </c>
      <c r="H40" t="s">
        <v>409</v>
      </c>
      <c r="I40">
        <v>8061031633.1999998</v>
      </c>
      <c r="J40" t="s">
        <v>415</v>
      </c>
      <c r="K40">
        <v>16669299.799092099</v>
      </c>
      <c r="L40">
        <v>0.7</v>
      </c>
      <c r="M40">
        <v>5642722143.2399998</v>
      </c>
      <c r="N40">
        <v>17126995622.1</v>
      </c>
      <c r="O40">
        <v>30101010</v>
      </c>
      <c r="P40">
        <v>3010</v>
      </c>
      <c r="Q40">
        <v>3.4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2.4279999999999999</v>
      </c>
      <c r="AT40">
        <v>2.2440000000000002</v>
      </c>
      <c r="AU40" t="s">
        <v>430</v>
      </c>
      <c r="AV40">
        <v>0</v>
      </c>
      <c r="AW40">
        <v>0</v>
      </c>
      <c r="AX40" t="s">
        <v>440</v>
      </c>
      <c r="AY40">
        <v>0</v>
      </c>
      <c r="AZ40">
        <v>0</v>
      </c>
      <c r="BA40">
        <v>0</v>
      </c>
      <c r="CE40">
        <v>2.3359999999999999</v>
      </c>
      <c r="CG40" t="s">
        <v>450</v>
      </c>
      <c r="CI40">
        <v>3.4</v>
      </c>
      <c r="CJ40">
        <v>3.1</v>
      </c>
      <c r="CK40">
        <v>3.25</v>
      </c>
      <c r="CL40">
        <v>-0.24</v>
      </c>
      <c r="CM40">
        <v>3.01</v>
      </c>
    </row>
    <row r="41" spans="1:91" x14ac:dyDescent="0.25">
      <c r="A41">
        <v>170</v>
      </c>
      <c r="B41" t="s">
        <v>515</v>
      </c>
      <c r="C41" t="s">
        <v>914</v>
      </c>
      <c r="D41" t="s">
        <v>1313</v>
      </c>
      <c r="E41" t="s">
        <v>403</v>
      </c>
      <c r="F41">
        <v>14406017000</v>
      </c>
      <c r="G41">
        <v>3.6727690000000002</v>
      </c>
      <c r="H41" t="s">
        <v>413</v>
      </c>
      <c r="I41">
        <v>52909972651.073013</v>
      </c>
      <c r="J41" t="s">
        <v>416</v>
      </c>
      <c r="K41">
        <v>97848428.157194898</v>
      </c>
      <c r="L41">
        <v>1</v>
      </c>
      <c r="M41">
        <v>52909972651.073013</v>
      </c>
      <c r="N41">
        <v>392131782740</v>
      </c>
      <c r="O41">
        <v>30101010</v>
      </c>
      <c r="P41">
        <v>3010</v>
      </c>
      <c r="Q41">
        <v>3.0199999999999898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2.387</v>
      </c>
      <c r="AT41">
        <v>3.5019999999999998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2.9445000000000001</v>
      </c>
      <c r="CG41" t="s">
        <v>450</v>
      </c>
      <c r="CI41">
        <v>3.0199999999999898</v>
      </c>
      <c r="CJ41">
        <v>3.1</v>
      </c>
      <c r="CK41">
        <v>3.0599999999999952</v>
      </c>
      <c r="CL41">
        <v>-0.24</v>
      </c>
      <c r="CM41">
        <v>2.819999999999995</v>
      </c>
    </row>
    <row r="42" spans="1:91" x14ac:dyDescent="0.25">
      <c r="A42">
        <v>171</v>
      </c>
      <c r="B42" t="s">
        <v>160</v>
      </c>
      <c r="C42" t="s">
        <v>260</v>
      </c>
      <c r="D42" t="s">
        <v>360</v>
      </c>
      <c r="E42" t="s">
        <v>403</v>
      </c>
      <c r="F42">
        <v>1450318700</v>
      </c>
      <c r="G42">
        <v>5.1331730000000002</v>
      </c>
      <c r="H42" t="s">
        <v>413</v>
      </c>
      <c r="I42">
        <v>7444736792.2351007</v>
      </c>
      <c r="J42" t="s">
        <v>416</v>
      </c>
      <c r="K42">
        <v>20081175.638739999</v>
      </c>
      <c r="L42">
        <v>1</v>
      </c>
      <c r="M42">
        <v>7444736792.2351007</v>
      </c>
      <c r="N42">
        <v>39477675014</v>
      </c>
      <c r="O42">
        <v>40202010</v>
      </c>
      <c r="P42">
        <v>4020</v>
      </c>
      <c r="Q42">
        <v>1.7482663894438499</v>
      </c>
      <c r="R42">
        <v>1.77</v>
      </c>
      <c r="S42" t="s">
        <v>417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2.4900000000000002</v>
      </c>
      <c r="AT42">
        <v>3.2989999999999999</v>
      </c>
      <c r="AU42" t="s">
        <v>424</v>
      </c>
      <c r="AV42">
        <v>1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2.8944999999999999</v>
      </c>
      <c r="CG42" t="s">
        <v>450</v>
      </c>
      <c r="CI42">
        <v>1.7482663894438499</v>
      </c>
      <c r="CJ42">
        <v>1.77</v>
      </c>
      <c r="CK42">
        <v>1.7591331947219251</v>
      </c>
      <c r="CL42">
        <v>-0.3</v>
      </c>
      <c r="CM42">
        <v>1.459133194721925</v>
      </c>
    </row>
    <row r="43" spans="1:91" x14ac:dyDescent="0.25">
      <c r="A43">
        <v>173</v>
      </c>
      <c r="B43" t="s">
        <v>172</v>
      </c>
      <c r="C43" t="s">
        <v>272</v>
      </c>
      <c r="D43" t="s">
        <v>372</v>
      </c>
      <c r="E43" t="s">
        <v>406</v>
      </c>
      <c r="F43">
        <v>5488858</v>
      </c>
      <c r="G43">
        <v>1126.021</v>
      </c>
      <c r="H43" t="s">
        <v>414</v>
      </c>
      <c r="I43">
        <v>6180569374.0179996</v>
      </c>
      <c r="J43" t="s">
        <v>416</v>
      </c>
      <c r="K43">
        <v>21337047.627355602</v>
      </c>
      <c r="L43">
        <v>0.7</v>
      </c>
      <c r="M43">
        <v>4326398561.8125992</v>
      </c>
      <c r="N43">
        <v>104584700.332</v>
      </c>
      <c r="O43">
        <v>45102020</v>
      </c>
      <c r="P43">
        <v>4510</v>
      </c>
      <c r="Q43">
        <v>1.7426036975708401</v>
      </c>
      <c r="R43">
        <v>1.5</v>
      </c>
      <c r="S43" t="s">
        <v>417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1.829</v>
      </c>
      <c r="AT43">
        <v>2.5819999999999999</v>
      </c>
      <c r="AU43" t="s">
        <v>420</v>
      </c>
      <c r="AV43">
        <v>1</v>
      </c>
      <c r="AW43">
        <v>0</v>
      </c>
      <c r="AX43" t="s">
        <v>446</v>
      </c>
      <c r="AY43">
        <v>0</v>
      </c>
      <c r="AZ43">
        <v>0</v>
      </c>
      <c r="BA43">
        <v>0</v>
      </c>
      <c r="CE43">
        <v>2.2054999999999998</v>
      </c>
      <c r="CG43" t="s">
        <v>450</v>
      </c>
      <c r="CI43">
        <v>1.7426036975708401</v>
      </c>
      <c r="CJ43">
        <v>1.5</v>
      </c>
      <c r="CK43">
        <v>1.6213018487854201</v>
      </c>
      <c r="CL43">
        <v>-0.3</v>
      </c>
      <c r="CM43">
        <v>1.32130184878542</v>
      </c>
    </row>
    <row r="44" spans="1:91" x14ac:dyDescent="0.25">
      <c r="A44">
        <v>175</v>
      </c>
      <c r="B44" t="s">
        <v>517</v>
      </c>
      <c r="C44" t="s">
        <v>916</v>
      </c>
      <c r="D44" t="s">
        <v>1315</v>
      </c>
      <c r="E44" t="s">
        <v>405</v>
      </c>
      <c r="F44">
        <v>78600000</v>
      </c>
      <c r="G44">
        <v>93</v>
      </c>
      <c r="H44" t="s">
        <v>409</v>
      </c>
      <c r="I44">
        <v>7309800000</v>
      </c>
      <c r="J44" t="s">
        <v>415</v>
      </c>
      <c r="K44">
        <v>9725314.9336065501</v>
      </c>
      <c r="L44">
        <v>1</v>
      </c>
      <c r="M44">
        <v>7309800000</v>
      </c>
      <c r="N44">
        <v>4406316000</v>
      </c>
      <c r="O44">
        <v>30101010</v>
      </c>
      <c r="P44">
        <v>3010</v>
      </c>
      <c r="S44" t="s">
        <v>420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2.157</v>
      </c>
      <c r="AT44">
        <v>2.3650000000000002</v>
      </c>
      <c r="AU44" t="s">
        <v>430</v>
      </c>
      <c r="AV44">
        <v>0</v>
      </c>
      <c r="AW44">
        <v>0</v>
      </c>
      <c r="AX44" t="s">
        <v>444</v>
      </c>
      <c r="AY44">
        <v>0</v>
      </c>
      <c r="AZ44">
        <v>0</v>
      </c>
      <c r="BA44">
        <v>0</v>
      </c>
      <c r="CE44">
        <v>2.2610000000000001</v>
      </c>
      <c r="CG44" t="s">
        <v>450</v>
      </c>
      <c r="CI44">
        <v>3.4</v>
      </c>
      <c r="CJ44">
        <v>3.1</v>
      </c>
      <c r="CK44">
        <v>3.25</v>
      </c>
      <c r="CL44">
        <v>0</v>
      </c>
      <c r="CM44">
        <v>3.25</v>
      </c>
    </row>
    <row r="45" spans="1:91" x14ac:dyDescent="0.25">
      <c r="A45">
        <v>178</v>
      </c>
      <c r="B45" t="s">
        <v>518</v>
      </c>
      <c r="C45" t="s">
        <v>917</v>
      </c>
      <c r="D45" t="s">
        <v>1316</v>
      </c>
      <c r="E45" t="s">
        <v>398</v>
      </c>
      <c r="F45">
        <v>982424100</v>
      </c>
      <c r="G45">
        <v>22.05</v>
      </c>
      <c r="H45" t="s">
        <v>409</v>
      </c>
      <c r="I45">
        <v>21662451405</v>
      </c>
      <c r="J45" t="s">
        <v>415</v>
      </c>
      <c r="K45">
        <v>74110033.456483603</v>
      </c>
      <c r="L45">
        <v>1</v>
      </c>
      <c r="M45">
        <v>21662451405</v>
      </c>
      <c r="N45">
        <v>55074695046</v>
      </c>
      <c r="O45">
        <v>20103015</v>
      </c>
      <c r="P45">
        <v>2010</v>
      </c>
      <c r="Q45">
        <v>1.6931442341836</v>
      </c>
      <c r="R45">
        <v>3.1</v>
      </c>
      <c r="S45" t="s">
        <v>418</v>
      </c>
      <c r="T45" t="s">
        <v>423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2.6280000000000001</v>
      </c>
      <c r="AT45">
        <v>3.1920000000000002</v>
      </c>
      <c r="AU45" t="s">
        <v>420</v>
      </c>
      <c r="AV45">
        <v>1</v>
      </c>
      <c r="AW45">
        <v>0</v>
      </c>
      <c r="AX45" t="s">
        <v>437</v>
      </c>
      <c r="AY45">
        <v>0</v>
      </c>
      <c r="AZ45">
        <v>0</v>
      </c>
      <c r="BA45">
        <v>0</v>
      </c>
      <c r="CE45">
        <v>2.91</v>
      </c>
      <c r="CG45" t="s">
        <v>450</v>
      </c>
      <c r="CI45">
        <v>1.6931442341836</v>
      </c>
      <c r="CJ45">
        <v>3.1</v>
      </c>
      <c r="CK45">
        <v>2.3965721170918002</v>
      </c>
      <c r="CL45">
        <v>-0.18</v>
      </c>
      <c r="CM45">
        <v>2.2165721170918</v>
      </c>
    </row>
    <row r="46" spans="1:91" x14ac:dyDescent="0.25">
      <c r="A46">
        <v>179</v>
      </c>
      <c r="B46" t="s">
        <v>519</v>
      </c>
      <c r="C46" t="s">
        <v>918</v>
      </c>
      <c r="D46" t="s">
        <v>1317</v>
      </c>
      <c r="E46" t="s">
        <v>401</v>
      </c>
      <c r="F46">
        <v>5763285600</v>
      </c>
      <c r="G46">
        <v>12.29</v>
      </c>
      <c r="H46" t="s">
        <v>409</v>
      </c>
      <c r="I46">
        <v>70830780024</v>
      </c>
      <c r="J46" t="s">
        <v>415</v>
      </c>
      <c r="K46">
        <v>93971375.653579399</v>
      </c>
      <c r="L46">
        <v>1</v>
      </c>
      <c r="M46">
        <v>70830780024</v>
      </c>
      <c r="N46">
        <v>323089790736</v>
      </c>
      <c r="O46">
        <v>30101010</v>
      </c>
      <c r="P46">
        <v>3010</v>
      </c>
      <c r="Q46">
        <v>3.4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2.3730000000000002</v>
      </c>
      <c r="AT46">
        <v>3.2530000000000001</v>
      </c>
      <c r="AU46" t="s">
        <v>430</v>
      </c>
      <c r="AV46">
        <v>0</v>
      </c>
      <c r="AW46">
        <v>0</v>
      </c>
      <c r="AX46" t="s">
        <v>440</v>
      </c>
      <c r="AY46">
        <v>0</v>
      </c>
      <c r="AZ46">
        <v>0</v>
      </c>
      <c r="BA46">
        <v>0</v>
      </c>
      <c r="CE46">
        <v>2.8130000000000002</v>
      </c>
      <c r="CG46" t="s">
        <v>450</v>
      </c>
      <c r="CI46">
        <v>3.4</v>
      </c>
      <c r="CJ46">
        <v>3.1</v>
      </c>
      <c r="CK46">
        <v>3.25</v>
      </c>
      <c r="CL46">
        <v>-0.18</v>
      </c>
      <c r="CM46">
        <v>3.07</v>
      </c>
    </row>
    <row r="47" spans="1:91" x14ac:dyDescent="0.25">
      <c r="A47">
        <v>180</v>
      </c>
      <c r="B47" t="s">
        <v>520</v>
      </c>
      <c r="C47" t="s">
        <v>919</v>
      </c>
      <c r="D47" t="s">
        <v>1318</v>
      </c>
      <c r="E47" t="s">
        <v>404</v>
      </c>
      <c r="F47">
        <v>453385777</v>
      </c>
      <c r="G47">
        <v>10.09</v>
      </c>
      <c r="H47" t="s">
        <v>409</v>
      </c>
      <c r="I47">
        <v>4574662489.9300003</v>
      </c>
      <c r="J47" t="s">
        <v>415</v>
      </c>
      <c r="K47">
        <v>20030570.2642623</v>
      </c>
      <c r="L47">
        <v>0.8</v>
      </c>
      <c r="M47">
        <v>3659729991.9439998</v>
      </c>
      <c r="N47">
        <v>20333445326.896</v>
      </c>
      <c r="O47">
        <v>30101010</v>
      </c>
      <c r="P47">
        <v>3010</v>
      </c>
      <c r="Q47">
        <v>3.4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2.2709999999999999</v>
      </c>
      <c r="AT47">
        <v>2.4420000000000002</v>
      </c>
      <c r="AU47" t="s">
        <v>430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2.3565</v>
      </c>
      <c r="CG47" t="s">
        <v>450</v>
      </c>
      <c r="CI47">
        <v>3.4</v>
      </c>
      <c r="CJ47">
        <v>3.1</v>
      </c>
      <c r="CK47">
        <v>3.25</v>
      </c>
      <c r="CL47">
        <v>-0.18</v>
      </c>
      <c r="CM47">
        <v>3.07</v>
      </c>
    </row>
    <row r="48" spans="1:91" x14ac:dyDescent="0.25">
      <c r="A48">
        <v>182</v>
      </c>
      <c r="B48" t="s">
        <v>521</v>
      </c>
      <c r="C48" t="s">
        <v>920</v>
      </c>
      <c r="D48" t="s">
        <v>1319</v>
      </c>
      <c r="E48" t="s">
        <v>396</v>
      </c>
      <c r="F48">
        <v>81146738</v>
      </c>
      <c r="G48">
        <v>119.7</v>
      </c>
      <c r="H48" t="s">
        <v>409</v>
      </c>
      <c r="I48">
        <v>9713264538.6000004</v>
      </c>
      <c r="J48" t="s">
        <v>415</v>
      </c>
      <c r="K48">
        <v>60641140.8782539</v>
      </c>
      <c r="L48">
        <v>1</v>
      </c>
      <c r="M48">
        <v>9713264538.6000004</v>
      </c>
      <c r="N48">
        <v>4549086132.2799997</v>
      </c>
      <c r="O48">
        <v>10102010</v>
      </c>
      <c r="P48">
        <v>1010</v>
      </c>
      <c r="S48" t="s">
        <v>420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2.1389999999999998</v>
      </c>
      <c r="AT48">
        <v>2.9660000000000002</v>
      </c>
      <c r="AU48" t="s">
        <v>420</v>
      </c>
      <c r="AV48">
        <v>1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2.5525000000000002</v>
      </c>
      <c r="CG48" t="s">
        <v>450</v>
      </c>
      <c r="CI48">
        <v>3.4</v>
      </c>
      <c r="CJ48">
        <v>3.1</v>
      </c>
      <c r="CK48">
        <v>3.25</v>
      </c>
      <c r="CL48">
        <v>0</v>
      </c>
      <c r="CM48">
        <v>3.25</v>
      </c>
    </row>
    <row r="49" spans="1:91" x14ac:dyDescent="0.25">
      <c r="A49">
        <v>186</v>
      </c>
      <c r="B49" t="s">
        <v>177</v>
      </c>
      <c r="C49" t="s">
        <v>277</v>
      </c>
      <c r="D49" t="s">
        <v>377</v>
      </c>
      <c r="E49" t="s">
        <v>398</v>
      </c>
      <c r="F49">
        <v>248000000</v>
      </c>
      <c r="G49">
        <v>128.15</v>
      </c>
      <c r="H49" t="s">
        <v>409</v>
      </c>
      <c r="I49">
        <v>31781200000</v>
      </c>
      <c r="J49" t="s">
        <v>415</v>
      </c>
      <c r="K49">
        <v>25987102.558196701</v>
      </c>
      <c r="L49">
        <v>0.4</v>
      </c>
      <c r="M49">
        <v>12712480000</v>
      </c>
      <c r="N49">
        <v>5561152000</v>
      </c>
      <c r="O49">
        <v>45201020</v>
      </c>
      <c r="P49">
        <v>4520</v>
      </c>
      <c r="Q49">
        <v>1.7450134819631999</v>
      </c>
      <c r="R49">
        <v>1.5</v>
      </c>
      <c r="S49" t="s">
        <v>419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2.4630000000000001</v>
      </c>
      <c r="AU49" t="s">
        <v>420</v>
      </c>
      <c r="AV49">
        <v>1</v>
      </c>
      <c r="AW49">
        <v>0</v>
      </c>
      <c r="AX49" t="s">
        <v>437</v>
      </c>
      <c r="AY49">
        <v>0</v>
      </c>
      <c r="AZ49">
        <v>0</v>
      </c>
      <c r="BA49">
        <v>0</v>
      </c>
      <c r="CE49">
        <v>2.4175</v>
      </c>
      <c r="CG49" t="s">
        <v>450</v>
      </c>
      <c r="CI49">
        <v>1.7450134819631999</v>
      </c>
      <c r="CJ49">
        <v>1.5</v>
      </c>
      <c r="CK49">
        <v>1.6225067409816001</v>
      </c>
      <c r="CL49">
        <v>-0.24</v>
      </c>
      <c r="CM49">
        <v>1.3825067409816001</v>
      </c>
    </row>
    <row r="50" spans="1:91" x14ac:dyDescent="0.25">
      <c r="A50">
        <v>188</v>
      </c>
      <c r="B50" t="s">
        <v>524</v>
      </c>
      <c r="C50" t="s">
        <v>923</v>
      </c>
      <c r="D50" t="s">
        <v>1322</v>
      </c>
      <c r="E50" t="s">
        <v>406</v>
      </c>
      <c r="F50">
        <v>12300000</v>
      </c>
      <c r="G50">
        <v>707.08609999999999</v>
      </c>
      <c r="H50" t="s">
        <v>414</v>
      </c>
      <c r="I50">
        <v>8697159030</v>
      </c>
      <c r="J50" t="s">
        <v>416</v>
      </c>
      <c r="K50">
        <v>15549111.580239899</v>
      </c>
      <c r="L50">
        <v>0.8</v>
      </c>
      <c r="M50">
        <v>6957727224</v>
      </c>
      <c r="N50">
        <v>551630400</v>
      </c>
      <c r="O50">
        <v>50101025</v>
      </c>
      <c r="P50">
        <v>5010</v>
      </c>
      <c r="Q50">
        <v>3.4</v>
      </c>
      <c r="S50" t="s">
        <v>424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2.1949999999999998</v>
      </c>
      <c r="AT50">
        <v>2.375</v>
      </c>
      <c r="AU50" t="s">
        <v>420</v>
      </c>
      <c r="AV50">
        <v>1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2.2850000000000001</v>
      </c>
      <c r="CG50" t="s">
        <v>450</v>
      </c>
      <c r="CI50">
        <v>3.4</v>
      </c>
      <c r="CJ50">
        <v>3.1</v>
      </c>
      <c r="CK50">
        <v>3.25</v>
      </c>
      <c r="CL50">
        <v>0.3</v>
      </c>
      <c r="CM50">
        <v>3.55</v>
      </c>
    </row>
    <row r="51" spans="1:91" x14ac:dyDescent="0.25">
      <c r="A51">
        <v>189</v>
      </c>
      <c r="B51" t="s">
        <v>162</v>
      </c>
      <c r="C51" t="s">
        <v>262</v>
      </c>
      <c r="D51" t="s">
        <v>362</v>
      </c>
      <c r="E51" t="s">
        <v>403</v>
      </c>
      <c r="F51">
        <v>118657364</v>
      </c>
      <c r="G51">
        <v>28.04748</v>
      </c>
      <c r="H51" t="s">
        <v>413</v>
      </c>
      <c r="I51">
        <v>3328040043.6427202</v>
      </c>
      <c r="J51" t="s">
        <v>416</v>
      </c>
      <c r="K51">
        <v>10092470.100475</v>
      </c>
      <c r="L51">
        <v>1</v>
      </c>
      <c r="M51">
        <v>3328040043.6427202</v>
      </c>
      <c r="N51">
        <v>6651931825.8400002</v>
      </c>
      <c r="O51">
        <v>40202010</v>
      </c>
      <c r="P51">
        <v>4020</v>
      </c>
      <c r="Q51">
        <v>1.9966860020732899</v>
      </c>
      <c r="R51">
        <v>2.08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1.786</v>
      </c>
      <c r="AT51">
        <v>2.78</v>
      </c>
      <c r="AU51" t="s">
        <v>424</v>
      </c>
      <c r="AV51">
        <v>1</v>
      </c>
      <c r="AW51">
        <v>0</v>
      </c>
      <c r="AX51" t="s">
        <v>442</v>
      </c>
      <c r="AY51">
        <v>0</v>
      </c>
      <c r="AZ51">
        <v>0</v>
      </c>
      <c r="BA51">
        <v>0</v>
      </c>
      <c r="CE51">
        <v>2.2829999999999999</v>
      </c>
      <c r="CG51" t="s">
        <v>450</v>
      </c>
      <c r="CI51">
        <v>1.9966860020732899</v>
      </c>
      <c r="CJ51">
        <v>2.08</v>
      </c>
      <c r="CK51">
        <v>2.0383430010366448</v>
      </c>
      <c r="CL51">
        <v>-0.18</v>
      </c>
      <c r="CM51">
        <v>1.8583430010366451</v>
      </c>
    </row>
    <row r="52" spans="1:91" x14ac:dyDescent="0.25">
      <c r="A52">
        <v>191</v>
      </c>
      <c r="B52" t="s">
        <v>525</v>
      </c>
      <c r="C52" t="s">
        <v>924</v>
      </c>
      <c r="D52" t="s">
        <v>1323</v>
      </c>
      <c r="E52" t="s">
        <v>403</v>
      </c>
      <c r="F52">
        <v>100455185</v>
      </c>
      <c r="G52">
        <v>45.141939999999998</v>
      </c>
      <c r="H52" t="s">
        <v>413</v>
      </c>
      <c r="I52">
        <v>4534741933.9588985</v>
      </c>
      <c r="J52" t="s">
        <v>416</v>
      </c>
      <c r="K52">
        <v>14477487.1262723</v>
      </c>
      <c r="L52">
        <v>1</v>
      </c>
      <c r="M52">
        <v>4534741933.9588985</v>
      </c>
      <c r="N52">
        <v>5631517671.1000004</v>
      </c>
      <c r="O52">
        <v>40202010</v>
      </c>
      <c r="P52">
        <v>4020</v>
      </c>
      <c r="S52" t="s">
        <v>418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2.3650000000000002</v>
      </c>
      <c r="AT52">
        <v>2.5289999999999999</v>
      </c>
      <c r="AU52" t="s">
        <v>424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2.4470000000000001</v>
      </c>
      <c r="CG52" t="s">
        <v>450</v>
      </c>
      <c r="CI52">
        <v>3.4</v>
      </c>
      <c r="CJ52">
        <v>3.1</v>
      </c>
      <c r="CK52">
        <v>3.25</v>
      </c>
      <c r="CL52">
        <v>-0.18</v>
      </c>
      <c r="CM52">
        <v>3.07</v>
      </c>
    </row>
    <row r="53" spans="1:91" x14ac:dyDescent="0.25">
      <c r="A53">
        <v>196</v>
      </c>
      <c r="B53" t="s">
        <v>526</v>
      </c>
      <c r="C53" t="s">
        <v>925</v>
      </c>
      <c r="D53" t="s">
        <v>1324</v>
      </c>
      <c r="E53" t="s">
        <v>394</v>
      </c>
      <c r="F53">
        <v>118361220</v>
      </c>
      <c r="G53">
        <v>112.5</v>
      </c>
      <c r="H53" t="s">
        <v>409</v>
      </c>
      <c r="I53">
        <v>13315637250</v>
      </c>
      <c r="J53" t="s">
        <v>415</v>
      </c>
      <c r="K53">
        <v>10533264.3742064</v>
      </c>
      <c r="L53">
        <v>0.4</v>
      </c>
      <c r="M53">
        <v>5326254900</v>
      </c>
      <c r="N53">
        <v>2654131997.2800002</v>
      </c>
      <c r="O53">
        <v>20102010</v>
      </c>
      <c r="P53">
        <v>2010</v>
      </c>
      <c r="S53" t="s">
        <v>420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2.8940000000000001</v>
      </c>
      <c r="AT53">
        <v>2.8130000000000002</v>
      </c>
      <c r="AU53" t="s">
        <v>420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2.8534999999999999</v>
      </c>
      <c r="CG53" t="s">
        <v>450</v>
      </c>
      <c r="CI53">
        <v>3.4</v>
      </c>
      <c r="CJ53">
        <v>3.1</v>
      </c>
      <c r="CK53">
        <v>3.25</v>
      </c>
      <c r="CL53">
        <v>0</v>
      </c>
      <c r="CM53">
        <v>3.25</v>
      </c>
    </row>
    <row r="54" spans="1:91" x14ac:dyDescent="0.25">
      <c r="A54">
        <v>202</v>
      </c>
      <c r="B54" t="s">
        <v>156</v>
      </c>
      <c r="C54" t="s">
        <v>256</v>
      </c>
      <c r="D54" t="s">
        <v>356</v>
      </c>
      <c r="E54" t="s">
        <v>398</v>
      </c>
      <c r="F54">
        <v>579795650</v>
      </c>
      <c r="G54">
        <v>82.58</v>
      </c>
      <c r="H54" t="s">
        <v>409</v>
      </c>
      <c r="I54">
        <v>47879524777</v>
      </c>
      <c r="J54" t="s">
        <v>415</v>
      </c>
      <c r="K54">
        <v>97231108.921311393</v>
      </c>
      <c r="L54">
        <v>0.5</v>
      </c>
      <c r="M54">
        <v>23939762388.5</v>
      </c>
      <c r="N54">
        <v>16251672069.5</v>
      </c>
      <c r="O54">
        <v>40101020</v>
      </c>
      <c r="P54">
        <v>4010</v>
      </c>
      <c r="Q54">
        <v>1.7483805263697001</v>
      </c>
      <c r="R54">
        <v>1.5</v>
      </c>
      <c r="S54" t="s">
        <v>419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2.3959999999999999</v>
      </c>
      <c r="AT54">
        <v>2.3119999999999998</v>
      </c>
      <c r="AU54" t="s">
        <v>420</v>
      </c>
      <c r="AV54">
        <v>1</v>
      </c>
      <c r="AW54">
        <v>0</v>
      </c>
      <c r="AX54" t="s">
        <v>437</v>
      </c>
      <c r="AY54">
        <v>0</v>
      </c>
      <c r="AZ54">
        <v>0</v>
      </c>
      <c r="BA54">
        <v>0</v>
      </c>
      <c r="CE54">
        <v>2.3540000000000001</v>
      </c>
      <c r="CG54" t="s">
        <v>450</v>
      </c>
      <c r="CI54">
        <v>1.7483805263697001</v>
      </c>
      <c r="CJ54">
        <v>1.5</v>
      </c>
      <c r="CK54">
        <v>1.6241902631848499</v>
      </c>
      <c r="CL54">
        <v>-0.24</v>
      </c>
      <c r="CM54">
        <v>1.3841902631848499</v>
      </c>
    </row>
    <row r="55" spans="1:91" x14ac:dyDescent="0.25">
      <c r="A55">
        <v>203</v>
      </c>
      <c r="B55" t="s">
        <v>134</v>
      </c>
      <c r="C55" t="s">
        <v>234</v>
      </c>
      <c r="D55" t="s">
        <v>334</v>
      </c>
      <c r="E55" t="s">
        <v>394</v>
      </c>
      <c r="F55">
        <v>1130810671</v>
      </c>
      <c r="G55">
        <v>71.12</v>
      </c>
      <c r="H55" t="s">
        <v>409</v>
      </c>
      <c r="I55">
        <v>80423254921.520004</v>
      </c>
      <c r="J55" t="s">
        <v>415</v>
      </c>
      <c r="K55">
        <v>181499028.285079</v>
      </c>
      <c r="L55">
        <v>0.95000000000000007</v>
      </c>
      <c r="M55">
        <v>76402092175.444016</v>
      </c>
      <c r="N55">
        <v>60223583905.447006</v>
      </c>
      <c r="O55">
        <v>30101010</v>
      </c>
      <c r="P55">
        <v>3010</v>
      </c>
      <c r="Q55">
        <v>3.3054605885148698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2.3250000000000002</v>
      </c>
      <c r="AT55">
        <v>3.2959999999999998</v>
      </c>
      <c r="AU55" t="s">
        <v>430</v>
      </c>
      <c r="AV55">
        <v>0</v>
      </c>
      <c r="AW55">
        <v>0</v>
      </c>
      <c r="AX55" t="s">
        <v>433</v>
      </c>
      <c r="AY55">
        <v>0</v>
      </c>
      <c r="AZ55">
        <v>0</v>
      </c>
      <c r="BA55">
        <v>0</v>
      </c>
      <c r="CE55">
        <v>2.8105000000000002</v>
      </c>
      <c r="CG55" t="s">
        <v>450</v>
      </c>
      <c r="CI55">
        <v>3.3054605885148698</v>
      </c>
      <c r="CJ55">
        <v>1.5</v>
      </c>
      <c r="CK55">
        <v>2.4027302942574349</v>
      </c>
      <c r="CL55">
        <v>-0.24</v>
      </c>
      <c r="CM55">
        <v>2.1627302942574351</v>
      </c>
    </row>
    <row r="56" spans="1:91" x14ac:dyDescent="0.25">
      <c r="A56">
        <v>205</v>
      </c>
      <c r="B56" t="s">
        <v>528</v>
      </c>
      <c r="C56" t="s">
        <v>927</v>
      </c>
      <c r="D56" t="s">
        <v>1326</v>
      </c>
      <c r="E56" t="s">
        <v>395</v>
      </c>
      <c r="F56">
        <v>273511170</v>
      </c>
      <c r="G56">
        <v>34.493189999999998</v>
      </c>
      <c r="H56" t="s">
        <v>410</v>
      </c>
      <c r="I56">
        <v>9434272753.9322987</v>
      </c>
      <c r="J56" t="s">
        <v>416</v>
      </c>
      <c r="K56">
        <v>33893772.8540629</v>
      </c>
      <c r="L56">
        <v>1</v>
      </c>
      <c r="M56">
        <v>9434272753.9322987</v>
      </c>
      <c r="N56">
        <v>15333036190.200001</v>
      </c>
      <c r="O56">
        <v>55102000</v>
      </c>
      <c r="P56">
        <v>5510</v>
      </c>
      <c r="Q56">
        <v>1.76625317553127</v>
      </c>
      <c r="S56" t="s">
        <v>424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2.722</v>
      </c>
      <c r="AT56">
        <v>3.0819999999999999</v>
      </c>
      <c r="AU56" t="s">
        <v>420</v>
      </c>
      <c r="AV56">
        <v>1</v>
      </c>
      <c r="AW56">
        <v>0</v>
      </c>
      <c r="AX56" t="s">
        <v>434</v>
      </c>
      <c r="AY56">
        <v>0</v>
      </c>
      <c r="AZ56">
        <v>0</v>
      </c>
      <c r="BA56">
        <v>0</v>
      </c>
      <c r="CE56">
        <v>2.9020000000000001</v>
      </c>
      <c r="CG56" t="s">
        <v>450</v>
      </c>
      <c r="CI56">
        <v>1.76625317553127</v>
      </c>
      <c r="CJ56">
        <v>3.1</v>
      </c>
      <c r="CK56">
        <v>2.433126587765635</v>
      </c>
      <c r="CL56">
        <v>0.3</v>
      </c>
      <c r="CM56">
        <v>2.7331265877656352</v>
      </c>
    </row>
    <row r="57" spans="1:91" x14ac:dyDescent="0.25">
      <c r="A57">
        <v>211</v>
      </c>
      <c r="B57" t="s">
        <v>532</v>
      </c>
      <c r="C57" t="s">
        <v>931</v>
      </c>
      <c r="D57" t="s">
        <v>1330</v>
      </c>
      <c r="E57" t="s">
        <v>404</v>
      </c>
      <c r="F57">
        <v>1421624324</v>
      </c>
      <c r="G57">
        <v>6.8019999999999996</v>
      </c>
      <c r="H57" t="s">
        <v>409</v>
      </c>
      <c r="I57">
        <v>9669888651.8479996</v>
      </c>
      <c r="J57" t="s">
        <v>415</v>
      </c>
      <c r="K57">
        <v>111966595.383213</v>
      </c>
      <c r="L57">
        <v>0.70000000000000007</v>
      </c>
      <c r="M57">
        <v>6768922056.2936001</v>
      </c>
      <c r="N57">
        <v>55787381722.407997</v>
      </c>
      <c r="O57">
        <v>30101010</v>
      </c>
      <c r="P57">
        <v>3010</v>
      </c>
      <c r="Q57">
        <v>3.4</v>
      </c>
      <c r="R57">
        <v>3.1</v>
      </c>
      <c r="S57" t="s">
        <v>420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2.3929999999999998</v>
      </c>
      <c r="AT57">
        <v>3.008</v>
      </c>
      <c r="AU57" t="s">
        <v>430</v>
      </c>
      <c r="AV57">
        <v>0</v>
      </c>
      <c r="AW57">
        <v>0</v>
      </c>
      <c r="AX57" t="s">
        <v>443</v>
      </c>
      <c r="AY57">
        <v>0</v>
      </c>
      <c r="AZ57">
        <v>0</v>
      </c>
      <c r="BA57">
        <v>0</v>
      </c>
      <c r="CE57">
        <v>2.7004999999999999</v>
      </c>
      <c r="CG57" t="s">
        <v>450</v>
      </c>
      <c r="CI57">
        <v>3.4</v>
      </c>
      <c r="CJ57">
        <v>3.1</v>
      </c>
      <c r="CK57">
        <v>3.25</v>
      </c>
      <c r="CL57">
        <v>0</v>
      </c>
      <c r="CM57">
        <v>3.25</v>
      </c>
    </row>
    <row r="58" spans="1:91" x14ac:dyDescent="0.25">
      <c r="A58">
        <v>212</v>
      </c>
      <c r="B58" t="s">
        <v>135</v>
      </c>
      <c r="C58" t="s">
        <v>235</v>
      </c>
      <c r="D58" t="s">
        <v>335</v>
      </c>
      <c r="E58" t="s">
        <v>406</v>
      </c>
      <c r="F58">
        <v>86061900</v>
      </c>
      <c r="G58">
        <v>100.7996</v>
      </c>
      <c r="H58" t="s">
        <v>414</v>
      </c>
      <c r="I58">
        <v>8675005095.2399998</v>
      </c>
      <c r="J58" t="s">
        <v>416</v>
      </c>
      <c r="K58">
        <v>7565856.8700409401</v>
      </c>
      <c r="L58">
        <v>0.35</v>
      </c>
      <c r="M58">
        <v>3036251783.3340001</v>
      </c>
      <c r="N58">
        <v>1688620539.9000001</v>
      </c>
      <c r="O58">
        <v>30101010</v>
      </c>
      <c r="P58">
        <v>3010</v>
      </c>
      <c r="Q58">
        <v>2.7183589714236498</v>
      </c>
      <c r="R58">
        <v>2.08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2.3719999999999999</v>
      </c>
      <c r="AT58">
        <v>2.5950000000000002</v>
      </c>
      <c r="AU58" t="s">
        <v>430</v>
      </c>
      <c r="AV58">
        <v>0</v>
      </c>
      <c r="AW58">
        <v>0</v>
      </c>
      <c r="AX58" t="s">
        <v>446</v>
      </c>
      <c r="AY58">
        <v>0</v>
      </c>
      <c r="AZ58">
        <v>0</v>
      </c>
      <c r="BA58">
        <v>0</v>
      </c>
      <c r="CE58">
        <v>2.4834999999999998</v>
      </c>
      <c r="CG58" t="s">
        <v>450</v>
      </c>
      <c r="CI58">
        <v>2.7183589714236498</v>
      </c>
      <c r="CJ58">
        <v>2.08</v>
      </c>
      <c r="CK58">
        <v>2.3991794857118252</v>
      </c>
      <c r="CL58">
        <v>-0.18</v>
      </c>
      <c r="CM58">
        <v>2.219179485711825</v>
      </c>
    </row>
    <row r="59" spans="1:91" x14ac:dyDescent="0.25">
      <c r="A59">
        <v>219</v>
      </c>
      <c r="B59" t="s">
        <v>536</v>
      </c>
      <c r="C59" t="s">
        <v>935</v>
      </c>
      <c r="D59" t="s">
        <v>1334</v>
      </c>
      <c r="E59" t="s">
        <v>403</v>
      </c>
      <c r="F59">
        <v>999154240</v>
      </c>
      <c r="G59">
        <v>4.3884629999999998</v>
      </c>
      <c r="H59" t="s">
        <v>413</v>
      </c>
      <c r="I59">
        <v>4384751413.5331202</v>
      </c>
      <c r="J59" t="s">
        <v>416</v>
      </c>
      <c r="K59">
        <v>12488362.472988101</v>
      </c>
      <c r="L59">
        <v>1</v>
      </c>
      <c r="M59">
        <v>4384751413.5331202</v>
      </c>
      <c r="N59">
        <v>56012586694.400002</v>
      </c>
      <c r="O59">
        <v>35102000</v>
      </c>
      <c r="P59">
        <v>3510</v>
      </c>
      <c r="Q59">
        <v>1.9949620053206301</v>
      </c>
      <c r="S59" t="s">
        <v>418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2.6419999999999999</v>
      </c>
      <c r="AT59">
        <v>2.9609999999999999</v>
      </c>
      <c r="AU59" t="s">
        <v>425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2.8014999999999999</v>
      </c>
      <c r="CG59" t="s">
        <v>450</v>
      </c>
      <c r="CI59">
        <v>1.9949620053206301</v>
      </c>
      <c r="CJ59">
        <v>3.1</v>
      </c>
      <c r="CK59">
        <v>2.547481002660315</v>
      </c>
      <c r="CL59">
        <v>-0.18</v>
      </c>
      <c r="CM59">
        <v>2.3674810026603148</v>
      </c>
    </row>
    <row r="60" spans="1:91" x14ac:dyDescent="0.25">
      <c r="A60">
        <v>226</v>
      </c>
      <c r="B60" t="s">
        <v>537</v>
      </c>
      <c r="C60" t="s">
        <v>936</v>
      </c>
      <c r="D60" t="s">
        <v>1335</v>
      </c>
      <c r="E60" t="s">
        <v>404</v>
      </c>
      <c r="F60">
        <v>68000000</v>
      </c>
      <c r="G60">
        <v>126.6</v>
      </c>
      <c r="H60" t="s">
        <v>409</v>
      </c>
      <c r="I60">
        <v>8608800000</v>
      </c>
      <c r="J60" t="s">
        <v>415</v>
      </c>
      <c r="K60">
        <v>21164567.774590202</v>
      </c>
      <c r="L60">
        <v>0.5</v>
      </c>
      <c r="M60">
        <v>4304400000</v>
      </c>
      <c r="N60">
        <v>1906040000</v>
      </c>
      <c r="O60">
        <v>40204020</v>
      </c>
      <c r="P60">
        <v>4020</v>
      </c>
      <c r="Q60">
        <v>1.7390900627903201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1.8169999999999999</v>
      </c>
      <c r="AT60">
        <v>2.6819999999999999</v>
      </c>
      <c r="AU60" t="s">
        <v>431</v>
      </c>
      <c r="AV60">
        <v>1</v>
      </c>
      <c r="AW60">
        <v>0</v>
      </c>
      <c r="AX60" t="s">
        <v>443</v>
      </c>
      <c r="AY60">
        <v>0</v>
      </c>
      <c r="AZ60">
        <v>0</v>
      </c>
      <c r="BA60">
        <v>0</v>
      </c>
      <c r="CE60">
        <v>2.2494999999999998</v>
      </c>
      <c r="CG60" t="s">
        <v>450</v>
      </c>
      <c r="CI60">
        <v>1.7390900627903201</v>
      </c>
      <c r="CJ60">
        <v>3.1</v>
      </c>
      <c r="CK60">
        <v>2.4195450313951601</v>
      </c>
      <c r="CL60">
        <v>-0.18</v>
      </c>
      <c r="CM60">
        <v>2.2395450313951599</v>
      </c>
    </row>
    <row r="61" spans="1:91" x14ac:dyDescent="0.25">
      <c r="A61">
        <v>227</v>
      </c>
      <c r="B61" t="s">
        <v>538</v>
      </c>
      <c r="C61" t="s">
        <v>937</v>
      </c>
      <c r="D61" t="s">
        <v>1336</v>
      </c>
      <c r="E61" t="s">
        <v>403</v>
      </c>
      <c r="F61">
        <v>9956837000</v>
      </c>
      <c r="G61">
        <v>1.820668</v>
      </c>
      <c r="H61" t="s">
        <v>413</v>
      </c>
      <c r="I61">
        <v>18128094507.116001</v>
      </c>
      <c r="J61" t="s">
        <v>416</v>
      </c>
      <c r="K61">
        <v>22456253.843416799</v>
      </c>
      <c r="L61">
        <v>0.4</v>
      </c>
      <c r="M61">
        <v>7251237802.8464012</v>
      </c>
      <c r="N61">
        <v>223272112888</v>
      </c>
      <c r="O61">
        <v>15102015</v>
      </c>
      <c r="P61">
        <v>1510</v>
      </c>
      <c r="Q61">
        <v>2.3119389045162899</v>
      </c>
      <c r="R61">
        <v>2.39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2.762</v>
      </c>
      <c r="AT61">
        <v>2.5619999999999998</v>
      </c>
      <c r="AU61" t="s">
        <v>426</v>
      </c>
      <c r="AV61">
        <v>0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2.6619999999999999</v>
      </c>
      <c r="CG61" t="s">
        <v>450</v>
      </c>
      <c r="CI61">
        <v>2.3119389045162899</v>
      </c>
      <c r="CJ61">
        <v>2.39</v>
      </c>
      <c r="CK61">
        <v>2.3509694522581448</v>
      </c>
      <c r="CL61">
        <v>-0.3</v>
      </c>
      <c r="CM61">
        <v>2.050969452258145</v>
      </c>
    </row>
    <row r="62" spans="1:91" x14ac:dyDescent="0.25">
      <c r="A62">
        <v>228</v>
      </c>
      <c r="B62" t="s">
        <v>188</v>
      </c>
      <c r="C62" t="s">
        <v>288</v>
      </c>
      <c r="D62" t="s">
        <v>388</v>
      </c>
      <c r="E62" t="s">
        <v>403</v>
      </c>
      <c r="F62">
        <v>329765630</v>
      </c>
      <c r="G62">
        <v>40.693019999999997</v>
      </c>
      <c r="H62" t="s">
        <v>413</v>
      </c>
      <c r="I62">
        <v>13419159376.902599</v>
      </c>
      <c r="J62" t="s">
        <v>416</v>
      </c>
      <c r="K62">
        <v>20420662.454890098</v>
      </c>
      <c r="L62">
        <v>1</v>
      </c>
      <c r="M62">
        <v>13419159376.902599</v>
      </c>
      <c r="N62">
        <v>18486661217.799999</v>
      </c>
      <c r="O62">
        <v>50203000</v>
      </c>
      <c r="P62">
        <v>5020</v>
      </c>
      <c r="Q62">
        <v>1.74632403309423</v>
      </c>
      <c r="R62">
        <v>2.39</v>
      </c>
      <c r="S62" t="s">
        <v>418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2.0009999999999999</v>
      </c>
      <c r="AT62">
        <v>2.996</v>
      </c>
      <c r="AU62" t="s">
        <v>431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2.4984999999999999</v>
      </c>
      <c r="CG62" t="s">
        <v>450</v>
      </c>
      <c r="CI62">
        <v>1.74632403309423</v>
      </c>
      <c r="CJ62">
        <v>2.39</v>
      </c>
      <c r="CK62">
        <v>2.0681620165471148</v>
      </c>
      <c r="CL62">
        <v>-0.18</v>
      </c>
      <c r="CM62">
        <v>1.8881620165471149</v>
      </c>
    </row>
    <row r="63" spans="1:91" x14ac:dyDescent="0.25">
      <c r="A63">
        <v>229</v>
      </c>
      <c r="B63" t="s">
        <v>539</v>
      </c>
      <c r="C63" t="s">
        <v>938</v>
      </c>
      <c r="D63" t="s">
        <v>1337</v>
      </c>
      <c r="E63" t="s">
        <v>403</v>
      </c>
      <c r="F63">
        <v>358583600</v>
      </c>
      <c r="G63">
        <v>12.85107</v>
      </c>
      <c r="H63" t="s">
        <v>413</v>
      </c>
      <c r="I63">
        <v>4608182944.4519997</v>
      </c>
      <c r="J63" t="s">
        <v>416</v>
      </c>
      <c r="K63">
        <v>15235019.3876136</v>
      </c>
      <c r="L63">
        <v>1</v>
      </c>
      <c r="M63">
        <v>4608182944.4519997</v>
      </c>
      <c r="N63">
        <v>20102196616</v>
      </c>
      <c r="O63">
        <v>40204020</v>
      </c>
      <c r="P63">
        <v>4020</v>
      </c>
      <c r="Q63">
        <v>1.73983973665924</v>
      </c>
      <c r="S63" t="s">
        <v>419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2.5539999999999998</v>
      </c>
      <c r="AT63">
        <v>3.0510000000000002</v>
      </c>
      <c r="AU63" t="s">
        <v>420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2.8025000000000002</v>
      </c>
      <c r="CG63" t="s">
        <v>450</v>
      </c>
      <c r="CI63">
        <v>1.73983973665924</v>
      </c>
      <c r="CJ63">
        <v>3.1</v>
      </c>
      <c r="CK63">
        <v>2.4199198683296199</v>
      </c>
      <c r="CL63">
        <v>-0.24</v>
      </c>
      <c r="CM63">
        <v>2.1799198683296201</v>
      </c>
    </row>
    <row r="64" spans="1:91" x14ac:dyDescent="0.25">
      <c r="A64">
        <v>231</v>
      </c>
      <c r="B64" t="s">
        <v>541</v>
      </c>
      <c r="C64" t="s">
        <v>940</v>
      </c>
      <c r="D64" t="s">
        <v>1339</v>
      </c>
      <c r="E64" t="s">
        <v>403</v>
      </c>
      <c r="F64">
        <v>219421900</v>
      </c>
      <c r="G64">
        <v>14.77328</v>
      </c>
      <c r="H64" t="s">
        <v>413</v>
      </c>
      <c r="I64">
        <v>3241581166.8319998</v>
      </c>
      <c r="J64" t="s">
        <v>416</v>
      </c>
      <c r="K64">
        <v>1613213.2464775599</v>
      </c>
      <c r="L64">
        <v>0.9</v>
      </c>
      <c r="M64">
        <v>2917423050.1487999</v>
      </c>
      <c r="N64">
        <v>11070712542.6</v>
      </c>
      <c r="O64">
        <v>30202010</v>
      </c>
      <c r="P64">
        <v>3020</v>
      </c>
      <c r="Q64">
        <v>3.4</v>
      </c>
      <c r="S64" t="s">
        <v>424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 t="s">
        <v>1652</v>
      </c>
      <c r="AT64" t="s">
        <v>1652</v>
      </c>
      <c r="AU64" t="s">
        <v>430</v>
      </c>
      <c r="AV64">
        <v>0</v>
      </c>
      <c r="AW64">
        <v>0</v>
      </c>
      <c r="AX64" t="s">
        <v>1661</v>
      </c>
      <c r="AY64">
        <v>0</v>
      </c>
      <c r="AZ64">
        <v>0</v>
      </c>
      <c r="BA64">
        <v>0</v>
      </c>
      <c r="CG64" t="s">
        <v>450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x14ac:dyDescent="0.25">
      <c r="A65">
        <v>232</v>
      </c>
      <c r="B65" t="s">
        <v>542</v>
      </c>
      <c r="C65" t="s">
        <v>941</v>
      </c>
      <c r="D65" t="s">
        <v>1340</v>
      </c>
      <c r="E65" t="s">
        <v>404</v>
      </c>
      <c r="F65">
        <v>192626154</v>
      </c>
      <c r="G65">
        <v>43.34</v>
      </c>
      <c r="H65" t="s">
        <v>409</v>
      </c>
      <c r="I65">
        <v>8348417514.3600006</v>
      </c>
      <c r="J65" t="s">
        <v>415</v>
      </c>
      <c r="K65">
        <v>17802475.344590198</v>
      </c>
      <c r="L65">
        <v>0.4</v>
      </c>
      <c r="M65">
        <v>3339367005.744</v>
      </c>
      <c r="N65">
        <v>4319448877.2959995</v>
      </c>
      <c r="O65">
        <v>50101030</v>
      </c>
      <c r="P65">
        <v>5010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1.859</v>
      </c>
      <c r="AT65">
        <v>2.4820000000000002</v>
      </c>
      <c r="AU65" t="s">
        <v>420</v>
      </c>
      <c r="AV65">
        <v>1</v>
      </c>
      <c r="AW65">
        <v>0</v>
      </c>
      <c r="AX65" t="s">
        <v>443</v>
      </c>
      <c r="AY65">
        <v>0</v>
      </c>
      <c r="AZ65">
        <v>0</v>
      </c>
      <c r="BA65">
        <v>0</v>
      </c>
      <c r="CE65">
        <v>2.1705000000000001</v>
      </c>
      <c r="CG65" t="s">
        <v>450</v>
      </c>
      <c r="CI65">
        <v>3.4</v>
      </c>
      <c r="CJ65">
        <v>3.1</v>
      </c>
      <c r="CK65">
        <v>3.25</v>
      </c>
      <c r="CL65">
        <v>-0.18</v>
      </c>
      <c r="CM65">
        <v>3.07</v>
      </c>
    </row>
    <row r="66" spans="1:91" x14ac:dyDescent="0.25">
      <c r="A66">
        <v>234</v>
      </c>
      <c r="B66" t="s">
        <v>543</v>
      </c>
      <c r="C66" t="s">
        <v>942</v>
      </c>
      <c r="D66" t="s">
        <v>1341</v>
      </c>
      <c r="E66" t="s">
        <v>401</v>
      </c>
      <c r="F66">
        <v>7174938000</v>
      </c>
      <c r="G66">
        <v>6.4960000000000004</v>
      </c>
      <c r="H66" t="s">
        <v>409</v>
      </c>
      <c r="I66">
        <v>46608397248</v>
      </c>
      <c r="J66" t="s">
        <v>415</v>
      </c>
      <c r="K66">
        <v>56714187.6754127</v>
      </c>
      <c r="L66">
        <v>0.5</v>
      </c>
      <c r="M66">
        <v>23304198624</v>
      </c>
      <c r="N66">
        <v>201113512140</v>
      </c>
      <c r="O66">
        <v>30101010</v>
      </c>
      <c r="P66">
        <v>3010</v>
      </c>
      <c r="Q66">
        <v>3.3263230654218598</v>
      </c>
      <c r="S66" t="s">
        <v>419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2.9020000000000001</v>
      </c>
      <c r="AT66">
        <v>2.9740000000000002</v>
      </c>
      <c r="AU66" t="s">
        <v>430</v>
      </c>
      <c r="AV66">
        <v>0</v>
      </c>
      <c r="AW66">
        <v>0</v>
      </c>
      <c r="AX66" t="s">
        <v>440</v>
      </c>
      <c r="AY66">
        <v>0</v>
      </c>
      <c r="AZ66">
        <v>0</v>
      </c>
      <c r="BA66">
        <v>0</v>
      </c>
      <c r="CE66">
        <v>2.9380000000000002</v>
      </c>
      <c r="CG66" t="s">
        <v>450</v>
      </c>
      <c r="CI66">
        <v>3.3263230654218598</v>
      </c>
      <c r="CJ66">
        <v>3.1</v>
      </c>
      <c r="CK66">
        <v>3.21316153271093</v>
      </c>
      <c r="CL66">
        <v>-0.24</v>
      </c>
      <c r="CM66">
        <v>2.9731615327109302</v>
      </c>
    </row>
    <row r="67" spans="1:91" x14ac:dyDescent="0.25">
      <c r="A67">
        <v>236</v>
      </c>
      <c r="B67" t="s">
        <v>544</v>
      </c>
      <c r="C67" t="s">
        <v>943</v>
      </c>
      <c r="D67" t="s">
        <v>1342</v>
      </c>
      <c r="E67" t="s">
        <v>404</v>
      </c>
      <c r="F67">
        <v>1231267738</v>
      </c>
      <c r="G67">
        <v>5.7</v>
      </c>
      <c r="H67" t="s">
        <v>409</v>
      </c>
      <c r="I67">
        <v>7018226106.6000004</v>
      </c>
      <c r="J67" t="s">
        <v>415</v>
      </c>
      <c r="K67">
        <v>44776209.1487213</v>
      </c>
      <c r="L67">
        <v>0.5</v>
      </c>
      <c r="M67">
        <v>3509113053.3000002</v>
      </c>
      <c r="N67">
        <v>34512434696.139999</v>
      </c>
      <c r="O67">
        <v>45101015</v>
      </c>
      <c r="P67">
        <v>4510</v>
      </c>
      <c r="Q67">
        <v>1.60969936166303</v>
      </c>
      <c r="S67" t="s">
        <v>418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1.9710000000000001</v>
      </c>
      <c r="AT67">
        <v>2.6190000000000002</v>
      </c>
      <c r="AU67" t="s">
        <v>420</v>
      </c>
      <c r="AV67">
        <v>1</v>
      </c>
      <c r="AW67">
        <v>0</v>
      </c>
      <c r="AX67" t="s">
        <v>445</v>
      </c>
      <c r="AY67">
        <v>0</v>
      </c>
      <c r="AZ67">
        <v>0</v>
      </c>
      <c r="BA67">
        <v>0</v>
      </c>
      <c r="CE67">
        <v>2.2949999999999999</v>
      </c>
      <c r="CG67" t="s">
        <v>450</v>
      </c>
      <c r="CI67">
        <v>1.60969936166303</v>
      </c>
      <c r="CJ67">
        <v>3.1</v>
      </c>
      <c r="CK67">
        <v>2.3548496808315149</v>
      </c>
      <c r="CL67">
        <v>-0.18</v>
      </c>
      <c r="CM67">
        <v>2.1748496808315152</v>
      </c>
    </row>
    <row r="68" spans="1:91" x14ac:dyDescent="0.25">
      <c r="A68">
        <v>249</v>
      </c>
      <c r="B68" t="s">
        <v>546</v>
      </c>
      <c r="C68" t="s">
        <v>945</v>
      </c>
      <c r="D68" t="s">
        <v>1344</v>
      </c>
      <c r="E68" t="s">
        <v>402</v>
      </c>
      <c r="F68">
        <v>100557556</v>
      </c>
      <c r="G68">
        <v>117.959</v>
      </c>
      <c r="H68" t="s">
        <v>412</v>
      </c>
      <c r="I68">
        <v>11861668748.204</v>
      </c>
      <c r="J68" t="s">
        <v>416</v>
      </c>
      <c r="K68">
        <v>25662798.684428599</v>
      </c>
      <c r="L68">
        <v>0.95</v>
      </c>
      <c r="M68">
        <v>11268585310.7938</v>
      </c>
      <c r="N68">
        <v>5355393759.8920002</v>
      </c>
      <c r="O68">
        <v>45101010</v>
      </c>
      <c r="P68">
        <v>4510</v>
      </c>
      <c r="Q68">
        <v>2.72535870450786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1.9850000000000001</v>
      </c>
      <c r="AT68">
        <v>3.2629999999999999</v>
      </c>
      <c r="AU68" t="s">
        <v>420</v>
      </c>
      <c r="AV68">
        <v>1</v>
      </c>
      <c r="AW68">
        <v>0</v>
      </c>
      <c r="AX68" t="s">
        <v>441</v>
      </c>
      <c r="AY68">
        <v>0</v>
      </c>
      <c r="AZ68">
        <v>0</v>
      </c>
      <c r="BA68">
        <v>0</v>
      </c>
      <c r="CE68">
        <v>2.6240000000000001</v>
      </c>
      <c r="CG68" t="s">
        <v>450</v>
      </c>
      <c r="CI68">
        <v>2.72535870450786</v>
      </c>
      <c r="CJ68">
        <v>1.5</v>
      </c>
      <c r="CK68">
        <v>2.11267935225393</v>
      </c>
      <c r="CL68">
        <v>-0.18</v>
      </c>
      <c r="CM68">
        <v>1.9326793522539301</v>
      </c>
    </row>
    <row r="69" spans="1:91" x14ac:dyDescent="0.25">
      <c r="A69">
        <v>258</v>
      </c>
      <c r="B69" t="s">
        <v>548</v>
      </c>
      <c r="C69" t="s">
        <v>947</v>
      </c>
      <c r="D69" t="s">
        <v>1346</v>
      </c>
      <c r="E69" t="s">
        <v>401</v>
      </c>
      <c r="F69">
        <v>706475400</v>
      </c>
      <c r="G69">
        <v>31.76</v>
      </c>
      <c r="H69" t="s">
        <v>409</v>
      </c>
      <c r="I69">
        <v>22437658704</v>
      </c>
      <c r="J69" t="s">
        <v>415</v>
      </c>
      <c r="K69">
        <v>41901141.976885699</v>
      </c>
      <c r="L69">
        <v>0.85</v>
      </c>
      <c r="M69">
        <v>19072009898.400002</v>
      </c>
      <c r="N69">
        <v>33664259285.400002</v>
      </c>
      <c r="O69">
        <v>15102015</v>
      </c>
      <c r="P69">
        <v>1510</v>
      </c>
      <c r="Q69">
        <v>1.95381713589362</v>
      </c>
      <c r="S69" t="s">
        <v>417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2.464</v>
      </c>
      <c r="AT69">
        <v>3.2919999999999998</v>
      </c>
      <c r="AU69" t="s">
        <v>424</v>
      </c>
      <c r="AV69">
        <v>1</v>
      </c>
      <c r="AW69">
        <v>0</v>
      </c>
      <c r="AX69" t="s">
        <v>440</v>
      </c>
      <c r="AY69">
        <v>0</v>
      </c>
      <c r="AZ69">
        <v>0</v>
      </c>
      <c r="BA69">
        <v>0</v>
      </c>
      <c r="CE69">
        <v>2.8780000000000001</v>
      </c>
      <c r="CG69" t="s">
        <v>450</v>
      </c>
      <c r="CI69">
        <v>1.95381713589362</v>
      </c>
      <c r="CJ69">
        <v>3.1</v>
      </c>
      <c r="CK69">
        <v>2.5269085679468102</v>
      </c>
      <c r="CL69">
        <v>-0.3</v>
      </c>
      <c r="CM69">
        <v>2.2269085679468099</v>
      </c>
    </row>
    <row r="70" spans="1:91" x14ac:dyDescent="0.25">
      <c r="A70">
        <v>259</v>
      </c>
      <c r="B70" t="s">
        <v>549</v>
      </c>
      <c r="C70" t="s">
        <v>948</v>
      </c>
      <c r="D70" t="s">
        <v>1347</v>
      </c>
      <c r="E70" t="s">
        <v>406</v>
      </c>
      <c r="F70">
        <v>30000000</v>
      </c>
      <c r="G70">
        <v>100.0022</v>
      </c>
      <c r="H70" t="s">
        <v>414</v>
      </c>
      <c r="I70">
        <v>3000066000</v>
      </c>
      <c r="J70" t="s">
        <v>416</v>
      </c>
      <c r="K70">
        <v>6899526.1283943802</v>
      </c>
      <c r="L70">
        <v>1</v>
      </c>
      <c r="M70">
        <v>3000066000</v>
      </c>
      <c r="N70">
        <v>1681800000</v>
      </c>
      <c r="O70">
        <v>30101010</v>
      </c>
      <c r="P70">
        <v>3010</v>
      </c>
      <c r="Q70">
        <v>3.4</v>
      </c>
      <c r="S70" t="s">
        <v>424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2.125</v>
      </c>
      <c r="AT70">
        <v>3.0369999999999999</v>
      </c>
      <c r="AU70" t="s">
        <v>430</v>
      </c>
      <c r="AV70">
        <v>0</v>
      </c>
      <c r="AW70">
        <v>0</v>
      </c>
      <c r="AX70" t="s">
        <v>446</v>
      </c>
      <c r="AY70">
        <v>0</v>
      </c>
      <c r="AZ70">
        <v>0</v>
      </c>
      <c r="BA70">
        <v>0</v>
      </c>
      <c r="CE70">
        <v>2.581</v>
      </c>
      <c r="CG70" t="s">
        <v>450</v>
      </c>
      <c r="CI70">
        <v>3.4</v>
      </c>
      <c r="CJ70">
        <v>3.1</v>
      </c>
      <c r="CK70">
        <v>3.25</v>
      </c>
      <c r="CL70">
        <v>0.3</v>
      </c>
      <c r="CM70">
        <v>3.55</v>
      </c>
    </row>
    <row r="71" spans="1:91" x14ac:dyDescent="0.25">
      <c r="A71">
        <v>299</v>
      </c>
      <c r="B71" t="s">
        <v>170</v>
      </c>
      <c r="C71" t="s">
        <v>270</v>
      </c>
      <c r="D71" t="s">
        <v>370</v>
      </c>
      <c r="E71" t="s">
        <v>403</v>
      </c>
      <c r="F71">
        <v>362188870</v>
      </c>
      <c r="G71">
        <v>39.991840000000003</v>
      </c>
      <c r="H71" t="s">
        <v>413</v>
      </c>
      <c r="I71">
        <v>14484599338.820801</v>
      </c>
      <c r="J71" t="s">
        <v>416</v>
      </c>
      <c r="K71">
        <v>14412050.783097999</v>
      </c>
      <c r="L71">
        <v>0.55000000000000004</v>
      </c>
      <c r="M71">
        <v>7966529636.3514414</v>
      </c>
      <c r="N71">
        <v>11167369428.709999</v>
      </c>
      <c r="O71">
        <v>45101020</v>
      </c>
      <c r="P71">
        <v>4510</v>
      </c>
      <c r="Q71">
        <v>1.7271705380618301</v>
      </c>
      <c r="R71">
        <v>1.5</v>
      </c>
      <c r="S71" t="s">
        <v>417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2.3450000000000002</v>
      </c>
      <c r="AT71">
        <v>2.57</v>
      </c>
      <c r="AU71" t="s">
        <v>420</v>
      </c>
      <c r="AV71">
        <v>1</v>
      </c>
      <c r="AW71">
        <v>0</v>
      </c>
      <c r="AX71" t="s">
        <v>446</v>
      </c>
      <c r="AY71">
        <v>0</v>
      </c>
      <c r="AZ71">
        <v>0</v>
      </c>
      <c r="BA71">
        <v>0</v>
      </c>
      <c r="CE71">
        <v>2.4575</v>
      </c>
      <c r="CG71" t="s">
        <v>450</v>
      </c>
      <c r="CI71">
        <v>1.7271705380618301</v>
      </c>
      <c r="CJ71">
        <v>1.5</v>
      </c>
      <c r="CK71">
        <v>1.6135852690309149</v>
      </c>
      <c r="CL71">
        <v>-0.3</v>
      </c>
      <c r="CM71">
        <v>1.3135852690309151</v>
      </c>
    </row>
    <row r="72" spans="1:91" x14ac:dyDescent="0.25">
      <c r="A72">
        <v>306</v>
      </c>
      <c r="B72" t="s">
        <v>552</v>
      </c>
      <c r="C72" t="s">
        <v>951</v>
      </c>
      <c r="D72" t="s">
        <v>1350</v>
      </c>
      <c r="E72" t="s">
        <v>402</v>
      </c>
      <c r="F72">
        <v>210200000</v>
      </c>
      <c r="G72">
        <v>107.1014</v>
      </c>
      <c r="H72" t="s">
        <v>412</v>
      </c>
      <c r="I72">
        <v>22512714280</v>
      </c>
      <c r="J72" t="s">
        <v>416</v>
      </c>
      <c r="K72">
        <v>21750532.031447802</v>
      </c>
      <c r="L72">
        <v>0.75</v>
      </c>
      <c r="M72">
        <v>16884535710</v>
      </c>
      <c r="N72">
        <v>8837859000</v>
      </c>
      <c r="O72">
        <v>20102015</v>
      </c>
      <c r="P72">
        <v>2010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2.875</v>
      </c>
      <c r="AT72">
        <v>2.4889999999999999</v>
      </c>
      <c r="AU72" t="s">
        <v>420</v>
      </c>
      <c r="AV72">
        <v>1</v>
      </c>
      <c r="AW72">
        <v>0</v>
      </c>
      <c r="AX72" t="s">
        <v>441</v>
      </c>
      <c r="AY72">
        <v>0</v>
      </c>
      <c r="AZ72">
        <v>0</v>
      </c>
      <c r="BA72">
        <v>0</v>
      </c>
      <c r="CE72">
        <v>2.6819999999999999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 x14ac:dyDescent="0.25">
      <c r="A73">
        <v>309</v>
      </c>
      <c r="B73" t="s">
        <v>127</v>
      </c>
      <c r="C73" t="s">
        <v>227</v>
      </c>
      <c r="D73" t="s">
        <v>327</v>
      </c>
      <c r="E73" t="s">
        <v>398</v>
      </c>
      <c r="F73">
        <v>1184669100</v>
      </c>
      <c r="G73">
        <v>19.524999999999999</v>
      </c>
      <c r="H73" t="s">
        <v>409</v>
      </c>
      <c r="I73">
        <v>23130664177.5</v>
      </c>
      <c r="J73" t="s">
        <v>415</v>
      </c>
      <c r="K73">
        <v>92864872.3770082</v>
      </c>
      <c r="L73">
        <v>0.8</v>
      </c>
      <c r="M73">
        <v>18504531342</v>
      </c>
      <c r="N73">
        <v>53130039796.800003</v>
      </c>
      <c r="O73">
        <v>30101010</v>
      </c>
      <c r="P73">
        <v>3010</v>
      </c>
      <c r="Q73">
        <v>1.9118214423098601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2.3889999999999998</v>
      </c>
      <c r="AT73">
        <v>2.794</v>
      </c>
      <c r="AU73" t="s">
        <v>430</v>
      </c>
      <c r="AV73">
        <v>0</v>
      </c>
      <c r="AW73">
        <v>0</v>
      </c>
      <c r="AX73" t="s">
        <v>437</v>
      </c>
      <c r="AY73">
        <v>0</v>
      </c>
      <c r="AZ73">
        <v>0</v>
      </c>
      <c r="BA73">
        <v>0</v>
      </c>
      <c r="CE73">
        <v>2.5914999999999999</v>
      </c>
      <c r="CG73" t="s">
        <v>450</v>
      </c>
      <c r="CI73">
        <v>1.9118214423098601</v>
      </c>
      <c r="CJ73">
        <v>1.5</v>
      </c>
      <c r="CK73">
        <v>1.70591072115493</v>
      </c>
      <c r="CL73">
        <v>-0.18</v>
      </c>
      <c r="CM73">
        <v>1.5259107211549301</v>
      </c>
    </row>
    <row r="74" spans="1:91" x14ac:dyDescent="0.25">
      <c r="A74">
        <v>311</v>
      </c>
      <c r="B74" t="s">
        <v>553</v>
      </c>
      <c r="C74" t="s">
        <v>952</v>
      </c>
      <c r="D74" t="s">
        <v>1351</v>
      </c>
      <c r="E74" t="s">
        <v>403</v>
      </c>
      <c r="F74">
        <v>1697430200</v>
      </c>
      <c r="G74">
        <v>33.77787</v>
      </c>
      <c r="H74" t="s">
        <v>413</v>
      </c>
      <c r="I74">
        <v>57335576629.674004</v>
      </c>
      <c r="J74" t="s">
        <v>416</v>
      </c>
      <c r="K74">
        <v>64523516.076364703</v>
      </c>
      <c r="L74">
        <v>1</v>
      </c>
      <c r="M74">
        <v>57335576629.674004</v>
      </c>
      <c r="N74">
        <v>357139314080</v>
      </c>
      <c r="O74">
        <v>40201060</v>
      </c>
      <c r="P74">
        <v>4020</v>
      </c>
      <c r="Q74">
        <v>1.99376491722917</v>
      </c>
      <c r="R74">
        <v>3.1</v>
      </c>
      <c r="S74" t="s">
        <v>418</v>
      </c>
      <c r="T74" t="s">
        <v>423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1.742</v>
      </c>
      <c r="AT74">
        <v>2.7650000000000001</v>
      </c>
      <c r="AU74" t="s">
        <v>1657</v>
      </c>
      <c r="AV74">
        <v>0</v>
      </c>
      <c r="AW74">
        <v>0</v>
      </c>
      <c r="AX74" t="s">
        <v>442</v>
      </c>
      <c r="AY74">
        <v>0</v>
      </c>
      <c r="AZ74">
        <v>0</v>
      </c>
      <c r="BA74">
        <v>0</v>
      </c>
      <c r="CE74">
        <v>2.2534999999999998</v>
      </c>
      <c r="CG74" t="s">
        <v>450</v>
      </c>
      <c r="CI74">
        <v>1.99376491722917</v>
      </c>
      <c r="CJ74">
        <v>3.1</v>
      </c>
      <c r="CK74">
        <v>2.5468824586145851</v>
      </c>
      <c r="CL74">
        <v>-0.18</v>
      </c>
      <c r="CM74">
        <v>2.3668824586145849</v>
      </c>
    </row>
    <row r="75" spans="1:91" x14ac:dyDescent="0.25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409</v>
      </c>
      <c r="I75">
        <v>13800412620</v>
      </c>
      <c r="J75" t="s">
        <v>415</v>
      </c>
      <c r="K75">
        <v>24556942.140819699</v>
      </c>
      <c r="L75">
        <v>0.55000000000000004</v>
      </c>
      <c r="M75">
        <v>7590226941.000001</v>
      </c>
      <c r="N75">
        <v>23144692005.599998</v>
      </c>
      <c r="O75">
        <v>40101025</v>
      </c>
      <c r="P75">
        <v>4010</v>
      </c>
      <c r="Q75">
        <v>1.99537761888822</v>
      </c>
      <c r="R75">
        <v>1.5</v>
      </c>
      <c r="S75" t="s">
        <v>419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2.4060000000000001</v>
      </c>
      <c r="AT75">
        <v>2.6320000000000001</v>
      </c>
      <c r="AU75" t="s">
        <v>420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2.5190000000000001</v>
      </c>
      <c r="CG75" t="s">
        <v>450</v>
      </c>
      <c r="CI75">
        <v>1.99537761888822</v>
      </c>
      <c r="CJ75">
        <v>1.5</v>
      </c>
      <c r="CK75">
        <v>1.7476888094441101</v>
      </c>
      <c r="CL75">
        <v>-0.24</v>
      </c>
      <c r="CM75">
        <v>1.5076888094441101</v>
      </c>
    </row>
    <row r="76" spans="1:91" x14ac:dyDescent="0.25">
      <c r="A76">
        <v>322</v>
      </c>
      <c r="B76" t="s">
        <v>122</v>
      </c>
      <c r="C76" t="s">
        <v>222</v>
      </c>
      <c r="D76" t="s">
        <v>322</v>
      </c>
      <c r="E76" t="s">
        <v>403</v>
      </c>
      <c r="F76">
        <v>2049789600</v>
      </c>
      <c r="G76">
        <v>2.9909249999999998</v>
      </c>
      <c r="H76" t="s">
        <v>413</v>
      </c>
      <c r="I76">
        <v>6130766959.3800001</v>
      </c>
      <c r="J76" t="s">
        <v>416</v>
      </c>
      <c r="K76">
        <v>9155054.9499982595</v>
      </c>
      <c r="L76">
        <v>0.8</v>
      </c>
      <c r="M76">
        <v>4904613567.5040007</v>
      </c>
      <c r="N76">
        <v>345020585472</v>
      </c>
      <c r="O76">
        <v>20102015</v>
      </c>
      <c r="P76">
        <v>2010</v>
      </c>
      <c r="Q76">
        <v>1.97423180401412</v>
      </c>
      <c r="R76">
        <v>1.5</v>
      </c>
      <c r="S76" t="s">
        <v>418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2.786</v>
      </c>
      <c r="AT76">
        <v>3.0009999999999999</v>
      </c>
      <c r="AU76" t="s">
        <v>420</v>
      </c>
      <c r="AV76">
        <v>1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2.8935</v>
      </c>
      <c r="CG76" t="s">
        <v>450</v>
      </c>
      <c r="CI76">
        <v>1.97423180401412</v>
      </c>
      <c r="CJ76">
        <v>1.5</v>
      </c>
      <c r="CK76">
        <v>1.7371159020070599</v>
      </c>
      <c r="CL76">
        <v>-0.18</v>
      </c>
      <c r="CM76">
        <v>1.55711590200706</v>
      </c>
    </row>
    <row r="77" spans="1:91" x14ac:dyDescent="0.25">
      <c r="A77">
        <v>335</v>
      </c>
      <c r="B77" t="s">
        <v>554</v>
      </c>
      <c r="C77" t="s">
        <v>953</v>
      </c>
      <c r="D77" t="s">
        <v>1352</v>
      </c>
      <c r="E77" t="s">
        <v>398</v>
      </c>
      <c r="F77">
        <v>189000000</v>
      </c>
      <c r="G77">
        <v>58.7</v>
      </c>
      <c r="H77" t="s">
        <v>409</v>
      </c>
      <c r="I77">
        <v>11094300000</v>
      </c>
      <c r="J77" t="s">
        <v>415</v>
      </c>
      <c r="K77">
        <v>15370226.237376999</v>
      </c>
      <c r="L77">
        <v>0.9</v>
      </c>
      <c r="M77">
        <v>9984870000</v>
      </c>
      <c r="N77">
        <v>35789040000</v>
      </c>
      <c r="O77">
        <v>55201020</v>
      </c>
      <c r="P77">
        <v>5520</v>
      </c>
      <c r="Q77">
        <v>3.4</v>
      </c>
      <c r="R77">
        <v>3.01</v>
      </c>
      <c r="S77" t="s">
        <v>420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2.5539999999999998</v>
      </c>
      <c r="AT77">
        <v>2.633</v>
      </c>
      <c r="AU77" t="s">
        <v>420</v>
      </c>
      <c r="AV77">
        <v>1</v>
      </c>
      <c r="AW77">
        <v>0</v>
      </c>
      <c r="AX77" t="s">
        <v>437</v>
      </c>
      <c r="AY77">
        <v>0</v>
      </c>
      <c r="AZ77">
        <v>0</v>
      </c>
      <c r="BA77">
        <v>0</v>
      </c>
      <c r="CE77">
        <v>2.5935000000000001</v>
      </c>
      <c r="CG77" t="s">
        <v>450</v>
      </c>
      <c r="CI77">
        <v>3.4</v>
      </c>
      <c r="CJ77">
        <v>3.01</v>
      </c>
      <c r="CK77">
        <v>3.2050000000000001</v>
      </c>
      <c r="CL77">
        <v>0</v>
      </c>
      <c r="CM77">
        <v>3.2050000000000001</v>
      </c>
    </row>
    <row r="78" spans="1:91" x14ac:dyDescent="0.25">
      <c r="A78">
        <v>337</v>
      </c>
      <c r="B78" t="s">
        <v>555</v>
      </c>
      <c r="C78" t="s">
        <v>954</v>
      </c>
      <c r="D78" t="s">
        <v>1353</v>
      </c>
      <c r="E78" t="s">
        <v>403</v>
      </c>
      <c r="F78">
        <v>54295612</v>
      </c>
      <c r="G78">
        <v>59.60089</v>
      </c>
      <c r="H78" t="s">
        <v>413</v>
      </c>
      <c r="I78">
        <v>3236066798.2946801</v>
      </c>
      <c r="J78" t="s">
        <v>416</v>
      </c>
      <c r="K78">
        <v>4656583.6078323498</v>
      </c>
      <c r="L78">
        <v>1</v>
      </c>
      <c r="M78">
        <v>3236066798.2946801</v>
      </c>
      <c r="N78">
        <v>11423796764.799999</v>
      </c>
      <c r="O78">
        <v>45102020</v>
      </c>
      <c r="P78">
        <v>4510</v>
      </c>
      <c r="Q78">
        <v>1.9863210229255801</v>
      </c>
      <c r="R78">
        <v>1.77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2.1629999999999998</v>
      </c>
      <c r="AT78">
        <v>3.1230000000000002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2.6429999999999998</v>
      </c>
      <c r="CG78" t="s">
        <v>450</v>
      </c>
      <c r="CI78">
        <v>1.9863210229255801</v>
      </c>
      <c r="CJ78">
        <v>1.77</v>
      </c>
      <c r="CK78">
        <v>1.8781605114627899</v>
      </c>
      <c r="CL78">
        <v>-0.18</v>
      </c>
      <c r="CM78">
        <v>1.69816051146279</v>
      </c>
    </row>
    <row r="79" spans="1:91" x14ac:dyDescent="0.25">
      <c r="A79">
        <v>338</v>
      </c>
      <c r="B79" t="s">
        <v>133</v>
      </c>
      <c r="C79" t="s">
        <v>233</v>
      </c>
      <c r="D79" t="s">
        <v>333</v>
      </c>
      <c r="E79" t="s">
        <v>394</v>
      </c>
      <c r="F79">
        <v>3025902350</v>
      </c>
      <c r="G79">
        <v>15.64</v>
      </c>
      <c r="H79" t="s">
        <v>409</v>
      </c>
      <c r="I79">
        <v>47325112754</v>
      </c>
      <c r="J79" t="s">
        <v>415</v>
      </c>
      <c r="K79">
        <v>92791251.722857103</v>
      </c>
      <c r="L79">
        <v>0.3</v>
      </c>
      <c r="M79">
        <v>14197533826.200001</v>
      </c>
      <c r="N79">
        <v>190994956332</v>
      </c>
      <c r="O79">
        <v>30101010</v>
      </c>
      <c r="P79">
        <v>3010</v>
      </c>
      <c r="Q79">
        <v>3.2733333333333299</v>
      </c>
      <c r="R79">
        <v>1.5</v>
      </c>
      <c r="S79" t="s">
        <v>419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2.1840000000000002</v>
      </c>
      <c r="AT79">
        <v>2.8410000000000002</v>
      </c>
      <c r="AU79" t="s">
        <v>430</v>
      </c>
      <c r="AV79">
        <v>0</v>
      </c>
      <c r="AW79">
        <v>0</v>
      </c>
      <c r="AX79" t="s">
        <v>433</v>
      </c>
      <c r="AY79">
        <v>0</v>
      </c>
      <c r="AZ79">
        <v>0</v>
      </c>
      <c r="BA79">
        <v>0</v>
      </c>
      <c r="CE79">
        <v>2.5125000000000002</v>
      </c>
      <c r="CG79" t="s">
        <v>450</v>
      </c>
      <c r="CI79">
        <v>3.2733333333333299</v>
      </c>
      <c r="CJ79">
        <v>1.5</v>
      </c>
      <c r="CK79">
        <v>2.3866666666666649</v>
      </c>
      <c r="CL79">
        <v>-0.24</v>
      </c>
      <c r="CM79">
        <v>2.1466666666666652</v>
      </c>
    </row>
    <row r="80" spans="1:91" x14ac:dyDescent="0.25">
      <c r="A80">
        <v>341</v>
      </c>
      <c r="B80" t="s">
        <v>556</v>
      </c>
      <c r="C80" t="s">
        <v>955</v>
      </c>
      <c r="D80" t="s">
        <v>1354</v>
      </c>
      <c r="E80" t="s">
        <v>403</v>
      </c>
      <c r="F80">
        <v>139635440</v>
      </c>
      <c r="G80">
        <v>38.625729999999997</v>
      </c>
      <c r="H80" t="s">
        <v>413</v>
      </c>
      <c r="I80">
        <v>5393520803.8711996</v>
      </c>
      <c r="J80" t="s">
        <v>416</v>
      </c>
      <c r="K80">
        <v>13931708.9106241</v>
      </c>
      <c r="L80">
        <v>0.9</v>
      </c>
      <c r="M80">
        <v>4854168723.4840794</v>
      </c>
      <c r="N80">
        <v>26441366918.400002</v>
      </c>
      <c r="O80">
        <v>55201000</v>
      </c>
      <c r="P80">
        <v>5520</v>
      </c>
      <c r="Q80">
        <v>1.95739384437404</v>
      </c>
      <c r="R80">
        <v>3.01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2.4449999999999998</v>
      </c>
      <c r="AT80">
        <v>3.11</v>
      </c>
      <c r="AU80" t="s">
        <v>420</v>
      </c>
      <c r="AV80">
        <v>1</v>
      </c>
      <c r="AW80">
        <v>0</v>
      </c>
      <c r="AX80" t="s">
        <v>442</v>
      </c>
      <c r="AY80">
        <v>0</v>
      </c>
      <c r="AZ80">
        <v>0</v>
      </c>
      <c r="BA80">
        <v>0</v>
      </c>
      <c r="CE80">
        <v>2.7774999999999999</v>
      </c>
      <c r="CG80" t="s">
        <v>450</v>
      </c>
      <c r="CI80">
        <v>1.95739384437404</v>
      </c>
      <c r="CJ80">
        <v>3.01</v>
      </c>
      <c r="CK80">
        <v>2.4836969221870202</v>
      </c>
      <c r="CL80">
        <v>-0.24</v>
      </c>
      <c r="CM80">
        <v>2.24369692218702</v>
      </c>
    </row>
    <row r="81" spans="1:91" x14ac:dyDescent="0.25">
      <c r="A81">
        <v>348</v>
      </c>
      <c r="B81" t="s">
        <v>558</v>
      </c>
      <c r="C81" t="s">
        <v>957</v>
      </c>
      <c r="D81" t="s">
        <v>1356</v>
      </c>
      <c r="E81" t="s">
        <v>396</v>
      </c>
      <c r="F81">
        <v>1062984492</v>
      </c>
      <c r="G81">
        <v>23.24</v>
      </c>
      <c r="H81" t="s">
        <v>409</v>
      </c>
      <c r="I81">
        <v>24703759594.080002</v>
      </c>
      <c r="J81" t="s">
        <v>415</v>
      </c>
      <c r="K81">
        <v>18722175.1288095</v>
      </c>
      <c r="L81">
        <v>0.25</v>
      </c>
      <c r="M81">
        <v>6175939898.5200005</v>
      </c>
      <c r="N81">
        <v>55912984279.199997</v>
      </c>
      <c r="O81">
        <v>30202010</v>
      </c>
      <c r="P81">
        <v>3020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 t="s">
        <v>1652</v>
      </c>
      <c r="AT81" t="s">
        <v>1652</v>
      </c>
      <c r="AU81" t="s">
        <v>430</v>
      </c>
      <c r="AV81">
        <v>0</v>
      </c>
      <c r="AW81">
        <v>0</v>
      </c>
      <c r="AX81" t="s">
        <v>448</v>
      </c>
      <c r="AY81">
        <v>0</v>
      </c>
      <c r="AZ81">
        <v>0</v>
      </c>
      <c r="BA81">
        <v>0</v>
      </c>
      <c r="CG81" t="s">
        <v>450</v>
      </c>
      <c r="CI81">
        <v>3.4</v>
      </c>
      <c r="CJ81">
        <v>3.1</v>
      </c>
      <c r="CK81">
        <v>3.25</v>
      </c>
      <c r="CL81">
        <v>0.3</v>
      </c>
      <c r="CM81">
        <v>3.55</v>
      </c>
    </row>
    <row r="82" spans="1:91" x14ac:dyDescent="0.25">
      <c r="A82">
        <v>358</v>
      </c>
      <c r="B82" t="s">
        <v>559</v>
      </c>
      <c r="C82" t="s">
        <v>958</v>
      </c>
      <c r="D82" t="s">
        <v>1357</v>
      </c>
      <c r="E82" t="s">
        <v>398</v>
      </c>
      <c r="F82">
        <v>791868300</v>
      </c>
      <c r="G82">
        <v>41.55</v>
      </c>
      <c r="H82" t="s">
        <v>409</v>
      </c>
      <c r="I82">
        <v>32902127865</v>
      </c>
      <c r="J82" t="s">
        <v>415</v>
      </c>
      <c r="K82">
        <v>48774963.215819702</v>
      </c>
      <c r="L82">
        <v>0.6</v>
      </c>
      <c r="M82">
        <v>19741276719</v>
      </c>
      <c r="N82">
        <v>99965454192</v>
      </c>
      <c r="O82">
        <v>50206015</v>
      </c>
      <c r="P82">
        <v>5020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2.5630000000000002</v>
      </c>
      <c r="AT82">
        <v>3.1709999999999998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2.867</v>
      </c>
      <c r="CG82" t="s">
        <v>450</v>
      </c>
      <c r="CI82">
        <v>3.4</v>
      </c>
      <c r="CJ82">
        <v>3.1</v>
      </c>
      <c r="CK82">
        <v>3.25</v>
      </c>
      <c r="CL82">
        <v>-0.18</v>
      </c>
      <c r="CM82">
        <v>3.07</v>
      </c>
    </row>
    <row r="83" spans="1:91" x14ac:dyDescent="0.25">
      <c r="A83">
        <v>364</v>
      </c>
      <c r="B83" t="s">
        <v>171</v>
      </c>
      <c r="C83" t="s">
        <v>271</v>
      </c>
      <c r="D83" t="s">
        <v>371</v>
      </c>
      <c r="E83" t="s">
        <v>394</v>
      </c>
      <c r="F83">
        <v>679553991</v>
      </c>
      <c r="G83">
        <v>68.48</v>
      </c>
      <c r="H83" t="s">
        <v>409</v>
      </c>
      <c r="I83">
        <v>46535857303.68</v>
      </c>
      <c r="J83" t="s">
        <v>415</v>
      </c>
      <c r="K83">
        <v>73768688.648571402</v>
      </c>
      <c r="L83">
        <v>0.95000000000000007</v>
      </c>
      <c r="M83">
        <v>44209064438.496002</v>
      </c>
      <c r="N83">
        <v>135829251721.08</v>
      </c>
      <c r="O83">
        <v>45102020</v>
      </c>
      <c r="P83">
        <v>4510</v>
      </c>
      <c r="Q83">
        <v>1.7387876622748</v>
      </c>
      <c r="R83">
        <v>1.5</v>
      </c>
      <c r="S83" t="s">
        <v>417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2.4980000000000002</v>
      </c>
      <c r="AT83">
        <v>2.8370000000000002</v>
      </c>
      <c r="AU83" t="s">
        <v>420</v>
      </c>
      <c r="AV83">
        <v>1</v>
      </c>
      <c r="AW83">
        <v>0</v>
      </c>
      <c r="AX83" t="s">
        <v>433</v>
      </c>
      <c r="AY83">
        <v>0</v>
      </c>
      <c r="AZ83">
        <v>0</v>
      </c>
      <c r="BA83">
        <v>0</v>
      </c>
      <c r="CE83">
        <v>2.6675</v>
      </c>
      <c r="CG83" t="s">
        <v>450</v>
      </c>
      <c r="CI83">
        <v>1.7387876622748</v>
      </c>
      <c r="CJ83">
        <v>1.5</v>
      </c>
      <c r="CK83">
        <v>1.6193938311374001</v>
      </c>
      <c r="CL83">
        <v>-0.3</v>
      </c>
      <c r="CM83">
        <v>1.3193938311374001</v>
      </c>
    </row>
    <row r="84" spans="1:91" x14ac:dyDescent="0.25">
      <c r="A84">
        <v>365</v>
      </c>
      <c r="B84" t="s">
        <v>560</v>
      </c>
      <c r="C84" t="s">
        <v>959</v>
      </c>
      <c r="D84" t="s">
        <v>1358</v>
      </c>
      <c r="E84" t="s">
        <v>402</v>
      </c>
      <c r="F84">
        <v>862184630</v>
      </c>
      <c r="G84">
        <v>31.647870000000001</v>
      </c>
      <c r="H84" t="s">
        <v>412</v>
      </c>
      <c r="I84">
        <v>27286307086.238098</v>
      </c>
      <c r="J84" t="s">
        <v>416</v>
      </c>
      <c r="K84">
        <v>35639717.664424598</v>
      </c>
      <c r="L84">
        <v>0.8</v>
      </c>
      <c r="M84">
        <v>21829045668.990479</v>
      </c>
      <c r="N84">
        <v>145122916921.60001</v>
      </c>
      <c r="O84">
        <v>30101010</v>
      </c>
      <c r="P84">
        <v>3010</v>
      </c>
      <c r="Q84">
        <v>3.14451855129867</v>
      </c>
      <c r="R84">
        <v>3.1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2.302</v>
      </c>
      <c r="AT84">
        <v>2.782</v>
      </c>
      <c r="AU84" t="s">
        <v>430</v>
      </c>
      <c r="AV84">
        <v>0</v>
      </c>
      <c r="AW84">
        <v>0</v>
      </c>
      <c r="AX84" t="s">
        <v>441</v>
      </c>
      <c r="AY84">
        <v>0</v>
      </c>
      <c r="AZ84">
        <v>0</v>
      </c>
      <c r="BA84">
        <v>0</v>
      </c>
      <c r="CE84">
        <v>2.5419999999999998</v>
      </c>
      <c r="CG84" t="s">
        <v>450</v>
      </c>
      <c r="CI84">
        <v>3.14451855129867</v>
      </c>
      <c r="CJ84">
        <v>3.1</v>
      </c>
      <c r="CK84">
        <v>3.122259275649335</v>
      </c>
      <c r="CL84">
        <v>-0.18</v>
      </c>
      <c r="CM84">
        <v>2.9422592756493349</v>
      </c>
    </row>
    <row r="85" spans="1:91" x14ac:dyDescent="0.25">
      <c r="A85">
        <v>379</v>
      </c>
      <c r="B85" t="s">
        <v>564</v>
      </c>
      <c r="C85" t="s">
        <v>963</v>
      </c>
      <c r="D85" t="s">
        <v>1362</v>
      </c>
      <c r="E85" t="s">
        <v>402</v>
      </c>
      <c r="F85">
        <v>221089800</v>
      </c>
      <c r="G85">
        <v>35.655799999999999</v>
      </c>
      <c r="H85" t="s">
        <v>412</v>
      </c>
      <c r="I85">
        <v>7883133690.8400002</v>
      </c>
      <c r="J85" t="s">
        <v>416</v>
      </c>
      <c r="K85">
        <v>10220216.057256401</v>
      </c>
      <c r="L85">
        <v>0.4</v>
      </c>
      <c r="M85">
        <v>3153253476.336</v>
      </c>
      <c r="N85">
        <v>3693968378.4000001</v>
      </c>
      <c r="O85">
        <v>20102010</v>
      </c>
      <c r="P85">
        <v>2010</v>
      </c>
      <c r="Q85">
        <v>1.71986019485342</v>
      </c>
      <c r="S85" t="s">
        <v>424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2.673</v>
      </c>
      <c r="AT85">
        <v>3.101</v>
      </c>
      <c r="AU85" t="s">
        <v>420</v>
      </c>
      <c r="AV85">
        <v>1</v>
      </c>
      <c r="AW85">
        <v>0</v>
      </c>
      <c r="AX85" t="s">
        <v>441</v>
      </c>
      <c r="AY85">
        <v>0</v>
      </c>
      <c r="AZ85">
        <v>0</v>
      </c>
      <c r="BA85">
        <v>0</v>
      </c>
      <c r="CE85">
        <v>2.887</v>
      </c>
      <c r="CG85" t="s">
        <v>450</v>
      </c>
      <c r="CI85">
        <v>1.71986019485342</v>
      </c>
      <c r="CJ85">
        <v>3.1</v>
      </c>
      <c r="CK85">
        <v>2.4099300974267099</v>
      </c>
      <c r="CL85">
        <v>0.3</v>
      </c>
      <c r="CM85">
        <v>2.7099300974267102</v>
      </c>
    </row>
    <row r="86" spans="1:91" x14ac:dyDescent="0.25">
      <c r="A86">
        <v>383</v>
      </c>
      <c r="B86" t="s">
        <v>565</v>
      </c>
      <c r="C86" t="s">
        <v>964</v>
      </c>
      <c r="D86" t="s">
        <v>1363</v>
      </c>
      <c r="E86" t="s">
        <v>398</v>
      </c>
      <c r="F86">
        <v>1948252900</v>
      </c>
      <c r="G86">
        <v>19.641999999999999</v>
      </c>
      <c r="H86" t="s">
        <v>409</v>
      </c>
      <c r="I86">
        <v>38267583461.800003</v>
      </c>
      <c r="J86" t="s">
        <v>415</v>
      </c>
      <c r="K86">
        <v>129324709.25982</v>
      </c>
      <c r="L86">
        <v>1</v>
      </c>
      <c r="M86">
        <v>38267583461.800003</v>
      </c>
      <c r="N86">
        <v>81378523633</v>
      </c>
      <c r="O86">
        <v>30101010</v>
      </c>
      <c r="P86">
        <v>3010</v>
      </c>
      <c r="S86" t="s">
        <v>418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2.238</v>
      </c>
      <c r="AT86">
        <v>3.1379999999999999</v>
      </c>
      <c r="AU86" t="s">
        <v>430</v>
      </c>
      <c r="AV86">
        <v>0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2.6880000000000002</v>
      </c>
      <c r="CG86" t="s">
        <v>450</v>
      </c>
      <c r="CI86">
        <v>3.4</v>
      </c>
      <c r="CJ86">
        <v>3.1</v>
      </c>
      <c r="CK86">
        <v>3.25</v>
      </c>
      <c r="CL86">
        <v>-0.18</v>
      </c>
      <c r="CM86">
        <v>3.07</v>
      </c>
    </row>
    <row r="87" spans="1:91" x14ac:dyDescent="0.25">
      <c r="A87">
        <v>384</v>
      </c>
      <c r="B87" t="s">
        <v>141</v>
      </c>
      <c r="C87" t="s">
        <v>241</v>
      </c>
      <c r="D87" t="s">
        <v>341</v>
      </c>
      <c r="E87" t="s">
        <v>398</v>
      </c>
      <c r="F87">
        <v>188300000</v>
      </c>
      <c r="G87">
        <v>246.4</v>
      </c>
      <c r="H87" t="s">
        <v>409</v>
      </c>
      <c r="I87">
        <v>46397120000</v>
      </c>
      <c r="J87" t="s">
        <v>415</v>
      </c>
      <c r="K87">
        <v>64953417.481147498</v>
      </c>
      <c r="L87">
        <v>1</v>
      </c>
      <c r="M87">
        <v>46397120000</v>
      </c>
      <c r="N87">
        <v>7865291000.000001</v>
      </c>
      <c r="O87">
        <v>30202015</v>
      </c>
      <c r="P87">
        <v>3020</v>
      </c>
      <c r="Q87">
        <v>1.73908167025175</v>
      </c>
      <c r="S87" t="s">
        <v>418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2.3820000000000001</v>
      </c>
      <c r="AT87">
        <v>3.2309999999999999</v>
      </c>
      <c r="AU87" t="s">
        <v>430</v>
      </c>
      <c r="AV87">
        <v>0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2.8065000000000002</v>
      </c>
      <c r="CG87" t="s">
        <v>450</v>
      </c>
      <c r="CI87">
        <v>1.73908167025175</v>
      </c>
      <c r="CJ87">
        <v>3.1</v>
      </c>
      <c r="CK87">
        <v>2.4195408351258751</v>
      </c>
      <c r="CL87">
        <v>-0.18</v>
      </c>
      <c r="CM87">
        <v>2.239540835125875</v>
      </c>
    </row>
    <row r="88" spans="1:91" x14ac:dyDescent="0.25">
      <c r="A88">
        <v>385</v>
      </c>
      <c r="B88" t="s">
        <v>566</v>
      </c>
      <c r="C88" t="s">
        <v>965</v>
      </c>
      <c r="D88" t="s">
        <v>1364</v>
      </c>
      <c r="E88" t="s">
        <v>398</v>
      </c>
      <c r="F88">
        <v>1200000000</v>
      </c>
      <c r="G88">
        <v>36.840000000000003</v>
      </c>
      <c r="H88" t="s">
        <v>409</v>
      </c>
      <c r="I88">
        <v>44208000000.000008</v>
      </c>
      <c r="J88" t="s">
        <v>415</v>
      </c>
      <c r="K88">
        <v>86506590.769590095</v>
      </c>
      <c r="L88">
        <v>0.85</v>
      </c>
      <c r="M88">
        <v>37576800000.000008</v>
      </c>
      <c r="N88">
        <v>42605400000</v>
      </c>
      <c r="O88">
        <v>50206040</v>
      </c>
      <c r="P88">
        <v>5020</v>
      </c>
      <c r="Q88">
        <v>1.7007509769763101</v>
      </c>
      <c r="R88">
        <v>3.1</v>
      </c>
      <c r="S88" t="s">
        <v>418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2.085</v>
      </c>
      <c r="AT88">
        <v>2.8919999999999999</v>
      </c>
      <c r="AU88" t="s">
        <v>427</v>
      </c>
      <c r="AV88">
        <v>1</v>
      </c>
      <c r="AW88">
        <v>0</v>
      </c>
      <c r="AX88" t="s">
        <v>437</v>
      </c>
      <c r="AY88">
        <v>0</v>
      </c>
      <c r="AZ88">
        <v>0</v>
      </c>
      <c r="BA88">
        <v>0</v>
      </c>
      <c r="CE88">
        <v>2.4885000000000002</v>
      </c>
      <c r="CG88" t="s">
        <v>450</v>
      </c>
      <c r="CI88">
        <v>1.7007509769763101</v>
      </c>
      <c r="CJ88">
        <v>3.1</v>
      </c>
      <c r="CK88">
        <v>2.4003754884881552</v>
      </c>
      <c r="CL88">
        <v>-0.18</v>
      </c>
      <c r="CM88">
        <v>2.220375488488155</v>
      </c>
    </row>
    <row r="89" spans="1:91" x14ac:dyDescent="0.25">
      <c r="A89">
        <v>386</v>
      </c>
      <c r="B89" t="s">
        <v>567</v>
      </c>
      <c r="C89" t="s">
        <v>966</v>
      </c>
      <c r="D89" t="s">
        <v>1365</v>
      </c>
      <c r="E89" t="s">
        <v>398</v>
      </c>
      <c r="F89">
        <v>4986458500</v>
      </c>
      <c r="G89">
        <v>34.520000000000003</v>
      </c>
      <c r="H89" t="s">
        <v>409</v>
      </c>
      <c r="I89">
        <v>172132547420</v>
      </c>
      <c r="J89" t="s">
        <v>415</v>
      </c>
      <c r="K89">
        <v>206808355.30581999</v>
      </c>
      <c r="L89">
        <v>0.75</v>
      </c>
      <c r="M89">
        <v>129099410565</v>
      </c>
      <c r="N89">
        <v>156213278658.75</v>
      </c>
      <c r="O89">
        <v>15102015</v>
      </c>
      <c r="P89">
        <v>1510</v>
      </c>
      <c r="Q89">
        <v>1.74534618126999</v>
      </c>
      <c r="S89" t="s">
        <v>417</v>
      </c>
      <c r="T89" t="s">
        <v>423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2.673</v>
      </c>
      <c r="AT89">
        <v>3.2040000000000002</v>
      </c>
      <c r="AU89" t="s">
        <v>426</v>
      </c>
      <c r="AV89">
        <v>0</v>
      </c>
      <c r="AW89">
        <v>0</v>
      </c>
      <c r="AX89" t="s">
        <v>437</v>
      </c>
      <c r="AY89">
        <v>0</v>
      </c>
      <c r="AZ89">
        <v>0</v>
      </c>
      <c r="BA89">
        <v>0</v>
      </c>
      <c r="CE89">
        <v>2.9384999999999999</v>
      </c>
      <c r="CG89" t="s">
        <v>450</v>
      </c>
      <c r="CI89">
        <v>1.74534618126999</v>
      </c>
      <c r="CJ89">
        <v>3.1</v>
      </c>
      <c r="CK89">
        <v>2.4226730906349951</v>
      </c>
      <c r="CL89">
        <v>-0.3</v>
      </c>
      <c r="CM89">
        <v>2.1226730906349949</v>
      </c>
    </row>
    <row r="90" spans="1:91" x14ac:dyDescent="0.25">
      <c r="A90">
        <v>391</v>
      </c>
      <c r="B90" t="s">
        <v>175</v>
      </c>
      <c r="C90" t="s">
        <v>275</v>
      </c>
      <c r="D90" t="s">
        <v>375</v>
      </c>
      <c r="E90" t="s">
        <v>403</v>
      </c>
      <c r="F90">
        <v>2225173800</v>
      </c>
      <c r="G90">
        <v>26.475850000000001</v>
      </c>
      <c r="H90" t="s">
        <v>413</v>
      </c>
      <c r="I90">
        <v>58913367752.730003</v>
      </c>
      <c r="J90" t="s">
        <v>416</v>
      </c>
      <c r="K90">
        <v>91262542.967915595</v>
      </c>
      <c r="L90">
        <v>1</v>
      </c>
      <c r="M90">
        <v>58913367752.730003</v>
      </c>
      <c r="N90">
        <v>92945509626</v>
      </c>
      <c r="O90">
        <v>45101015</v>
      </c>
      <c r="P90">
        <v>4510</v>
      </c>
      <c r="Q90">
        <v>1.96375273677233</v>
      </c>
      <c r="R90">
        <v>1.5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2.117</v>
      </c>
      <c r="AT90">
        <v>3.198</v>
      </c>
      <c r="AU90" t="s">
        <v>420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2.6575000000000002</v>
      </c>
      <c r="CG90" t="s">
        <v>450</v>
      </c>
      <c r="CI90">
        <v>1.96375273677233</v>
      </c>
      <c r="CJ90">
        <v>1.5</v>
      </c>
      <c r="CK90">
        <v>1.7318763683861651</v>
      </c>
      <c r="CL90">
        <v>-0.18</v>
      </c>
      <c r="CM90">
        <v>1.5518763683861649</v>
      </c>
    </row>
    <row r="91" spans="1:91" x14ac:dyDescent="0.25">
      <c r="A91">
        <v>397</v>
      </c>
      <c r="B91" t="s">
        <v>149</v>
      </c>
      <c r="C91" t="s">
        <v>249</v>
      </c>
      <c r="D91" t="s">
        <v>349</v>
      </c>
      <c r="E91" t="s">
        <v>403</v>
      </c>
      <c r="F91">
        <v>1311388200</v>
      </c>
      <c r="G91">
        <v>3.1891919999999998</v>
      </c>
      <c r="H91" t="s">
        <v>413</v>
      </c>
      <c r="I91">
        <v>4182268756.3344002</v>
      </c>
      <c r="J91" t="s">
        <v>416</v>
      </c>
      <c r="K91">
        <v>12673712.369872499</v>
      </c>
      <c r="L91">
        <v>1</v>
      </c>
      <c r="M91">
        <v>4182268756.3344002</v>
      </c>
      <c r="N91">
        <v>54776685114.000008</v>
      </c>
      <c r="O91">
        <v>30302025</v>
      </c>
      <c r="P91">
        <v>3030</v>
      </c>
      <c r="Q91">
        <v>1.99264326473623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1.8839999999999999</v>
      </c>
      <c r="AT91">
        <v>2.6429999999999998</v>
      </c>
      <c r="AU91" t="s">
        <v>430</v>
      </c>
      <c r="AV91">
        <v>0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2.2635000000000001</v>
      </c>
      <c r="CG91" t="s">
        <v>450</v>
      </c>
      <c r="CI91">
        <v>1.99264326473623</v>
      </c>
      <c r="CJ91">
        <v>3.1</v>
      </c>
      <c r="CK91">
        <v>2.546321632368115</v>
      </c>
      <c r="CL91">
        <v>-0.18</v>
      </c>
      <c r="CM91">
        <v>2.3663216323681149</v>
      </c>
    </row>
    <row r="92" spans="1:91" x14ac:dyDescent="0.25">
      <c r="A92">
        <v>401</v>
      </c>
      <c r="B92" t="s">
        <v>570</v>
      </c>
      <c r="C92" t="s">
        <v>969</v>
      </c>
      <c r="D92" t="s">
        <v>1368</v>
      </c>
      <c r="E92" t="s">
        <v>400</v>
      </c>
      <c r="F92">
        <v>1492530286</v>
      </c>
      <c r="G92">
        <v>21.722549999999998</v>
      </c>
      <c r="H92" t="s">
        <v>411</v>
      </c>
      <c r="I92">
        <v>32421563764.1493</v>
      </c>
      <c r="J92" t="s">
        <v>416</v>
      </c>
      <c r="K92">
        <v>28339201.280232199</v>
      </c>
      <c r="L92">
        <v>0.55000000000000004</v>
      </c>
      <c r="M92">
        <v>17831860070.28212</v>
      </c>
      <c r="N92">
        <v>34288644525.421009</v>
      </c>
      <c r="O92">
        <v>30101010</v>
      </c>
      <c r="P92">
        <v>3010</v>
      </c>
      <c r="Q92">
        <v>3.4</v>
      </c>
      <c r="S92" t="s">
        <v>419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2.2930000000000001</v>
      </c>
      <c r="AT92">
        <v>3.117</v>
      </c>
      <c r="AU92" t="s">
        <v>430</v>
      </c>
      <c r="AV92">
        <v>0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2.7050000000000001</v>
      </c>
      <c r="CG92" t="s">
        <v>450</v>
      </c>
      <c r="CI92">
        <v>3.4</v>
      </c>
      <c r="CJ92">
        <v>3.1</v>
      </c>
      <c r="CK92">
        <v>3.25</v>
      </c>
      <c r="CL92">
        <v>-0.24</v>
      </c>
      <c r="CM92">
        <v>3.01</v>
      </c>
    </row>
    <row r="93" spans="1:91" x14ac:dyDescent="0.25">
      <c r="A93">
        <v>410</v>
      </c>
      <c r="B93" t="s">
        <v>571</v>
      </c>
      <c r="C93" t="s">
        <v>970</v>
      </c>
      <c r="D93" t="s">
        <v>1369</v>
      </c>
      <c r="E93" t="s">
        <v>396</v>
      </c>
      <c r="F93">
        <v>265676388</v>
      </c>
      <c r="G93">
        <v>101.1</v>
      </c>
      <c r="H93" t="s">
        <v>409</v>
      </c>
      <c r="I93">
        <v>26859882826.799999</v>
      </c>
      <c r="J93" t="s">
        <v>415</v>
      </c>
      <c r="K93">
        <v>44080142.052063502</v>
      </c>
      <c r="L93">
        <v>0.8</v>
      </c>
      <c r="M93">
        <v>21487906261.439999</v>
      </c>
      <c r="N93">
        <v>8877842181.4080009</v>
      </c>
      <c r="O93">
        <v>45102020</v>
      </c>
      <c r="P93">
        <v>4510</v>
      </c>
      <c r="Q93">
        <v>1.75</v>
      </c>
      <c r="S93" t="s">
        <v>1649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2.3959999999999999</v>
      </c>
      <c r="AT93">
        <v>3.2669999999999999</v>
      </c>
      <c r="AU93" t="s">
        <v>420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CE93">
        <v>2.8315000000000001</v>
      </c>
      <c r="CG93" t="s">
        <v>450</v>
      </c>
      <c r="CI93">
        <v>1.75</v>
      </c>
      <c r="CJ93">
        <v>3.1</v>
      </c>
      <c r="CK93">
        <v>2.4249999999999998</v>
      </c>
      <c r="CL93">
        <v>0.3</v>
      </c>
      <c r="CM93">
        <v>2.7250000000000001</v>
      </c>
    </row>
    <row r="94" spans="1:91" x14ac:dyDescent="0.25">
      <c r="A94">
        <v>411</v>
      </c>
      <c r="B94" t="s">
        <v>572</v>
      </c>
      <c r="C94" t="s">
        <v>971</v>
      </c>
      <c r="D94" t="s">
        <v>1370</v>
      </c>
      <c r="E94" t="s">
        <v>402</v>
      </c>
      <c r="F94">
        <v>240444520</v>
      </c>
      <c r="G94">
        <v>193.42599999999999</v>
      </c>
      <c r="H94" t="s">
        <v>412</v>
      </c>
      <c r="I94">
        <v>46508221725.519997</v>
      </c>
      <c r="J94" t="s">
        <v>416</v>
      </c>
      <c r="K94">
        <v>55041555.716175199</v>
      </c>
      <c r="L94">
        <v>0.85</v>
      </c>
      <c r="M94">
        <v>39531988466.691994</v>
      </c>
      <c r="N94">
        <v>8536862460.3400011</v>
      </c>
      <c r="O94">
        <v>50206060</v>
      </c>
      <c r="P94">
        <v>5020</v>
      </c>
      <c r="Q94">
        <v>1.9892651222634901</v>
      </c>
      <c r="S94" t="s">
        <v>418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1.829</v>
      </c>
      <c r="AT94">
        <v>2.8250000000000002</v>
      </c>
      <c r="AU94" t="s">
        <v>427</v>
      </c>
      <c r="AV94">
        <v>1</v>
      </c>
      <c r="AW94">
        <v>0</v>
      </c>
      <c r="AX94" t="s">
        <v>441</v>
      </c>
      <c r="AY94">
        <v>0</v>
      </c>
      <c r="AZ94">
        <v>0</v>
      </c>
      <c r="BA94">
        <v>0</v>
      </c>
      <c r="CE94">
        <v>2.327</v>
      </c>
      <c r="CG94" t="s">
        <v>450</v>
      </c>
      <c r="CI94">
        <v>1.9892651222634901</v>
      </c>
      <c r="CJ94">
        <v>3.1</v>
      </c>
      <c r="CK94">
        <v>2.5446325611317451</v>
      </c>
      <c r="CL94">
        <v>-0.18</v>
      </c>
      <c r="CM94">
        <v>2.3646325611317449</v>
      </c>
    </row>
    <row r="95" spans="1:91" x14ac:dyDescent="0.25">
      <c r="A95">
        <v>418</v>
      </c>
      <c r="B95" t="s">
        <v>574</v>
      </c>
      <c r="C95" t="s">
        <v>973</v>
      </c>
      <c r="D95" t="s">
        <v>1372</v>
      </c>
      <c r="E95" t="s">
        <v>403</v>
      </c>
      <c r="F95">
        <v>758010000</v>
      </c>
      <c r="G95">
        <v>5.955254</v>
      </c>
      <c r="H95" t="s">
        <v>413</v>
      </c>
      <c r="I95">
        <v>4514142084.54</v>
      </c>
      <c r="J95" t="s">
        <v>416</v>
      </c>
      <c r="K95">
        <v>23260381.7895534</v>
      </c>
      <c r="L95">
        <v>1</v>
      </c>
      <c r="M95">
        <v>4514142084.54</v>
      </c>
      <c r="N95">
        <v>31662077700</v>
      </c>
      <c r="O95">
        <v>40501010</v>
      </c>
      <c r="P95">
        <v>4050</v>
      </c>
      <c r="Q95">
        <v>1.8218730736953901</v>
      </c>
      <c r="R95">
        <v>2.7</v>
      </c>
      <c r="S95" t="s">
        <v>418</v>
      </c>
      <c r="T95" t="s">
        <v>422</v>
      </c>
      <c r="U95">
        <v>0</v>
      </c>
      <c r="V95">
        <v>0.05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2.2069999999999999</v>
      </c>
      <c r="AT95">
        <v>2.6</v>
      </c>
      <c r="AU95" t="s">
        <v>427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2.4035000000000002</v>
      </c>
      <c r="CG95" t="s">
        <v>450</v>
      </c>
      <c r="CI95">
        <v>1.8218730736953901</v>
      </c>
      <c r="CJ95">
        <v>2.7</v>
      </c>
      <c r="CK95">
        <v>2.2609365368476948</v>
      </c>
      <c r="CL95">
        <v>-0.18</v>
      </c>
      <c r="CM95">
        <v>2.0809365368476951</v>
      </c>
    </row>
    <row r="96" spans="1:91" x14ac:dyDescent="0.25">
      <c r="A96">
        <v>424</v>
      </c>
      <c r="B96" t="s">
        <v>575</v>
      </c>
      <c r="C96" t="s">
        <v>974</v>
      </c>
      <c r="D96" t="s">
        <v>1373</v>
      </c>
      <c r="E96" t="s">
        <v>394</v>
      </c>
      <c r="F96">
        <v>241973980</v>
      </c>
      <c r="G96">
        <v>30.71</v>
      </c>
      <c r="H96" t="s">
        <v>409</v>
      </c>
      <c r="I96">
        <v>7431020925.8000002</v>
      </c>
      <c r="J96" t="s">
        <v>415</v>
      </c>
      <c r="K96">
        <v>21613060.3680159</v>
      </c>
      <c r="L96">
        <v>1</v>
      </c>
      <c r="M96">
        <v>7431020925.8000002</v>
      </c>
      <c r="N96">
        <v>10107253144.6</v>
      </c>
      <c r="O96">
        <v>50205015</v>
      </c>
      <c r="P96">
        <v>5020</v>
      </c>
      <c r="Q96">
        <v>1.74987130219174</v>
      </c>
      <c r="S96" t="s">
        <v>418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2.609</v>
      </c>
      <c r="AT96">
        <v>2.3250000000000002</v>
      </c>
      <c r="AU96" t="s">
        <v>430</v>
      </c>
      <c r="AV96">
        <v>0</v>
      </c>
      <c r="AW96">
        <v>0</v>
      </c>
      <c r="AX96" t="s">
        <v>433</v>
      </c>
      <c r="AY96">
        <v>0</v>
      </c>
      <c r="AZ96">
        <v>0</v>
      </c>
      <c r="BA96">
        <v>0</v>
      </c>
      <c r="CE96">
        <v>2.4670000000000001</v>
      </c>
      <c r="CG96" t="s">
        <v>450</v>
      </c>
      <c r="CI96">
        <v>1.74987130219174</v>
      </c>
      <c r="CJ96">
        <v>3.1</v>
      </c>
      <c r="CK96">
        <v>2.4249356510958702</v>
      </c>
      <c r="CL96">
        <v>-0.18</v>
      </c>
      <c r="CM96">
        <v>2.24493565109587</v>
      </c>
    </row>
    <row r="97" spans="1:91" x14ac:dyDescent="0.25">
      <c r="A97">
        <v>436</v>
      </c>
      <c r="B97" t="s">
        <v>187</v>
      </c>
      <c r="C97" t="s">
        <v>287</v>
      </c>
      <c r="D97" t="s">
        <v>387</v>
      </c>
      <c r="E97" t="s">
        <v>394</v>
      </c>
      <c r="F97">
        <v>236664445</v>
      </c>
      <c r="G97">
        <v>19.149999999999999</v>
      </c>
      <c r="H97" t="s">
        <v>409</v>
      </c>
      <c r="I97">
        <v>4532124121.75</v>
      </c>
      <c r="J97" t="s">
        <v>415</v>
      </c>
      <c r="K97">
        <v>6519939.4418254001</v>
      </c>
      <c r="L97">
        <v>0.70000000000000007</v>
      </c>
      <c r="M97">
        <v>3172486885.2249999</v>
      </c>
      <c r="N97">
        <v>6919831707.3550014</v>
      </c>
      <c r="O97">
        <v>50205010</v>
      </c>
      <c r="P97">
        <v>5020</v>
      </c>
      <c r="Q97">
        <v>1.8621326355854599</v>
      </c>
      <c r="R97">
        <v>2.39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2.2839999999999998</v>
      </c>
      <c r="AT97">
        <v>2.8149999999999999</v>
      </c>
      <c r="AU97" t="s">
        <v>432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CE97">
        <v>2.5495000000000001</v>
      </c>
      <c r="CG97" t="s">
        <v>450</v>
      </c>
      <c r="CI97">
        <v>1.8621326355854599</v>
      </c>
      <c r="CJ97">
        <v>2.39</v>
      </c>
      <c r="CK97">
        <v>2.1260663177927301</v>
      </c>
      <c r="CL97">
        <v>-0.3</v>
      </c>
      <c r="CM97">
        <v>1.8260663177927301</v>
      </c>
    </row>
    <row r="98" spans="1:91" x14ac:dyDescent="0.25">
      <c r="A98">
        <v>437</v>
      </c>
      <c r="B98" t="s">
        <v>578</v>
      </c>
      <c r="C98" t="s">
        <v>977</v>
      </c>
      <c r="D98" t="s">
        <v>1376</v>
      </c>
      <c r="E98" t="s">
        <v>399</v>
      </c>
      <c r="F98">
        <v>167335070</v>
      </c>
      <c r="G98">
        <v>42.88</v>
      </c>
      <c r="H98" t="s">
        <v>409</v>
      </c>
      <c r="I98">
        <v>7175327801.6000004</v>
      </c>
      <c r="J98" t="s">
        <v>415</v>
      </c>
      <c r="K98">
        <v>11007741.5872881</v>
      </c>
      <c r="L98">
        <v>0.9</v>
      </c>
      <c r="M98">
        <v>6457795021.4400005</v>
      </c>
      <c r="N98">
        <v>6290627286.5100002</v>
      </c>
      <c r="O98">
        <v>15102015</v>
      </c>
      <c r="P98">
        <v>1510</v>
      </c>
      <c r="Q98">
        <v>1.7468080269888999</v>
      </c>
      <c r="S98" t="s">
        <v>417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O98">
        <v>0</v>
      </c>
      <c r="AP98">
        <v>0</v>
      </c>
      <c r="AQ98">
        <v>0</v>
      </c>
      <c r="AR98">
        <v>0</v>
      </c>
      <c r="AS98">
        <v>2.5310000000000001</v>
      </c>
      <c r="AT98">
        <v>3.1970000000000001</v>
      </c>
      <c r="AU98" t="s">
        <v>426</v>
      </c>
      <c r="AV98">
        <v>0</v>
      </c>
      <c r="AW98">
        <v>0</v>
      </c>
      <c r="AX98" t="s">
        <v>438</v>
      </c>
      <c r="AY98">
        <v>0</v>
      </c>
      <c r="AZ98">
        <v>0</v>
      </c>
      <c r="BA98">
        <v>0</v>
      </c>
      <c r="CE98">
        <v>2.8639999999999999</v>
      </c>
      <c r="CG98" t="s">
        <v>450</v>
      </c>
      <c r="CI98">
        <v>1.7468080269888999</v>
      </c>
      <c r="CJ98">
        <v>3.1</v>
      </c>
      <c r="CK98">
        <v>2.4234040134944501</v>
      </c>
      <c r="CL98">
        <v>-0.3</v>
      </c>
      <c r="CM98">
        <v>2.1234040134944498</v>
      </c>
    </row>
    <row r="99" spans="1:91" x14ac:dyDescent="0.25">
      <c r="A99">
        <v>450</v>
      </c>
      <c r="B99" t="s">
        <v>584</v>
      </c>
      <c r="C99" t="s">
        <v>983</v>
      </c>
      <c r="D99" t="s">
        <v>1382</v>
      </c>
      <c r="E99" t="s">
        <v>403</v>
      </c>
      <c r="F99">
        <v>639307000</v>
      </c>
      <c r="G99">
        <v>8.9220009999999998</v>
      </c>
      <c r="H99" t="s">
        <v>413</v>
      </c>
      <c r="I99">
        <v>5703897693.3070002</v>
      </c>
      <c r="J99" t="s">
        <v>416</v>
      </c>
      <c r="K99">
        <v>12703501.6579103</v>
      </c>
      <c r="L99">
        <v>0.95</v>
      </c>
      <c r="M99">
        <v>5418702808.6416502</v>
      </c>
      <c r="N99">
        <v>11032361072.25</v>
      </c>
      <c r="O99">
        <v>40501020</v>
      </c>
      <c r="P99">
        <v>4050</v>
      </c>
      <c r="S99" t="s">
        <v>1648</v>
      </c>
      <c r="T99" t="s">
        <v>422</v>
      </c>
      <c r="U99">
        <v>0</v>
      </c>
      <c r="V99">
        <v>0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</v>
      </c>
      <c r="AF99">
        <v>0</v>
      </c>
      <c r="AH99">
        <v>0</v>
      </c>
      <c r="AI99" t="s">
        <v>424</v>
      </c>
      <c r="AK99" t="s">
        <v>424</v>
      </c>
      <c r="AL99" t="s">
        <v>424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2.1880000000000002</v>
      </c>
      <c r="AT99">
        <v>3.08</v>
      </c>
      <c r="AU99" t="s">
        <v>1658</v>
      </c>
      <c r="AV99">
        <v>0</v>
      </c>
      <c r="AW99">
        <v>0</v>
      </c>
      <c r="AX99" t="s">
        <v>1662</v>
      </c>
      <c r="AY99">
        <v>0</v>
      </c>
      <c r="AZ99">
        <v>0</v>
      </c>
      <c r="BA99">
        <v>0</v>
      </c>
      <c r="CE99">
        <v>2.6339999999999999</v>
      </c>
      <c r="CG99" t="s">
        <v>450</v>
      </c>
      <c r="CI99">
        <v>3.4</v>
      </c>
      <c r="CJ99">
        <v>3.1</v>
      </c>
      <c r="CK99">
        <v>3.25</v>
      </c>
      <c r="CL99">
        <v>0.3</v>
      </c>
      <c r="CM99">
        <v>3.55</v>
      </c>
    </row>
    <row r="100" spans="1:91" x14ac:dyDescent="0.25">
      <c r="A100">
        <v>455</v>
      </c>
      <c r="B100" t="s">
        <v>586</v>
      </c>
      <c r="C100" t="s">
        <v>985</v>
      </c>
      <c r="D100" t="s">
        <v>1384</v>
      </c>
      <c r="E100" t="s">
        <v>395</v>
      </c>
      <c r="F100">
        <v>1241125400</v>
      </c>
      <c r="G100">
        <v>31.462900000000001</v>
      </c>
      <c r="H100" t="s">
        <v>410</v>
      </c>
      <c r="I100">
        <v>39049404347.660004</v>
      </c>
      <c r="J100" t="s">
        <v>416</v>
      </c>
      <c r="K100">
        <v>31946725.174529798</v>
      </c>
      <c r="L100">
        <v>0.65</v>
      </c>
      <c r="M100">
        <v>25382112825.979</v>
      </c>
      <c r="N100">
        <v>14654277879.15</v>
      </c>
      <c r="O100">
        <v>30202010</v>
      </c>
      <c r="P100">
        <v>3020</v>
      </c>
      <c r="Q100">
        <v>1.9422809457579899</v>
      </c>
      <c r="S100" t="s">
        <v>424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2.0419999999999998</v>
      </c>
      <c r="AT100">
        <v>3.4140000000000001</v>
      </c>
      <c r="AU100" t="s">
        <v>430</v>
      </c>
      <c r="AV100">
        <v>0</v>
      </c>
      <c r="AW100">
        <v>0</v>
      </c>
      <c r="AX100" t="s">
        <v>434</v>
      </c>
      <c r="AY100">
        <v>0</v>
      </c>
      <c r="AZ100">
        <v>0</v>
      </c>
      <c r="BA100">
        <v>0</v>
      </c>
      <c r="CE100">
        <v>2.7280000000000002</v>
      </c>
      <c r="CG100" t="s">
        <v>450</v>
      </c>
      <c r="CI100">
        <v>1.9422809457579899</v>
      </c>
      <c r="CJ100">
        <v>3.1</v>
      </c>
      <c r="CK100">
        <v>2.521140472878995</v>
      </c>
      <c r="CL100">
        <v>0.3</v>
      </c>
      <c r="CM100">
        <v>2.8211404728789948</v>
      </c>
    </row>
    <row r="101" spans="1:91" x14ac:dyDescent="0.25">
      <c r="A101">
        <v>461</v>
      </c>
      <c r="B101" t="s">
        <v>588</v>
      </c>
      <c r="C101" t="s">
        <v>987</v>
      </c>
      <c r="D101" t="s">
        <v>1386</v>
      </c>
      <c r="E101" t="s">
        <v>395</v>
      </c>
      <c r="F101">
        <v>3086495800</v>
      </c>
      <c r="G101">
        <v>7.6701490000000003</v>
      </c>
      <c r="H101" t="s">
        <v>410</v>
      </c>
      <c r="I101">
        <v>23673882673.874199</v>
      </c>
      <c r="J101" t="s">
        <v>416</v>
      </c>
      <c r="K101">
        <v>52893673.909293599</v>
      </c>
      <c r="L101">
        <v>0.95</v>
      </c>
      <c r="M101">
        <v>22490188540.180489</v>
      </c>
      <c r="N101">
        <v>53262886396.649986</v>
      </c>
      <c r="O101">
        <v>15101010</v>
      </c>
      <c r="P101">
        <v>1510</v>
      </c>
      <c r="Q101">
        <v>1.74924520915321</v>
      </c>
      <c r="R101">
        <v>3.1</v>
      </c>
      <c r="S101" t="s">
        <v>1648</v>
      </c>
      <c r="T101" t="s">
        <v>423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2.6440000000000001</v>
      </c>
      <c r="AT101">
        <v>2.548</v>
      </c>
      <c r="AU101" t="s">
        <v>420</v>
      </c>
      <c r="AV101">
        <v>1</v>
      </c>
      <c r="AW101">
        <v>0</v>
      </c>
      <c r="AX101" t="s">
        <v>434</v>
      </c>
      <c r="AY101">
        <v>0</v>
      </c>
      <c r="AZ101">
        <v>0</v>
      </c>
      <c r="BA101">
        <v>0</v>
      </c>
      <c r="CE101">
        <v>2.5960000000000001</v>
      </c>
      <c r="CG101" t="s">
        <v>450</v>
      </c>
      <c r="CI101">
        <v>1.74924520915321</v>
      </c>
      <c r="CJ101">
        <v>3.1</v>
      </c>
      <c r="CK101">
        <v>2.4246226045766051</v>
      </c>
      <c r="CL101">
        <v>0.3</v>
      </c>
      <c r="CM101">
        <v>2.7246226045766049</v>
      </c>
    </row>
    <row r="102" spans="1:91" x14ac:dyDescent="0.25">
      <c r="A102">
        <v>462</v>
      </c>
      <c r="B102" t="s">
        <v>589</v>
      </c>
      <c r="C102" t="s">
        <v>988</v>
      </c>
      <c r="D102" t="s">
        <v>1387</v>
      </c>
      <c r="E102" t="s">
        <v>405</v>
      </c>
      <c r="F102">
        <v>410514370</v>
      </c>
      <c r="G102">
        <v>66.3</v>
      </c>
      <c r="H102" t="s">
        <v>409</v>
      </c>
      <c r="I102">
        <v>27217102731</v>
      </c>
      <c r="J102" t="s">
        <v>415</v>
      </c>
      <c r="K102">
        <v>28633350.351147499</v>
      </c>
      <c r="L102">
        <v>0.8</v>
      </c>
      <c r="M102">
        <v>21773682184.799999</v>
      </c>
      <c r="N102">
        <v>5965594824.8400002</v>
      </c>
      <c r="O102">
        <v>30101010</v>
      </c>
      <c r="P102">
        <v>3010</v>
      </c>
      <c r="Q102">
        <v>3.4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</v>
      </c>
      <c r="AF102">
        <v>0</v>
      </c>
      <c r="AH102">
        <v>0</v>
      </c>
      <c r="AI102" t="s">
        <v>424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2.3410000000000002</v>
      </c>
      <c r="AT102">
        <v>2.7240000000000002</v>
      </c>
      <c r="AU102" t="s">
        <v>430</v>
      </c>
      <c r="AV102">
        <v>0</v>
      </c>
      <c r="AW102">
        <v>0</v>
      </c>
      <c r="AX102" t="s">
        <v>444</v>
      </c>
      <c r="AY102">
        <v>0</v>
      </c>
      <c r="AZ102">
        <v>0</v>
      </c>
      <c r="BA102">
        <v>0</v>
      </c>
      <c r="CE102">
        <v>2.5325000000000002</v>
      </c>
      <c r="CG102" t="s">
        <v>450</v>
      </c>
      <c r="CI102">
        <v>3.4</v>
      </c>
      <c r="CJ102">
        <v>3.1</v>
      </c>
      <c r="CK102">
        <v>3.25</v>
      </c>
      <c r="CL102">
        <v>-0.18</v>
      </c>
      <c r="CM102">
        <v>3.07</v>
      </c>
    </row>
    <row r="103" spans="1:91" x14ac:dyDescent="0.25">
      <c r="A103">
        <v>465</v>
      </c>
      <c r="B103" t="s">
        <v>590</v>
      </c>
      <c r="C103" t="s">
        <v>989</v>
      </c>
      <c r="D103" t="s">
        <v>1388</v>
      </c>
      <c r="E103" t="s">
        <v>394</v>
      </c>
      <c r="F103">
        <v>457507201</v>
      </c>
      <c r="G103">
        <v>290.89999999999998</v>
      </c>
      <c r="H103" t="s">
        <v>409</v>
      </c>
      <c r="I103">
        <v>133088844770.89999</v>
      </c>
      <c r="J103" t="s">
        <v>415</v>
      </c>
      <c r="K103">
        <v>129173182.36587299</v>
      </c>
      <c r="L103">
        <v>0.70000000000000007</v>
      </c>
      <c r="M103">
        <v>93162191339.630005</v>
      </c>
      <c r="N103">
        <v>5817432814.3155003</v>
      </c>
      <c r="O103">
        <v>20102015</v>
      </c>
      <c r="P103">
        <v>2010</v>
      </c>
      <c r="Q103">
        <v>1.8933020825698099</v>
      </c>
      <c r="R103">
        <v>3.1</v>
      </c>
      <c r="S103" t="s">
        <v>419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2.7309999999999999</v>
      </c>
      <c r="AT103">
        <v>2.5099999999999998</v>
      </c>
      <c r="AU103" t="s">
        <v>420</v>
      </c>
      <c r="AV103">
        <v>1</v>
      </c>
      <c r="AW103">
        <v>0</v>
      </c>
      <c r="AX103" t="s">
        <v>433</v>
      </c>
      <c r="AY103">
        <v>0</v>
      </c>
      <c r="AZ103">
        <v>0</v>
      </c>
      <c r="BA103">
        <v>0</v>
      </c>
      <c r="CE103">
        <v>2.6204999999999998</v>
      </c>
      <c r="CG103" t="s">
        <v>450</v>
      </c>
      <c r="CI103">
        <v>1.8933020825698099</v>
      </c>
      <c r="CJ103">
        <v>3.1</v>
      </c>
      <c r="CK103">
        <v>2.4966510412849048</v>
      </c>
      <c r="CL103">
        <v>-0.24</v>
      </c>
      <c r="CM103">
        <v>2.256651041284905</v>
      </c>
    </row>
    <row r="104" spans="1:91" x14ac:dyDescent="0.25">
      <c r="A104">
        <v>466</v>
      </c>
      <c r="B104" t="s">
        <v>178</v>
      </c>
      <c r="C104" t="s">
        <v>278</v>
      </c>
      <c r="D104" t="s">
        <v>378</v>
      </c>
      <c r="E104" t="s">
        <v>395</v>
      </c>
      <c r="F104">
        <v>643368840</v>
      </c>
      <c r="G104">
        <v>25.860900000000001</v>
      </c>
      <c r="H104" t="s">
        <v>410</v>
      </c>
      <c r="I104">
        <v>16638097234.356001</v>
      </c>
      <c r="J104" t="s">
        <v>416</v>
      </c>
      <c r="K104">
        <v>36684374.367596902</v>
      </c>
      <c r="L104">
        <v>0.9</v>
      </c>
      <c r="M104">
        <v>14974287510.920401</v>
      </c>
      <c r="N104">
        <v>10518115480.74</v>
      </c>
      <c r="O104">
        <v>45201020</v>
      </c>
      <c r="P104">
        <v>4520</v>
      </c>
      <c r="Q104">
        <v>1.6524943400662999</v>
      </c>
      <c r="R104">
        <v>1.77</v>
      </c>
      <c r="S104" t="s">
        <v>417</v>
      </c>
      <c r="T104" t="s">
        <v>422</v>
      </c>
      <c r="U104">
        <v>0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2.3239999999999998</v>
      </c>
      <c r="AT104">
        <v>2.919</v>
      </c>
      <c r="AU104" t="s">
        <v>420</v>
      </c>
      <c r="AV104">
        <v>1</v>
      </c>
      <c r="AW104">
        <v>0</v>
      </c>
      <c r="AX104" t="s">
        <v>434</v>
      </c>
      <c r="AY104">
        <v>0</v>
      </c>
      <c r="AZ104">
        <v>0</v>
      </c>
      <c r="BA104">
        <v>0</v>
      </c>
      <c r="CE104">
        <v>2.6215000000000002</v>
      </c>
      <c r="CG104" t="s">
        <v>450</v>
      </c>
      <c r="CI104">
        <v>1.6524943400662999</v>
      </c>
      <c r="CJ104">
        <v>1.77</v>
      </c>
      <c r="CK104">
        <v>1.71124717003315</v>
      </c>
      <c r="CL104">
        <v>-0.3</v>
      </c>
      <c r="CM104">
        <v>1.4112471700331499</v>
      </c>
    </row>
    <row r="105" spans="1:91" x14ac:dyDescent="0.25">
      <c r="A105">
        <v>468</v>
      </c>
      <c r="B105" t="s">
        <v>591</v>
      </c>
      <c r="C105" t="s">
        <v>990</v>
      </c>
      <c r="D105" t="s">
        <v>1389</v>
      </c>
      <c r="E105" t="s">
        <v>394</v>
      </c>
      <c r="F105">
        <v>73085760</v>
      </c>
      <c r="G105">
        <v>80.05</v>
      </c>
      <c r="H105" t="s">
        <v>409</v>
      </c>
      <c r="I105">
        <v>5850515088</v>
      </c>
      <c r="J105" t="s">
        <v>415</v>
      </c>
      <c r="K105">
        <v>7072689.4869047599</v>
      </c>
      <c r="L105">
        <v>0.70000000000000007</v>
      </c>
      <c r="M105">
        <v>4095360561.5999999</v>
      </c>
      <c r="N105">
        <v>929321981.27999997</v>
      </c>
      <c r="O105">
        <v>30202010</v>
      </c>
      <c r="P105">
        <v>3020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2.5299999999999998</v>
      </c>
      <c r="AT105">
        <v>2.6669999999999998</v>
      </c>
      <c r="AU105" t="s">
        <v>430</v>
      </c>
      <c r="AV105">
        <v>0</v>
      </c>
      <c r="AW105">
        <v>0</v>
      </c>
      <c r="AX105" t="s">
        <v>433</v>
      </c>
      <c r="AY105">
        <v>0</v>
      </c>
      <c r="AZ105">
        <v>0</v>
      </c>
      <c r="BA105">
        <v>0</v>
      </c>
      <c r="CE105">
        <v>2.5985</v>
      </c>
      <c r="CG105" t="s">
        <v>450</v>
      </c>
      <c r="CI105">
        <v>3.4</v>
      </c>
      <c r="CJ105">
        <v>3.1</v>
      </c>
      <c r="CK105">
        <v>3.25</v>
      </c>
      <c r="CL105">
        <v>-0.18</v>
      </c>
      <c r="CM105">
        <v>3.07</v>
      </c>
    </row>
    <row r="106" spans="1:91" x14ac:dyDescent="0.25">
      <c r="A106">
        <v>469</v>
      </c>
      <c r="B106" t="s">
        <v>592</v>
      </c>
      <c r="C106" t="s">
        <v>991</v>
      </c>
      <c r="D106" t="s">
        <v>1390</v>
      </c>
      <c r="E106" t="s">
        <v>394</v>
      </c>
      <c r="F106">
        <v>192981183</v>
      </c>
      <c r="G106">
        <v>48.8</v>
      </c>
      <c r="H106" t="s">
        <v>409</v>
      </c>
      <c r="I106">
        <v>9417481730.3999996</v>
      </c>
      <c r="J106" t="s">
        <v>415</v>
      </c>
      <c r="K106">
        <v>18196805.817460299</v>
      </c>
      <c r="L106">
        <v>0.65</v>
      </c>
      <c r="M106">
        <v>6121363124.7600002</v>
      </c>
      <c r="N106">
        <v>2278577072.9767499</v>
      </c>
      <c r="O106">
        <v>20102020</v>
      </c>
      <c r="P106">
        <v>2010</v>
      </c>
      <c r="Q106">
        <v>3.4</v>
      </c>
      <c r="S106" t="s">
        <v>420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2.363</v>
      </c>
      <c r="AT106">
        <v>2.9710000000000001</v>
      </c>
      <c r="AU106" t="s">
        <v>429</v>
      </c>
      <c r="AV106">
        <v>0</v>
      </c>
      <c r="AW106">
        <v>0</v>
      </c>
      <c r="AX106" t="s">
        <v>433</v>
      </c>
      <c r="AY106">
        <v>0</v>
      </c>
      <c r="AZ106">
        <v>0</v>
      </c>
      <c r="BA106">
        <v>0</v>
      </c>
      <c r="CE106">
        <v>2.6669999999999998</v>
      </c>
      <c r="CG106" t="s">
        <v>450</v>
      </c>
      <c r="CI106">
        <v>3.4</v>
      </c>
      <c r="CJ106">
        <v>3.1</v>
      </c>
      <c r="CK106">
        <v>3.25</v>
      </c>
      <c r="CL106">
        <v>0</v>
      </c>
      <c r="CM106">
        <v>3.25</v>
      </c>
    </row>
    <row r="107" spans="1:91" x14ac:dyDescent="0.25">
      <c r="A107">
        <v>470</v>
      </c>
      <c r="B107" t="s">
        <v>144</v>
      </c>
      <c r="C107" t="s">
        <v>244</v>
      </c>
      <c r="D107" t="s">
        <v>344</v>
      </c>
      <c r="E107" t="s">
        <v>394</v>
      </c>
      <c r="F107">
        <v>104235507</v>
      </c>
      <c r="G107">
        <v>119</v>
      </c>
      <c r="H107" t="s">
        <v>409</v>
      </c>
      <c r="I107">
        <v>12404025333</v>
      </c>
      <c r="J107" t="s">
        <v>415</v>
      </c>
      <c r="K107">
        <v>23304182.974603198</v>
      </c>
      <c r="L107">
        <v>0.75</v>
      </c>
      <c r="M107">
        <v>9303018999.75</v>
      </c>
      <c r="N107">
        <v>1420078488.49125</v>
      </c>
      <c r="O107">
        <v>30202015</v>
      </c>
      <c r="P107">
        <v>3020</v>
      </c>
      <c r="Q107">
        <v>1.97838083490229</v>
      </c>
      <c r="R107">
        <v>3.1</v>
      </c>
      <c r="S107" t="s">
        <v>418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2.37</v>
      </c>
      <c r="AT107">
        <v>3.1080000000000001</v>
      </c>
      <c r="AU107" t="s">
        <v>430</v>
      </c>
      <c r="AV107">
        <v>0</v>
      </c>
      <c r="AW107">
        <v>0</v>
      </c>
      <c r="AX107" t="s">
        <v>445</v>
      </c>
      <c r="AY107">
        <v>0</v>
      </c>
      <c r="AZ107">
        <v>0</v>
      </c>
      <c r="BA107">
        <v>0</v>
      </c>
      <c r="CE107">
        <v>2.7389999999999999</v>
      </c>
      <c r="CG107" t="s">
        <v>450</v>
      </c>
      <c r="CI107">
        <v>1.97838083490229</v>
      </c>
      <c r="CJ107">
        <v>3.1</v>
      </c>
      <c r="CK107">
        <v>2.5391904174511448</v>
      </c>
      <c r="CL107">
        <v>-0.18</v>
      </c>
      <c r="CM107">
        <v>2.3591904174511451</v>
      </c>
    </row>
    <row r="108" spans="1:91" x14ac:dyDescent="0.25">
      <c r="A108">
        <v>472</v>
      </c>
      <c r="B108" t="s">
        <v>593</v>
      </c>
      <c r="C108" t="s">
        <v>992</v>
      </c>
      <c r="D108" t="s">
        <v>1391</v>
      </c>
      <c r="E108" t="s">
        <v>395</v>
      </c>
      <c r="F108">
        <v>211833200</v>
      </c>
      <c r="G108">
        <v>73.967929999999996</v>
      </c>
      <c r="H108" t="s">
        <v>410</v>
      </c>
      <c r="I108">
        <v>15668863309.275999</v>
      </c>
      <c r="J108" t="s">
        <v>416</v>
      </c>
      <c r="K108">
        <v>62142347.337688804</v>
      </c>
      <c r="L108">
        <v>0.8</v>
      </c>
      <c r="M108">
        <v>12535090647.420799</v>
      </c>
      <c r="N108">
        <v>3078360062.4000001</v>
      </c>
      <c r="O108">
        <v>40501020</v>
      </c>
      <c r="P108">
        <v>4050</v>
      </c>
      <c r="Q108">
        <v>3.4</v>
      </c>
      <c r="S108" t="s">
        <v>424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2.1739999999999999</v>
      </c>
      <c r="AT108">
        <v>2.633</v>
      </c>
      <c r="AU108" t="s">
        <v>1658</v>
      </c>
      <c r="AV108">
        <v>0</v>
      </c>
      <c r="AW108">
        <v>0</v>
      </c>
      <c r="AX108" t="s">
        <v>434</v>
      </c>
      <c r="AY108">
        <v>0</v>
      </c>
      <c r="AZ108">
        <v>0</v>
      </c>
      <c r="BA108">
        <v>0</v>
      </c>
      <c r="CE108">
        <v>2.4035000000000002</v>
      </c>
      <c r="CG108" t="s">
        <v>450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x14ac:dyDescent="0.25">
      <c r="A109">
        <v>480</v>
      </c>
      <c r="B109" t="s">
        <v>183</v>
      </c>
      <c r="C109" t="s">
        <v>283</v>
      </c>
      <c r="D109" t="s">
        <v>383</v>
      </c>
      <c r="E109" t="s">
        <v>403</v>
      </c>
      <c r="F109">
        <v>919566160</v>
      </c>
      <c r="G109">
        <v>46.387149999999998</v>
      </c>
      <c r="H109" t="s">
        <v>413</v>
      </c>
      <c r="I109">
        <v>42656053398.844002</v>
      </c>
      <c r="J109" t="s">
        <v>416</v>
      </c>
      <c r="K109">
        <v>53659580.624927901</v>
      </c>
      <c r="L109">
        <v>1</v>
      </c>
      <c r="M109">
        <v>42656053398.844002</v>
      </c>
      <c r="N109">
        <v>16703919296.4</v>
      </c>
      <c r="O109">
        <v>50205020</v>
      </c>
      <c r="P109">
        <v>5020</v>
      </c>
      <c r="Q109">
        <v>1.96785746746361</v>
      </c>
      <c r="R109">
        <v>1.5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2.4129999999999998</v>
      </c>
      <c r="AT109">
        <v>3.26</v>
      </c>
      <c r="AU109" t="s">
        <v>426</v>
      </c>
      <c r="AV109">
        <v>0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2.8365</v>
      </c>
      <c r="CG109" t="s">
        <v>450</v>
      </c>
      <c r="CI109">
        <v>1.96785746746361</v>
      </c>
      <c r="CJ109">
        <v>1.5</v>
      </c>
      <c r="CK109">
        <v>1.733928733731805</v>
      </c>
      <c r="CL109">
        <v>-0.24</v>
      </c>
      <c r="CM109">
        <v>1.493928733731805</v>
      </c>
    </row>
    <row r="110" spans="1:91" x14ac:dyDescent="0.25">
      <c r="A110">
        <v>491</v>
      </c>
      <c r="B110" t="s">
        <v>597</v>
      </c>
      <c r="C110" t="s">
        <v>996</v>
      </c>
      <c r="D110" t="s">
        <v>1395</v>
      </c>
      <c r="E110" t="s">
        <v>394</v>
      </c>
      <c r="F110">
        <v>185270000</v>
      </c>
      <c r="G110">
        <v>36.54</v>
      </c>
      <c r="H110" t="s">
        <v>409</v>
      </c>
      <c r="I110">
        <v>6769765800</v>
      </c>
      <c r="J110" t="s">
        <v>415</v>
      </c>
      <c r="K110">
        <v>7329954.8633333398</v>
      </c>
      <c r="L110">
        <v>0.65</v>
      </c>
      <c r="M110">
        <v>4400347770</v>
      </c>
      <c r="N110">
        <v>2187529207.5</v>
      </c>
      <c r="O110">
        <v>40501020</v>
      </c>
      <c r="P110">
        <v>4050</v>
      </c>
      <c r="S110" t="s">
        <v>418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</v>
      </c>
      <c r="AE110">
        <v>0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O110">
        <v>0</v>
      </c>
      <c r="AP110">
        <v>0</v>
      </c>
      <c r="AQ110">
        <v>0</v>
      </c>
      <c r="AR110">
        <v>0</v>
      </c>
      <c r="AS110">
        <v>2.4209999999999998</v>
      </c>
      <c r="AT110">
        <v>3.0840000000000001</v>
      </c>
      <c r="AU110" t="s">
        <v>1658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CE110">
        <v>2.7524999999999999</v>
      </c>
      <c r="CG110" t="s">
        <v>450</v>
      </c>
      <c r="CI110">
        <v>3.4</v>
      </c>
      <c r="CJ110">
        <v>3.1</v>
      </c>
      <c r="CK110">
        <v>3.25</v>
      </c>
      <c r="CL110">
        <v>-0.18</v>
      </c>
      <c r="CM110">
        <v>3.07</v>
      </c>
    </row>
    <row r="111" spans="1:91" x14ac:dyDescent="0.25">
      <c r="A111">
        <v>494</v>
      </c>
      <c r="B111" t="s">
        <v>598</v>
      </c>
      <c r="C111" t="s">
        <v>997</v>
      </c>
      <c r="D111" t="s">
        <v>1396</v>
      </c>
      <c r="E111" t="s">
        <v>404</v>
      </c>
      <c r="F111">
        <v>193923499</v>
      </c>
      <c r="G111">
        <v>482.1</v>
      </c>
      <c r="H111" t="s">
        <v>409</v>
      </c>
      <c r="I111">
        <v>93490518867.900009</v>
      </c>
      <c r="J111" t="s">
        <v>415</v>
      </c>
      <c r="K111">
        <v>134327130.69590199</v>
      </c>
      <c r="L111">
        <v>0.60000000000000009</v>
      </c>
      <c r="M111">
        <v>56094311320.740013</v>
      </c>
      <c r="N111">
        <v>2113572215.6010001</v>
      </c>
      <c r="O111">
        <v>40101020</v>
      </c>
      <c r="P111">
        <v>4010</v>
      </c>
      <c r="Q111">
        <v>2.66679533579538</v>
      </c>
      <c r="R111">
        <v>2.39</v>
      </c>
      <c r="S111" t="s">
        <v>419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>
        <v>2.202</v>
      </c>
      <c r="AT111">
        <v>2.746</v>
      </c>
      <c r="AU111" t="s">
        <v>420</v>
      </c>
      <c r="AV111">
        <v>1</v>
      </c>
      <c r="AW111">
        <v>0</v>
      </c>
      <c r="AX111" t="s">
        <v>445</v>
      </c>
      <c r="AY111">
        <v>0</v>
      </c>
      <c r="AZ111">
        <v>0</v>
      </c>
      <c r="BA111">
        <v>0</v>
      </c>
      <c r="CE111">
        <v>2.4740000000000002</v>
      </c>
      <c r="CG111" t="s">
        <v>450</v>
      </c>
      <c r="CI111">
        <v>2.66679533579538</v>
      </c>
      <c r="CJ111">
        <v>2.39</v>
      </c>
      <c r="CK111">
        <v>2.52839766789769</v>
      </c>
      <c r="CL111">
        <v>-0.24</v>
      </c>
      <c r="CM111">
        <v>2.2883976678976898</v>
      </c>
    </row>
    <row r="112" spans="1:91" x14ac:dyDescent="0.25">
      <c r="A112">
        <v>498</v>
      </c>
      <c r="B112" t="s">
        <v>600</v>
      </c>
      <c r="C112" t="s">
        <v>999</v>
      </c>
      <c r="D112" t="s">
        <v>1398</v>
      </c>
      <c r="E112" t="s">
        <v>404</v>
      </c>
      <c r="F112">
        <v>610999427</v>
      </c>
      <c r="G112">
        <v>17.695</v>
      </c>
      <c r="H112" t="s">
        <v>409</v>
      </c>
      <c r="I112">
        <v>10811634860.764999</v>
      </c>
      <c r="J112" t="s">
        <v>415</v>
      </c>
      <c r="K112">
        <v>31047353.379344299</v>
      </c>
      <c r="L112">
        <v>1</v>
      </c>
      <c r="M112">
        <v>10811634860.764999</v>
      </c>
      <c r="N112">
        <v>11098804591.455</v>
      </c>
      <c r="O112">
        <v>30101010</v>
      </c>
      <c r="P112">
        <v>3010</v>
      </c>
      <c r="Q112">
        <v>3.1469618776366</v>
      </c>
      <c r="S112" t="s">
        <v>1648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2.335</v>
      </c>
      <c r="AT112">
        <v>3.3420000000000001</v>
      </c>
      <c r="AU112" t="s">
        <v>430</v>
      </c>
      <c r="AV112">
        <v>0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2.8384999999999998</v>
      </c>
      <c r="CG112" t="s">
        <v>450</v>
      </c>
      <c r="CI112">
        <v>3.1469618776366</v>
      </c>
      <c r="CJ112">
        <v>3.1</v>
      </c>
      <c r="CK112">
        <v>3.1234809388182998</v>
      </c>
      <c r="CL112">
        <v>0.3</v>
      </c>
      <c r="CM112">
        <v>3.4234809388183001</v>
      </c>
    </row>
    <row r="113" spans="1:91" x14ac:dyDescent="0.25">
      <c r="A113">
        <v>503</v>
      </c>
      <c r="B113" t="s">
        <v>601</v>
      </c>
      <c r="C113" t="s">
        <v>1000</v>
      </c>
      <c r="D113" t="s">
        <v>1399</v>
      </c>
      <c r="E113" t="s">
        <v>406</v>
      </c>
      <c r="F113">
        <v>30701876</v>
      </c>
      <c r="G113">
        <v>233.49789999999999</v>
      </c>
      <c r="H113" t="s">
        <v>414</v>
      </c>
      <c r="I113">
        <v>7168823572.0604</v>
      </c>
      <c r="J113" t="s">
        <v>416</v>
      </c>
      <c r="K113">
        <v>11390899.690463601</v>
      </c>
      <c r="L113">
        <v>0.6</v>
      </c>
      <c r="M113">
        <v>4301294143.2362394</v>
      </c>
      <c r="N113">
        <v>334619746.52399999</v>
      </c>
      <c r="O113">
        <v>50206060</v>
      </c>
      <c r="P113">
        <v>5020</v>
      </c>
      <c r="Q113">
        <v>3.4</v>
      </c>
      <c r="S113" t="s">
        <v>424</v>
      </c>
      <c r="T113" t="s">
        <v>422</v>
      </c>
      <c r="U113">
        <v>0</v>
      </c>
      <c r="V113">
        <v>0.05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2.1669999999999998</v>
      </c>
      <c r="AT113">
        <v>2.6440000000000001</v>
      </c>
      <c r="AU113" t="s">
        <v>427</v>
      </c>
      <c r="AV113">
        <v>1</v>
      </c>
      <c r="AW113">
        <v>0</v>
      </c>
      <c r="AX113" t="s">
        <v>446</v>
      </c>
      <c r="AY113">
        <v>0</v>
      </c>
      <c r="AZ113">
        <v>0</v>
      </c>
      <c r="BA113">
        <v>0</v>
      </c>
      <c r="CE113">
        <v>2.4055</v>
      </c>
      <c r="CG113" t="s">
        <v>450</v>
      </c>
      <c r="CI113">
        <v>3.4</v>
      </c>
      <c r="CJ113">
        <v>3.1</v>
      </c>
      <c r="CK113">
        <v>3.25</v>
      </c>
      <c r="CL113">
        <v>0.3</v>
      </c>
      <c r="CM113">
        <v>3.55</v>
      </c>
    </row>
    <row r="114" spans="1:91" x14ac:dyDescent="0.25">
      <c r="A114">
        <v>516</v>
      </c>
      <c r="B114" t="s">
        <v>605</v>
      </c>
      <c r="C114" t="s">
        <v>1004</v>
      </c>
      <c r="D114" t="s">
        <v>1403</v>
      </c>
      <c r="E114" t="s">
        <v>398</v>
      </c>
      <c r="F114">
        <v>293413450</v>
      </c>
      <c r="G114">
        <v>44.23</v>
      </c>
      <c r="H114" t="s">
        <v>409</v>
      </c>
      <c r="I114">
        <v>12977676893.5</v>
      </c>
      <c r="J114" t="s">
        <v>415</v>
      </c>
      <c r="K114">
        <v>20758867.199098401</v>
      </c>
      <c r="L114">
        <v>0.7</v>
      </c>
      <c r="M114">
        <v>9084373825.4499989</v>
      </c>
      <c r="N114">
        <v>3730898723.4749999</v>
      </c>
      <c r="O114">
        <v>20101025</v>
      </c>
      <c r="P114">
        <v>2010</v>
      </c>
      <c r="S114" t="s">
        <v>420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2.6869999999999998</v>
      </c>
      <c r="AT114">
        <v>2.73</v>
      </c>
      <c r="AU114" t="s">
        <v>1659</v>
      </c>
      <c r="AV114">
        <v>0</v>
      </c>
      <c r="AW114">
        <v>0</v>
      </c>
      <c r="AX114" t="s">
        <v>437</v>
      </c>
      <c r="AY114">
        <v>0</v>
      </c>
      <c r="AZ114">
        <v>0</v>
      </c>
      <c r="BA114">
        <v>0</v>
      </c>
      <c r="CE114">
        <v>2.7084999999999999</v>
      </c>
      <c r="CG114" t="s">
        <v>450</v>
      </c>
      <c r="CI114">
        <v>3.4</v>
      </c>
      <c r="CJ114">
        <v>3.1</v>
      </c>
      <c r="CK114">
        <v>3.25</v>
      </c>
      <c r="CL114">
        <v>0</v>
      </c>
      <c r="CM114">
        <v>3.25</v>
      </c>
    </row>
    <row r="115" spans="1:91" x14ac:dyDescent="0.25">
      <c r="A115">
        <v>517</v>
      </c>
      <c r="B115" t="s">
        <v>606</v>
      </c>
      <c r="C115" t="s">
        <v>1005</v>
      </c>
      <c r="D115" t="s">
        <v>1404</v>
      </c>
      <c r="E115" t="s">
        <v>398</v>
      </c>
      <c r="F115">
        <v>563237300</v>
      </c>
      <c r="G115">
        <v>36.49</v>
      </c>
      <c r="H115" t="s">
        <v>409</v>
      </c>
      <c r="I115">
        <v>20552529077</v>
      </c>
      <c r="J115" t="s">
        <v>415</v>
      </c>
      <c r="K115">
        <v>32270187.444180299</v>
      </c>
      <c r="L115">
        <v>0.75</v>
      </c>
      <c r="M115">
        <v>15414396807.75</v>
      </c>
      <c r="N115">
        <v>7673404165.875</v>
      </c>
      <c r="O115">
        <v>20101025</v>
      </c>
      <c r="P115">
        <v>2010</v>
      </c>
      <c r="S115" t="s">
        <v>418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422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2.6930000000000001</v>
      </c>
      <c r="AT115">
        <v>3.2290000000000001</v>
      </c>
      <c r="AU115" t="s">
        <v>1659</v>
      </c>
      <c r="AV115">
        <v>0</v>
      </c>
      <c r="AW115">
        <v>0</v>
      </c>
      <c r="AX115" t="s">
        <v>437</v>
      </c>
      <c r="AY115">
        <v>0</v>
      </c>
      <c r="AZ115">
        <v>0</v>
      </c>
      <c r="BA115">
        <v>0</v>
      </c>
      <c r="CE115">
        <v>2.9609999999999999</v>
      </c>
      <c r="CG115" t="s">
        <v>450</v>
      </c>
      <c r="CI115">
        <v>3.4</v>
      </c>
      <c r="CJ115">
        <v>3.1</v>
      </c>
      <c r="CK115">
        <v>3.25</v>
      </c>
      <c r="CL115">
        <v>-0.18</v>
      </c>
      <c r="CM115">
        <v>3.07</v>
      </c>
    </row>
    <row r="116" spans="1:91" x14ac:dyDescent="0.25">
      <c r="A116">
        <v>528</v>
      </c>
      <c r="B116" t="s">
        <v>609</v>
      </c>
      <c r="C116" t="s">
        <v>1008</v>
      </c>
      <c r="D116" t="s">
        <v>1407</v>
      </c>
      <c r="E116" t="s">
        <v>406</v>
      </c>
      <c r="F116">
        <v>50000000</v>
      </c>
      <c r="G116">
        <v>87.136399999999995</v>
      </c>
      <c r="H116" t="s">
        <v>414</v>
      </c>
      <c r="I116">
        <v>4356820000</v>
      </c>
      <c r="J116" t="s">
        <v>416</v>
      </c>
      <c r="K116">
        <v>6692625.0379184401</v>
      </c>
      <c r="L116">
        <v>1</v>
      </c>
      <c r="M116">
        <v>4356820000</v>
      </c>
      <c r="N116">
        <v>908250000</v>
      </c>
      <c r="O116">
        <v>45201015</v>
      </c>
      <c r="P116">
        <v>4520</v>
      </c>
      <c r="Q116">
        <v>3.4</v>
      </c>
      <c r="R116">
        <v>2.39</v>
      </c>
      <c r="S116" t="s">
        <v>421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2.0059999999999998</v>
      </c>
      <c r="AT116">
        <v>3.2149999999999999</v>
      </c>
      <c r="AU116" t="s">
        <v>431</v>
      </c>
      <c r="AV116">
        <v>1</v>
      </c>
      <c r="AW116">
        <v>0</v>
      </c>
      <c r="AX116" t="s">
        <v>446</v>
      </c>
      <c r="AY116">
        <v>0</v>
      </c>
      <c r="AZ116">
        <v>0</v>
      </c>
      <c r="BA116">
        <v>0</v>
      </c>
      <c r="CE116">
        <v>2.6105</v>
      </c>
      <c r="CG116" t="s">
        <v>450</v>
      </c>
      <c r="CI116">
        <v>3.4</v>
      </c>
      <c r="CJ116">
        <v>2.39</v>
      </c>
      <c r="CK116">
        <v>2.895</v>
      </c>
      <c r="CL116">
        <v>0.18</v>
      </c>
      <c r="CM116">
        <v>3.0750000000000002</v>
      </c>
    </row>
    <row r="117" spans="1:91" x14ac:dyDescent="0.25">
      <c r="A117">
        <v>533</v>
      </c>
      <c r="B117" t="s">
        <v>140</v>
      </c>
      <c r="C117" t="s">
        <v>240</v>
      </c>
      <c r="D117" t="s">
        <v>340</v>
      </c>
      <c r="E117" t="s">
        <v>407</v>
      </c>
      <c r="F117">
        <v>138400000</v>
      </c>
      <c r="G117">
        <v>68.55</v>
      </c>
      <c r="H117" t="s">
        <v>409</v>
      </c>
      <c r="I117">
        <v>9487320000</v>
      </c>
      <c r="J117" t="s">
        <v>415</v>
      </c>
      <c r="K117">
        <v>6900889.3166666701</v>
      </c>
      <c r="L117">
        <v>0.55000000000000004</v>
      </c>
      <c r="M117">
        <v>5218026000</v>
      </c>
      <c r="N117">
        <v>1382719800</v>
      </c>
      <c r="O117">
        <v>30202000</v>
      </c>
      <c r="P117">
        <v>3020</v>
      </c>
      <c r="Q117">
        <v>1.8920544675342099</v>
      </c>
      <c r="S117" t="s">
        <v>417</v>
      </c>
      <c r="T117" t="s">
        <v>422</v>
      </c>
      <c r="U117">
        <v>0</v>
      </c>
      <c r="V117">
        <v>0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2.2050000000000001</v>
      </c>
      <c r="AT117">
        <v>2.8639999999999999</v>
      </c>
      <c r="AU117" t="s">
        <v>430</v>
      </c>
      <c r="AV117">
        <v>0</v>
      </c>
      <c r="AW117">
        <v>0</v>
      </c>
      <c r="AX117" t="s">
        <v>447</v>
      </c>
      <c r="AY117">
        <v>0</v>
      </c>
      <c r="AZ117">
        <v>0</v>
      </c>
      <c r="BA117">
        <v>0</v>
      </c>
      <c r="CE117">
        <v>2.5345</v>
      </c>
      <c r="CG117" t="s">
        <v>450</v>
      </c>
      <c r="CI117">
        <v>1.8920544675342099</v>
      </c>
      <c r="CJ117">
        <v>3.1</v>
      </c>
      <c r="CK117">
        <v>2.496027233767105</v>
      </c>
      <c r="CL117">
        <v>-0.3</v>
      </c>
      <c r="CM117">
        <v>2.1960272337671052</v>
      </c>
    </row>
    <row r="118" spans="1:91" x14ac:dyDescent="0.25">
      <c r="A118">
        <v>537</v>
      </c>
      <c r="B118" t="s">
        <v>612</v>
      </c>
      <c r="C118" t="s">
        <v>1011</v>
      </c>
      <c r="D118" t="s">
        <v>1410</v>
      </c>
      <c r="E118" t="s">
        <v>398</v>
      </c>
      <c r="F118">
        <v>172331070</v>
      </c>
      <c r="G118">
        <v>53.95</v>
      </c>
      <c r="H118" t="s">
        <v>409</v>
      </c>
      <c r="I118">
        <v>9297261226.5</v>
      </c>
      <c r="J118" t="s">
        <v>415</v>
      </c>
      <c r="K118">
        <v>14659276.655082</v>
      </c>
      <c r="L118">
        <v>0.85</v>
      </c>
      <c r="M118">
        <v>7902672042.5249996</v>
      </c>
      <c r="N118">
        <v>2660834803.5675001</v>
      </c>
      <c r="O118">
        <v>50204000</v>
      </c>
      <c r="P118">
        <v>5020</v>
      </c>
      <c r="Q118">
        <v>1.7497751899773299</v>
      </c>
      <c r="R118">
        <v>3.1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2.7629999999999999</v>
      </c>
      <c r="AT118">
        <v>3.4460000000000002</v>
      </c>
      <c r="AU118" t="s">
        <v>420</v>
      </c>
      <c r="AV118">
        <v>1</v>
      </c>
      <c r="AW118">
        <v>0</v>
      </c>
      <c r="AX118" t="s">
        <v>437</v>
      </c>
      <c r="AY118">
        <v>0</v>
      </c>
      <c r="AZ118">
        <v>0</v>
      </c>
      <c r="BA118">
        <v>0</v>
      </c>
      <c r="CE118">
        <v>3.1044999999999998</v>
      </c>
      <c r="CG118" t="s">
        <v>450</v>
      </c>
      <c r="CI118">
        <v>1.7497751899773299</v>
      </c>
      <c r="CJ118">
        <v>3.1</v>
      </c>
      <c r="CK118">
        <v>2.424887594988665</v>
      </c>
      <c r="CL118">
        <v>-0.3</v>
      </c>
      <c r="CM118">
        <v>2.1248875949886652</v>
      </c>
    </row>
    <row r="119" spans="1:91" x14ac:dyDescent="0.25">
      <c r="A119">
        <v>538</v>
      </c>
      <c r="B119" t="s">
        <v>613</v>
      </c>
      <c r="C119" t="s">
        <v>1012</v>
      </c>
      <c r="D119" t="s">
        <v>1411</v>
      </c>
      <c r="E119" t="s">
        <v>406</v>
      </c>
      <c r="F119">
        <v>35189083</v>
      </c>
      <c r="G119">
        <v>559.07650000000001</v>
      </c>
      <c r="H119" t="s">
        <v>414</v>
      </c>
      <c r="I119">
        <v>19673389361.849499</v>
      </c>
      <c r="J119" t="s">
        <v>416</v>
      </c>
      <c r="K119">
        <v>44480339.436672702</v>
      </c>
      <c r="L119">
        <v>1</v>
      </c>
      <c r="M119">
        <v>19673389361.849499</v>
      </c>
      <c r="N119">
        <v>639209692.69499993</v>
      </c>
      <c r="O119">
        <v>50101020</v>
      </c>
      <c r="P119">
        <v>5010</v>
      </c>
      <c r="S119" t="s">
        <v>418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2.702</v>
      </c>
      <c r="AT119">
        <v>3.048</v>
      </c>
      <c r="AU119" t="s">
        <v>420</v>
      </c>
      <c r="AV119">
        <v>1</v>
      </c>
      <c r="AW119">
        <v>0</v>
      </c>
      <c r="AX119" t="s">
        <v>446</v>
      </c>
      <c r="AY119">
        <v>0</v>
      </c>
      <c r="AZ119">
        <v>0</v>
      </c>
      <c r="BA119">
        <v>0</v>
      </c>
      <c r="CE119">
        <v>2.875</v>
      </c>
      <c r="CG119" t="s">
        <v>450</v>
      </c>
      <c r="CI119">
        <v>3.4</v>
      </c>
      <c r="CJ119">
        <v>3.1</v>
      </c>
      <c r="CK119">
        <v>3.25</v>
      </c>
      <c r="CL119">
        <v>-0.18</v>
      </c>
      <c r="CM119">
        <v>3.07</v>
      </c>
    </row>
    <row r="120" spans="1:91" x14ac:dyDescent="0.25">
      <c r="A120">
        <v>539</v>
      </c>
      <c r="B120" t="s">
        <v>154</v>
      </c>
      <c r="C120" t="s">
        <v>254</v>
      </c>
      <c r="D120" t="s">
        <v>354</v>
      </c>
      <c r="E120" t="s">
        <v>394</v>
      </c>
      <c r="F120">
        <v>76738691</v>
      </c>
      <c r="G120">
        <v>91.9</v>
      </c>
      <c r="H120" t="s">
        <v>409</v>
      </c>
      <c r="I120">
        <v>7052285702.9000006</v>
      </c>
      <c r="J120" t="s">
        <v>415</v>
      </c>
      <c r="K120">
        <v>10616904.702777799</v>
      </c>
      <c r="L120">
        <v>0.60000000000000009</v>
      </c>
      <c r="M120">
        <v>4231371421.7400012</v>
      </c>
      <c r="N120">
        <v>836374993.20899999</v>
      </c>
      <c r="O120">
        <v>35102030</v>
      </c>
      <c r="P120">
        <v>3510</v>
      </c>
      <c r="Q120">
        <v>2.2375872094998699</v>
      </c>
      <c r="R120">
        <v>2.08</v>
      </c>
      <c r="S120" t="s">
        <v>418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2.1800000000000002</v>
      </c>
      <c r="AT120">
        <v>3.1019999999999999</v>
      </c>
      <c r="AU120" t="s">
        <v>425</v>
      </c>
      <c r="AV120">
        <v>1</v>
      </c>
      <c r="AW120">
        <v>0</v>
      </c>
      <c r="AX120" t="s">
        <v>433</v>
      </c>
      <c r="AY120">
        <v>0</v>
      </c>
      <c r="AZ120">
        <v>0</v>
      </c>
      <c r="BA120">
        <v>0</v>
      </c>
      <c r="CE120">
        <v>2.641</v>
      </c>
      <c r="CG120" t="s">
        <v>450</v>
      </c>
      <c r="CI120">
        <v>2.2375872094998699</v>
      </c>
      <c r="CJ120">
        <v>2.08</v>
      </c>
      <c r="CK120">
        <v>2.1587936047499352</v>
      </c>
      <c r="CL120">
        <v>-0.18</v>
      </c>
      <c r="CM120">
        <v>1.978793604749935</v>
      </c>
    </row>
    <row r="121" spans="1:91" x14ac:dyDescent="0.25">
      <c r="A121">
        <v>543</v>
      </c>
      <c r="B121" t="s">
        <v>146</v>
      </c>
      <c r="C121" t="s">
        <v>246</v>
      </c>
      <c r="D121" t="s">
        <v>346</v>
      </c>
      <c r="E121" t="s">
        <v>404</v>
      </c>
      <c r="F121">
        <v>1569420004</v>
      </c>
      <c r="G121">
        <v>31.33</v>
      </c>
      <c r="H121" t="s">
        <v>409</v>
      </c>
      <c r="I121">
        <v>49169928725.32</v>
      </c>
      <c r="J121" t="s">
        <v>415</v>
      </c>
      <c r="K121">
        <v>104407090.472541</v>
      </c>
      <c r="L121">
        <v>0.70000000000000007</v>
      </c>
      <c r="M121">
        <v>34418950107.724007</v>
      </c>
      <c r="N121">
        <v>19955960060.862</v>
      </c>
      <c r="O121">
        <v>30302010</v>
      </c>
      <c r="P121">
        <v>3030</v>
      </c>
      <c r="Q121">
        <v>2.9259268183552698</v>
      </c>
      <c r="R121">
        <v>1.5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</v>
      </c>
      <c r="AF121">
        <v>0</v>
      </c>
      <c r="AH121">
        <v>0</v>
      </c>
      <c r="AI121" t="s">
        <v>424</v>
      </c>
      <c r="AK121" t="s">
        <v>424</v>
      </c>
      <c r="AL121" t="s">
        <v>424</v>
      </c>
      <c r="AM121" t="s">
        <v>424</v>
      </c>
      <c r="AO121">
        <v>0</v>
      </c>
      <c r="AP121">
        <v>0</v>
      </c>
      <c r="AQ121">
        <v>0</v>
      </c>
      <c r="AR121">
        <v>0</v>
      </c>
      <c r="AS121">
        <v>2.379</v>
      </c>
      <c r="AT121">
        <v>3.2090000000000001</v>
      </c>
      <c r="AU121" t="s">
        <v>430</v>
      </c>
      <c r="AV121">
        <v>0</v>
      </c>
      <c r="AW121">
        <v>0</v>
      </c>
      <c r="AX121" t="s">
        <v>443</v>
      </c>
      <c r="AY121">
        <v>0</v>
      </c>
      <c r="AZ121">
        <v>0</v>
      </c>
      <c r="BA121">
        <v>0</v>
      </c>
      <c r="CE121">
        <v>2.794</v>
      </c>
      <c r="CG121" t="s">
        <v>450</v>
      </c>
      <c r="CI121">
        <v>2.9259268183552698</v>
      </c>
      <c r="CJ121">
        <v>1.5</v>
      </c>
      <c r="CK121">
        <v>2.2129634091776351</v>
      </c>
      <c r="CL121">
        <v>-0.18</v>
      </c>
      <c r="CM121">
        <v>2.032963409177635</v>
      </c>
    </row>
    <row r="122" spans="1:91" x14ac:dyDescent="0.25">
      <c r="A122">
        <v>545</v>
      </c>
      <c r="B122" t="s">
        <v>614</v>
      </c>
      <c r="C122" t="s">
        <v>1013</v>
      </c>
      <c r="D122" t="s">
        <v>1412</v>
      </c>
      <c r="E122" t="s">
        <v>402</v>
      </c>
      <c r="F122">
        <v>66187190</v>
      </c>
      <c r="G122">
        <v>212.19220000000001</v>
      </c>
      <c r="H122" t="s">
        <v>412</v>
      </c>
      <c r="I122">
        <v>14044405457.917999</v>
      </c>
      <c r="J122" t="s">
        <v>416</v>
      </c>
      <c r="K122">
        <v>23766057.6945187</v>
      </c>
      <c r="L122">
        <v>1</v>
      </c>
      <c r="M122">
        <v>14044405457.917999</v>
      </c>
      <c r="N122">
        <v>1202290306.3499999</v>
      </c>
      <c r="O122">
        <v>20103010</v>
      </c>
      <c r="P122">
        <v>2010</v>
      </c>
      <c r="Q122">
        <v>3.4</v>
      </c>
      <c r="S122" t="s">
        <v>424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</v>
      </c>
      <c r="AR122">
        <v>0</v>
      </c>
      <c r="AS122">
        <v>2.2610000000000001</v>
      </c>
      <c r="AT122">
        <v>3.0550000000000002</v>
      </c>
      <c r="AU122" t="s">
        <v>429</v>
      </c>
      <c r="AV122">
        <v>0</v>
      </c>
      <c r="AW122">
        <v>0</v>
      </c>
      <c r="AX122" t="s">
        <v>441</v>
      </c>
      <c r="AY122">
        <v>0</v>
      </c>
      <c r="AZ122">
        <v>0</v>
      </c>
      <c r="BA122">
        <v>0</v>
      </c>
      <c r="CE122">
        <v>2.6579999999999999</v>
      </c>
      <c r="CG122" t="s">
        <v>450</v>
      </c>
      <c r="CI122">
        <v>3.4</v>
      </c>
      <c r="CJ122">
        <v>3.1</v>
      </c>
      <c r="CK122">
        <v>3.25</v>
      </c>
      <c r="CL122">
        <v>0.3</v>
      </c>
      <c r="CM122">
        <v>3.55</v>
      </c>
    </row>
    <row r="123" spans="1:91" x14ac:dyDescent="0.25">
      <c r="A123">
        <v>550</v>
      </c>
      <c r="B123" t="s">
        <v>616</v>
      </c>
      <c r="C123" t="s">
        <v>1015</v>
      </c>
      <c r="D123" t="s">
        <v>1414</v>
      </c>
      <c r="E123" t="s">
        <v>395</v>
      </c>
      <c r="F123">
        <v>254152370</v>
      </c>
      <c r="G123">
        <v>19.76435</v>
      </c>
      <c r="H123" t="s">
        <v>410</v>
      </c>
      <c r="I123">
        <v>5023156394.0095015</v>
      </c>
      <c r="J123" t="s">
        <v>416</v>
      </c>
      <c r="K123">
        <v>16679244.3821142</v>
      </c>
      <c r="L123">
        <v>0.85</v>
      </c>
      <c r="M123">
        <v>4269682934.9080749</v>
      </c>
      <c r="N123">
        <v>3924176130.8924999</v>
      </c>
      <c r="O123">
        <v>20102010</v>
      </c>
      <c r="P123">
        <v>2010</v>
      </c>
      <c r="S123" t="s">
        <v>1649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2.4279999999999999</v>
      </c>
      <c r="AT123">
        <v>2.9260000000000002</v>
      </c>
      <c r="AU123" t="s">
        <v>420</v>
      </c>
      <c r="AV123">
        <v>1</v>
      </c>
      <c r="AW123">
        <v>0</v>
      </c>
      <c r="AX123" t="s">
        <v>434</v>
      </c>
      <c r="AY123">
        <v>0</v>
      </c>
      <c r="AZ123">
        <v>0</v>
      </c>
      <c r="BA123">
        <v>0</v>
      </c>
      <c r="CE123">
        <v>2.677</v>
      </c>
      <c r="CG123" t="s">
        <v>450</v>
      </c>
      <c r="CI123">
        <v>3.4</v>
      </c>
      <c r="CJ123">
        <v>3.1</v>
      </c>
      <c r="CK123">
        <v>3.25</v>
      </c>
      <c r="CL123">
        <v>0.3</v>
      </c>
      <c r="CM123">
        <v>3.55</v>
      </c>
    </row>
    <row r="124" spans="1:91" x14ac:dyDescent="0.25">
      <c r="A124">
        <v>553</v>
      </c>
      <c r="B124" t="s">
        <v>191</v>
      </c>
      <c r="C124" t="s">
        <v>291</v>
      </c>
      <c r="D124" t="s">
        <v>391</v>
      </c>
      <c r="E124" t="s">
        <v>406</v>
      </c>
      <c r="F124">
        <v>9233586</v>
      </c>
      <c r="G124">
        <v>4175.5290000000005</v>
      </c>
      <c r="H124" t="s">
        <v>414</v>
      </c>
      <c r="I124">
        <v>38555106116.994003</v>
      </c>
      <c r="J124" t="s">
        <v>416</v>
      </c>
      <c r="K124">
        <v>73350479.450200602</v>
      </c>
      <c r="L124">
        <v>0.9</v>
      </c>
      <c r="M124">
        <v>34699595505.294601</v>
      </c>
      <c r="N124">
        <v>150955280.72099999</v>
      </c>
      <c r="O124">
        <v>55201020</v>
      </c>
      <c r="P124">
        <v>5520</v>
      </c>
      <c r="Q124">
        <v>1.73711451726054</v>
      </c>
      <c r="R124">
        <v>2.08</v>
      </c>
      <c r="S124" t="s">
        <v>417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2.1269999999999998</v>
      </c>
      <c r="AT124">
        <v>2.8340000000000001</v>
      </c>
      <c r="AU124" t="s">
        <v>420</v>
      </c>
      <c r="AV124">
        <v>1</v>
      </c>
      <c r="AW124">
        <v>0</v>
      </c>
      <c r="AX124" t="s">
        <v>446</v>
      </c>
      <c r="AY124">
        <v>0</v>
      </c>
      <c r="AZ124">
        <v>0</v>
      </c>
      <c r="BA124">
        <v>0</v>
      </c>
      <c r="CE124">
        <v>2.4805000000000001</v>
      </c>
      <c r="CG124" t="s">
        <v>450</v>
      </c>
      <c r="CI124">
        <v>1.73711451726054</v>
      </c>
      <c r="CJ124">
        <v>2.08</v>
      </c>
      <c r="CK124">
        <v>1.9085572586302699</v>
      </c>
      <c r="CL124">
        <v>-0.3</v>
      </c>
      <c r="CM124">
        <v>1.6085572586302701</v>
      </c>
    </row>
    <row r="125" spans="1:91" x14ac:dyDescent="0.25">
      <c r="A125">
        <v>554</v>
      </c>
      <c r="B125" t="s">
        <v>618</v>
      </c>
      <c r="C125" t="s">
        <v>1017</v>
      </c>
      <c r="D125" t="s">
        <v>1416</v>
      </c>
      <c r="E125" t="s">
        <v>400</v>
      </c>
      <c r="F125">
        <v>500000000</v>
      </c>
      <c r="G125">
        <v>19.31466</v>
      </c>
      <c r="H125" t="s">
        <v>411</v>
      </c>
      <c r="I125">
        <v>9657330000</v>
      </c>
      <c r="J125" t="s">
        <v>416</v>
      </c>
      <c r="K125">
        <v>6367465.42884677</v>
      </c>
      <c r="L125">
        <v>0.4</v>
      </c>
      <c r="M125">
        <v>3862932000</v>
      </c>
      <c r="N125">
        <v>3633000000</v>
      </c>
      <c r="O125">
        <v>30302010</v>
      </c>
      <c r="P125">
        <v>3030</v>
      </c>
      <c r="Q125">
        <v>3.1466666666666598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2.1640000000000001</v>
      </c>
      <c r="AT125">
        <v>2.61</v>
      </c>
      <c r="AU125" t="s">
        <v>430</v>
      </c>
      <c r="AV125">
        <v>0</v>
      </c>
      <c r="AW125">
        <v>0</v>
      </c>
      <c r="AX125" t="s">
        <v>439</v>
      </c>
      <c r="AY125">
        <v>0</v>
      </c>
      <c r="AZ125">
        <v>0</v>
      </c>
      <c r="BA125">
        <v>0</v>
      </c>
      <c r="CE125">
        <v>2.387</v>
      </c>
      <c r="CG125" t="s">
        <v>450</v>
      </c>
      <c r="CI125">
        <v>3.1466666666666598</v>
      </c>
      <c r="CJ125">
        <v>3.1</v>
      </c>
      <c r="CK125">
        <v>3.12333333333333</v>
      </c>
      <c r="CL125">
        <v>-0.18</v>
      </c>
      <c r="CM125">
        <v>2.9433333333333298</v>
      </c>
    </row>
    <row r="126" spans="1:91" x14ac:dyDescent="0.25">
      <c r="A126">
        <v>566</v>
      </c>
      <c r="B126" t="s">
        <v>117</v>
      </c>
      <c r="C126" t="s">
        <v>217</v>
      </c>
      <c r="D126" t="s">
        <v>317</v>
      </c>
      <c r="E126" t="s">
        <v>403</v>
      </c>
      <c r="F126">
        <v>4145945300</v>
      </c>
      <c r="G126">
        <v>17.2758</v>
      </c>
      <c r="H126" t="s">
        <v>413</v>
      </c>
      <c r="I126">
        <v>71624521813.740005</v>
      </c>
      <c r="J126" t="s">
        <v>416</v>
      </c>
      <c r="K126">
        <v>94231734.899956703</v>
      </c>
      <c r="L126">
        <v>1</v>
      </c>
      <c r="M126">
        <v>71624521813.740005</v>
      </c>
      <c r="N126">
        <v>75311096374.5</v>
      </c>
      <c r="O126">
        <v>20103015</v>
      </c>
      <c r="P126">
        <v>2010</v>
      </c>
      <c r="Q126">
        <v>1.73069234760163</v>
      </c>
      <c r="R126">
        <v>1.5</v>
      </c>
      <c r="S126" t="s">
        <v>417</v>
      </c>
      <c r="T126" t="s">
        <v>422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3.198</v>
      </c>
      <c r="AT126">
        <v>2.7879999999999998</v>
      </c>
      <c r="AU126" t="s">
        <v>420</v>
      </c>
      <c r="AV126">
        <v>1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2.9929999999999999</v>
      </c>
      <c r="CG126" t="s">
        <v>450</v>
      </c>
      <c r="CI126">
        <v>1.73069234760163</v>
      </c>
      <c r="CJ126">
        <v>1.5</v>
      </c>
      <c r="CK126">
        <v>1.615346173800815</v>
      </c>
      <c r="CL126">
        <v>-0.3</v>
      </c>
      <c r="CM126">
        <v>1.315346173800815</v>
      </c>
    </row>
    <row r="127" spans="1:91" x14ac:dyDescent="0.25">
      <c r="A127">
        <v>572</v>
      </c>
      <c r="B127" t="s">
        <v>622</v>
      </c>
      <c r="C127" t="s">
        <v>1021</v>
      </c>
      <c r="D127" t="s">
        <v>1420</v>
      </c>
      <c r="E127" t="s">
        <v>403</v>
      </c>
      <c r="F127">
        <v>9054145500</v>
      </c>
      <c r="G127">
        <v>4.720923</v>
      </c>
      <c r="H127" t="s">
        <v>413</v>
      </c>
      <c r="I127">
        <v>42743923736.296501</v>
      </c>
      <c r="J127" t="s">
        <v>416</v>
      </c>
      <c r="K127">
        <v>65098471.127073102</v>
      </c>
      <c r="L127">
        <v>0.95</v>
      </c>
      <c r="M127">
        <v>40606727549.481667</v>
      </c>
      <c r="N127">
        <v>1230865809997.5</v>
      </c>
      <c r="O127">
        <v>20103015</v>
      </c>
      <c r="P127">
        <v>2010</v>
      </c>
      <c r="Q127">
        <v>1.9829771812847601</v>
      </c>
      <c r="S127" t="s">
        <v>418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2.2170000000000001</v>
      </c>
      <c r="AT127">
        <v>2.98</v>
      </c>
      <c r="AU127" t="s">
        <v>420</v>
      </c>
      <c r="AV127">
        <v>1</v>
      </c>
      <c r="AW127">
        <v>0</v>
      </c>
      <c r="AX127" t="s">
        <v>442</v>
      </c>
      <c r="AY127">
        <v>0</v>
      </c>
      <c r="AZ127">
        <v>0</v>
      </c>
      <c r="BA127">
        <v>0</v>
      </c>
      <c r="CE127">
        <v>2.5985</v>
      </c>
      <c r="CG127" t="s">
        <v>450</v>
      </c>
      <c r="CI127">
        <v>1.9829771812847601</v>
      </c>
      <c r="CJ127">
        <v>3.1</v>
      </c>
      <c r="CK127">
        <v>2.5414885906423801</v>
      </c>
      <c r="CL127">
        <v>-0.18</v>
      </c>
      <c r="CM127">
        <v>2.3614885906423799</v>
      </c>
    </row>
    <row r="128" spans="1:91" x14ac:dyDescent="0.25">
      <c r="A128">
        <v>578</v>
      </c>
      <c r="B128" t="s">
        <v>624</v>
      </c>
      <c r="C128" t="s">
        <v>1023</v>
      </c>
      <c r="D128" t="s">
        <v>1422</v>
      </c>
      <c r="E128" t="s">
        <v>398</v>
      </c>
      <c r="F128">
        <v>120597140</v>
      </c>
      <c r="G128">
        <v>246.3</v>
      </c>
      <c r="H128" t="s">
        <v>409</v>
      </c>
      <c r="I128">
        <v>29703075582</v>
      </c>
      <c r="J128" t="s">
        <v>415</v>
      </c>
      <c r="K128">
        <v>25277333.998360701</v>
      </c>
      <c r="L128">
        <v>0.5</v>
      </c>
      <c r="M128">
        <v>14851537791</v>
      </c>
      <c r="N128">
        <v>8628725367</v>
      </c>
      <c r="O128">
        <v>30302020</v>
      </c>
      <c r="P128">
        <v>3030</v>
      </c>
      <c r="Q128">
        <v>3.4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2.4889999999999999</v>
      </c>
      <c r="AT128">
        <v>2.8650000000000002</v>
      </c>
      <c r="AU128" t="s">
        <v>430</v>
      </c>
      <c r="AV128">
        <v>0</v>
      </c>
      <c r="AW128">
        <v>0</v>
      </c>
      <c r="AX128" t="s">
        <v>437</v>
      </c>
      <c r="AY128">
        <v>0</v>
      </c>
      <c r="AZ128">
        <v>0</v>
      </c>
      <c r="BA128">
        <v>0</v>
      </c>
      <c r="CE128">
        <v>2.677</v>
      </c>
      <c r="CG128" t="s">
        <v>450</v>
      </c>
      <c r="CI128">
        <v>3.4</v>
      </c>
      <c r="CJ128">
        <v>3.1</v>
      </c>
      <c r="CK128">
        <v>3.25</v>
      </c>
      <c r="CL128">
        <v>-0.18</v>
      </c>
      <c r="CM128">
        <v>3.07</v>
      </c>
    </row>
    <row r="129" spans="1:91" x14ac:dyDescent="0.25">
      <c r="A129">
        <v>584</v>
      </c>
      <c r="B129" t="s">
        <v>626</v>
      </c>
      <c r="C129" t="s">
        <v>1025</v>
      </c>
      <c r="D129" t="s">
        <v>1424</v>
      </c>
      <c r="E129" t="s">
        <v>396</v>
      </c>
      <c r="F129">
        <v>576002613</v>
      </c>
      <c r="G129">
        <v>78.239999999999995</v>
      </c>
      <c r="H129" t="s">
        <v>409</v>
      </c>
      <c r="I129">
        <v>45066444441.120003</v>
      </c>
      <c r="J129" t="s">
        <v>415</v>
      </c>
      <c r="K129">
        <v>57643601.420317397</v>
      </c>
      <c r="L129">
        <v>0.5</v>
      </c>
      <c r="M129">
        <v>22533222220.560001</v>
      </c>
      <c r="N129">
        <v>41212986960.150002</v>
      </c>
      <c r="O129">
        <v>45101010</v>
      </c>
      <c r="P129">
        <v>4510</v>
      </c>
      <c r="Q129">
        <v>1.73493007376888</v>
      </c>
      <c r="R129">
        <v>2.08</v>
      </c>
      <c r="S129" t="s">
        <v>417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1.9790000000000001</v>
      </c>
      <c r="AT129">
        <v>3.0209999999999999</v>
      </c>
      <c r="AU129" t="s">
        <v>420</v>
      </c>
      <c r="AV129">
        <v>1</v>
      </c>
      <c r="AW129">
        <v>0</v>
      </c>
      <c r="AX129" t="s">
        <v>445</v>
      </c>
      <c r="AY129">
        <v>0</v>
      </c>
      <c r="AZ129">
        <v>0</v>
      </c>
      <c r="BA129">
        <v>0</v>
      </c>
      <c r="CE129">
        <v>2.5</v>
      </c>
      <c r="CG129" t="s">
        <v>450</v>
      </c>
      <c r="CI129">
        <v>1.73493007376888</v>
      </c>
      <c r="CJ129">
        <v>2.08</v>
      </c>
      <c r="CK129">
        <v>1.9074650368844399</v>
      </c>
      <c r="CL129">
        <v>-0.3</v>
      </c>
      <c r="CM129">
        <v>1.6074650368844401</v>
      </c>
    </row>
    <row r="130" spans="1:91" x14ac:dyDescent="0.25">
      <c r="A130">
        <v>587</v>
      </c>
      <c r="B130" t="s">
        <v>628</v>
      </c>
      <c r="C130" t="s">
        <v>1027</v>
      </c>
      <c r="D130" t="s">
        <v>1426</v>
      </c>
      <c r="E130" t="s">
        <v>398</v>
      </c>
      <c r="F130">
        <v>178162870</v>
      </c>
      <c r="G130">
        <v>83.9</v>
      </c>
      <c r="H130" t="s">
        <v>409</v>
      </c>
      <c r="I130">
        <v>14947864793</v>
      </c>
      <c r="J130" t="s">
        <v>415</v>
      </c>
      <c r="K130">
        <v>27155576.799672101</v>
      </c>
      <c r="L130">
        <v>0.9</v>
      </c>
      <c r="M130">
        <v>13453078313.700001</v>
      </c>
      <c r="N130">
        <v>22945596027.299999</v>
      </c>
      <c r="O130">
        <v>40202025</v>
      </c>
      <c r="P130">
        <v>4020</v>
      </c>
      <c r="Q130">
        <v>1.7474964823060299</v>
      </c>
      <c r="R130">
        <v>2.08</v>
      </c>
      <c r="S130" t="s">
        <v>420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E130">
        <v>0</v>
      </c>
      <c r="AS130">
        <v>2.9809999999999999</v>
      </c>
      <c r="AT130">
        <v>2.5419999999999998</v>
      </c>
      <c r="AU130" t="s">
        <v>420</v>
      </c>
      <c r="AV130">
        <v>1</v>
      </c>
      <c r="AW130">
        <v>0</v>
      </c>
      <c r="AX130" t="s">
        <v>437</v>
      </c>
      <c r="AY130">
        <v>0</v>
      </c>
      <c r="AZ130">
        <v>0</v>
      </c>
      <c r="BA130">
        <v>0</v>
      </c>
      <c r="CE130">
        <v>2.7614999999999998</v>
      </c>
      <c r="CG130" t="s">
        <v>450</v>
      </c>
      <c r="CI130">
        <v>1.7474964823060299</v>
      </c>
      <c r="CJ130">
        <v>2.08</v>
      </c>
      <c r="CK130">
        <v>1.9137482411530149</v>
      </c>
      <c r="CL130">
        <v>0</v>
      </c>
      <c r="CM130">
        <v>1.9137482411530149</v>
      </c>
    </row>
    <row r="131" spans="1:91" x14ac:dyDescent="0.25">
      <c r="A131">
        <v>588</v>
      </c>
      <c r="B131" t="s">
        <v>629</v>
      </c>
      <c r="C131" t="s">
        <v>1028</v>
      </c>
      <c r="D131" t="s">
        <v>1427</v>
      </c>
      <c r="E131" t="s">
        <v>395</v>
      </c>
      <c r="F131">
        <v>1416142200</v>
      </c>
      <c r="G131">
        <v>12.719139999999999</v>
      </c>
      <c r="H131" t="s">
        <v>410</v>
      </c>
      <c r="I131">
        <v>18012110901.708</v>
      </c>
      <c r="J131" t="s">
        <v>416</v>
      </c>
      <c r="K131">
        <v>36949208.726181597</v>
      </c>
      <c r="L131">
        <v>0.35</v>
      </c>
      <c r="M131">
        <v>6304238815.5977993</v>
      </c>
      <c r="N131">
        <v>70927482087</v>
      </c>
      <c r="O131">
        <v>40401020</v>
      </c>
      <c r="P131">
        <v>4040</v>
      </c>
      <c r="Q131">
        <v>1.7477500098233101</v>
      </c>
      <c r="R131">
        <v>2.08</v>
      </c>
      <c r="S131" t="s">
        <v>417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2.411</v>
      </c>
      <c r="AT131">
        <v>3.0760000000000001</v>
      </c>
      <c r="AU131" t="s">
        <v>431</v>
      </c>
      <c r="AV131">
        <v>1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2.7435</v>
      </c>
      <c r="CG131" t="s">
        <v>450</v>
      </c>
      <c r="CI131">
        <v>1.7477500098233101</v>
      </c>
      <c r="CJ131">
        <v>2.08</v>
      </c>
      <c r="CK131">
        <v>1.9138750049116551</v>
      </c>
      <c r="CL131">
        <v>-0.3</v>
      </c>
      <c r="CM131">
        <v>1.613875004911655</v>
      </c>
    </row>
    <row r="132" spans="1:91" x14ac:dyDescent="0.25">
      <c r="A132">
        <v>591</v>
      </c>
      <c r="B132" t="s">
        <v>631</v>
      </c>
      <c r="C132" t="s">
        <v>1030</v>
      </c>
      <c r="D132" t="s">
        <v>1429</v>
      </c>
      <c r="E132" t="s">
        <v>394</v>
      </c>
      <c r="F132">
        <v>105569412</v>
      </c>
      <c r="G132">
        <v>2749</v>
      </c>
      <c r="H132" t="s">
        <v>409</v>
      </c>
      <c r="I132">
        <v>290210313588</v>
      </c>
      <c r="J132" t="s">
        <v>415</v>
      </c>
      <c r="K132">
        <v>142042277.444444</v>
      </c>
      <c r="L132">
        <v>0.3</v>
      </c>
      <c r="M132">
        <v>87063094076.400009</v>
      </c>
      <c r="N132">
        <v>4532094857.1600008</v>
      </c>
      <c r="O132">
        <v>40204020</v>
      </c>
      <c r="P132">
        <v>4020</v>
      </c>
      <c r="Q132">
        <v>1.97424154493162</v>
      </c>
      <c r="S132" t="s">
        <v>417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2.5659999999999998</v>
      </c>
      <c r="AT132">
        <v>3.1030000000000002</v>
      </c>
      <c r="AU132" t="s">
        <v>420</v>
      </c>
      <c r="AV132">
        <v>1</v>
      </c>
      <c r="AW132">
        <v>0</v>
      </c>
      <c r="AX132" t="s">
        <v>433</v>
      </c>
      <c r="AY132">
        <v>0</v>
      </c>
      <c r="AZ132">
        <v>0</v>
      </c>
      <c r="BA132">
        <v>0</v>
      </c>
      <c r="CE132">
        <v>2.8344999999999998</v>
      </c>
      <c r="CG132" t="s">
        <v>450</v>
      </c>
      <c r="CI132">
        <v>1.97424154493162</v>
      </c>
      <c r="CJ132">
        <v>3.1</v>
      </c>
      <c r="CK132">
        <v>2.5371207724658098</v>
      </c>
      <c r="CL132">
        <v>-0.3</v>
      </c>
      <c r="CM132">
        <v>2.23712077246581</v>
      </c>
    </row>
    <row r="133" spans="1:91" x14ac:dyDescent="0.25">
      <c r="A133">
        <v>595</v>
      </c>
      <c r="B133" t="s">
        <v>632</v>
      </c>
      <c r="C133" t="s">
        <v>1031</v>
      </c>
      <c r="D133" t="s">
        <v>1430</v>
      </c>
      <c r="E133" t="s">
        <v>395</v>
      </c>
      <c r="F133">
        <v>2595227800</v>
      </c>
      <c r="G133">
        <v>11.41081</v>
      </c>
      <c r="H133" t="s">
        <v>410</v>
      </c>
      <c r="I133">
        <v>29613651332.518002</v>
      </c>
      <c r="J133" t="s">
        <v>416</v>
      </c>
      <c r="K133">
        <v>42986585.751212597</v>
      </c>
      <c r="L133">
        <v>0.8</v>
      </c>
      <c r="M133">
        <v>23690921066.0144</v>
      </c>
      <c r="N133">
        <v>85414137353.600006</v>
      </c>
      <c r="O133">
        <v>10101015</v>
      </c>
      <c r="P133">
        <v>1010</v>
      </c>
      <c r="Q133">
        <v>1.7041862786529201</v>
      </c>
      <c r="S133" t="s">
        <v>418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1.968</v>
      </c>
      <c r="AT133">
        <v>2.952</v>
      </c>
      <c r="AU133" t="s">
        <v>420</v>
      </c>
      <c r="AV133">
        <v>1</v>
      </c>
      <c r="AW133">
        <v>0</v>
      </c>
      <c r="AX133" t="s">
        <v>434</v>
      </c>
      <c r="AY133">
        <v>0</v>
      </c>
      <c r="AZ133">
        <v>0</v>
      </c>
      <c r="BA133">
        <v>0</v>
      </c>
      <c r="CE133">
        <v>2.46</v>
      </c>
      <c r="CG133" t="s">
        <v>450</v>
      </c>
      <c r="CI133">
        <v>1.7041862786529201</v>
      </c>
      <c r="CJ133">
        <v>3.1</v>
      </c>
      <c r="CK133">
        <v>2.40209313932646</v>
      </c>
      <c r="CL133">
        <v>-0.18</v>
      </c>
      <c r="CM133">
        <v>2.2220931393264598</v>
      </c>
    </row>
    <row r="134" spans="1:91" x14ac:dyDescent="0.25">
      <c r="A134">
        <v>597</v>
      </c>
      <c r="B134" t="s">
        <v>633</v>
      </c>
      <c r="C134" t="s">
        <v>1032</v>
      </c>
      <c r="D134" t="s">
        <v>1431</v>
      </c>
      <c r="E134" t="s">
        <v>403</v>
      </c>
      <c r="F134">
        <v>221886460</v>
      </c>
      <c r="G134">
        <v>27.926590000000001</v>
      </c>
      <c r="H134" t="s">
        <v>413</v>
      </c>
      <c r="I134">
        <v>6196532194.9714003</v>
      </c>
      <c r="J134" t="s">
        <v>416</v>
      </c>
      <c r="K134">
        <v>7589738.3235018896</v>
      </c>
      <c r="L134">
        <v>0.75</v>
      </c>
      <c r="M134">
        <v>4647399146.22855</v>
      </c>
      <c r="N134">
        <v>6846306723.2999992</v>
      </c>
      <c r="O134">
        <v>20103015</v>
      </c>
      <c r="P134">
        <v>2010</v>
      </c>
      <c r="Q134">
        <v>3.4</v>
      </c>
      <c r="R134">
        <v>3.1</v>
      </c>
      <c r="S134" t="s">
        <v>418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>
        <v>2.6739999999999999</v>
      </c>
      <c r="AT134">
        <v>2.137</v>
      </c>
      <c r="AU134" t="s">
        <v>420</v>
      </c>
      <c r="AV134">
        <v>1</v>
      </c>
      <c r="AW134">
        <v>0</v>
      </c>
      <c r="AX134" t="s">
        <v>442</v>
      </c>
      <c r="AY134">
        <v>0</v>
      </c>
      <c r="AZ134">
        <v>0</v>
      </c>
      <c r="BA134">
        <v>0</v>
      </c>
      <c r="CE134">
        <v>2.4055</v>
      </c>
      <c r="CG134" t="s">
        <v>450</v>
      </c>
      <c r="CI134">
        <v>3.4</v>
      </c>
      <c r="CJ134">
        <v>3.1</v>
      </c>
      <c r="CK134">
        <v>3.25</v>
      </c>
      <c r="CL134">
        <v>-0.18</v>
      </c>
      <c r="CM134">
        <v>3.07</v>
      </c>
    </row>
    <row r="135" spans="1:91" x14ac:dyDescent="0.25">
      <c r="A135">
        <v>619</v>
      </c>
      <c r="B135" t="s">
        <v>639</v>
      </c>
      <c r="C135" t="s">
        <v>1038</v>
      </c>
      <c r="D135" t="s">
        <v>1437</v>
      </c>
      <c r="E135" t="s">
        <v>403</v>
      </c>
      <c r="F135">
        <v>17822174000</v>
      </c>
      <c r="G135">
        <v>10.708819999999999</v>
      </c>
      <c r="H135" t="s">
        <v>413</v>
      </c>
      <c r="I135">
        <v>190854453374.67999</v>
      </c>
      <c r="J135" t="s">
        <v>416</v>
      </c>
      <c r="K135">
        <v>160045769.54936501</v>
      </c>
      <c r="L135">
        <v>0.9</v>
      </c>
      <c r="M135">
        <v>171769008037.21201</v>
      </c>
      <c r="N135">
        <v>659883814524</v>
      </c>
      <c r="O135">
        <v>30101010</v>
      </c>
      <c r="P135">
        <v>3010</v>
      </c>
      <c r="Q135">
        <v>3.2733333333333299</v>
      </c>
      <c r="R135">
        <v>1.5</v>
      </c>
      <c r="S135" t="s">
        <v>1648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2.2669999999999999</v>
      </c>
      <c r="AT135">
        <v>2.6749999999999998</v>
      </c>
      <c r="AU135" t="s">
        <v>430</v>
      </c>
      <c r="AV135">
        <v>0</v>
      </c>
      <c r="AW135">
        <v>0</v>
      </c>
      <c r="AX135" t="s">
        <v>442</v>
      </c>
      <c r="AY135">
        <v>0</v>
      </c>
      <c r="AZ135">
        <v>0</v>
      </c>
      <c r="BA135">
        <v>0</v>
      </c>
      <c r="CE135">
        <v>2.4710000000000001</v>
      </c>
      <c r="CG135" t="s">
        <v>450</v>
      </c>
      <c r="CI135">
        <v>3.2733333333333299</v>
      </c>
      <c r="CJ135">
        <v>1.5</v>
      </c>
      <c r="CK135">
        <v>2.3866666666666649</v>
      </c>
      <c r="CL135">
        <v>0.3</v>
      </c>
      <c r="CM135">
        <v>2.6866666666666652</v>
      </c>
    </row>
    <row r="136" spans="1:91" x14ac:dyDescent="0.25">
      <c r="A136">
        <v>624</v>
      </c>
      <c r="B136" t="s">
        <v>184</v>
      </c>
      <c r="C136" t="s">
        <v>284</v>
      </c>
      <c r="D136" t="s">
        <v>384</v>
      </c>
      <c r="E136" t="s">
        <v>399</v>
      </c>
      <c r="F136">
        <v>107760380</v>
      </c>
      <c r="G136">
        <v>37.44</v>
      </c>
      <c r="H136" t="s">
        <v>409</v>
      </c>
      <c r="I136">
        <v>4034548627.1999998</v>
      </c>
      <c r="J136" t="s">
        <v>415</v>
      </c>
      <c r="K136">
        <v>5079226.97288136</v>
      </c>
      <c r="L136">
        <v>0.9</v>
      </c>
      <c r="M136">
        <v>3631093764.48</v>
      </c>
      <c r="N136">
        <v>3989935829.8800001</v>
      </c>
      <c r="O136">
        <v>50203030</v>
      </c>
      <c r="P136">
        <v>5020</v>
      </c>
      <c r="Q136">
        <v>1.9600431112566099</v>
      </c>
      <c r="R136">
        <v>1.77</v>
      </c>
      <c r="S136" t="s">
        <v>419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2.7010000000000001</v>
      </c>
      <c r="AT136">
        <v>2.9630000000000001</v>
      </c>
      <c r="AU136" t="s">
        <v>420</v>
      </c>
      <c r="AV136">
        <v>1</v>
      </c>
      <c r="AW136">
        <v>0</v>
      </c>
      <c r="AX136" t="s">
        <v>438</v>
      </c>
      <c r="AY136">
        <v>0</v>
      </c>
      <c r="AZ136">
        <v>0</v>
      </c>
      <c r="BA136">
        <v>0</v>
      </c>
      <c r="CE136">
        <v>2.8319999999999999</v>
      </c>
      <c r="CG136" t="s">
        <v>450</v>
      </c>
      <c r="CI136">
        <v>1.9600431112566099</v>
      </c>
      <c r="CJ136">
        <v>1.77</v>
      </c>
      <c r="CK136">
        <v>1.865021555628305</v>
      </c>
      <c r="CL136">
        <v>-0.24</v>
      </c>
      <c r="CM136">
        <v>1.625021555628305</v>
      </c>
    </row>
    <row r="137" spans="1:91" x14ac:dyDescent="0.25">
      <c r="A137">
        <v>637</v>
      </c>
      <c r="B137" t="s">
        <v>642</v>
      </c>
      <c r="C137" t="s">
        <v>1041</v>
      </c>
      <c r="D137" t="s">
        <v>1440</v>
      </c>
      <c r="E137" t="s">
        <v>396</v>
      </c>
      <c r="F137">
        <v>59107999</v>
      </c>
      <c r="G137">
        <v>149.05000000000001</v>
      </c>
      <c r="H137" t="s">
        <v>409</v>
      </c>
      <c r="I137">
        <v>8810047250.9500008</v>
      </c>
      <c r="J137" t="s">
        <v>415</v>
      </c>
      <c r="K137">
        <v>12425239.6464286</v>
      </c>
      <c r="L137">
        <v>1</v>
      </c>
      <c r="M137">
        <v>8810047250.9500008</v>
      </c>
      <c r="N137">
        <v>2431703078.8600001</v>
      </c>
      <c r="O137">
        <v>55201020</v>
      </c>
      <c r="P137">
        <v>5520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2.504</v>
      </c>
      <c r="AT137">
        <v>3.2759999999999998</v>
      </c>
      <c r="AU137" t="s">
        <v>431</v>
      </c>
      <c r="AV137">
        <v>1</v>
      </c>
      <c r="AW137">
        <v>0</v>
      </c>
      <c r="AX137" t="s">
        <v>445</v>
      </c>
      <c r="AY137">
        <v>0</v>
      </c>
      <c r="AZ137">
        <v>0</v>
      </c>
      <c r="BA137">
        <v>0</v>
      </c>
      <c r="CE137">
        <v>2.89</v>
      </c>
      <c r="CG137" t="s">
        <v>450</v>
      </c>
      <c r="CI137">
        <v>3.4</v>
      </c>
      <c r="CJ137">
        <v>3.1</v>
      </c>
      <c r="CK137">
        <v>3.25</v>
      </c>
      <c r="CL137">
        <v>-0.18</v>
      </c>
      <c r="CM137">
        <v>3.07</v>
      </c>
    </row>
    <row r="138" spans="1:91" x14ac:dyDescent="0.25">
      <c r="A138">
        <v>642</v>
      </c>
      <c r="B138" t="s">
        <v>646</v>
      </c>
      <c r="C138" t="s">
        <v>1045</v>
      </c>
      <c r="D138" t="s">
        <v>1444</v>
      </c>
      <c r="E138" t="s">
        <v>401</v>
      </c>
      <c r="F138">
        <v>3116652000</v>
      </c>
      <c r="G138">
        <v>52.44</v>
      </c>
      <c r="H138" t="s">
        <v>409</v>
      </c>
      <c r="I138">
        <v>163437230880</v>
      </c>
      <c r="J138" t="s">
        <v>415</v>
      </c>
      <c r="K138">
        <v>95493793.569292098</v>
      </c>
      <c r="L138">
        <v>0.4</v>
      </c>
      <c r="M138">
        <v>65374892352</v>
      </c>
      <c r="N138">
        <v>48968836224</v>
      </c>
      <c r="O138">
        <v>40401020</v>
      </c>
      <c r="P138">
        <v>4040</v>
      </c>
      <c r="Q138">
        <v>1.74372801575046</v>
      </c>
      <c r="S138" t="s">
        <v>418</v>
      </c>
      <c r="T138" t="s">
        <v>422</v>
      </c>
      <c r="U138">
        <v>0</v>
      </c>
      <c r="V138">
        <v>0</v>
      </c>
      <c r="W138" t="s">
        <v>422</v>
      </c>
      <c r="X138" t="s">
        <v>422</v>
      </c>
      <c r="Y138" t="s">
        <v>422</v>
      </c>
      <c r="Z138" t="s">
        <v>422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2.5920000000000001</v>
      </c>
      <c r="AT138">
        <v>3.2410000000000001</v>
      </c>
      <c r="AU138" t="s">
        <v>431</v>
      </c>
      <c r="AV138">
        <v>1</v>
      </c>
      <c r="AW138">
        <v>0</v>
      </c>
      <c r="AX138" t="s">
        <v>440</v>
      </c>
      <c r="AY138">
        <v>0</v>
      </c>
      <c r="AZ138">
        <v>0</v>
      </c>
      <c r="BA138">
        <v>0</v>
      </c>
      <c r="CE138">
        <v>2.9165000000000001</v>
      </c>
      <c r="CG138" t="s">
        <v>450</v>
      </c>
      <c r="CI138">
        <v>1.74372801575046</v>
      </c>
      <c r="CJ138">
        <v>3.1</v>
      </c>
      <c r="CK138">
        <v>2.42186400787523</v>
      </c>
      <c r="CL138">
        <v>-0.18</v>
      </c>
      <c r="CM138">
        <v>2.2418640078752299</v>
      </c>
    </row>
    <row r="139" spans="1:91" x14ac:dyDescent="0.25">
      <c r="A139">
        <v>644</v>
      </c>
      <c r="B139" t="s">
        <v>648</v>
      </c>
      <c r="C139" t="s">
        <v>1047</v>
      </c>
      <c r="D139" t="s">
        <v>1446</v>
      </c>
      <c r="E139" t="s">
        <v>395</v>
      </c>
      <c r="F139">
        <v>364323000</v>
      </c>
      <c r="G139">
        <v>28.684380000000001</v>
      </c>
      <c r="H139" t="s">
        <v>410</v>
      </c>
      <c r="I139">
        <v>10450379374.74</v>
      </c>
      <c r="J139" t="s">
        <v>416</v>
      </c>
      <c r="K139">
        <v>7406705.8083766503</v>
      </c>
      <c r="L139">
        <v>0.75</v>
      </c>
      <c r="M139">
        <v>7837784531.0550003</v>
      </c>
      <c r="N139">
        <v>10732955580</v>
      </c>
      <c r="O139">
        <v>50203000</v>
      </c>
      <c r="P139">
        <v>5020</v>
      </c>
      <c r="Q139">
        <v>1.7480803378632199</v>
      </c>
      <c r="S139" t="s">
        <v>420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1.83</v>
      </c>
      <c r="AT139">
        <v>2.7519999999999998</v>
      </c>
      <c r="AU139" t="s">
        <v>420</v>
      </c>
      <c r="AV139">
        <v>1</v>
      </c>
      <c r="AW139">
        <v>0</v>
      </c>
      <c r="AX139" t="s">
        <v>434</v>
      </c>
      <c r="AY139">
        <v>0</v>
      </c>
      <c r="AZ139">
        <v>0</v>
      </c>
      <c r="BA139">
        <v>0</v>
      </c>
      <c r="CE139">
        <v>2.2909999999999999</v>
      </c>
      <c r="CG139" t="s">
        <v>450</v>
      </c>
      <c r="CI139">
        <v>1.7480803378632199</v>
      </c>
      <c r="CJ139">
        <v>3.1</v>
      </c>
      <c r="CK139">
        <v>2.4240401689316098</v>
      </c>
      <c r="CL139">
        <v>0</v>
      </c>
      <c r="CM139">
        <v>2.4240401689316098</v>
      </c>
    </row>
    <row r="140" spans="1:91" x14ac:dyDescent="0.25">
      <c r="A140">
        <v>645</v>
      </c>
      <c r="B140" t="s">
        <v>649</v>
      </c>
      <c r="C140" t="s">
        <v>1048</v>
      </c>
      <c r="D140" t="s">
        <v>1447</v>
      </c>
      <c r="E140" t="s">
        <v>398</v>
      </c>
      <c r="F140">
        <v>1305921100</v>
      </c>
      <c r="G140">
        <v>38.515000000000001</v>
      </c>
      <c r="H140" t="s">
        <v>409</v>
      </c>
      <c r="I140">
        <v>50297551166.5</v>
      </c>
      <c r="J140" t="s">
        <v>415</v>
      </c>
      <c r="K140">
        <v>140800741.44135201</v>
      </c>
      <c r="L140">
        <v>1</v>
      </c>
      <c r="M140">
        <v>50297551166.5</v>
      </c>
      <c r="N140">
        <v>51296580808</v>
      </c>
      <c r="O140">
        <v>10102010</v>
      </c>
      <c r="P140">
        <v>1010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424</v>
      </c>
      <c r="AO140">
        <v>0</v>
      </c>
      <c r="AP140">
        <v>0</v>
      </c>
      <c r="AQ140">
        <v>0</v>
      </c>
      <c r="AR140">
        <v>0</v>
      </c>
      <c r="AS140">
        <v>2.548</v>
      </c>
      <c r="AT140">
        <v>3.3170000000000002</v>
      </c>
      <c r="AU140" t="s">
        <v>420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CE140">
        <v>2.9325000000000001</v>
      </c>
      <c r="CG140" t="s">
        <v>450</v>
      </c>
      <c r="CI140">
        <v>3.4</v>
      </c>
      <c r="CJ140">
        <v>3.1</v>
      </c>
      <c r="CK140">
        <v>3.25</v>
      </c>
      <c r="CL140">
        <v>-0.18</v>
      </c>
      <c r="CM140">
        <v>3.07</v>
      </c>
    </row>
    <row r="141" spans="1:91" x14ac:dyDescent="0.25">
      <c r="A141">
        <v>646</v>
      </c>
      <c r="B141" t="s">
        <v>650</v>
      </c>
      <c r="C141" t="s">
        <v>1049</v>
      </c>
      <c r="D141" t="s">
        <v>1448</v>
      </c>
      <c r="E141" t="s">
        <v>403</v>
      </c>
      <c r="F141">
        <v>1330244800</v>
      </c>
      <c r="G141">
        <v>10.67013</v>
      </c>
      <c r="H141" t="s">
        <v>413</v>
      </c>
      <c r="I141">
        <v>14193884947.823999</v>
      </c>
      <c r="J141" t="s">
        <v>416</v>
      </c>
      <c r="K141">
        <v>18648977.796000201</v>
      </c>
      <c r="L141">
        <v>1</v>
      </c>
      <c r="M141">
        <v>14193884947.823999</v>
      </c>
      <c r="N141">
        <v>52252015744</v>
      </c>
      <c r="O141">
        <v>40301020</v>
      </c>
      <c r="P141">
        <v>4030</v>
      </c>
      <c r="Q141">
        <v>1.99729251308287</v>
      </c>
      <c r="S141" t="s">
        <v>419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2.601</v>
      </c>
      <c r="AT141">
        <v>3.3039999999999998</v>
      </c>
      <c r="AU141" t="s">
        <v>426</v>
      </c>
      <c r="AV141">
        <v>0</v>
      </c>
      <c r="AW141">
        <v>0</v>
      </c>
      <c r="AX141" t="s">
        <v>442</v>
      </c>
      <c r="AY141">
        <v>0</v>
      </c>
      <c r="AZ141">
        <v>0</v>
      </c>
      <c r="BA141">
        <v>0</v>
      </c>
      <c r="CE141">
        <v>2.9525000000000001</v>
      </c>
      <c r="CG141" t="s">
        <v>450</v>
      </c>
      <c r="CI141">
        <v>1.99729251308287</v>
      </c>
      <c r="CJ141">
        <v>3.1</v>
      </c>
      <c r="CK141">
        <v>2.548646256541435</v>
      </c>
      <c r="CL141">
        <v>-0.24</v>
      </c>
      <c r="CM141">
        <v>2.3086462565414352</v>
      </c>
    </row>
    <row r="142" spans="1:91" x14ac:dyDescent="0.25">
      <c r="A142">
        <v>648</v>
      </c>
      <c r="B142" t="s">
        <v>651</v>
      </c>
      <c r="C142" t="s">
        <v>1050</v>
      </c>
      <c r="D142" t="s">
        <v>1449</v>
      </c>
      <c r="E142" t="s">
        <v>396</v>
      </c>
      <c r="F142">
        <v>3147391173</v>
      </c>
      <c r="G142">
        <v>16.564</v>
      </c>
      <c r="H142" t="s">
        <v>409</v>
      </c>
      <c r="I142">
        <v>52133387389.571999</v>
      </c>
      <c r="J142" t="s">
        <v>415</v>
      </c>
      <c r="K142">
        <v>157598776.08198401</v>
      </c>
      <c r="L142">
        <v>1</v>
      </c>
      <c r="M142">
        <v>52133387389.571999</v>
      </c>
      <c r="N142">
        <v>123629525275.44</v>
      </c>
      <c r="O142">
        <v>30101010</v>
      </c>
      <c r="P142">
        <v>3010</v>
      </c>
      <c r="Q142">
        <v>3.2733333333333299</v>
      </c>
      <c r="S142" t="s">
        <v>1648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2.214</v>
      </c>
      <c r="AT142">
        <v>2.871</v>
      </c>
      <c r="AU142" t="s">
        <v>430</v>
      </c>
      <c r="AV142">
        <v>0</v>
      </c>
      <c r="AW142">
        <v>0</v>
      </c>
      <c r="AX142" t="s">
        <v>445</v>
      </c>
      <c r="AY142">
        <v>0</v>
      </c>
      <c r="AZ142">
        <v>0</v>
      </c>
      <c r="BA142">
        <v>0</v>
      </c>
      <c r="CE142">
        <v>2.5425</v>
      </c>
      <c r="CG142" t="s">
        <v>450</v>
      </c>
      <c r="CI142">
        <v>3.2733333333333299</v>
      </c>
      <c r="CJ142">
        <v>3.1</v>
      </c>
      <c r="CK142">
        <v>3.1866666666666652</v>
      </c>
      <c r="CL142">
        <v>0.3</v>
      </c>
      <c r="CM142">
        <v>3.486666666666665</v>
      </c>
    </row>
    <row r="143" spans="1:91" x14ac:dyDescent="0.25">
      <c r="A143">
        <v>659</v>
      </c>
      <c r="B143" t="s">
        <v>652</v>
      </c>
      <c r="C143" t="s">
        <v>1051</v>
      </c>
      <c r="D143" t="s">
        <v>1450</v>
      </c>
      <c r="E143" t="s">
        <v>403</v>
      </c>
      <c r="F143">
        <v>158172500</v>
      </c>
      <c r="G143">
        <v>119.6854</v>
      </c>
      <c r="H143" t="s">
        <v>413</v>
      </c>
      <c r="I143">
        <v>18930938931.5</v>
      </c>
      <c r="J143" t="s">
        <v>416</v>
      </c>
      <c r="K143">
        <v>32247793.982799198</v>
      </c>
      <c r="L143">
        <v>0.95</v>
      </c>
      <c r="M143">
        <v>17984391984.924999</v>
      </c>
      <c r="N143">
        <v>5902365010</v>
      </c>
      <c r="O143">
        <v>40501025</v>
      </c>
      <c r="P143">
        <v>4050</v>
      </c>
      <c r="Q143">
        <v>1.84275880396175</v>
      </c>
      <c r="R143">
        <v>2.08</v>
      </c>
      <c r="S143" t="s">
        <v>420</v>
      </c>
      <c r="T143" t="s">
        <v>422</v>
      </c>
      <c r="U143">
        <v>0</v>
      </c>
      <c r="V143">
        <v>0.01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2.2839999999999998</v>
      </c>
      <c r="AT143">
        <v>2.9609999999999999</v>
      </c>
      <c r="AU143" t="s">
        <v>1657</v>
      </c>
      <c r="AV143">
        <v>0</v>
      </c>
      <c r="AW143">
        <v>0</v>
      </c>
      <c r="AX143" t="s">
        <v>442</v>
      </c>
      <c r="AY143">
        <v>0</v>
      </c>
      <c r="AZ143">
        <v>0</v>
      </c>
      <c r="BA143">
        <v>0</v>
      </c>
      <c r="CE143">
        <v>2.6225000000000001</v>
      </c>
      <c r="CG143" t="s">
        <v>450</v>
      </c>
      <c r="CI143">
        <v>1.84275880396175</v>
      </c>
      <c r="CJ143">
        <v>2.08</v>
      </c>
      <c r="CK143">
        <v>1.961379401980875</v>
      </c>
      <c r="CL143">
        <v>0</v>
      </c>
      <c r="CM143">
        <v>1.961379401980875</v>
      </c>
    </row>
    <row r="144" spans="1:91" x14ac:dyDescent="0.25">
      <c r="A144">
        <v>660</v>
      </c>
      <c r="B144" t="s">
        <v>143</v>
      </c>
      <c r="C144" t="s">
        <v>243</v>
      </c>
      <c r="D144" t="s">
        <v>343</v>
      </c>
      <c r="E144" t="s">
        <v>403</v>
      </c>
      <c r="F144">
        <v>290636470</v>
      </c>
      <c r="G144">
        <v>28.9421</v>
      </c>
      <c r="H144" t="s">
        <v>413</v>
      </c>
      <c r="I144">
        <v>8411629778.3870001</v>
      </c>
      <c r="J144" t="s">
        <v>416</v>
      </c>
      <c r="K144">
        <v>15022768.651234301</v>
      </c>
      <c r="L144">
        <v>1</v>
      </c>
      <c r="M144">
        <v>8411629778.3870001</v>
      </c>
      <c r="N144">
        <v>11416200541.6</v>
      </c>
      <c r="O144">
        <v>30202010</v>
      </c>
      <c r="P144">
        <v>3020</v>
      </c>
      <c r="Q144">
        <v>1.9965141737727501</v>
      </c>
      <c r="S144" t="s">
        <v>419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2.117</v>
      </c>
      <c r="AT144">
        <v>2.9159999999999999</v>
      </c>
      <c r="AU144" t="s">
        <v>430</v>
      </c>
      <c r="AV144">
        <v>0</v>
      </c>
      <c r="AW144">
        <v>0</v>
      </c>
      <c r="AX144" t="s">
        <v>442</v>
      </c>
      <c r="AY144">
        <v>0</v>
      </c>
      <c r="AZ144">
        <v>0</v>
      </c>
      <c r="BA144">
        <v>0</v>
      </c>
      <c r="CE144">
        <v>2.5165000000000002</v>
      </c>
      <c r="CG144" t="s">
        <v>450</v>
      </c>
      <c r="CI144">
        <v>1.9965141737727501</v>
      </c>
      <c r="CJ144">
        <v>3.1</v>
      </c>
      <c r="CK144">
        <v>2.548257086886375</v>
      </c>
      <c r="CL144">
        <v>-0.24</v>
      </c>
      <c r="CM144">
        <v>2.3082570868863752</v>
      </c>
    </row>
    <row r="145" spans="1:91" x14ac:dyDescent="0.25">
      <c r="A145">
        <v>665</v>
      </c>
      <c r="B145" t="s">
        <v>129</v>
      </c>
      <c r="C145" t="s">
        <v>229</v>
      </c>
      <c r="D145" t="s">
        <v>329</v>
      </c>
      <c r="E145" t="s">
        <v>404</v>
      </c>
      <c r="F145">
        <v>17803670501</v>
      </c>
      <c r="G145">
        <v>4.5205000000000002</v>
      </c>
      <c r="H145" t="s">
        <v>409</v>
      </c>
      <c r="I145">
        <v>80481492499.770508</v>
      </c>
      <c r="J145" t="s">
        <v>415</v>
      </c>
      <c r="K145">
        <v>260212884.25246701</v>
      </c>
      <c r="L145">
        <v>0.9</v>
      </c>
      <c r="M145">
        <v>72433343249.793457</v>
      </c>
      <c r="N145">
        <v>629395359551.35205</v>
      </c>
      <c r="O145">
        <v>30101010</v>
      </c>
      <c r="P145">
        <v>3010</v>
      </c>
      <c r="Q145">
        <v>1.99846386909479</v>
      </c>
      <c r="R145">
        <v>2.39</v>
      </c>
      <c r="S145" t="s">
        <v>417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2.444</v>
      </c>
      <c r="AT145">
        <v>3.077</v>
      </c>
      <c r="AU145" t="s">
        <v>430</v>
      </c>
      <c r="AV145">
        <v>0</v>
      </c>
      <c r="AW145">
        <v>0</v>
      </c>
      <c r="AX145" t="s">
        <v>443</v>
      </c>
      <c r="AY145">
        <v>0</v>
      </c>
      <c r="AZ145">
        <v>0</v>
      </c>
      <c r="BA145">
        <v>0</v>
      </c>
      <c r="CE145">
        <v>2.7605</v>
      </c>
      <c r="CG145" t="s">
        <v>450</v>
      </c>
      <c r="CI145">
        <v>1.99846386909479</v>
      </c>
      <c r="CJ145">
        <v>2.39</v>
      </c>
      <c r="CK145">
        <v>2.1942319345473948</v>
      </c>
      <c r="CL145">
        <v>-0.3</v>
      </c>
      <c r="CM145">
        <v>1.894231934547395</v>
      </c>
    </row>
    <row r="146" spans="1:91" x14ac:dyDescent="0.25">
      <c r="A146">
        <v>666</v>
      </c>
      <c r="B146" t="s">
        <v>655</v>
      </c>
      <c r="C146" t="s">
        <v>1054</v>
      </c>
      <c r="D146" t="s">
        <v>1453</v>
      </c>
      <c r="E146" t="s">
        <v>403</v>
      </c>
      <c r="F146">
        <v>4812778300</v>
      </c>
      <c r="G146">
        <v>3.941154</v>
      </c>
      <c r="H146" t="s">
        <v>413</v>
      </c>
      <c r="I146">
        <v>18967900448.158199</v>
      </c>
      <c r="J146" t="s">
        <v>416</v>
      </c>
      <c r="K146">
        <v>65258978.541418999</v>
      </c>
      <c r="L146">
        <v>0.75</v>
      </c>
      <c r="M146">
        <v>14225925336.11865</v>
      </c>
      <c r="N146">
        <v>141784448718</v>
      </c>
      <c r="O146">
        <v>40501010</v>
      </c>
      <c r="P146">
        <v>4050</v>
      </c>
      <c r="Q146">
        <v>2.65990042857758</v>
      </c>
      <c r="R146">
        <v>1.5</v>
      </c>
      <c r="S146" t="s">
        <v>1648</v>
      </c>
      <c r="T146" t="s">
        <v>422</v>
      </c>
      <c r="U146">
        <v>0</v>
      </c>
      <c r="V146">
        <v>0.01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2.169</v>
      </c>
      <c r="AT146">
        <v>2.4769999999999999</v>
      </c>
      <c r="AU146" t="s">
        <v>427</v>
      </c>
      <c r="AV146">
        <v>1</v>
      </c>
      <c r="AW146">
        <v>0</v>
      </c>
      <c r="AX146" t="s">
        <v>440</v>
      </c>
      <c r="AY146">
        <v>0</v>
      </c>
      <c r="AZ146">
        <v>0</v>
      </c>
      <c r="BA146">
        <v>0</v>
      </c>
      <c r="CE146">
        <v>2.323</v>
      </c>
      <c r="CG146" t="s">
        <v>450</v>
      </c>
      <c r="CI146">
        <v>2.65990042857758</v>
      </c>
      <c r="CJ146">
        <v>1.5</v>
      </c>
      <c r="CK146">
        <v>2.07995021428879</v>
      </c>
      <c r="CL146">
        <v>0.3</v>
      </c>
      <c r="CM146">
        <v>2.3799502142887898</v>
      </c>
    </row>
    <row r="147" spans="1:91" x14ac:dyDescent="0.25">
      <c r="A147">
        <v>670</v>
      </c>
      <c r="B147" t="s">
        <v>656</v>
      </c>
      <c r="C147" t="s">
        <v>1055</v>
      </c>
      <c r="D147" t="s">
        <v>1454</v>
      </c>
      <c r="E147" t="s">
        <v>403</v>
      </c>
      <c r="F147">
        <v>645162300</v>
      </c>
      <c r="G147">
        <v>6.4678449999999996</v>
      </c>
      <c r="H147" t="s">
        <v>413</v>
      </c>
      <c r="I147">
        <v>4172809756.2435002</v>
      </c>
      <c r="J147" t="s">
        <v>416</v>
      </c>
      <c r="K147">
        <v>4694759.4826976797</v>
      </c>
      <c r="L147">
        <v>1</v>
      </c>
      <c r="M147">
        <v>4172809756.2435002</v>
      </c>
      <c r="N147">
        <v>25341975144</v>
      </c>
      <c r="O147">
        <v>30101010</v>
      </c>
      <c r="P147">
        <v>3010</v>
      </c>
      <c r="Q147">
        <v>3.28762148775427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2.0049999999999999</v>
      </c>
      <c r="AT147">
        <v>2.8820000000000001</v>
      </c>
      <c r="AU147" t="s">
        <v>430</v>
      </c>
      <c r="AV147">
        <v>0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2.4434999999999998</v>
      </c>
      <c r="CG147" t="s">
        <v>450</v>
      </c>
      <c r="CI147">
        <v>3.28762148775427</v>
      </c>
      <c r="CJ147">
        <v>3.1</v>
      </c>
      <c r="CK147">
        <v>3.193810743877135</v>
      </c>
      <c r="CL147">
        <v>-0.18</v>
      </c>
      <c r="CM147">
        <v>3.0138107438771349</v>
      </c>
    </row>
    <row r="148" spans="1:91" x14ac:dyDescent="0.25">
      <c r="A148">
        <v>671</v>
      </c>
      <c r="B148" t="s">
        <v>657</v>
      </c>
      <c r="C148" t="s">
        <v>1056</v>
      </c>
      <c r="D148" t="s">
        <v>1455</v>
      </c>
      <c r="E148" t="s">
        <v>395</v>
      </c>
      <c r="F148">
        <v>1821936800</v>
      </c>
      <c r="G148">
        <v>28.96313</v>
      </c>
      <c r="H148" t="s">
        <v>410</v>
      </c>
      <c r="I148">
        <v>52768992390.183998</v>
      </c>
      <c r="J148" t="s">
        <v>416</v>
      </c>
      <c r="K148">
        <v>71973486.503936604</v>
      </c>
      <c r="L148">
        <v>1</v>
      </c>
      <c r="M148">
        <v>52768992390.183998</v>
      </c>
      <c r="N148">
        <v>71565677504</v>
      </c>
      <c r="O148">
        <v>30202000</v>
      </c>
      <c r="P148">
        <v>3020</v>
      </c>
      <c r="Q148">
        <v>3.4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2.5049999999999999</v>
      </c>
      <c r="AT148">
        <v>2.6040000000000001</v>
      </c>
      <c r="AU148" t="s">
        <v>430</v>
      </c>
      <c r="AV148">
        <v>0</v>
      </c>
      <c r="AW148">
        <v>0</v>
      </c>
      <c r="AX148" t="s">
        <v>434</v>
      </c>
      <c r="AY148">
        <v>0</v>
      </c>
      <c r="AZ148">
        <v>0</v>
      </c>
      <c r="BA148">
        <v>0</v>
      </c>
      <c r="CE148">
        <v>2.5545</v>
      </c>
      <c r="CG148" t="s">
        <v>450</v>
      </c>
      <c r="CI148">
        <v>3.4</v>
      </c>
      <c r="CJ148">
        <v>3.1</v>
      </c>
      <c r="CK148">
        <v>3.25</v>
      </c>
      <c r="CL148">
        <v>0</v>
      </c>
      <c r="CM148">
        <v>3.25</v>
      </c>
    </row>
    <row r="149" spans="1:91" x14ac:dyDescent="0.25">
      <c r="A149">
        <v>674</v>
      </c>
      <c r="B149" t="s">
        <v>658</v>
      </c>
      <c r="C149" t="s">
        <v>1057</v>
      </c>
      <c r="D149" t="s">
        <v>1456</v>
      </c>
      <c r="E149" t="s">
        <v>404</v>
      </c>
      <c r="F149">
        <v>931890010</v>
      </c>
      <c r="G149">
        <v>9.4499999999999993</v>
      </c>
      <c r="H149" t="s">
        <v>409</v>
      </c>
      <c r="I149">
        <v>8806360594.5</v>
      </c>
      <c r="J149" t="s">
        <v>415</v>
      </c>
      <c r="K149">
        <v>11490417.005327901</v>
      </c>
      <c r="L149">
        <v>0.35</v>
      </c>
      <c r="M149">
        <v>3082226208.0749998</v>
      </c>
      <c r="N149">
        <v>12811623857.48</v>
      </c>
      <c r="O149">
        <v>15102015</v>
      </c>
      <c r="P149">
        <v>1510</v>
      </c>
      <c r="Q149">
        <v>1.7365132154734799</v>
      </c>
      <c r="S149" t="s">
        <v>417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</v>
      </c>
      <c r="AS149">
        <v>2.536</v>
      </c>
      <c r="AT149">
        <v>2.9889999999999999</v>
      </c>
      <c r="AU149" t="s">
        <v>424</v>
      </c>
      <c r="AV149">
        <v>1</v>
      </c>
      <c r="AW149">
        <v>0</v>
      </c>
      <c r="AX149" t="s">
        <v>443</v>
      </c>
      <c r="AY149">
        <v>0</v>
      </c>
      <c r="AZ149">
        <v>0</v>
      </c>
      <c r="BA149">
        <v>0</v>
      </c>
      <c r="CE149">
        <v>2.7625000000000002</v>
      </c>
      <c r="CG149" t="s">
        <v>450</v>
      </c>
      <c r="CI149">
        <v>1.7365132154734799</v>
      </c>
      <c r="CJ149">
        <v>3.1</v>
      </c>
      <c r="CK149">
        <v>2.41825660773674</v>
      </c>
      <c r="CL149">
        <v>-0.3</v>
      </c>
      <c r="CM149">
        <v>2.1182566077367402</v>
      </c>
    </row>
    <row r="150" spans="1:91" x14ac:dyDescent="0.25">
      <c r="A150">
        <v>675</v>
      </c>
      <c r="B150" t="s">
        <v>659</v>
      </c>
      <c r="C150" t="s">
        <v>1058</v>
      </c>
      <c r="D150" t="s">
        <v>1457</v>
      </c>
      <c r="E150" t="s">
        <v>394</v>
      </c>
      <c r="F150">
        <v>83814526</v>
      </c>
      <c r="G150">
        <v>110.4</v>
      </c>
      <c r="H150" t="s">
        <v>409</v>
      </c>
      <c r="I150">
        <v>9253123670.3999996</v>
      </c>
      <c r="J150" t="s">
        <v>415</v>
      </c>
      <c r="K150">
        <v>7962936.3880952401</v>
      </c>
      <c r="L150">
        <v>0.4</v>
      </c>
      <c r="M150">
        <v>3701249468.1599998</v>
      </c>
      <c r="N150">
        <v>1316893832.5120001</v>
      </c>
      <c r="O150">
        <v>20103015</v>
      </c>
      <c r="P150">
        <v>2010</v>
      </c>
      <c r="Q150">
        <v>1.7993005952380901</v>
      </c>
      <c r="R150">
        <v>2.7</v>
      </c>
      <c r="S150" t="s">
        <v>421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2.6040000000000001</v>
      </c>
      <c r="AT150">
        <v>2.907</v>
      </c>
      <c r="AU150" t="s">
        <v>429</v>
      </c>
      <c r="AV150">
        <v>0</v>
      </c>
      <c r="AW150">
        <v>0</v>
      </c>
      <c r="AX150" t="s">
        <v>433</v>
      </c>
      <c r="AY150">
        <v>0</v>
      </c>
      <c r="AZ150">
        <v>0</v>
      </c>
      <c r="BA150">
        <v>0</v>
      </c>
      <c r="CE150">
        <v>2.7555000000000001</v>
      </c>
      <c r="CG150" t="s">
        <v>450</v>
      </c>
      <c r="CI150">
        <v>1.7993005952380901</v>
      </c>
      <c r="CJ150">
        <v>2.7</v>
      </c>
      <c r="CK150">
        <v>2.2496502976190449</v>
      </c>
      <c r="CL150">
        <v>0.18</v>
      </c>
      <c r="CM150">
        <v>2.4296502976190451</v>
      </c>
    </row>
    <row r="151" spans="1:91" x14ac:dyDescent="0.25">
      <c r="A151">
        <v>679</v>
      </c>
      <c r="B151" t="s">
        <v>660</v>
      </c>
      <c r="C151" t="s">
        <v>1059</v>
      </c>
      <c r="D151" t="s">
        <v>1458</v>
      </c>
      <c r="E151" t="s">
        <v>402</v>
      </c>
      <c r="F151">
        <v>185668230</v>
      </c>
      <c r="G151">
        <v>22.72052</v>
      </c>
      <c r="H151" t="s">
        <v>412</v>
      </c>
      <c r="I151">
        <v>4218478733.0795999</v>
      </c>
      <c r="J151" t="s">
        <v>416</v>
      </c>
      <c r="K151">
        <v>10254797.4187051</v>
      </c>
      <c r="L151">
        <v>0.75</v>
      </c>
      <c r="M151">
        <v>3163859049.8097</v>
      </c>
      <c r="N151">
        <v>5469786055.8000002</v>
      </c>
      <c r="O151">
        <v>50205040</v>
      </c>
      <c r="P151">
        <v>5020</v>
      </c>
      <c r="Q151">
        <v>1.9739305453825799</v>
      </c>
      <c r="R151">
        <v>1.5</v>
      </c>
      <c r="S151" t="s">
        <v>1648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2.1389999999999998</v>
      </c>
      <c r="AT151">
        <v>3.25</v>
      </c>
      <c r="AU151" t="s">
        <v>432</v>
      </c>
      <c r="AV151">
        <v>0</v>
      </c>
      <c r="AW151">
        <v>0</v>
      </c>
      <c r="AX151" t="s">
        <v>441</v>
      </c>
      <c r="AY151">
        <v>0</v>
      </c>
      <c r="AZ151">
        <v>0</v>
      </c>
      <c r="BA151">
        <v>0</v>
      </c>
      <c r="CE151">
        <v>2.6945000000000001</v>
      </c>
      <c r="CG151" t="s">
        <v>450</v>
      </c>
      <c r="CI151">
        <v>1.9739305453825799</v>
      </c>
      <c r="CJ151">
        <v>1.5</v>
      </c>
      <c r="CK151">
        <v>1.7369652726912901</v>
      </c>
      <c r="CL151">
        <v>0.3</v>
      </c>
      <c r="CM151">
        <v>2.0369652726912899</v>
      </c>
    </row>
    <row r="152" spans="1:91" x14ac:dyDescent="0.25">
      <c r="A152">
        <v>683</v>
      </c>
      <c r="B152" t="s">
        <v>662</v>
      </c>
      <c r="C152" t="s">
        <v>1061</v>
      </c>
      <c r="D152" t="s">
        <v>1460</v>
      </c>
      <c r="E152" t="s">
        <v>403</v>
      </c>
      <c r="F152">
        <v>3753739700</v>
      </c>
      <c r="G152">
        <v>0.90852080000000002</v>
      </c>
      <c r="H152" t="s">
        <v>413</v>
      </c>
      <c r="I152">
        <v>3410350595.2357602</v>
      </c>
      <c r="J152" t="s">
        <v>416</v>
      </c>
      <c r="K152">
        <v>6305475.5199635001</v>
      </c>
      <c r="L152">
        <v>0.85</v>
      </c>
      <c r="M152">
        <v>2898798005.9503961</v>
      </c>
      <c r="N152">
        <v>125329861103.60001</v>
      </c>
      <c r="O152">
        <v>40301035</v>
      </c>
      <c r="P152">
        <v>4030</v>
      </c>
      <c r="Q152">
        <v>1.7477723086694099</v>
      </c>
      <c r="S152" t="s">
        <v>417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2.2410000000000001</v>
      </c>
      <c r="AT152">
        <v>3.4380000000000002</v>
      </c>
      <c r="AU152" t="s">
        <v>426</v>
      </c>
      <c r="AV152">
        <v>0</v>
      </c>
      <c r="AW152">
        <v>0</v>
      </c>
      <c r="AX152" t="s">
        <v>442</v>
      </c>
      <c r="AY152">
        <v>0</v>
      </c>
      <c r="AZ152">
        <v>0</v>
      </c>
      <c r="BA152">
        <v>0</v>
      </c>
      <c r="CE152">
        <v>2.8395000000000001</v>
      </c>
      <c r="CG152" t="s">
        <v>450</v>
      </c>
      <c r="CI152">
        <v>1.7477723086694099</v>
      </c>
      <c r="CJ152">
        <v>3.1</v>
      </c>
      <c r="CK152">
        <v>2.423886154334705</v>
      </c>
      <c r="CL152">
        <v>-0.3</v>
      </c>
      <c r="CM152">
        <v>2.1238861543347052</v>
      </c>
    </row>
    <row r="153" spans="1:91" x14ac:dyDescent="0.25">
      <c r="A153">
        <v>689</v>
      </c>
      <c r="B153" t="s">
        <v>176</v>
      </c>
      <c r="C153" t="s">
        <v>276</v>
      </c>
      <c r="D153" t="s">
        <v>376</v>
      </c>
      <c r="E153" t="s">
        <v>408</v>
      </c>
      <c r="F153">
        <v>629293220</v>
      </c>
      <c r="G153">
        <v>19.98</v>
      </c>
      <c r="H153" t="s">
        <v>409</v>
      </c>
      <c r="I153">
        <v>12573278535.6</v>
      </c>
      <c r="J153" t="s">
        <v>415</v>
      </c>
      <c r="K153">
        <v>10766081.2461905</v>
      </c>
      <c r="L153">
        <v>0.45</v>
      </c>
      <c r="M153">
        <v>5657975341.0200005</v>
      </c>
      <c r="N153">
        <v>11123386956.719999</v>
      </c>
      <c r="O153">
        <v>45201010</v>
      </c>
      <c r="P153">
        <v>4520</v>
      </c>
      <c r="Q153">
        <v>1.7406384718850201</v>
      </c>
      <c r="R153">
        <v>1.5</v>
      </c>
      <c r="S153" t="s">
        <v>417</v>
      </c>
      <c r="T153" t="s">
        <v>422</v>
      </c>
      <c r="U153">
        <v>0</v>
      </c>
      <c r="V153">
        <v>0.05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2.72</v>
      </c>
      <c r="AT153">
        <v>2.5680000000000001</v>
      </c>
      <c r="AU153" t="s">
        <v>431</v>
      </c>
      <c r="AV153">
        <v>1</v>
      </c>
      <c r="AW153">
        <v>0</v>
      </c>
      <c r="AX153" t="s">
        <v>449</v>
      </c>
      <c r="AY153">
        <v>0</v>
      </c>
      <c r="AZ153">
        <v>0</v>
      </c>
      <c r="BA153">
        <v>0</v>
      </c>
      <c r="CE153">
        <v>2.6440000000000001</v>
      </c>
      <c r="CG153" t="s">
        <v>450</v>
      </c>
      <c r="CI153">
        <v>1.7406384718850201</v>
      </c>
      <c r="CJ153">
        <v>1.5</v>
      </c>
      <c r="CK153">
        <v>1.62031923594251</v>
      </c>
      <c r="CL153">
        <v>-0.3</v>
      </c>
      <c r="CM153">
        <v>1.32031923594251</v>
      </c>
    </row>
    <row r="154" spans="1:91" x14ac:dyDescent="0.25">
      <c r="A154">
        <v>712</v>
      </c>
      <c r="B154" t="s">
        <v>139</v>
      </c>
      <c r="C154" t="s">
        <v>239</v>
      </c>
      <c r="D154" t="s">
        <v>339</v>
      </c>
      <c r="E154" t="s">
        <v>406</v>
      </c>
      <c r="F154">
        <v>206001790</v>
      </c>
      <c r="G154">
        <v>62.627630000000003</v>
      </c>
      <c r="H154" t="s">
        <v>414</v>
      </c>
      <c r="I154">
        <v>12901403883.457701</v>
      </c>
      <c r="J154" t="s">
        <v>416</v>
      </c>
      <c r="K154">
        <v>34741508.719351202</v>
      </c>
      <c r="L154">
        <v>1</v>
      </c>
      <c r="M154">
        <v>12901403883.457701</v>
      </c>
      <c r="N154">
        <v>8091750311.1999998</v>
      </c>
      <c r="O154">
        <v>30202010</v>
      </c>
      <c r="P154">
        <v>3020</v>
      </c>
      <c r="Q154">
        <v>1.9981674720073901</v>
      </c>
      <c r="R154">
        <v>2.7</v>
      </c>
      <c r="S154" t="s">
        <v>418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0</v>
      </c>
      <c r="AE154">
        <v>0</v>
      </c>
      <c r="AF154">
        <v>0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O154">
        <v>0</v>
      </c>
      <c r="AP154">
        <v>0</v>
      </c>
      <c r="AQ154">
        <v>0</v>
      </c>
      <c r="AR154">
        <v>0</v>
      </c>
      <c r="AS154">
        <v>2.1840000000000002</v>
      </c>
      <c r="AT154">
        <v>2.6669999999999998</v>
      </c>
      <c r="AU154" t="s">
        <v>430</v>
      </c>
      <c r="AV154">
        <v>0</v>
      </c>
      <c r="AW154">
        <v>0</v>
      </c>
      <c r="AX154" t="s">
        <v>446</v>
      </c>
      <c r="AY154">
        <v>0</v>
      </c>
      <c r="AZ154">
        <v>0</v>
      </c>
      <c r="BA154">
        <v>0</v>
      </c>
      <c r="CE154">
        <v>2.4255</v>
      </c>
      <c r="CG154" t="s">
        <v>450</v>
      </c>
      <c r="CI154">
        <v>1.9981674720073901</v>
      </c>
      <c r="CJ154">
        <v>2.7</v>
      </c>
      <c r="CK154">
        <v>2.3490837360036951</v>
      </c>
      <c r="CL154">
        <v>-0.18</v>
      </c>
      <c r="CM154">
        <v>2.169083736003695</v>
      </c>
    </row>
    <row r="155" spans="1:91" x14ac:dyDescent="0.25">
      <c r="A155">
        <v>714</v>
      </c>
      <c r="B155" t="s">
        <v>665</v>
      </c>
      <c r="C155" t="s">
        <v>1064</v>
      </c>
      <c r="D155" t="s">
        <v>1463</v>
      </c>
      <c r="E155" t="s">
        <v>402</v>
      </c>
      <c r="F155">
        <v>64272095</v>
      </c>
      <c r="G155">
        <v>73.523319999999998</v>
      </c>
      <c r="H155" t="s">
        <v>412</v>
      </c>
      <c r="I155">
        <v>4725497807.7553997</v>
      </c>
      <c r="J155" t="s">
        <v>416</v>
      </c>
      <c r="K155">
        <v>7679046.3637891002</v>
      </c>
      <c r="L155">
        <v>0.7</v>
      </c>
      <c r="M155">
        <v>3307848465.4287801</v>
      </c>
      <c r="N155">
        <v>1767225524.1199999</v>
      </c>
      <c r="O155">
        <v>30101010</v>
      </c>
      <c r="P155">
        <v>3010</v>
      </c>
      <c r="Q155">
        <v>3.4</v>
      </c>
      <c r="S155" t="s">
        <v>418</v>
      </c>
      <c r="T155" t="s">
        <v>422</v>
      </c>
      <c r="U155">
        <v>0</v>
      </c>
      <c r="V155">
        <v>0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2.3170000000000002</v>
      </c>
      <c r="AT155">
        <v>2.5019999999999998</v>
      </c>
      <c r="AU155" t="s">
        <v>430</v>
      </c>
      <c r="AV155">
        <v>0</v>
      </c>
      <c r="AW155">
        <v>0</v>
      </c>
      <c r="AX155" t="s">
        <v>441</v>
      </c>
      <c r="AY155">
        <v>0</v>
      </c>
      <c r="AZ155">
        <v>0</v>
      </c>
      <c r="BA155">
        <v>0</v>
      </c>
      <c r="CE155">
        <v>2.4095</v>
      </c>
      <c r="CG155" t="s">
        <v>450</v>
      </c>
      <c r="CI155">
        <v>3.4</v>
      </c>
      <c r="CJ155">
        <v>3.1</v>
      </c>
      <c r="CK155">
        <v>3.25</v>
      </c>
      <c r="CL155">
        <v>-0.18</v>
      </c>
      <c r="CM155">
        <v>3.07</v>
      </c>
    </row>
    <row r="156" spans="1:91" x14ac:dyDescent="0.25">
      <c r="A156">
        <v>723</v>
      </c>
      <c r="B156" t="s">
        <v>130</v>
      </c>
      <c r="C156" t="s">
        <v>230</v>
      </c>
      <c r="D156" t="s">
        <v>330</v>
      </c>
      <c r="E156" t="s">
        <v>407</v>
      </c>
      <c r="F156">
        <v>417544151</v>
      </c>
      <c r="G156">
        <v>81.3</v>
      </c>
      <c r="H156" t="s">
        <v>409</v>
      </c>
      <c r="I156">
        <v>33946339476.299999</v>
      </c>
      <c r="J156" t="s">
        <v>415</v>
      </c>
      <c r="K156">
        <v>34500356.415872999</v>
      </c>
      <c r="L156">
        <v>0.55000000000000004</v>
      </c>
      <c r="M156">
        <v>18670486711.965</v>
      </c>
      <c r="N156">
        <v>9020623838.2040005</v>
      </c>
      <c r="O156">
        <v>30101010</v>
      </c>
      <c r="P156">
        <v>3010</v>
      </c>
      <c r="Q156">
        <v>2.89333333333333</v>
      </c>
      <c r="R156">
        <v>1.5</v>
      </c>
      <c r="S156" t="s">
        <v>417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2.3780000000000001</v>
      </c>
      <c r="AT156">
        <v>2.879</v>
      </c>
      <c r="AU156" t="s">
        <v>430</v>
      </c>
      <c r="AV156">
        <v>0</v>
      </c>
      <c r="AW156">
        <v>0</v>
      </c>
      <c r="AX156" t="s">
        <v>447</v>
      </c>
      <c r="AY156">
        <v>0</v>
      </c>
      <c r="AZ156">
        <v>0</v>
      </c>
      <c r="BA156">
        <v>0</v>
      </c>
      <c r="CE156">
        <v>2.6284999999999998</v>
      </c>
      <c r="CG156" t="s">
        <v>450</v>
      </c>
      <c r="CI156">
        <v>2.89333333333333</v>
      </c>
      <c r="CJ156">
        <v>1.5</v>
      </c>
      <c r="CK156">
        <v>2.196666666666665</v>
      </c>
      <c r="CL156">
        <v>-0.3</v>
      </c>
      <c r="CM156">
        <v>1.8966666666666649</v>
      </c>
    </row>
    <row r="157" spans="1:91" x14ac:dyDescent="0.25">
      <c r="A157">
        <v>735</v>
      </c>
      <c r="B157" t="s">
        <v>666</v>
      </c>
      <c r="C157" t="s">
        <v>1065</v>
      </c>
      <c r="D157" t="s">
        <v>1464</v>
      </c>
      <c r="E157" t="s">
        <v>394</v>
      </c>
      <c r="F157">
        <v>123420778</v>
      </c>
      <c r="G157">
        <v>277</v>
      </c>
      <c r="H157" t="s">
        <v>409</v>
      </c>
      <c r="I157">
        <v>34187555506</v>
      </c>
      <c r="J157" t="s">
        <v>415</v>
      </c>
      <c r="K157">
        <v>85092435.447222307</v>
      </c>
      <c r="L157">
        <v>0.60000000000000009</v>
      </c>
      <c r="M157">
        <v>20512533303.599998</v>
      </c>
      <c r="N157">
        <v>2908780895.9040012</v>
      </c>
      <c r="O157">
        <v>40204020</v>
      </c>
      <c r="P157">
        <v>4020</v>
      </c>
      <c r="Q157">
        <v>1.60764714650494</v>
      </c>
      <c r="S157" t="s">
        <v>417</v>
      </c>
      <c r="T157" t="s">
        <v>422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0</v>
      </c>
      <c r="AE157">
        <v>0</v>
      </c>
      <c r="AF157">
        <v>0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O157">
        <v>0</v>
      </c>
      <c r="AP157">
        <v>0</v>
      </c>
      <c r="AQ157">
        <v>0</v>
      </c>
      <c r="AR157">
        <v>0</v>
      </c>
      <c r="AS157">
        <v>2.6339999999999999</v>
      </c>
      <c r="AT157">
        <v>2.996</v>
      </c>
      <c r="AU157" t="s">
        <v>420</v>
      </c>
      <c r="AV157">
        <v>1</v>
      </c>
      <c r="AW157">
        <v>0</v>
      </c>
      <c r="AX157" t="s">
        <v>433</v>
      </c>
      <c r="AY157">
        <v>0</v>
      </c>
      <c r="AZ157">
        <v>0</v>
      </c>
      <c r="BA157">
        <v>0</v>
      </c>
      <c r="CE157">
        <v>2.8149999999999999</v>
      </c>
      <c r="CG157" t="s">
        <v>450</v>
      </c>
      <c r="CI157">
        <v>1.60764714650494</v>
      </c>
      <c r="CJ157">
        <v>3.1</v>
      </c>
      <c r="CK157">
        <v>2.3538235732524702</v>
      </c>
      <c r="CL157">
        <v>-0.3</v>
      </c>
      <c r="CM157">
        <v>2.0538235732524699</v>
      </c>
    </row>
    <row r="158" spans="1:91" x14ac:dyDescent="0.25">
      <c r="A158">
        <v>736</v>
      </c>
      <c r="B158" t="s">
        <v>667</v>
      </c>
      <c r="C158" t="s">
        <v>1066</v>
      </c>
      <c r="D158" t="s">
        <v>1465</v>
      </c>
      <c r="E158" t="s">
        <v>397</v>
      </c>
      <c r="F158">
        <v>165853264</v>
      </c>
      <c r="G158">
        <v>97.6</v>
      </c>
      <c r="H158" t="s">
        <v>409</v>
      </c>
      <c r="I158">
        <v>16187278566.4</v>
      </c>
      <c r="J158" t="s">
        <v>415</v>
      </c>
      <c r="K158">
        <v>28414003.9194762</v>
      </c>
      <c r="L158">
        <v>1</v>
      </c>
      <c r="M158">
        <v>16187278566.4</v>
      </c>
      <c r="N158">
        <v>6514716209.9200001</v>
      </c>
      <c r="O158">
        <v>45102020</v>
      </c>
      <c r="P158">
        <v>4510</v>
      </c>
      <c r="Q158">
        <v>1.9767564236756201</v>
      </c>
      <c r="R158">
        <v>2.39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O158">
        <v>0</v>
      </c>
      <c r="AP158">
        <v>0</v>
      </c>
      <c r="AQ158">
        <v>0</v>
      </c>
      <c r="AR158">
        <v>0</v>
      </c>
      <c r="AS158">
        <v>2.2200000000000002</v>
      </c>
      <c r="AT158">
        <v>2.976</v>
      </c>
      <c r="AU158" t="s">
        <v>420</v>
      </c>
      <c r="AV158">
        <v>1</v>
      </c>
      <c r="AW158">
        <v>0</v>
      </c>
      <c r="AX158" t="s">
        <v>436</v>
      </c>
      <c r="AY158">
        <v>0</v>
      </c>
      <c r="AZ158">
        <v>0</v>
      </c>
      <c r="BA158">
        <v>0</v>
      </c>
      <c r="CE158">
        <v>2.5979999999999999</v>
      </c>
      <c r="CG158" t="s">
        <v>450</v>
      </c>
      <c r="CI158">
        <v>1.9767564236756201</v>
      </c>
      <c r="CJ158">
        <v>2.39</v>
      </c>
      <c r="CK158">
        <v>2.1833782118378098</v>
      </c>
      <c r="CL158">
        <v>-0.24</v>
      </c>
      <c r="CM158">
        <v>1.94337821183781</v>
      </c>
    </row>
    <row r="159" spans="1:91" x14ac:dyDescent="0.25">
      <c r="A159">
        <v>737</v>
      </c>
      <c r="B159" t="s">
        <v>668</v>
      </c>
      <c r="C159" t="s">
        <v>1067</v>
      </c>
      <c r="D159" t="s">
        <v>1466</v>
      </c>
      <c r="E159" t="s">
        <v>399</v>
      </c>
      <c r="F159">
        <v>273130980</v>
      </c>
      <c r="G159">
        <v>18.074999999999999</v>
      </c>
      <c r="H159" t="s">
        <v>409</v>
      </c>
      <c r="I159">
        <v>4936842463.5</v>
      </c>
      <c r="J159" t="s">
        <v>415</v>
      </c>
      <c r="K159">
        <v>9540190.1735593192</v>
      </c>
      <c r="L159">
        <v>1</v>
      </c>
      <c r="M159">
        <v>4936842463.5</v>
      </c>
      <c r="N159">
        <v>10728584894.4</v>
      </c>
      <c r="O159">
        <v>45201010</v>
      </c>
      <c r="P159">
        <v>4520</v>
      </c>
      <c r="Q159">
        <v>1.99651884012667</v>
      </c>
      <c r="R159">
        <v>2.39</v>
      </c>
      <c r="S159" t="s">
        <v>418</v>
      </c>
      <c r="T159" t="s">
        <v>422</v>
      </c>
      <c r="U159">
        <v>0</v>
      </c>
      <c r="V159">
        <v>0.05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2.5169999999999999</v>
      </c>
      <c r="AT159">
        <v>3.0339999999999998</v>
      </c>
      <c r="AU159" t="s">
        <v>431</v>
      </c>
      <c r="AV159">
        <v>1</v>
      </c>
      <c r="AW159">
        <v>0</v>
      </c>
      <c r="AX159" t="s">
        <v>438</v>
      </c>
      <c r="AY159">
        <v>0</v>
      </c>
      <c r="AZ159">
        <v>0</v>
      </c>
      <c r="BA159">
        <v>0</v>
      </c>
      <c r="CE159">
        <v>2.7755000000000001</v>
      </c>
      <c r="CG159" t="s">
        <v>450</v>
      </c>
      <c r="CI159">
        <v>1.99651884012667</v>
      </c>
      <c r="CJ159">
        <v>2.39</v>
      </c>
      <c r="CK159">
        <v>2.1932594200633351</v>
      </c>
      <c r="CL159">
        <v>-0.18</v>
      </c>
      <c r="CM159">
        <v>2.0132594200633349</v>
      </c>
    </row>
    <row r="160" spans="1:91" x14ac:dyDescent="0.25">
      <c r="A160">
        <v>747</v>
      </c>
      <c r="B160" t="s">
        <v>165</v>
      </c>
      <c r="C160" t="s">
        <v>265</v>
      </c>
      <c r="D160" t="s">
        <v>365</v>
      </c>
      <c r="E160" t="s">
        <v>403</v>
      </c>
      <c r="F160">
        <v>1788668100</v>
      </c>
      <c r="G160">
        <v>2.9667460000000001</v>
      </c>
      <c r="H160" t="s">
        <v>413</v>
      </c>
      <c r="I160">
        <v>5306523931.0025997</v>
      </c>
      <c r="J160" t="s">
        <v>416</v>
      </c>
      <c r="K160">
        <v>14671962.5543341</v>
      </c>
      <c r="L160">
        <v>0.85</v>
      </c>
      <c r="M160">
        <v>4510545341.35221</v>
      </c>
      <c r="N160">
        <v>59720050522.800003</v>
      </c>
      <c r="O160">
        <v>40401025</v>
      </c>
      <c r="P160">
        <v>4040</v>
      </c>
      <c r="Q160">
        <v>1.99679915892727</v>
      </c>
      <c r="R160">
        <v>1.5</v>
      </c>
      <c r="S160" t="s">
        <v>419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2.3319999999999999</v>
      </c>
      <c r="AT160">
        <v>3.3580000000000001</v>
      </c>
      <c r="AU160" t="s">
        <v>431</v>
      </c>
      <c r="AV160">
        <v>1</v>
      </c>
      <c r="AW160">
        <v>0</v>
      </c>
      <c r="AX160" t="s">
        <v>442</v>
      </c>
      <c r="AY160">
        <v>0</v>
      </c>
      <c r="AZ160">
        <v>0</v>
      </c>
      <c r="BA160">
        <v>0</v>
      </c>
      <c r="CE160">
        <v>2.8450000000000002</v>
      </c>
      <c r="CG160" t="s">
        <v>450</v>
      </c>
      <c r="CI160">
        <v>1.99679915892727</v>
      </c>
      <c r="CJ160">
        <v>1.5</v>
      </c>
      <c r="CK160">
        <v>1.7483995794636349</v>
      </c>
      <c r="CL160">
        <v>-0.24</v>
      </c>
      <c r="CM160">
        <v>1.5083995794636349</v>
      </c>
    </row>
    <row r="161" spans="1:91" x14ac:dyDescent="0.25">
      <c r="A161">
        <v>754</v>
      </c>
      <c r="B161" t="s">
        <v>669</v>
      </c>
      <c r="C161" t="s">
        <v>1068</v>
      </c>
      <c r="D161" t="s">
        <v>1467</v>
      </c>
      <c r="E161" t="s">
        <v>394</v>
      </c>
      <c r="F161">
        <v>286861172</v>
      </c>
      <c r="G161">
        <v>30.28</v>
      </c>
      <c r="H161" t="s">
        <v>409</v>
      </c>
      <c r="I161">
        <v>8686156288.1599998</v>
      </c>
      <c r="J161" t="s">
        <v>415</v>
      </c>
      <c r="K161">
        <v>17079656.9850794</v>
      </c>
      <c r="L161">
        <v>0.75</v>
      </c>
      <c r="M161">
        <v>6514617216.1199999</v>
      </c>
      <c r="N161">
        <v>8450930127.1199999</v>
      </c>
      <c r="O161">
        <v>35102045</v>
      </c>
      <c r="P161">
        <v>3510</v>
      </c>
      <c r="Q161">
        <v>1.99471520451756</v>
      </c>
      <c r="S161" t="s">
        <v>417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2.2109999999999999</v>
      </c>
      <c r="AT161">
        <v>2.3570000000000002</v>
      </c>
      <c r="AU161" t="s">
        <v>425</v>
      </c>
      <c r="AV161">
        <v>1</v>
      </c>
      <c r="AW161">
        <v>0</v>
      </c>
      <c r="AX161" t="s">
        <v>433</v>
      </c>
      <c r="AY161">
        <v>0</v>
      </c>
      <c r="AZ161">
        <v>0</v>
      </c>
      <c r="BA161">
        <v>0</v>
      </c>
      <c r="CE161">
        <v>2.2839999999999998</v>
      </c>
      <c r="CG161" t="s">
        <v>450</v>
      </c>
      <c r="CI161">
        <v>1.99471520451756</v>
      </c>
      <c r="CJ161">
        <v>3.1</v>
      </c>
      <c r="CK161">
        <v>2.5473576022587801</v>
      </c>
      <c r="CL161">
        <v>-0.3</v>
      </c>
      <c r="CM161">
        <v>2.2473576022587798</v>
      </c>
    </row>
    <row r="162" spans="1:91" x14ac:dyDescent="0.25">
      <c r="A162">
        <v>762</v>
      </c>
      <c r="B162" t="s">
        <v>185</v>
      </c>
      <c r="C162" t="s">
        <v>285</v>
      </c>
      <c r="D162" t="s">
        <v>385</v>
      </c>
      <c r="E162" t="s">
        <v>399</v>
      </c>
      <c r="F162">
        <v>453187130</v>
      </c>
      <c r="G162">
        <v>55.22</v>
      </c>
      <c r="H162" t="s">
        <v>409</v>
      </c>
      <c r="I162">
        <v>25024993318.599998</v>
      </c>
      <c r="J162" t="s">
        <v>415</v>
      </c>
      <c r="K162">
        <v>26322525.057796601</v>
      </c>
      <c r="L162">
        <v>0.85</v>
      </c>
      <c r="M162">
        <v>21271244320.810001</v>
      </c>
      <c r="N162">
        <v>15131011896.440001</v>
      </c>
      <c r="O162">
        <v>50204000</v>
      </c>
      <c r="P162">
        <v>5020</v>
      </c>
      <c r="Q162">
        <v>1.9953067049789499</v>
      </c>
      <c r="R162">
        <v>2.08</v>
      </c>
      <c r="S162" t="s">
        <v>417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0</v>
      </c>
      <c r="AE162">
        <v>0</v>
      </c>
      <c r="AF162">
        <v>0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O162">
        <v>0</v>
      </c>
      <c r="AP162">
        <v>0</v>
      </c>
      <c r="AQ162">
        <v>0</v>
      </c>
      <c r="AR162">
        <v>0</v>
      </c>
      <c r="AS162">
        <v>2.6</v>
      </c>
      <c r="AT162">
        <v>2.8839999999999999</v>
      </c>
      <c r="AU162" t="s">
        <v>420</v>
      </c>
      <c r="AV162">
        <v>1</v>
      </c>
      <c r="AW162">
        <v>0</v>
      </c>
      <c r="AX162" t="s">
        <v>438</v>
      </c>
      <c r="AY162">
        <v>0</v>
      </c>
      <c r="AZ162">
        <v>0</v>
      </c>
      <c r="BA162">
        <v>0</v>
      </c>
      <c r="CE162">
        <v>2.742</v>
      </c>
      <c r="CG162" t="s">
        <v>450</v>
      </c>
      <c r="CI162">
        <v>1.9953067049789499</v>
      </c>
      <c r="CJ162">
        <v>2.08</v>
      </c>
      <c r="CK162">
        <v>2.0376533524894751</v>
      </c>
      <c r="CL162">
        <v>-0.3</v>
      </c>
      <c r="CM162">
        <v>1.7376533524894751</v>
      </c>
    </row>
    <row r="163" spans="1:91" x14ac:dyDescent="0.25">
      <c r="A163">
        <v>765</v>
      </c>
      <c r="B163" t="s">
        <v>672</v>
      </c>
      <c r="C163" t="s">
        <v>1071</v>
      </c>
      <c r="D163" t="s">
        <v>1470</v>
      </c>
      <c r="E163" t="s">
        <v>396</v>
      </c>
      <c r="F163">
        <v>3888930422</v>
      </c>
      <c r="G163">
        <v>3.5070000000000001</v>
      </c>
      <c r="H163" t="s">
        <v>409</v>
      </c>
      <c r="I163">
        <v>13638478989.954</v>
      </c>
      <c r="J163" t="s">
        <v>415</v>
      </c>
      <c r="K163">
        <v>26549992.430079401</v>
      </c>
      <c r="L163">
        <v>1</v>
      </c>
      <c r="M163">
        <v>13638478989.954</v>
      </c>
      <c r="N163">
        <v>152757186976.16</v>
      </c>
      <c r="O163">
        <v>15102015</v>
      </c>
      <c r="P163">
        <v>1510</v>
      </c>
      <c r="Q163">
        <v>1.67081002557398</v>
      </c>
      <c r="S163" t="s">
        <v>417</v>
      </c>
      <c r="T163" t="s">
        <v>422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0</v>
      </c>
      <c r="AE163">
        <v>0</v>
      </c>
      <c r="AF163">
        <v>0</v>
      </c>
      <c r="AH163">
        <v>0</v>
      </c>
      <c r="AI163" t="s">
        <v>424</v>
      </c>
      <c r="AK163" t="s">
        <v>424</v>
      </c>
      <c r="AL163" t="s">
        <v>424</v>
      </c>
      <c r="AM163" t="s">
        <v>424</v>
      </c>
      <c r="AO163">
        <v>0</v>
      </c>
      <c r="AP163">
        <v>0</v>
      </c>
      <c r="AQ163">
        <v>0</v>
      </c>
      <c r="AR163">
        <v>0</v>
      </c>
      <c r="AS163">
        <v>2.4009999999999998</v>
      </c>
      <c r="AT163">
        <v>3.0750000000000002</v>
      </c>
      <c r="AU163" t="s">
        <v>426</v>
      </c>
      <c r="AV163">
        <v>0</v>
      </c>
      <c r="AW163">
        <v>0</v>
      </c>
      <c r="AX163" t="s">
        <v>445</v>
      </c>
      <c r="AY163">
        <v>0</v>
      </c>
      <c r="AZ163">
        <v>0</v>
      </c>
      <c r="BA163">
        <v>0</v>
      </c>
      <c r="CE163">
        <v>2.738</v>
      </c>
      <c r="CG163" t="s">
        <v>450</v>
      </c>
      <c r="CI163">
        <v>1.67081002557398</v>
      </c>
      <c r="CJ163">
        <v>3.1</v>
      </c>
      <c r="CK163">
        <v>2.3854050127869901</v>
      </c>
      <c r="CL163">
        <v>-0.3</v>
      </c>
      <c r="CM163">
        <v>2.0854050127869899</v>
      </c>
    </row>
    <row r="164" spans="1:91" x14ac:dyDescent="0.25">
      <c r="A164">
        <v>781</v>
      </c>
      <c r="B164" t="s">
        <v>152</v>
      </c>
      <c r="C164" t="s">
        <v>252</v>
      </c>
      <c r="D164" t="s">
        <v>352</v>
      </c>
      <c r="E164" t="s">
        <v>403</v>
      </c>
      <c r="F164">
        <v>744937900</v>
      </c>
      <c r="G164">
        <v>6.8970200000000004</v>
      </c>
      <c r="H164" t="s">
        <v>413</v>
      </c>
      <c r="I164">
        <v>5137851595.0580006</v>
      </c>
      <c r="J164" t="s">
        <v>416</v>
      </c>
      <c r="K164">
        <v>14821728.319426199</v>
      </c>
      <c r="L164">
        <v>1</v>
      </c>
      <c r="M164">
        <v>5137851595.0580006</v>
      </c>
      <c r="N164">
        <v>29261160712</v>
      </c>
      <c r="O164">
        <v>35102000</v>
      </c>
      <c r="P164">
        <v>3510</v>
      </c>
      <c r="Q164">
        <v>1.7395630247731899</v>
      </c>
      <c r="R164">
        <v>1.5</v>
      </c>
      <c r="S164" t="s">
        <v>417</v>
      </c>
      <c r="T164" t="s">
        <v>422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0</v>
      </c>
      <c r="AE164">
        <v>0</v>
      </c>
      <c r="AF164">
        <v>0</v>
      </c>
      <c r="AH164">
        <v>0</v>
      </c>
      <c r="AI164" t="s">
        <v>424</v>
      </c>
      <c r="AK164" t="s">
        <v>424</v>
      </c>
      <c r="AL164" t="s">
        <v>424</v>
      </c>
      <c r="AM164" t="s">
        <v>424</v>
      </c>
      <c r="AO164">
        <v>0</v>
      </c>
      <c r="AP164">
        <v>0</v>
      </c>
      <c r="AQ164">
        <v>0</v>
      </c>
      <c r="AR164">
        <v>0</v>
      </c>
      <c r="AS164">
        <v>2.242</v>
      </c>
      <c r="AT164">
        <v>2.879</v>
      </c>
      <c r="AU164" t="s">
        <v>425</v>
      </c>
      <c r="AV164">
        <v>1</v>
      </c>
      <c r="AW164">
        <v>0</v>
      </c>
      <c r="AX164" t="s">
        <v>442</v>
      </c>
      <c r="AY164">
        <v>0</v>
      </c>
      <c r="AZ164">
        <v>0</v>
      </c>
      <c r="BA164">
        <v>0</v>
      </c>
      <c r="CE164">
        <v>2.5605000000000002</v>
      </c>
      <c r="CG164" t="s">
        <v>450</v>
      </c>
      <c r="CI164">
        <v>1.7395630247731899</v>
      </c>
      <c r="CJ164">
        <v>1.5</v>
      </c>
      <c r="CK164">
        <v>1.6197815123865951</v>
      </c>
      <c r="CL164">
        <v>-0.3</v>
      </c>
      <c r="CM164">
        <v>1.319781512386595</v>
      </c>
    </row>
    <row r="165" spans="1:91" x14ac:dyDescent="0.25">
      <c r="A165">
        <v>785</v>
      </c>
      <c r="B165" t="s">
        <v>676</v>
      </c>
      <c r="C165" t="s">
        <v>1075</v>
      </c>
      <c r="D165" t="s">
        <v>1474</v>
      </c>
      <c r="E165" t="s">
        <v>398</v>
      </c>
      <c r="F165">
        <v>74469666</v>
      </c>
      <c r="G165">
        <v>75.72</v>
      </c>
      <c r="H165" t="s">
        <v>409</v>
      </c>
      <c r="I165">
        <v>5638843109.5200005</v>
      </c>
      <c r="J165" t="s">
        <v>415</v>
      </c>
      <c r="K165">
        <v>13732521.497377099</v>
      </c>
      <c r="L165">
        <v>1</v>
      </c>
      <c r="M165">
        <v>5638843109.5200005</v>
      </c>
      <c r="N165">
        <v>2925168480.48</v>
      </c>
      <c r="O165">
        <v>35101010</v>
      </c>
      <c r="P165">
        <v>3510</v>
      </c>
      <c r="S165" t="s">
        <v>418</v>
      </c>
      <c r="T165" t="s">
        <v>422</v>
      </c>
      <c r="U165">
        <v>0</v>
      </c>
      <c r="V165">
        <v>0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</v>
      </c>
      <c r="AF165">
        <v>0</v>
      </c>
      <c r="AH165">
        <v>0</v>
      </c>
      <c r="AI165" t="s">
        <v>424</v>
      </c>
      <c r="AK165" t="s">
        <v>424</v>
      </c>
      <c r="AL165" t="s">
        <v>424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2.4620000000000002</v>
      </c>
      <c r="AT165">
        <v>3.1539999999999999</v>
      </c>
      <c r="AU165" t="s">
        <v>425</v>
      </c>
      <c r="AV165">
        <v>1</v>
      </c>
      <c r="AW165">
        <v>0</v>
      </c>
      <c r="AX165" t="s">
        <v>437</v>
      </c>
      <c r="AY165">
        <v>0</v>
      </c>
      <c r="AZ165">
        <v>0</v>
      </c>
      <c r="BA165">
        <v>0</v>
      </c>
      <c r="CE165">
        <v>2.8079999999999998</v>
      </c>
      <c r="CG165" t="s">
        <v>450</v>
      </c>
      <c r="CI165">
        <v>3.4</v>
      </c>
      <c r="CJ165">
        <v>3.1</v>
      </c>
      <c r="CK165">
        <v>3.25</v>
      </c>
      <c r="CL165">
        <v>-0.18</v>
      </c>
      <c r="CM165">
        <v>3.07</v>
      </c>
    </row>
    <row r="166" spans="1:91" x14ac:dyDescent="0.25">
      <c r="A166">
        <v>786</v>
      </c>
      <c r="B166" t="s">
        <v>145</v>
      </c>
      <c r="C166" t="s">
        <v>245</v>
      </c>
      <c r="D166" t="s">
        <v>345</v>
      </c>
      <c r="E166" t="s">
        <v>403</v>
      </c>
      <c r="F166">
        <v>5893244000</v>
      </c>
      <c r="G166">
        <v>2.8784939999999999</v>
      </c>
      <c r="H166" t="s">
        <v>413</v>
      </c>
      <c r="I166">
        <v>16963667494.535999</v>
      </c>
      <c r="J166" t="s">
        <v>416</v>
      </c>
      <c r="K166">
        <v>32798433.932136402</v>
      </c>
      <c r="L166">
        <v>1</v>
      </c>
      <c r="M166">
        <v>16963667494.535999</v>
      </c>
      <c r="N166">
        <v>231486624320</v>
      </c>
      <c r="O166">
        <v>30301010</v>
      </c>
      <c r="P166">
        <v>3030</v>
      </c>
      <c r="Q166">
        <v>1.98835042585939</v>
      </c>
      <c r="R166">
        <v>1.5</v>
      </c>
      <c r="S166" t="s">
        <v>417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2.2440000000000002</v>
      </c>
      <c r="AT166">
        <v>2.6379999999999999</v>
      </c>
      <c r="AU166" t="s">
        <v>430</v>
      </c>
      <c r="AV166">
        <v>0</v>
      </c>
      <c r="AW166">
        <v>0</v>
      </c>
      <c r="AX166" t="s">
        <v>442</v>
      </c>
      <c r="AY166">
        <v>0</v>
      </c>
      <c r="AZ166">
        <v>0</v>
      </c>
      <c r="BA166">
        <v>0</v>
      </c>
      <c r="CE166">
        <v>2.4409999999999998</v>
      </c>
      <c r="CG166" t="s">
        <v>450</v>
      </c>
      <c r="CI166">
        <v>1.98835042585939</v>
      </c>
      <c r="CJ166">
        <v>1.5</v>
      </c>
      <c r="CK166">
        <v>1.744175212929695</v>
      </c>
      <c r="CL166">
        <v>-0.3</v>
      </c>
      <c r="CM166">
        <v>1.444175212929695</v>
      </c>
    </row>
    <row r="167" spans="1:91" x14ac:dyDescent="0.25">
      <c r="A167">
        <v>787</v>
      </c>
      <c r="B167" t="s">
        <v>182</v>
      </c>
      <c r="C167" t="s">
        <v>282</v>
      </c>
      <c r="D167" t="s">
        <v>382</v>
      </c>
      <c r="E167" t="s">
        <v>394</v>
      </c>
      <c r="F167">
        <v>262245733</v>
      </c>
      <c r="G167">
        <v>110.3</v>
      </c>
      <c r="H167" t="s">
        <v>409</v>
      </c>
      <c r="I167">
        <v>28925704349.900002</v>
      </c>
      <c r="J167" t="s">
        <v>415</v>
      </c>
      <c r="K167">
        <v>56619307.900158703</v>
      </c>
      <c r="L167">
        <v>1</v>
      </c>
      <c r="M167">
        <v>28925704349.900002</v>
      </c>
      <c r="N167">
        <v>10301012392.24</v>
      </c>
      <c r="O167">
        <v>50202010</v>
      </c>
      <c r="P167">
        <v>5020</v>
      </c>
      <c r="Q167">
        <v>1.7418068415287999</v>
      </c>
      <c r="R167">
        <v>1.5</v>
      </c>
      <c r="S167" t="s">
        <v>417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</v>
      </c>
      <c r="AE167">
        <v>0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2.5249999999999999</v>
      </c>
      <c r="AT167">
        <v>3.0049999999999999</v>
      </c>
      <c r="AU167" t="s">
        <v>420</v>
      </c>
      <c r="AV167">
        <v>1</v>
      </c>
      <c r="AW167">
        <v>0</v>
      </c>
      <c r="AX167" t="s">
        <v>433</v>
      </c>
      <c r="AY167">
        <v>0</v>
      </c>
      <c r="AZ167">
        <v>0</v>
      </c>
      <c r="BA167">
        <v>0</v>
      </c>
      <c r="CE167">
        <v>2.7650000000000001</v>
      </c>
      <c r="CG167" t="s">
        <v>450</v>
      </c>
      <c r="CI167">
        <v>1.7418068415287999</v>
      </c>
      <c r="CJ167">
        <v>1.5</v>
      </c>
      <c r="CK167">
        <v>1.6209034207644</v>
      </c>
      <c r="CL167">
        <v>-0.3</v>
      </c>
      <c r="CM167">
        <v>1.3209034207643999</v>
      </c>
    </row>
    <row r="168" spans="1:91" x14ac:dyDescent="0.25">
      <c r="A168">
        <v>795</v>
      </c>
      <c r="B168" t="s">
        <v>678</v>
      </c>
      <c r="C168" t="s">
        <v>1077</v>
      </c>
      <c r="D168" t="s">
        <v>1476</v>
      </c>
      <c r="E168" t="s">
        <v>395</v>
      </c>
      <c r="F168">
        <v>423836430</v>
      </c>
      <c r="G168">
        <v>34.439239999999998</v>
      </c>
      <c r="H168" t="s">
        <v>410</v>
      </c>
      <c r="I168">
        <v>14596604533.513201</v>
      </c>
      <c r="J168" t="s">
        <v>416</v>
      </c>
      <c r="K168">
        <v>9679789.2063518707</v>
      </c>
      <c r="L168">
        <v>0.55000000000000004</v>
      </c>
      <c r="M168">
        <v>8028132493.4322596</v>
      </c>
      <c r="N168">
        <v>9156562233.7200012</v>
      </c>
      <c r="O168">
        <v>50203000</v>
      </c>
      <c r="P168">
        <v>5020</v>
      </c>
      <c r="Q168">
        <v>3.4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2.1360000000000001</v>
      </c>
      <c r="AT168">
        <v>2.423</v>
      </c>
      <c r="AU168" t="s">
        <v>420</v>
      </c>
      <c r="AV168">
        <v>1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2.2795000000000001</v>
      </c>
      <c r="CG168" t="s">
        <v>450</v>
      </c>
      <c r="CI168">
        <v>3.4</v>
      </c>
      <c r="CJ168">
        <v>3.1</v>
      </c>
      <c r="CK168">
        <v>3.25</v>
      </c>
      <c r="CL168">
        <v>0.3</v>
      </c>
      <c r="CM168">
        <v>3.55</v>
      </c>
    </row>
    <row r="169" spans="1:91" x14ac:dyDescent="0.25">
      <c r="A169">
        <v>797</v>
      </c>
      <c r="B169" t="s">
        <v>679</v>
      </c>
      <c r="C169" t="s">
        <v>1078</v>
      </c>
      <c r="D169" t="s">
        <v>1477</v>
      </c>
      <c r="E169" t="s">
        <v>406</v>
      </c>
      <c r="F169">
        <v>989547</v>
      </c>
      <c r="G169">
        <v>11802.49</v>
      </c>
      <c r="H169" t="s">
        <v>414</v>
      </c>
      <c r="I169">
        <v>11679118572.030001</v>
      </c>
      <c r="J169" t="s">
        <v>416</v>
      </c>
      <c r="K169">
        <v>26640981.149140999</v>
      </c>
      <c r="L169">
        <v>1</v>
      </c>
      <c r="M169">
        <v>11679118572.030001</v>
      </c>
      <c r="N169">
        <v>38869406.159999996</v>
      </c>
      <c r="O169">
        <v>45102020</v>
      </c>
      <c r="P169">
        <v>4510</v>
      </c>
      <c r="Q169">
        <v>1.74529070886593</v>
      </c>
      <c r="R169">
        <v>3.1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</v>
      </c>
      <c r="AF169">
        <v>0</v>
      </c>
      <c r="AH169">
        <v>0</v>
      </c>
      <c r="AI169" t="s">
        <v>424</v>
      </c>
      <c r="AK169" t="s">
        <v>424</v>
      </c>
      <c r="AL169" t="s">
        <v>424</v>
      </c>
      <c r="AM169" t="s">
        <v>424</v>
      </c>
      <c r="AO169">
        <v>0</v>
      </c>
      <c r="AP169">
        <v>0</v>
      </c>
      <c r="AQ169">
        <v>0</v>
      </c>
      <c r="AR169">
        <v>0</v>
      </c>
      <c r="AS169">
        <v>2.161</v>
      </c>
      <c r="AT169">
        <v>2.5169999999999999</v>
      </c>
      <c r="AU169" t="s">
        <v>420</v>
      </c>
      <c r="AV169">
        <v>1</v>
      </c>
      <c r="AW169">
        <v>0</v>
      </c>
      <c r="AX169" t="s">
        <v>446</v>
      </c>
      <c r="AY169">
        <v>0</v>
      </c>
      <c r="AZ169">
        <v>0</v>
      </c>
      <c r="BA169">
        <v>0</v>
      </c>
      <c r="CE169">
        <v>2.339</v>
      </c>
      <c r="CG169" t="s">
        <v>450</v>
      </c>
      <c r="CI169">
        <v>1.74529070886593</v>
      </c>
      <c r="CJ169">
        <v>3.1</v>
      </c>
      <c r="CK169">
        <v>2.4226453544329649</v>
      </c>
      <c r="CL169">
        <v>-0.18</v>
      </c>
      <c r="CM169">
        <v>2.2426453544329652</v>
      </c>
    </row>
    <row r="170" spans="1:91" x14ac:dyDescent="0.25">
      <c r="A170">
        <v>802</v>
      </c>
      <c r="B170" t="s">
        <v>680</v>
      </c>
      <c r="C170" t="s">
        <v>1079</v>
      </c>
      <c r="D170" t="s">
        <v>1478</v>
      </c>
      <c r="E170" t="s">
        <v>403</v>
      </c>
      <c r="F170">
        <v>60745742000</v>
      </c>
      <c r="G170">
        <v>0.81240979999999996</v>
      </c>
      <c r="H170" t="s">
        <v>413</v>
      </c>
      <c r="I170">
        <v>49350436109.071587</v>
      </c>
      <c r="J170" t="s">
        <v>416</v>
      </c>
      <c r="K170">
        <v>75488016.146108702</v>
      </c>
      <c r="L170">
        <v>1</v>
      </c>
      <c r="M170">
        <v>49350436109.071587</v>
      </c>
      <c r="N170">
        <v>2386092745760</v>
      </c>
      <c r="O170">
        <v>30101010</v>
      </c>
      <c r="P170">
        <v>3010</v>
      </c>
      <c r="Q170">
        <v>3.0199999999999898</v>
      </c>
      <c r="S170" t="s">
        <v>1648</v>
      </c>
      <c r="T170" t="s">
        <v>422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2.468</v>
      </c>
      <c r="AT170">
        <v>3.3460000000000001</v>
      </c>
      <c r="AU170" t="s">
        <v>430</v>
      </c>
      <c r="AV170">
        <v>0</v>
      </c>
      <c r="AW170">
        <v>0</v>
      </c>
      <c r="AX170" t="s">
        <v>442</v>
      </c>
      <c r="AY170">
        <v>0</v>
      </c>
      <c r="AZ170">
        <v>0</v>
      </c>
      <c r="BA170">
        <v>0</v>
      </c>
      <c r="CE170">
        <v>2.907</v>
      </c>
      <c r="CG170" t="s">
        <v>450</v>
      </c>
      <c r="CI170">
        <v>3.0199999999999898</v>
      </c>
      <c r="CJ170">
        <v>3.1</v>
      </c>
      <c r="CK170">
        <v>3.0599999999999952</v>
      </c>
      <c r="CL170">
        <v>0.3</v>
      </c>
      <c r="CM170">
        <v>3.359999999999995</v>
      </c>
    </row>
    <row r="171" spans="1:91" x14ac:dyDescent="0.25">
      <c r="A171">
        <v>805</v>
      </c>
      <c r="B171" t="s">
        <v>111</v>
      </c>
      <c r="C171" t="s">
        <v>211</v>
      </c>
      <c r="D171" t="s">
        <v>311</v>
      </c>
      <c r="E171" t="s">
        <v>406</v>
      </c>
      <c r="F171">
        <v>168994140</v>
      </c>
      <c r="G171">
        <v>99.481160000000003</v>
      </c>
      <c r="H171" t="s">
        <v>414</v>
      </c>
      <c r="I171">
        <v>16811733080.402399</v>
      </c>
      <c r="J171" t="s">
        <v>416</v>
      </c>
      <c r="K171">
        <v>53427462.634575203</v>
      </c>
      <c r="L171">
        <v>0.9</v>
      </c>
      <c r="M171">
        <v>15130559772.36216</v>
      </c>
      <c r="N171">
        <v>5974280837.2799997</v>
      </c>
      <c r="O171">
        <v>10102030</v>
      </c>
      <c r="P171">
        <v>1010</v>
      </c>
      <c r="Q171">
        <v>1.7497523085933799</v>
      </c>
      <c r="S171" t="s">
        <v>417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2.5649999999999999</v>
      </c>
      <c r="AT171">
        <v>3.4</v>
      </c>
      <c r="AU171" t="s">
        <v>420</v>
      </c>
      <c r="AV171">
        <v>1</v>
      </c>
      <c r="AW171">
        <v>0</v>
      </c>
      <c r="AX171" t="s">
        <v>446</v>
      </c>
      <c r="AY171">
        <v>0</v>
      </c>
      <c r="AZ171">
        <v>0</v>
      </c>
      <c r="BA171">
        <v>0</v>
      </c>
      <c r="CE171">
        <v>2.9824999999999999</v>
      </c>
      <c r="CG171" t="s">
        <v>450</v>
      </c>
      <c r="CI171">
        <v>1.7497523085933799</v>
      </c>
      <c r="CJ171">
        <v>3.1</v>
      </c>
      <c r="CK171">
        <v>2.4248761542966899</v>
      </c>
      <c r="CL171">
        <v>-0.3</v>
      </c>
      <c r="CM171">
        <v>2.1248761542966901</v>
      </c>
    </row>
    <row r="172" spans="1:91" x14ac:dyDescent="0.25">
      <c r="A172">
        <v>806</v>
      </c>
      <c r="B172" t="s">
        <v>142</v>
      </c>
      <c r="C172" t="s">
        <v>242</v>
      </c>
      <c r="D172" t="s">
        <v>342</v>
      </c>
      <c r="E172" t="s">
        <v>403</v>
      </c>
      <c r="F172">
        <v>531451840</v>
      </c>
      <c r="G172">
        <v>140.05609999999999</v>
      </c>
      <c r="H172" t="s">
        <v>413</v>
      </c>
      <c r="I172">
        <v>74433072048.223999</v>
      </c>
      <c r="J172" t="s">
        <v>416</v>
      </c>
      <c r="K172">
        <v>76651155.451063305</v>
      </c>
      <c r="L172">
        <v>0.95</v>
      </c>
      <c r="M172">
        <v>70711418445.81279</v>
      </c>
      <c r="N172">
        <v>19831656861.439999</v>
      </c>
      <c r="O172">
        <v>30201030</v>
      </c>
      <c r="P172">
        <v>3020</v>
      </c>
      <c r="Q172">
        <v>1.9964408278924499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2.3010000000000002</v>
      </c>
      <c r="AT172">
        <v>3.03</v>
      </c>
      <c r="AU172" t="s">
        <v>430</v>
      </c>
      <c r="AV172">
        <v>0</v>
      </c>
      <c r="AW172">
        <v>0</v>
      </c>
      <c r="AX172" t="s">
        <v>442</v>
      </c>
      <c r="AY172">
        <v>0</v>
      </c>
      <c r="AZ172">
        <v>0</v>
      </c>
      <c r="BA172">
        <v>0</v>
      </c>
      <c r="CE172">
        <v>2.6655000000000002</v>
      </c>
      <c r="CG172" t="s">
        <v>450</v>
      </c>
      <c r="CI172">
        <v>1.9964408278924499</v>
      </c>
      <c r="CJ172">
        <v>3.1</v>
      </c>
      <c r="CK172">
        <v>2.548220413946225</v>
      </c>
      <c r="CL172">
        <v>-0.24</v>
      </c>
      <c r="CM172">
        <v>2.3082204139462248</v>
      </c>
    </row>
    <row r="173" spans="1:91" x14ac:dyDescent="0.25">
      <c r="A173">
        <v>809</v>
      </c>
      <c r="B173" t="s">
        <v>158</v>
      </c>
      <c r="C173" t="s">
        <v>258</v>
      </c>
      <c r="D173" t="s">
        <v>358</v>
      </c>
      <c r="E173" t="s">
        <v>394</v>
      </c>
      <c r="F173">
        <v>534311946</v>
      </c>
      <c r="G173">
        <v>346.1</v>
      </c>
      <c r="H173" t="s">
        <v>409</v>
      </c>
      <c r="I173">
        <v>184925364510.60001</v>
      </c>
      <c r="J173" t="s">
        <v>415</v>
      </c>
      <c r="K173">
        <v>150007719.04285699</v>
      </c>
      <c r="L173">
        <v>0.45</v>
      </c>
      <c r="M173">
        <v>83216414029.770004</v>
      </c>
      <c r="N173">
        <v>9444497957.4960003</v>
      </c>
      <c r="O173">
        <v>40204035</v>
      </c>
      <c r="P173">
        <v>4020</v>
      </c>
      <c r="Q173">
        <v>1.74938320831028</v>
      </c>
      <c r="R173">
        <v>1.5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2.4470000000000001</v>
      </c>
      <c r="AT173">
        <v>2.8420000000000001</v>
      </c>
      <c r="AU173" t="s">
        <v>420</v>
      </c>
      <c r="AV173">
        <v>1</v>
      </c>
      <c r="AW173">
        <v>0</v>
      </c>
      <c r="AX173" t="s">
        <v>433</v>
      </c>
      <c r="AY173">
        <v>0</v>
      </c>
      <c r="AZ173">
        <v>0</v>
      </c>
      <c r="BA173">
        <v>0</v>
      </c>
      <c r="CE173">
        <v>2.6444999999999999</v>
      </c>
      <c r="CG173" t="s">
        <v>450</v>
      </c>
      <c r="CI173">
        <v>1.74938320831028</v>
      </c>
      <c r="CJ173">
        <v>1.5</v>
      </c>
      <c r="CK173">
        <v>1.62469160415514</v>
      </c>
      <c r="CL173">
        <v>-0.3</v>
      </c>
      <c r="CM173">
        <v>1.32469160415514</v>
      </c>
    </row>
    <row r="174" spans="1:91" x14ac:dyDescent="0.25">
      <c r="A174">
        <v>815</v>
      </c>
      <c r="B174" t="s">
        <v>168</v>
      </c>
      <c r="C174" t="s">
        <v>268</v>
      </c>
      <c r="D174" t="s">
        <v>368</v>
      </c>
      <c r="E174" t="s">
        <v>398</v>
      </c>
      <c r="F174">
        <v>1200015000</v>
      </c>
      <c r="G174">
        <v>6.3940000000000001</v>
      </c>
      <c r="H174" t="s">
        <v>409</v>
      </c>
      <c r="I174">
        <v>7672895910</v>
      </c>
      <c r="J174" t="s">
        <v>415</v>
      </c>
      <c r="K174">
        <v>40455426.200245902</v>
      </c>
      <c r="L174">
        <v>0.85</v>
      </c>
      <c r="M174">
        <v>6521961523.5</v>
      </c>
      <c r="N174">
        <v>40066100820</v>
      </c>
      <c r="O174">
        <v>40501010</v>
      </c>
      <c r="P174">
        <v>4050</v>
      </c>
      <c r="Q174">
        <v>1.83638692207139</v>
      </c>
      <c r="R174">
        <v>1.5</v>
      </c>
      <c r="S174" t="s">
        <v>418</v>
      </c>
      <c r="T174" t="s">
        <v>422</v>
      </c>
      <c r="U174">
        <v>0</v>
      </c>
      <c r="V174">
        <v>0.01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2.17</v>
      </c>
      <c r="AT174">
        <v>2.78</v>
      </c>
      <c r="AU174" t="s">
        <v>427</v>
      </c>
      <c r="AV174">
        <v>1</v>
      </c>
      <c r="AW174">
        <v>0</v>
      </c>
      <c r="AX174" t="s">
        <v>437</v>
      </c>
      <c r="AY174">
        <v>0</v>
      </c>
      <c r="AZ174">
        <v>0</v>
      </c>
      <c r="BA174">
        <v>0</v>
      </c>
      <c r="CE174">
        <v>2.4750000000000001</v>
      </c>
      <c r="CG174" t="s">
        <v>450</v>
      </c>
      <c r="CI174">
        <v>1.83638692207139</v>
      </c>
      <c r="CJ174">
        <v>1.5</v>
      </c>
      <c r="CK174">
        <v>1.668193461035695</v>
      </c>
      <c r="CL174">
        <v>-0.18</v>
      </c>
      <c r="CM174">
        <v>1.4881934610356951</v>
      </c>
    </row>
    <row r="175" spans="1:91" x14ac:dyDescent="0.25">
      <c r="A175">
        <v>818</v>
      </c>
      <c r="B175" t="s">
        <v>685</v>
      </c>
      <c r="C175" t="s">
        <v>1084</v>
      </c>
      <c r="D175" t="s">
        <v>1483</v>
      </c>
      <c r="E175" t="s">
        <v>394</v>
      </c>
      <c r="F175">
        <v>500141700</v>
      </c>
      <c r="G175">
        <v>702.4</v>
      </c>
      <c r="H175" t="s">
        <v>409</v>
      </c>
      <c r="I175">
        <v>351299530080</v>
      </c>
      <c r="J175" t="s">
        <v>415</v>
      </c>
      <c r="K175">
        <v>311385691.51904702</v>
      </c>
      <c r="L175">
        <v>0.5</v>
      </c>
      <c r="M175">
        <v>175649765040</v>
      </c>
      <c r="N175">
        <v>9822782988</v>
      </c>
      <c r="O175">
        <v>40204020</v>
      </c>
      <c r="P175">
        <v>4020</v>
      </c>
      <c r="Q175">
        <v>1.9755697139416</v>
      </c>
      <c r="S175" t="s">
        <v>417</v>
      </c>
      <c r="T175" t="s">
        <v>422</v>
      </c>
      <c r="U175">
        <v>0</v>
      </c>
      <c r="V175">
        <v>0.01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2.1840000000000002</v>
      </c>
      <c r="AT175">
        <v>2.9220000000000002</v>
      </c>
      <c r="AU175" t="s">
        <v>420</v>
      </c>
      <c r="AV175">
        <v>1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2.5529999999999999</v>
      </c>
      <c r="CG175" t="s">
        <v>450</v>
      </c>
      <c r="CI175">
        <v>1.9755697139416</v>
      </c>
      <c r="CJ175">
        <v>3.1</v>
      </c>
      <c r="CK175">
        <v>2.5377848569707999</v>
      </c>
      <c r="CL175">
        <v>-0.3</v>
      </c>
      <c r="CM175">
        <v>2.2377848569708001</v>
      </c>
    </row>
    <row r="176" spans="1:91" x14ac:dyDescent="0.25">
      <c r="A176">
        <v>822</v>
      </c>
      <c r="B176" t="s">
        <v>686</v>
      </c>
      <c r="C176" t="s">
        <v>1085</v>
      </c>
      <c r="D176" t="s">
        <v>1484</v>
      </c>
      <c r="E176" t="s">
        <v>403</v>
      </c>
      <c r="F176">
        <v>2403869600</v>
      </c>
      <c r="G176">
        <v>2.5291090000000001</v>
      </c>
      <c r="H176" t="s">
        <v>413</v>
      </c>
      <c r="I176">
        <v>6079648240.1864004</v>
      </c>
      <c r="J176" t="s">
        <v>416</v>
      </c>
      <c r="K176">
        <v>10687567.7809605</v>
      </c>
      <c r="L176">
        <v>0.9</v>
      </c>
      <c r="M176">
        <v>5471683416.1677608</v>
      </c>
      <c r="N176">
        <v>84981598099.199997</v>
      </c>
      <c r="O176">
        <v>30202010</v>
      </c>
      <c r="P176">
        <v>3020</v>
      </c>
      <c r="S176" t="s">
        <v>420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2.1560000000000001</v>
      </c>
      <c r="AT176">
        <v>2.7130000000000001</v>
      </c>
      <c r="AU176" t="s">
        <v>430</v>
      </c>
      <c r="AV176">
        <v>0</v>
      </c>
      <c r="AW176">
        <v>0</v>
      </c>
      <c r="AX176" t="s">
        <v>442</v>
      </c>
      <c r="AY176">
        <v>0</v>
      </c>
      <c r="AZ176">
        <v>0</v>
      </c>
      <c r="BA176">
        <v>0</v>
      </c>
      <c r="CE176">
        <v>2.4344999999999999</v>
      </c>
      <c r="CG176" t="s">
        <v>450</v>
      </c>
      <c r="CI176">
        <v>3.4</v>
      </c>
      <c r="CJ176">
        <v>3.1</v>
      </c>
      <c r="CK176">
        <v>3.25</v>
      </c>
      <c r="CL176">
        <v>0</v>
      </c>
      <c r="CM176">
        <v>3.25</v>
      </c>
    </row>
    <row r="177" spans="1:91" x14ac:dyDescent="0.25">
      <c r="A177">
        <v>828</v>
      </c>
      <c r="B177" t="s">
        <v>687</v>
      </c>
      <c r="C177" t="s">
        <v>1086</v>
      </c>
      <c r="D177" t="s">
        <v>1485</v>
      </c>
      <c r="E177" t="s">
        <v>403</v>
      </c>
      <c r="F177">
        <v>1189933100</v>
      </c>
      <c r="G177">
        <v>2.5653769999999998</v>
      </c>
      <c r="H177" t="s">
        <v>413</v>
      </c>
      <c r="I177">
        <v>3052627006.2786999</v>
      </c>
      <c r="J177" t="s">
        <v>416</v>
      </c>
      <c r="K177">
        <v>4088365.4284532</v>
      </c>
      <c r="L177">
        <v>0.95</v>
      </c>
      <c r="M177">
        <v>2899995655.9647651</v>
      </c>
      <c r="N177">
        <v>44403543559.599998</v>
      </c>
      <c r="O177">
        <v>30202010</v>
      </c>
      <c r="P177">
        <v>3020</v>
      </c>
      <c r="Q177">
        <v>3.2941496538854098</v>
      </c>
      <c r="S177" t="s">
        <v>420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1.9179999999999999</v>
      </c>
      <c r="AT177">
        <v>2.6829999999999998</v>
      </c>
      <c r="AU177" t="s">
        <v>430</v>
      </c>
      <c r="AV177">
        <v>0</v>
      </c>
      <c r="AW177">
        <v>0</v>
      </c>
      <c r="AX177" t="s">
        <v>448</v>
      </c>
      <c r="AY177">
        <v>0</v>
      </c>
      <c r="AZ177">
        <v>0</v>
      </c>
      <c r="BA177">
        <v>0</v>
      </c>
      <c r="CE177">
        <v>2.3005</v>
      </c>
      <c r="CG177" t="s">
        <v>450</v>
      </c>
      <c r="CI177">
        <v>3.2941496538854098</v>
      </c>
      <c r="CJ177">
        <v>3.1</v>
      </c>
      <c r="CK177">
        <v>3.1970748269427052</v>
      </c>
      <c r="CL177">
        <v>0</v>
      </c>
      <c r="CM177">
        <v>3.1970748269427052</v>
      </c>
    </row>
    <row r="178" spans="1:91" x14ac:dyDescent="0.25">
      <c r="A178">
        <v>835</v>
      </c>
      <c r="B178" t="s">
        <v>688</v>
      </c>
      <c r="C178" t="s">
        <v>1087</v>
      </c>
      <c r="D178" t="s">
        <v>1486</v>
      </c>
      <c r="E178" t="s">
        <v>403</v>
      </c>
      <c r="F178">
        <v>2051666300</v>
      </c>
      <c r="G178">
        <v>4.1841520000000001</v>
      </c>
      <c r="H178" t="s">
        <v>413</v>
      </c>
      <c r="I178">
        <v>8584483652.4776001</v>
      </c>
      <c r="J178" t="s">
        <v>416</v>
      </c>
      <c r="K178">
        <v>32668137.087276101</v>
      </c>
      <c r="L178">
        <v>1</v>
      </c>
      <c r="M178">
        <v>8584483652.4776001</v>
      </c>
      <c r="N178">
        <v>80589452264</v>
      </c>
      <c r="O178">
        <v>45201010</v>
      </c>
      <c r="P178">
        <v>4520</v>
      </c>
      <c r="Q178">
        <v>1.9816534204691401</v>
      </c>
      <c r="R178">
        <v>3.1</v>
      </c>
      <c r="S178" t="s">
        <v>418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0</v>
      </c>
      <c r="AE178">
        <v>0</v>
      </c>
      <c r="AF178">
        <v>0</v>
      </c>
      <c r="AH178">
        <v>0</v>
      </c>
      <c r="AI178" t="s">
        <v>424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2.4430000000000001</v>
      </c>
      <c r="AT178">
        <v>3.0529999999999999</v>
      </c>
      <c r="AU178" t="s">
        <v>431</v>
      </c>
      <c r="AV178">
        <v>1</v>
      </c>
      <c r="AW178">
        <v>0</v>
      </c>
      <c r="AX178" t="s">
        <v>442</v>
      </c>
      <c r="AY178">
        <v>0</v>
      </c>
      <c r="AZ178">
        <v>0</v>
      </c>
      <c r="BA178">
        <v>0</v>
      </c>
      <c r="CE178">
        <v>2.7480000000000002</v>
      </c>
      <c r="CG178" t="s">
        <v>450</v>
      </c>
      <c r="CI178">
        <v>1.9816534204691401</v>
      </c>
      <c r="CJ178">
        <v>3.1</v>
      </c>
      <c r="CK178">
        <v>2.5408267102345699</v>
      </c>
      <c r="CL178">
        <v>-0.18</v>
      </c>
      <c r="CM178">
        <v>2.3608267102345701</v>
      </c>
    </row>
    <row r="179" spans="1:91" x14ac:dyDescent="0.25">
      <c r="A179">
        <v>851</v>
      </c>
      <c r="B179" t="s">
        <v>689</v>
      </c>
      <c r="C179" t="s">
        <v>1088</v>
      </c>
      <c r="D179" t="s">
        <v>1487</v>
      </c>
      <c r="E179" t="s">
        <v>404</v>
      </c>
      <c r="F179">
        <v>833279689</v>
      </c>
      <c r="G179">
        <v>16.495000000000001</v>
      </c>
      <c r="H179" t="s">
        <v>409</v>
      </c>
      <c r="I179">
        <v>13744948470.055</v>
      </c>
      <c r="J179" t="s">
        <v>415</v>
      </c>
      <c r="K179">
        <v>48748636.0441394</v>
      </c>
      <c r="L179">
        <v>0.60000000000000009</v>
      </c>
      <c r="M179">
        <v>8246969082.0330009</v>
      </c>
      <c r="N179">
        <v>19638735710.352009</v>
      </c>
      <c r="O179">
        <v>30202000</v>
      </c>
      <c r="P179">
        <v>3020</v>
      </c>
      <c r="Q179">
        <v>3.4</v>
      </c>
      <c r="S179" t="s">
        <v>418</v>
      </c>
      <c r="T179" t="s">
        <v>422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2.3079999999999998</v>
      </c>
      <c r="AT179">
        <v>2.8940000000000001</v>
      </c>
      <c r="AU179" t="s">
        <v>430</v>
      </c>
      <c r="AV179">
        <v>0</v>
      </c>
      <c r="AW179">
        <v>0</v>
      </c>
      <c r="AX179" t="s">
        <v>443</v>
      </c>
      <c r="AY179">
        <v>0</v>
      </c>
      <c r="AZ179">
        <v>0</v>
      </c>
      <c r="BA179">
        <v>0</v>
      </c>
      <c r="CE179">
        <v>2.601</v>
      </c>
      <c r="CG179" t="s">
        <v>450</v>
      </c>
      <c r="CI179">
        <v>3.4</v>
      </c>
      <c r="CJ179">
        <v>3.1</v>
      </c>
      <c r="CK179">
        <v>3.25</v>
      </c>
      <c r="CL179">
        <v>-0.18</v>
      </c>
      <c r="CM179">
        <v>3.07</v>
      </c>
    </row>
    <row r="180" spans="1:91" x14ac:dyDescent="0.25">
      <c r="A180">
        <v>857</v>
      </c>
      <c r="B180" t="s">
        <v>691</v>
      </c>
      <c r="C180" t="s">
        <v>1090</v>
      </c>
      <c r="D180" t="s">
        <v>1489</v>
      </c>
      <c r="E180" t="s">
        <v>398</v>
      </c>
      <c r="F180">
        <v>962903700</v>
      </c>
      <c r="G180">
        <v>58.8</v>
      </c>
      <c r="H180" t="s">
        <v>409</v>
      </c>
      <c r="I180">
        <v>56618737560</v>
      </c>
      <c r="J180" t="s">
        <v>415</v>
      </c>
      <c r="K180">
        <v>145505164.78811499</v>
      </c>
      <c r="L180">
        <v>0.7</v>
      </c>
      <c r="M180">
        <v>39633116292</v>
      </c>
      <c r="N180">
        <v>26476000135.200001</v>
      </c>
      <c r="O180">
        <v>40101020</v>
      </c>
      <c r="P180">
        <v>4010</v>
      </c>
      <c r="Q180">
        <v>1.7486763088456401</v>
      </c>
      <c r="S180" t="s">
        <v>418</v>
      </c>
      <c r="T180" t="s">
        <v>423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2.3380000000000001</v>
      </c>
      <c r="AT180">
        <v>2.165</v>
      </c>
      <c r="AU180" t="s">
        <v>420</v>
      </c>
      <c r="AV180">
        <v>1</v>
      </c>
      <c r="AW180">
        <v>0</v>
      </c>
      <c r="AX180" t="s">
        <v>437</v>
      </c>
      <c r="AY180">
        <v>0</v>
      </c>
      <c r="AZ180">
        <v>0</v>
      </c>
      <c r="BA180">
        <v>0</v>
      </c>
      <c r="CE180">
        <v>2.2515000000000001</v>
      </c>
      <c r="CG180" t="s">
        <v>450</v>
      </c>
      <c r="CI180">
        <v>1.7486763088456401</v>
      </c>
      <c r="CJ180">
        <v>3.1</v>
      </c>
      <c r="CK180">
        <v>2.42433815442282</v>
      </c>
      <c r="CL180">
        <v>-0.18</v>
      </c>
      <c r="CM180">
        <v>2.2443381544228198</v>
      </c>
    </row>
    <row r="181" spans="1:91" x14ac:dyDescent="0.25">
      <c r="A181">
        <v>859</v>
      </c>
      <c r="B181" t="s">
        <v>692</v>
      </c>
      <c r="C181" t="s">
        <v>1091</v>
      </c>
      <c r="D181" t="s">
        <v>1490</v>
      </c>
      <c r="E181" t="s">
        <v>398</v>
      </c>
      <c r="F181">
        <v>129242250</v>
      </c>
      <c r="G181">
        <v>135.5</v>
      </c>
      <c r="H181" t="s">
        <v>409</v>
      </c>
      <c r="I181">
        <v>17512324875</v>
      </c>
      <c r="J181" t="s">
        <v>415</v>
      </c>
      <c r="K181">
        <v>40686209.574180298</v>
      </c>
      <c r="L181">
        <v>1</v>
      </c>
      <c r="M181">
        <v>17512324875</v>
      </c>
      <c r="N181">
        <v>5076635580</v>
      </c>
      <c r="O181">
        <v>20103015</v>
      </c>
      <c r="P181">
        <v>2010</v>
      </c>
      <c r="Q181">
        <v>1.8993924129978601</v>
      </c>
      <c r="R181">
        <v>3.1</v>
      </c>
      <c r="S181" t="s">
        <v>418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2.8839999999999999</v>
      </c>
      <c r="AT181">
        <v>2.6880000000000002</v>
      </c>
      <c r="AU181" t="s">
        <v>429</v>
      </c>
      <c r="AV181">
        <v>0</v>
      </c>
      <c r="AW181">
        <v>0</v>
      </c>
      <c r="AX181" t="s">
        <v>437</v>
      </c>
      <c r="AY181">
        <v>0</v>
      </c>
      <c r="AZ181">
        <v>0</v>
      </c>
      <c r="BA181">
        <v>0</v>
      </c>
      <c r="CE181">
        <v>2.786</v>
      </c>
      <c r="CG181" t="s">
        <v>450</v>
      </c>
      <c r="CI181">
        <v>1.8993924129978601</v>
      </c>
      <c r="CJ181">
        <v>3.1</v>
      </c>
      <c r="CK181">
        <v>2.4996962064989301</v>
      </c>
      <c r="CL181">
        <v>-0.18</v>
      </c>
      <c r="CM181">
        <v>2.3196962064989299</v>
      </c>
    </row>
    <row r="182" spans="1:91" x14ac:dyDescent="0.25">
      <c r="A182">
        <v>862</v>
      </c>
      <c r="B182" t="s">
        <v>155</v>
      </c>
      <c r="C182" t="s">
        <v>255</v>
      </c>
      <c r="D182" t="s">
        <v>355</v>
      </c>
      <c r="E182" t="s">
        <v>401</v>
      </c>
      <c r="F182">
        <v>563724900</v>
      </c>
      <c r="G182">
        <v>10.87</v>
      </c>
      <c r="H182" t="s">
        <v>409</v>
      </c>
      <c r="I182">
        <v>6127689663</v>
      </c>
      <c r="J182" t="s">
        <v>415</v>
      </c>
      <c r="K182">
        <v>8755069.4216968194</v>
      </c>
      <c r="L182">
        <v>0.65</v>
      </c>
      <c r="M182">
        <v>3982998280.9499998</v>
      </c>
      <c r="N182">
        <v>14393024146.799999</v>
      </c>
      <c r="O182">
        <v>35102000</v>
      </c>
      <c r="P182">
        <v>3510</v>
      </c>
      <c r="Q182">
        <v>1.7450067698613001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2.177</v>
      </c>
      <c r="AT182">
        <v>2.6259999999999999</v>
      </c>
      <c r="AU182" t="s">
        <v>425</v>
      </c>
      <c r="AV182">
        <v>1</v>
      </c>
      <c r="AW182">
        <v>0</v>
      </c>
      <c r="AX182" t="s">
        <v>440</v>
      </c>
      <c r="AY182">
        <v>0</v>
      </c>
      <c r="AZ182">
        <v>0</v>
      </c>
      <c r="BA182">
        <v>0</v>
      </c>
      <c r="CE182">
        <v>2.4015</v>
      </c>
      <c r="CG182" t="s">
        <v>450</v>
      </c>
      <c r="CI182">
        <v>1.7450067698613001</v>
      </c>
      <c r="CJ182">
        <v>3.1</v>
      </c>
      <c r="CK182">
        <v>2.4225033849306499</v>
      </c>
      <c r="CL182">
        <v>-0.18</v>
      </c>
      <c r="CM182">
        <v>2.2425033849306502</v>
      </c>
    </row>
    <row r="183" spans="1:91" x14ac:dyDescent="0.25">
      <c r="A183">
        <v>893</v>
      </c>
      <c r="B183" t="s">
        <v>694</v>
      </c>
      <c r="C183" t="s">
        <v>1093</v>
      </c>
      <c r="D183" t="s">
        <v>1492</v>
      </c>
      <c r="E183" t="s">
        <v>404</v>
      </c>
      <c r="F183">
        <v>274805954</v>
      </c>
      <c r="G183">
        <v>67.86</v>
      </c>
      <c r="H183" t="s">
        <v>409</v>
      </c>
      <c r="I183">
        <v>18648332038.439999</v>
      </c>
      <c r="J183" t="s">
        <v>415</v>
      </c>
      <c r="K183">
        <v>66477931.922458999</v>
      </c>
      <c r="L183">
        <v>0.85000000000000009</v>
      </c>
      <c r="M183">
        <v>15851082232.674</v>
      </c>
      <c r="N183">
        <v>9175221192.1520023</v>
      </c>
      <c r="O183">
        <v>40204020</v>
      </c>
      <c r="P183">
        <v>4020</v>
      </c>
      <c r="Q183">
        <v>1.74695639043615</v>
      </c>
      <c r="S183" t="s">
        <v>417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2.5569999999999999</v>
      </c>
      <c r="AT183">
        <v>3.0339999999999998</v>
      </c>
      <c r="AU183" t="s">
        <v>431</v>
      </c>
      <c r="AV183">
        <v>1</v>
      </c>
      <c r="AW183">
        <v>0</v>
      </c>
      <c r="AX183" t="s">
        <v>443</v>
      </c>
      <c r="AY183">
        <v>0</v>
      </c>
      <c r="AZ183">
        <v>0</v>
      </c>
      <c r="BA183">
        <v>0</v>
      </c>
      <c r="CE183">
        <v>2.7955000000000001</v>
      </c>
      <c r="CG183" t="s">
        <v>450</v>
      </c>
      <c r="CI183">
        <v>1.74695639043615</v>
      </c>
      <c r="CJ183">
        <v>3.1</v>
      </c>
      <c r="CK183">
        <v>2.4234781952180748</v>
      </c>
      <c r="CL183">
        <v>-0.3</v>
      </c>
      <c r="CM183">
        <v>2.123478195218075</v>
      </c>
    </row>
    <row r="184" spans="1:91" x14ac:dyDescent="0.25">
      <c r="A184">
        <v>895</v>
      </c>
      <c r="B184" t="s">
        <v>181</v>
      </c>
      <c r="C184" t="s">
        <v>281</v>
      </c>
      <c r="D184" t="s">
        <v>381</v>
      </c>
      <c r="E184" t="s">
        <v>403</v>
      </c>
      <c r="F184">
        <v>441412540</v>
      </c>
      <c r="G184">
        <v>14.978809999999999</v>
      </c>
      <c r="H184" t="s">
        <v>413</v>
      </c>
      <c r="I184">
        <v>6611834568.2774</v>
      </c>
      <c r="J184" t="s">
        <v>416</v>
      </c>
      <c r="K184">
        <v>15552731.930010101</v>
      </c>
      <c r="L184">
        <v>1</v>
      </c>
      <c r="M184">
        <v>6611834568.2774</v>
      </c>
      <c r="N184">
        <v>17338684571.200001</v>
      </c>
      <c r="O184">
        <v>50203030</v>
      </c>
      <c r="P184">
        <v>5020</v>
      </c>
      <c r="Q184">
        <v>1.6338401605731001</v>
      </c>
      <c r="R184">
        <v>1.5</v>
      </c>
      <c r="S184" t="s">
        <v>417</v>
      </c>
      <c r="T184" t="s">
        <v>422</v>
      </c>
      <c r="U184">
        <v>0</v>
      </c>
      <c r="V184">
        <v>0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O184">
        <v>0</v>
      </c>
      <c r="AP184">
        <v>0</v>
      </c>
      <c r="AQ184">
        <v>0</v>
      </c>
      <c r="AR184">
        <v>0</v>
      </c>
      <c r="AS184">
        <v>2.3959999999999999</v>
      </c>
      <c r="AT184">
        <v>3.2839999999999998</v>
      </c>
      <c r="AU184" t="s">
        <v>420</v>
      </c>
      <c r="AV184">
        <v>1</v>
      </c>
      <c r="AW184">
        <v>0</v>
      </c>
      <c r="AX184" t="s">
        <v>442</v>
      </c>
      <c r="AY184">
        <v>0</v>
      </c>
      <c r="AZ184">
        <v>0</v>
      </c>
      <c r="BA184">
        <v>0</v>
      </c>
      <c r="CE184">
        <v>2.84</v>
      </c>
      <c r="CG184" t="s">
        <v>450</v>
      </c>
      <c r="CI184">
        <v>1.6338401605731001</v>
      </c>
      <c r="CJ184">
        <v>1.5</v>
      </c>
      <c r="CK184">
        <v>1.5669200802865499</v>
      </c>
      <c r="CL184">
        <v>-0.3</v>
      </c>
      <c r="CM184">
        <v>1.2669200802865499</v>
      </c>
    </row>
    <row r="185" spans="1:91" x14ac:dyDescent="0.25">
      <c r="A185">
        <v>903</v>
      </c>
      <c r="B185" t="s">
        <v>695</v>
      </c>
      <c r="C185" t="s">
        <v>1094</v>
      </c>
      <c r="D185" t="s">
        <v>1493</v>
      </c>
      <c r="E185" t="s">
        <v>400</v>
      </c>
      <c r="F185">
        <v>517111091</v>
      </c>
      <c r="G185">
        <v>18.514900000000001</v>
      </c>
      <c r="H185" t="s">
        <v>411</v>
      </c>
      <c r="I185">
        <v>9574260138.7559013</v>
      </c>
      <c r="J185" t="s">
        <v>416</v>
      </c>
      <c r="K185">
        <v>16584719.4508359</v>
      </c>
      <c r="L185">
        <v>0.85000000000000009</v>
      </c>
      <c r="M185">
        <v>8138121117.9425173</v>
      </c>
      <c r="N185">
        <v>17265305106.307999</v>
      </c>
      <c r="O185">
        <v>45102010</v>
      </c>
      <c r="P185">
        <v>4510</v>
      </c>
      <c r="Q185">
        <v>1.9431220592962599</v>
      </c>
      <c r="R185">
        <v>3.1</v>
      </c>
      <c r="S185" t="s">
        <v>417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2.4129999999999998</v>
      </c>
      <c r="AT185">
        <v>2.5670000000000002</v>
      </c>
      <c r="AU185" t="s">
        <v>420</v>
      </c>
      <c r="AV185">
        <v>1</v>
      </c>
      <c r="AW185">
        <v>0</v>
      </c>
      <c r="AX185" t="s">
        <v>439</v>
      </c>
      <c r="AY185">
        <v>0</v>
      </c>
      <c r="AZ185">
        <v>0</v>
      </c>
      <c r="BA185">
        <v>0</v>
      </c>
      <c r="CE185">
        <v>2.4900000000000002</v>
      </c>
      <c r="CG185" t="s">
        <v>450</v>
      </c>
      <c r="CI185">
        <v>1.9431220592962599</v>
      </c>
      <c r="CJ185">
        <v>3.1</v>
      </c>
      <c r="CK185">
        <v>2.5215610296481299</v>
      </c>
      <c r="CL185">
        <v>-0.3</v>
      </c>
      <c r="CM185">
        <v>2.2215610296481301</v>
      </c>
    </row>
    <row r="186" spans="1:91" x14ac:dyDescent="0.25">
      <c r="A186">
        <v>909</v>
      </c>
      <c r="B186" t="s">
        <v>697</v>
      </c>
      <c r="C186" t="s">
        <v>1096</v>
      </c>
      <c r="D186" t="s">
        <v>1495</v>
      </c>
      <c r="E186" t="s">
        <v>398</v>
      </c>
      <c r="F186">
        <v>133760280</v>
      </c>
      <c r="G186">
        <v>515</v>
      </c>
      <c r="H186" t="s">
        <v>409</v>
      </c>
      <c r="I186">
        <v>68886544200</v>
      </c>
      <c r="J186" t="s">
        <v>415</v>
      </c>
      <c r="K186">
        <v>128545422.752459</v>
      </c>
      <c r="L186">
        <v>1</v>
      </c>
      <c r="M186">
        <v>68886544200</v>
      </c>
      <c r="N186">
        <v>26658423804</v>
      </c>
      <c r="O186">
        <v>30302020</v>
      </c>
      <c r="P186">
        <v>3030</v>
      </c>
      <c r="Q186">
        <v>3.4</v>
      </c>
      <c r="S186" t="s">
        <v>424</v>
      </c>
      <c r="T186" t="s">
        <v>422</v>
      </c>
      <c r="U186">
        <v>0</v>
      </c>
      <c r="V186">
        <v>0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2.44</v>
      </c>
      <c r="AT186">
        <v>3.379</v>
      </c>
      <c r="AU186" t="s">
        <v>430</v>
      </c>
      <c r="AV186">
        <v>0</v>
      </c>
      <c r="AW186">
        <v>0</v>
      </c>
      <c r="AX186" t="s">
        <v>437</v>
      </c>
      <c r="AY186">
        <v>0</v>
      </c>
      <c r="AZ186">
        <v>0</v>
      </c>
      <c r="BA186">
        <v>0</v>
      </c>
      <c r="CE186">
        <v>2.9095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911</v>
      </c>
      <c r="B187" t="s">
        <v>698</v>
      </c>
      <c r="C187" t="s">
        <v>1097</v>
      </c>
      <c r="D187" t="s">
        <v>1496</v>
      </c>
      <c r="E187" t="s">
        <v>395</v>
      </c>
      <c r="F187">
        <v>97916510</v>
      </c>
      <c r="G187">
        <v>43.17944</v>
      </c>
      <c r="H187" t="s">
        <v>410</v>
      </c>
      <c r="I187">
        <v>4227980068.5544</v>
      </c>
      <c r="J187" t="s">
        <v>416</v>
      </c>
      <c r="K187">
        <v>4714072.9623782104</v>
      </c>
      <c r="L187">
        <v>0.75</v>
      </c>
      <c r="M187">
        <v>3170985051.4158001</v>
      </c>
      <c r="N187">
        <v>14636070332.25</v>
      </c>
      <c r="O187">
        <v>10102020</v>
      </c>
      <c r="P187">
        <v>1010</v>
      </c>
      <c r="Q187">
        <v>1.9767278221111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2.1360000000000001</v>
      </c>
      <c r="AT187">
        <v>3.0329999999999999</v>
      </c>
      <c r="AU187" t="s">
        <v>420</v>
      </c>
      <c r="AV187">
        <v>1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2.5844999999999998</v>
      </c>
      <c r="CG187" t="s">
        <v>450</v>
      </c>
      <c r="CI187">
        <v>1.9767278221111</v>
      </c>
      <c r="CJ187">
        <v>3.1</v>
      </c>
      <c r="CK187">
        <v>2.53836391105555</v>
      </c>
      <c r="CL187">
        <v>0.3</v>
      </c>
      <c r="CM187">
        <v>2.8383639110555499</v>
      </c>
    </row>
    <row r="188" spans="1:91" x14ac:dyDescent="0.25">
      <c r="A188">
        <v>919</v>
      </c>
      <c r="B188" t="s">
        <v>137</v>
      </c>
      <c r="C188" t="s">
        <v>237</v>
      </c>
      <c r="D188" t="s">
        <v>337</v>
      </c>
      <c r="E188" t="s">
        <v>403</v>
      </c>
      <c r="F188">
        <v>8058562000</v>
      </c>
      <c r="G188">
        <v>5.4620050000000004</v>
      </c>
      <c r="H188" t="s">
        <v>413</v>
      </c>
      <c r="I188">
        <v>44015905936.810013</v>
      </c>
      <c r="J188" t="s">
        <v>416</v>
      </c>
      <c r="K188">
        <v>81343299.2132736</v>
      </c>
      <c r="L188">
        <v>0.9</v>
      </c>
      <c r="M188">
        <v>39614315343.129013</v>
      </c>
      <c r="N188">
        <v>1445464265940</v>
      </c>
      <c r="O188">
        <v>30101010</v>
      </c>
      <c r="P188">
        <v>3010</v>
      </c>
      <c r="Q188">
        <v>1.9993421653535901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0</v>
      </c>
      <c r="AE188">
        <v>0</v>
      </c>
      <c r="AF188">
        <v>0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O188">
        <v>0</v>
      </c>
      <c r="AP188">
        <v>0</v>
      </c>
      <c r="AQ188">
        <v>0</v>
      </c>
      <c r="AR188">
        <v>0</v>
      </c>
      <c r="AS188">
        <v>2.4140000000000001</v>
      </c>
      <c r="AT188">
        <v>2.734</v>
      </c>
      <c r="AU188" t="s">
        <v>430</v>
      </c>
      <c r="AV188">
        <v>0</v>
      </c>
      <c r="AW188">
        <v>0</v>
      </c>
      <c r="AX188" t="s">
        <v>442</v>
      </c>
      <c r="AY188">
        <v>0</v>
      </c>
      <c r="AZ188">
        <v>0</v>
      </c>
      <c r="BA188">
        <v>0</v>
      </c>
      <c r="CE188">
        <v>2.5739999999999998</v>
      </c>
      <c r="CG188" t="s">
        <v>450</v>
      </c>
      <c r="CI188">
        <v>1.9993421653535901</v>
      </c>
      <c r="CJ188">
        <v>3.1</v>
      </c>
      <c r="CK188">
        <v>2.5496710826767952</v>
      </c>
      <c r="CL188">
        <v>-0.24</v>
      </c>
      <c r="CM188">
        <v>2.309671082676795</v>
      </c>
    </row>
    <row r="189" spans="1:91" x14ac:dyDescent="0.25">
      <c r="A189">
        <v>923</v>
      </c>
      <c r="B189" t="s">
        <v>173</v>
      </c>
      <c r="C189" t="s">
        <v>273</v>
      </c>
      <c r="D189" t="s">
        <v>373</v>
      </c>
      <c r="E189" t="s">
        <v>406</v>
      </c>
      <c r="F189">
        <v>2620000000</v>
      </c>
      <c r="G189">
        <v>90.485759999999999</v>
      </c>
      <c r="H189" t="s">
        <v>414</v>
      </c>
      <c r="I189">
        <v>237072691200</v>
      </c>
      <c r="J189" t="s">
        <v>416</v>
      </c>
      <c r="K189">
        <v>395799404.31295902</v>
      </c>
      <c r="L189">
        <v>1</v>
      </c>
      <c r="M189">
        <v>237072691200</v>
      </c>
      <c r="N189">
        <v>522166000000</v>
      </c>
      <c r="O189">
        <v>45102020</v>
      </c>
      <c r="P189">
        <v>4510</v>
      </c>
      <c r="Q189">
        <v>1.74112504395241</v>
      </c>
      <c r="R189">
        <v>1.5</v>
      </c>
      <c r="S189" t="s">
        <v>419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2.2480000000000002</v>
      </c>
      <c r="AT189">
        <v>2.8980000000000001</v>
      </c>
      <c r="AU189" t="s">
        <v>420</v>
      </c>
      <c r="AV189">
        <v>1</v>
      </c>
      <c r="AW189">
        <v>0</v>
      </c>
      <c r="AX189" t="s">
        <v>446</v>
      </c>
      <c r="AY189">
        <v>0</v>
      </c>
      <c r="AZ189">
        <v>0</v>
      </c>
      <c r="BA189">
        <v>0</v>
      </c>
      <c r="CE189">
        <v>2.573</v>
      </c>
      <c r="CG189" t="s">
        <v>450</v>
      </c>
      <c r="CI189">
        <v>1.74112504395241</v>
      </c>
      <c r="CJ189">
        <v>1.5</v>
      </c>
      <c r="CK189">
        <v>1.620562521976205</v>
      </c>
      <c r="CL189">
        <v>-0.24</v>
      </c>
      <c r="CM189">
        <v>1.380562521976205</v>
      </c>
    </row>
    <row r="190" spans="1:91" x14ac:dyDescent="0.25">
      <c r="A190">
        <v>931</v>
      </c>
      <c r="B190" t="s">
        <v>166</v>
      </c>
      <c r="C190" t="s">
        <v>266</v>
      </c>
      <c r="D190" t="s">
        <v>366</v>
      </c>
      <c r="E190" t="s">
        <v>403</v>
      </c>
      <c r="F190">
        <v>123443540</v>
      </c>
      <c r="G190">
        <v>121.0757</v>
      </c>
      <c r="H190" t="s">
        <v>413</v>
      </c>
      <c r="I190">
        <v>14946013015.978001</v>
      </c>
      <c r="J190" t="s">
        <v>416</v>
      </c>
      <c r="K190">
        <v>22701103.9734562</v>
      </c>
      <c r="L190">
        <v>0.9</v>
      </c>
      <c r="M190">
        <v>13451411714.380199</v>
      </c>
      <c r="N190">
        <v>22142067769.799999</v>
      </c>
      <c r="O190">
        <v>40401010</v>
      </c>
      <c r="P190">
        <v>4040</v>
      </c>
      <c r="Q190">
        <v>1.98869886550994</v>
      </c>
      <c r="R190">
        <v>1.5</v>
      </c>
      <c r="S190" t="s">
        <v>418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2.3570000000000002</v>
      </c>
      <c r="AT190">
        <v>2.1</v>
      </c>
      <c r="AU190" t="s">
        <v>431</v>
      </c>
      <c r="AV190">
        <v>1</v>
      </c>
      <c r="AW190">
        <v>0</v>
      </c>
      <c r="AX190" t="s">
        <v>442</v>
      </c>
      <c r="AY190">
        <v>0</v>
      </c>
      <c r="AZ190">
        <v>0</v>
      </c>
      <c r="BA190">
        <v>0</v>
      </c>
      <c r="CE190">
        <v>2.2284999999999999</v>
      </c>
      <c r="CG190" t="s">
        <v>450</v>
      </c>
      <c r="CI190">
        <v>1.98869886550994</v>
      </c>
      <c r="CJ190">
        <v>1.5</v>
      </c>
      <c r="CK190">
        <v>1.74434943275497</v>
      </c>
      <c r="CL190">
        <v>-0.18</v>
      </c>
      <c r="CM190">
        <v>1.5643494327549701</v>
      </c>
    </row>
    <row r="191" spans="1:91" x14ac:dyDescent="0.25">
      <c r="A191">
        <v>936</v>
      </c>
      <c r="B191" t="s">
        <v>704</v>
      </c>
      <c r="C191" t="s">
        <v>1103</v>
      </c>
      <c r="D191" t="s">
        <v>1502</v>
      </c>
      <c r="E191" t="s">
        <v>395</v>
      </c>
      <c r="F191">
        <v>1782936200</v>
      </c>
      <c r="G191">
        <v>3.637251</v>
      </c>
      <c r="H191" t="s">
        <v>410</v>
      </c>
      <c r="I191">
        <v>6484986476.3862</v>
      </c>
      <c r="J191" t="s">
        <v>416</v>
      </c>
      <c r="K191">
        <v>32390200.2197248</v>
      </c>
      <c r="L191">
        <v>1</v>
      </c>
      <c r="M191">
        <v>6484986476.3862</v>
      </c>
      <c r="N191">
        <v>355339184660</v>
      </c>
      <c r="O191">
        <v>50101025</v>
      </c>
      <c r="P191">
        <v>5010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2.2309999999999999</v>
      </c>
      <c r="AT191">
        <v>2.3410000000000002</v>
      </c>
      <c r="AU191" t="s">
        <v>420</v>
      </c>
      <c r="AV191">
        <v>1</v>
      </c>
      <c r="AW191">
        <v>0</v>
      </c>
      <c r="AX191" t="s">
        <v>434</v>
      </c>
      <c r="AY191">
        <v>0</v>
      </c>
      <c r="AZ191">
        <v>0</v>
      </c>
      <c r="BA191">
        <v>0</v>
      </c>
      <c r="CE191">
        <v>2.286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 x14ac:dyDescent="0.25">
      <c r="A192">
        <v>960</v>
      </c>
      <c r="B192" t="s">
        <v>706</v>
      </c>
      <c r="C192" t="s">
        <v>1105</v>
      </c>
      <c r="D192" t="s">
        <v>1504</v>
      </c>
      <c r="E192" t="s">
        <v>396</v>
      </c>
      <c r="F192">
        <v>269000000</v>
      </c>
      <c r="G192">
        <v>46.41</v>
      </c>
      <c r="H192" t="s">
        <v>409</v>
      </c>
      <c r="I192">
        <v>12484290000</v>
      </c>
      <c r="J192" t="s">
        <v>415</v>
      </c>
      <c r="K192">
        <v>38384229.348571397</v>
      </c>
      <c r="L192">
        <v>0.95000000000000007</v>
      </c>
      <c r="M192">
        <v>11860075500</v>
      </c>
      <c r="N192">
        <v>50931115000</v>
      </c>
      <c r="O192">
        <v>30301010</v>
      </c>
      <c r="P192">
        <v>3030</v>
      </c>
      <c r="Q192">
        <v>3.2733333333333299</v>
      </c>
      <c r="R192">
        <v>2.7</v>
      </c>
      <c r="S192" t="s">
        <v>1648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2.1779999999999999</v>
      </c>
      <c r="AT192">
        <v>2.99</v>
      </c>
      <c r="AU192" t="s">
        <v>430</v>
      </c>
      <c r="AV192">
        <v>0</v>
      </c>
      <c r="AW192">
        <v>0</v>
      </c>
      <c r="AX192" t="s">
        <v>445</v>
      </c>
      <c r="AY192">
        <v>0</v>
      </c>
      <c r="AZ192">
        <v>0</v>
      </c>
      <c r="BA192">
        <v>0</v>
      </c>
      <c r="CE192">
        <v>2.5840000000000001</v>
      </c>
      <c r="CG192" t="s">
        <v>450</v>
      </c>
      <c r="CI192">
        <v>3.2733333333333299</v>
      </c>
      <c r="CJ192">
        <v>2.7</v>
      </c>
      <c r="CK192">
        <v>2.986666666666665</v>
      </c>
      <c r="CL192">
        <v>0.3</v>
      </c>
      <c r="CM192">
        <v>3.2866666666666648</v>
      </c>
    </row>
    <row r="193" spans="1:91" x14ac:dyDescent="0.25">
      <c r="A193">
        <v>962</v>
      </c>
      <c r="B193" t="s">
        <v>707</v>
      </c>
      <c r="C193" t="s">
        <v>1106</v>
      </c>
      <c r="D193" t="s">
        <v>1505</v>
      </c>
      <c r="E193" t="s">
        <v>399</v>
      </c>
      <c r="F193">
        <v>5605850600</v>
      </c>
      <c r="G193">
        <v>4.8034999999999997</v>
      </c>
      <c r="H193" t="s">
        <v>409</v>
      </c>
      <c r="I193">
        <v>26927703357.099998</v>
      </c>
      <c r="J193" t="s">
        <v>415</v>
      </c>
      <c r="K193">
        <v>50511232.338305101</v>
      </c>
      <c r="L193">
        <v>0.95</v>
      </c>
      <c r="M193">
        <v>25581318189.244999</v>
      </c>
      <c r="N193">
        <v>1061383723351</v>
      </c>
      <c r="O193">
        <v>15101010</v>
      </c>
      <c r="P193">
        <v>1510</v>
      </c>
      <c r="Q193">
        <v>1.74891070194458</v>
      </c>
      <c r="R193">
        <v>3.1</v>
      </c>
      <c r="S193" t="s">
        <v>420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2.6880000000000002</v>
      </c>
      <c r="AT193">
        <v>3.6120000000000001</v>
      </c>
      <c r="AU193" t="s">
        <v>420</v>
      </c>
      <c r="AV193">
        <v>1</v>
      </c>
      <c r="AW193">
        <v>0</v>
      </c>
      <c r="AX193" t="s">
        <v>438</v>
      </c>
      <c r="AY193">
        <v>0</v>
      </c>
      <c r="AZ193">
        <v>0</v>
      </c>
      <c r="BA193">
        <v>0</v>
      </c>
      <c r="CE193">
        <v>3.15</v>
      </c>
      <c r="CG193" t="s">
        <v>450</v>
      </c>
      <c r="CI193">
        <v>1.74891070194458</v>
      </c>
      <c r="CJ193">
        <v>3.1</v>
      </c>
      <c r="CK193">
        <v>2.4244553509722899</v>
      </c>
      <c r="CL193">
        <v>0</v>
      </c>
      <c r="CM193">
        <v>2.4244553509722899</v>
      </c>
    </row>
    <row r="194" spans="1:91" x14ac:dyDescent="0.25">
      <c r="A194">
        <v>967</v>
      </c>
      <c r="B194" t="s">
        <v>708</v>
      </c>
      <c r="C194" t="s">
        <v>1107</v>
      </c>
      <c r="D194" t="s">
        <v>1506</v>
      </c>
      <c r="E194" t="s">
        <v>399</v>
      </c>
      <c r="F194">
        <v>3497790300</v>
      </c>
      <c r="G194">
        <v>12.395</v>
      </c>
      <c r="H194" t="s">
        <v>409</v>
      </c>
      <c r="I194">
        <v>43355110768.5</v>
      </c>
      <c r="J194" t="s">
        <v>415</v>
      </c>
      <c r="K194">
        <v>68723588.773898304</v>
      </c>
      <c r="L194">
        <v>1</v>
      </c>
      <c r="M194">
        <v>43355110768.5</v>
      </c>
      <c r="N194">
        <v>697109606790</v>
      </c>
      <c r="O194">
        <v>30101010</v>
      </c>
      <c r="P194">
        <v>3010</v>
      </c>
      <c r="Q194">
        <v>2.89333333333333</v>
      </c>
      <c r="S194" t="s">
        <v>420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2.2229999999999999</v>
      </c>
      <c r="AT194">
        <v>2.851</v>
      </c>
      <c r="AU194" t="s">
        <v>430</v>
      </c>
      <c r="AV194">
        <v>0</v>
      </c>
      <c r="AW194">
        <v>0</v>
      </c>
      <c r="AX194" t="s">
        <v>438</v>
      </c>
      <c r="AY194">
        <v>0</v>
      </c>
      <c r="AZ194">
        <v>0</v>
      </c>
      <c r="BA194">
        <v>0</v>
      </c>
      <c r="CE194">
        <v>2.5369999999999999</v>
      </c>
      <c r="CG194" t="s">
        <v>450</v>
      </c>
      <c r="CI194">
        <v>2.89333333333333</v>
      </c>
      <c r="CJ194">
        <v>3.1</v>
      </c>
      <c r="CK194">
        <v>2.9966666666666648</v>
      </c>
      <c r="CL194">
        <v>0</v>
      </c>
      <c r="CM194">
        <v>2.9966666666666648</v>
      </c>
    </row>
    <row r="195" spans="1:91" x14ac:dyDescent="0.25">
      <c r="A195">
        <v>968</v>
      </c>
      <c r="B195" t="s">
        <v>709</v>
      </c>
      <c r="C195" t="s">
        <v>1108</v>
      </c>
      <c r="D195" t="s">
        <v>1507</v>
      </c>
      <c r="E195" t="s">
        <v>395</v>
      </c>
      <c r="F195">
        <v>251876570</v>
      </c>
      <c r="G195">
        <v>22.264109999999999</v>
      </c>
      <c r="H195" t="s">
        <v>410</v>
      </c>
      <c r="I195">
        <v>5607807660.9026995</v>
      </c>
      <c r="J195" t="s">
        <v>416</v>
      </c>
      <c r="K195">
        <v>7228970.6876485599</v>
      </c>
      <c r="L195">
        <v>0.7</v>
      </c>
      <c r="M195">
        <v>3925465362.6318889</v>
      </c>
      <c r="N195">
        <v>35139300280.699997</v>
      </c>
      <c r="O195">
        <v>30202015</v>
      </c>
      <c r="P195">
        <v>3020</v>
      </c>
      <c r="Q195">
        <v>2.64</v>
      </c>
      <c r="S195" t="s">
        <v>1648</v>
      </c>
      <c r="T195" t="s">
        <v>422</v>
      </c>
      <c r="U195">
        <v>0</v>
      </c>
      <c r="V195">
        <v>0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</v>
      </c>
      <c r="AF195">
        <v>0</v>
      </c>
      <c r="AH195">
        <v>0</v>
      </c>
      <c r="AI195" t="s">
        <v>424</v>
      </c>
      <c r="AK195" t="s">
        <v>424</v>
      </c>
      <c r="AL195" t="s">
        <v>424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1.7849999999999999</v>
      </c>
      <c r="AT195">
        <v>2.6659999999999999</v>
      </c>
      <c r="AU195" t="s">
        <v>430</v>
      </c>
      <c r="AV195">
        <v>0</v>
      </c>
      <c r="AW195">
        <v>0</v>
      </c>
      <c r="AX195" t="s">
        <v>434</v>
      </c>
      <c r="AY195">
        <v>0</v>
      </c>
      <c r="AZ195">
        <v>0</v>
      </c>
      <c r="BA195">
        <v>0</v>
      </c>
      <c r="CE195">
        <v>2.2254999999999998</v>
      </c>
      <c r="CG195" t="s">
        <v>450</v>
      </c>
      <c r="CI195">
        <v>2.64</v>
      </c>
      <c r="CJ195">
        <v>3.1</v>
      </c>
      <c r="CK195">
        <v>2.87</v>
      </c>
      <c r="CL195">
        <v>0.3</v>
      </c>
      <c r="CM195">
        <v>3.17</v>
      </c>
    </row>
    <row r="196" spans="1:91" x14ac:dyDescent="0.25">
      <c r="A196">
        <v>974</v>
      </c>
      <c r="B196" t="s">
        <v>118</v>
      </c>
      <c r="C196" t="s">
        <v>218</v>
      </c>
      <c r="D196" t="s">
        <v>318</v>
      </c>
      <c r="E196" t="s">
        <v>406</v>
      </c>
      <c r="F196">
        <v>2189930400</v>
      </c>
      <c r="G196">
        <v>104.3617</v>
      </c>
      <c r="H196" t="s">
        <v>414</v>
      </c>
      <c r="I196">
        <v>228544859425.67999</v>
      </c>
      <c r="J196" t="s">
        <v>416</v>
      </c>
      <c r="K196">
        <v>348052438.84857303</v>
      </c>
      <c r="L196">
        <v>0.95</v>
      </c>
      <c r="M196">
        <v>217117616454.396</v>
      </c>
      <c r="N196">
        <v>414630472284</v>
      </c>
      <c r="O196">
        <v>20103015</v>
      </c>
      <c r="P196">
        <v>2010</v>
      </c>
      <c r="Q196">
        <v>1.7351435772655099</v>
      </c>
      <c r="R196">
        <v>1.5</v>
      </c>
      <c r="S196" t="s">
        <v>417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2.9780000000000002</v>
      </c>
      <c r="AT196">
        <v>2.9729999999999999</v>
      </c>
      <c r="AU196" t="s">
        <v>420</v>
      </c>
      <c r="AV196">
        <v>1</v>
      </c>
      <c r="AW196">
        <v>0</v>
      </c>
      <c r="AX196" t="s">
        <v>446</v>
      </c>
      <c r="AY196">
        <v>0</v>
      </c>
      <c r="AZ196">
        <v>0</v>
      </c>
      <c r="BA196">
        <v>0</v>
      </c>
      <c r="CE196">
        <v>2.9754999999999998</v>
      </c>
      <c r="CG196" t="s">
        <v>450</v>
      </c>
      <c r="CI196">
        <v>1.7351435772655099</v>
      </c>
      <c r="CJ196">
        <v>1.5</v>
      </c>
      <c r="CK196">
        <v>1.617571788632755</v>
      </c>
      <c r="CL196">
        <v>-0.3</v>
      </c>
      <c r="CM196">
        <v>1.3175717886327549</v>
      </c>
    </row>
    <row r="197" spans="1:91" x14ac:dyDescent="0.25">
      <c r="A197">
        <v>975</v>
      </c>
      <c r="B197" t="s">
        <v>710</v>
      </c>
      <c r="C197" t="s">
        <v>1109</v>
      </c>
      <c r="D197" t="s">
        <v>1508</v>
      </c>
      <c r="E197" t="s">
        <v>402</v>
      </c>
      <c r="F197">
        <v>3390128000</v>
      </c>
      <c r="G197">
        <v>84.447940000000003</v>
      </c>
      <c r="H197" t="s">
        <v>412</v>
      </c>
      <c r="I197">
        <v>286289325936.32001</v>
      </c>
      <c r="J197" t="s">
        <v>416</v>
      </c>
      <c r="K197">
        <v>373752660.226686</v>
      </c>
      <c r="L197">
        <v>0.95</v>
      </c>
      <c r="M197">
        <v>271974859639.504</v>
      </c>
      <c r="N197">
        <v>641869884880</v>
      </c>
      <c r="O197">
        <v>20103015</v>
      </c>
      <c r="P197">
        <v>2010</v>
      </c>
      <c r="Q197">
        <v>3.2456929917849702</v>
      </c>
      <c r="S197" t="s">
        <v>419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2.7360000000000002</v>
      </c>
      <c r="AT197">
        <v>2.2970000000000002</v>
      </c>
      <c r="AU197" t="s">
        <v>420</v>
      </c>
      <c r="AV197">
        <v>1</v>
      </c>
      <c r="AW197">
        <v>0</v>
      </c>
      <c r="AX197" t="s">
        <v>441</v>
      </c>
      <c r="AY197">
        <v>0</v>
      </c>
      <c r="AZ197">
        <v>0</v>
      </c>
      <c r="BA197">
        <v>0</v>
      </c>
      <c r="CE197">
        <v>2.5165000000000002</v>
      </c>
      <c r="CG197" t="s">
        <v>450</v>
      </c>
      <c r="CI197">
        <v>3.2456929917849702</v>
      </c>
      <c r="CJ197">
        <v>3.1</v>
      </c>
      <c r="CK197">
        <v>3.1728464958924851</v>
      </c>
      <c r="CL197">
        <v>-0.24</v>
      </c>
      <c r="CM197">
        <v>2.9328464958924849</v>
      </c>
    </row>
    <row r="198" spans="1:91" x14ac:dyDescent="0.25">
      <c r="A198">
        <v>976</v>
      </c>
      <c r="B198" t="s">
        <v>116</v>
      </c>
      <c r="C198" t="s">
        <v>216</v>
      </c>
      <c r="D198" t="s">
        <v>316</v>
      </c>
      <c r="E198" t="s">
        <v>402</v>
      </c>
      <c r="F198">
        <v>414555050</v>
      </c>
      <c r="G198">
        <v>53.644550000000002</v>
      </c>
      <c r="H198" t="s">
        <v>412</v>
      </c>
      <c r="I198">
        <v>22238619107.477501</v>
      </c>
      <c r="J198" t="s">
        <v>416</v>
      </c>
      <c r="K198">
        <v>28551144.8592216</v>
      </c>
      <c r="L198">
        <v>0.85</v>
      </c>
      <c r="M198">
        <v>18902826241.355881</v>
      </c>
      <c r="N198">
        <v>70227698245.25</v>
      </c>
      <c r="O198">
        <v>20103010</v>
      </c>
      <c r="P198">
        <v>2010</v>
      </c>
      <c r="Q198">
        <v>1.7046060481660801</v>
      </c>
      <c r="R198">
        <v>1.5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2.5750000000000002</v>
      </c>
      <c r="AT198">
        <v>2.8759999999999999</v>
      </c>
      <c r="AU198" t="s">
        <v>420</v>
      </c>
      <c r="AV198">
        <v>1</v>
      </c>
      <c r="AW198">
        <v>0</v>
      </c>
      <c r="AX198" t="s">
        <v>441</v>
      </c>
      <c r="AY198">
        <v>0</v>
      </c>
      <c r="AZ198">
        <v>0</v>
      </c>
      <c r="BA198">
        <v>0</v>
      </c>
      <c r="CE198">
        <v>2.7254999999999998</v>
      </c>
      <c r="CG198" t="s">
        <v>450</v>
      </c>
      <c r="CI198">
        <v>1.7046060481660801</v>
      </c>
      <c r="CJ198">
        <v>1.5</v>
      </c>
      <c r="CK198">
        <v>1.60230302408304</v>
      </c>
      <c r="CL198">
        <v>-0.3</v>
      </c>
      <c r="CM198">
        <v>1.30230302408304</v>
      </c>
    </row>
    <row r="199" spans="1:91" x14ac:dyDescent="0.25">
      <c r="A199">
        <v>1002</v>
      </c>
      <c r="B199" t="s">
        <v>114</v>
      </c>
      <c r="C199" t="s">
        <v>214</v>
      </c>
      <c r="D199" t="s">
        <v>314</v>
      </c>
      <c r="E199" t="s">
        <v>394</v>
      </c>
      <c r="F199">
        <v>2660056599</v>
      </c>
      <c r="G199">
        <v>11.074999999999999</v>
      </c>
      <c r="H199" t="s">
        <v>409</v>
      </c>
      <c r="I199">
        <v>29460126833.924999</v>
      </c>
      <c r="J199" t="s">
        <v>415</v>
      </c>
      <c r="K199">
        <v>71522746.378896803</v>
      </c>
      <c r="L199">
        <v>0.65</v>
      </c>
      <c r="M199">
        <v>19149082442.05125</v>
      </c>
      <c r="N199">
        <v>344597032117.45502</v>
      </c>
      <c r="O199">
        <v>15102015</v>
      </c>
      <c r="P199">
        <v>1510</v>
      </c>
      <c r="Q199">
        <v>1.7104133479050101</v>
      </c>
      <c r="R199">
        <v>2.39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2.7160000000000002</v>
      </c>
      <c r="AT199">
        <v>2.7469999999999999</v>
      </c>
      <c r="AU199" t="s">
        <v>426</v>
      </c>
      <c r="AV199">
        <v>0</v>
      </c>
      <c r="AW199">
        <v>0</v>
      </c>
      <c r="AX199" t="s">
        <v>433</v>
      </c>
      <c r="AY199">
        <v>0</v>
      </c>
      <c r="AZ199">
        <v>0</v>
      </c>
      <c r="BA199">
        <v>0</v>
      </c>
      <c r="CE199">
        <v>2.7315</v>
      </c>
      <c r="CG199" t="s">
        <v>450</v>
      </c>
      <c r="CI199">
        <v>1.7104133479050101</v>
      </c>
      <c r="CJ199">
        <v>2.39</v>
      </c>
      <c r="CK199">
        <v>2.0502066739525051</v>
      </c>
      <c r="CL199">
        <v>-0.18</v>
      </c>
      <c r="CM199">
        <v>1.8702066739525049</v>
      </c>
    </row>
    <row r="200" spans="1:91" x14ac:dyDescent="0.25">
      <c r="A200">
        <v>1007</v>
      </c>
      <c r="B200" t="s">
        <v>125</v>
      </c>
      <c r="C200" t="s">
        <v>225</v>
      </c>
      <c r="D200" t="s">
        <v>325</v>
      </c>
      <c r="E200" t="s">
        <v>399</v>
      </c>
      <c r="F200">
        <v>108382010</v>
      </c>
      <c r="G200">
        <v>52.44</v>
      </c>
      <c r="H200" t="s">
        <v>409</v>
      </c>
      <c r="I200">
        <v>5683552604.3999996</v>
      </c>
      <c r="J200" t="s">
        <v>415</v>
      </c>
      <c r="K200">
        <v>9590018.5647457596</v>
      </c>
      <c r="L200">
        <v>1</v>
      </c>
      <c r="M200">
        <v>5683552604.3999996</v>
      </c>
      <c r="N200">
        <v>21600534593</v>
      </c>
      <c r="O200">
        <v>20103015</v>
      </c>
      <c r="P200">
        <v>2010</v>
      </c>
      <c r="Q200">
        <v>1.9707580162642699</v>
      </c>
      <c r="R200">
        <v>2.7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2.4689999999999999</v>
      </c>
      <c r="AT200">
        <v>2.8260000000000001</v>
      </c>
      <c r="AU200" t="s">
        <v>420</v>
      </c>
      <c r="AV200">
        <v>1</v>
      </c>
      <c r="AW200">
        <v>0</v>
      </c>
      <c r="AX200" t="s">
        <v>438</v>
      </c>
      <c r="AY200">
        <v>0</v>
      </c>
      <c r="AZ200">
        <v>0</v>
      </c>
      <c r="BA200">
        <v>0</v>
      </c>
      <c r="CE200">
        <v>2.6475</v>
      </c>
      <c r="CG200" t="s">
        <v>450</v>
      </c>
      <c r="CI200">
        <v>1.9707580162642699</v>
      </c>
      <c r="CJ200">
        <v>2.7</v>
      </c>
      <c r="CK200">
        <v>2.3353790081321351</v>
      </c>
      <c r="CL200">
        <v>-0.18</v>
      </c>
      <c r="CM200">
        <v>2.1553790081321349</v>
      </c>
    </row>
    <row r="201" spans="1:91" x14ac:dyDescent="0.25">
      <c r="A201">
        <v>1010</v>
      </c>
      <c r="B201" t="s">
        <v>174</v>
      </c>
      <c r="C201" t="s">
        <v>274</v>
      </c>
      <c r="D201" t="s">
        <v>374</v>
      </c>
      <c r="E201" t="s">
        <v>400</v>
      </c>
      <c r="F201">
        <v>1001430970</v>
      </c>
      <c r="G201">
        <v>9.1671560000000003</v>
      </c>
      <c r="H201" t="s">
        <v>411</v>
      </c>
      <c r="I201">
        <v>9180273925.2213211</v>
      </c>
      <c r="J201" t="s">
        <v>416</v>
      </c>
      <c r="K201">
        <v>9237785.1270873696</v>
      </c>
      <c r="L201">
        <v>0.75</v>
      </c>
      <c r="M201">
        <v>6885205443.9159908</v>
      </c>
      <c r="N201">
        <v>149688894240.75</v>
      </c>
      <c r="O201">
        <v>45102020</v>
      </c>
      <c r="P201">
        <v>4510</v>
      </c>
      <c r="Q201">
        <v>1.7387081680102601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2.3149999999999999</v>
      </c>
      <c r="AT201">
        <v>3.2949999999999999</v>
      </c>
      <c r="AU201" t="s">
        <v>420</v>
      </c>
      <c r="AV201">
        <v>1</v>
      </c>
      <c r="AW201">
        <v>0</v>
      </c>
      <c r="AX201" t="s">
        <v>439</v>
      </c>
      <c r="AY201">
        <v>0</v>
      </c>
      <c r="AZ201">
        <v>0</v>
      </c>
      <c r="BA201">
        <v>0</v>
      </c>
      <c r="CE201">
        <v>2.8050000000000002</v>
      </c>
      <c r="CG201" t="s">
        <v>450</v>
      </c>
      <c r="CI201">
        <v>1.7387081680102601</v>
      </c>
      <c r="CJ201">
        <v>1.5</v>
      </c>
      <c r="CK201">
        <v>1.6193540840051299</v>
      </c>
      <c r="CL201">
        <v>-0.18</v>
      </c>
      <c r="CM201">
        <v>1.43935408400513</v>
      </c>
    </row>
    <row r="202" spans="1:91" x14ac:dyDescent="0.25">
      <c r="A202">
        <v>1022</v>
      </c>
      <c r="B202" t="s">
        <v>713</v>
      </c>
      <c r="C202" t="s">
        <v>1112</v>
      </c>
      <c r="D202" t="s">
        <v>1511</v>
      </c>
      <c r="E202" t="s">
        <v>402</v>
      </c>
      <c r="F202">
        <v>82000000</v>
      </c>
      <c r="G202">
        <v>171.24170000000001</v>
      </c>
      <c r="H202" t="s">
        <v>412</v>
      </c>
      <c r="I202">
        <v>14041819400</v>
      </c>
      <c r="J202" t="s">
        <v>416</v>
      </c>
      <c r="K202">
        <v>33854319.101091303</v>
      </c>
      <c r="L202">
        <v>0.95</v>
      </c>
      <c r="M202">
        <v>13339728430</v>
      </c>
      <c r="N202">
        <v>4000165000</v>
      </c>
      <c r="O202">
        <v>40204030</v>
      </c>
      <c r="P202">
        <v>4020</v>
      </c>
      <c r="Q202">
        <v>1.72895150351199</v>
      </c>
      <c r="S202" t="s">
        <v>419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2.1589999999999998</v>
      </c>
      <c r="AT202">
        <v>3.0190000000000001</v>
      </c>
      <c r="AU202" t="s">
        <v>431</v>
      </c>
      <c r="AV202">
        <v>1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2.589</v>
      </c>
      <c r="CG202" t="s">
        <v>450</v>
      </c>
      <c r="CI202">
        <v>1.72895150351199</v>
      </c>
      <c r="CJ202">
        <v>3.1</v>
      </c>
      <c r="CK202">
        <v>2.4144757517559952</v>
      </c>
      <c r="CL202">
        <v>-0.24</v>
      </c>
      <c r="CM202">
        <v>2.1744757517559949</v>
      </c>
    </row>
    <row r="203" spans="1:91" x14ac:dyDescent="0.25">
      <c r="A203">
        <v>1028</v>
      </c>
      <c r="B203" t="s">
        <v>715</v>
      </c>
      <c r="C203" t="s">
        <v>1114</v>
      </c>
      <c r="D203" t="s">
        <v>1513</v>
      </c>
      <c r="E203" t="s">
        <v>403</v>
      </c>
      <c r="F203">
        <v>666554440</v>
      </c>
      <c r="G203">
        <v>16.417449999999999</v>
      </c>
      <c r="H203" t="s">
        <v>413</v>
      </c>
      <c r="I203">
        <v>10943124190.978001</v>
      </c>
      <c r="J203" t="s">
        <v>416</v>
      </c>
      <c r="K203">
        <v>16007521.430969199</v>
      </c>
      <c r="L203">
        <v>0.8</v>
      </c>
      <c r="M203">
        <v>8754499352.7824001</v>
      </c>
      <c r="N203">
        <v>27382056395.200001</v>
      </c>
      <c r="O203">
        <v>40301030</v>
      </c>
      <c r="P203">
        <v>4030</v>
      </c>
      <c r="Q203">
        <v>1.74567696372393</v>
      </c>
      <c r="S203" t="s">
        <v>419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2.8010000000000002</v>
      </c>
      <c r="AT203">
        <v>3.226</v>
      </c>
      <c r="AU203" t="s">
        <v>426</v>
      </c>
      <c r="AV203">
        <v>0</v>
      </c>
      <c r="AW203">
        <v>0</v>
      </c>
      <c r="AX203" t="s">
        <v>442</v>
      </c>
      <c r="AY203">
        <v>0</v>
      </c>
      <c r="AZ203">
        <v>0</v>
      </c>
      <c r="BA203">
        <v>0</v>
      </c>
      <c r="CE203">
        <v>3.0135000000000001</v>
      </c>
      <c r="CG203" t="s">
        <v>450</v>
      </c>
      <c r="CI203">
        <v>1.74567696372393</v>
      </c>
      <c r="CJ203">
        <v>3.1</v>
      </c>
      <c r="CK203">
        <v>2.422838481861965</v>
      </c>
      <c r="CL203">
        <v>-0.24</v>
      </c>
      <c r="CM203">
        <v>2.1828384818619648</v>
      </c>
    </row>
    <row r="204" spans="1:91" x14ac:dyDescent="0.25">
      <c r="A204">
        <v>1031</v>
      </c>
      <c r="B204" t="s">
        <v>716</v>
      </c>
      <c r="C204" t="s">
        <v>1115</v>
      </c>
      <c r="D204" t="s">
        <v>1514</v>
      </c>
      <c r="E204" t="s">
        <v>394</v>
      </c>
      <c r="F204">
        <v>252269195</v>
      </c>
      <c r="G204">
        <v>99.2</v>
      </c>
      <c r="H204" t="s">
        <v>409</v>
      </c>
      <c r="I204">
        <v>25025104144</v>
      </c>
      <c r="J204" t="s">
        <v>415</v>
      </c>
      <c r="K204">
        <v>71433481.464603201</v>
      </c>
      <c r="L204">
        <v>0.8</v>
      </c>
      <c r="M204">
        <v>20020083315.200001</v>
      </c>
      <c r="N204">
        <v>10363218530.6</v>
      </c>
      <c r="O204">
        <v>45101015</v>
      </c>
      <c r="P204">
        <v>4510</v>
      </c>
      <c r="Q204">
        <v>1.7343801965574801</v>
      </c>
      <c r="R204">
        <v>2.39</v>
      </c>
      <c r="S204" t="s">
        <v>417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2.1019999999999999</v>
      </c>
      <c r="AT204">
        <v>2.8759999999999999</v>
      </c>
      <c r="AU204" t="s">
        <v>420</v>
      </c>
      <c r="AV204">
        <v>1</v>
      </c>
      <c r="AW204">
        <v>0</v>
      </c>
      <c r="AX204" t="s">
        <v>433</v>
      </c>
      <c r="AY204">
        <v>0</v>
      </c>
      <c r="AZ204">
        <v>0</v>
      </c>
      <c r="BA204">
        <v>0</v>
      </c>
      <c r="CE204">
        <v>2.4889999999999999</v>
      </c>
      <c r="CG204" t="s">
        <v>450</v>
      </c>
      <c r="CI204">
        <v>1.7343801965574801</v>
      </c>
      <c r="CJ204">
        <v>2.39</v>
      </c>
      <c r="CK204">
        <v>2.06219009827874</v>
      </c>
      <c r="CL204">
        <v>-0.3</v>
      </c>
      <c r="CM204">
        <v>1.76219009827874</v>
      </c>
    </row>
    <row r="205" spans="1:91" x14ac:dyDescent="0.25">
      <c r="A205">
        <v>1033</v>
      </c>
      <c r="B205" t="s">
        <v>161</v>
      </c>
      <c r="C205" t="s">
        <v>261</v>
      </c>
      <c r="D205" t="s">
        <v>361</v>
      </c>
      <c r="E205" t="s">
        <v>403</v>
      </c>
      <c r="F205">
        <v>319915900</v>
      </c>
      <c r="G205">
        <v>14.61008</v>
      </c>
      <c r="H205" t="s">
        <v>413</v>
      </c>
      <c r="I205">
        <v>4673996892.2720003</v>
      </c>
      <c r="J205" t="s">
        <v>416</v>
      </c>
      <c r="K205">
        <v>15670413.556200899</v>
      </c>
      <c r="L205">
        <v>1</v>
      </c>
      <c r="M205">
        <v>4673996892.2720003</v>
      </c>
      <c r="N205">
        <v>16427681465</v>
      </c>
      <c r="O205">
        <v>40202010</v>
      </c>
      <c r="P205">
        <v>4020</v>
      </c>
      <c r="Q205">
        <v>1.9955323498800199</v>
      </c>
      <c r="R205">
        <v>1.5</v>
      </c>
      <c r="S205" t="s">
        <v>419</v>
      </c>
      <c r="T205" t="s">
        <v>422</v>
      </c>
      <c r="U205">
        <v>0</v>
      </c>
      <c r="V205">
        <v>0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2.157</v>
      </c>
      <c r="AT205">
        <v>2.8759999999999999</v>
      </c>
      <c r="AU205" t="s">
        <v>424</v>
      </c>
      <c r="AV205">
        <v>1</v>
      </c>
      <c r="AW205">
        <v>0</v>
      </c>
      <c r="AX205" t="s">
        <v>442</v>
      </c>
      <c r="AY205">
        <v>0</v>
      </c>
      <c r="AZ205">
        <v>0</v>
      </c>
      <c r="BA205">
        <v>0</v>
      </c>
      <c r="CE205">
        <v>2.5165000000000002</v>
      </c>
      <c r="CG205" t="s">
        <v>450</v>
      </c>
      <c r="CI205">
        <v>1.9955323498800199</v>
      </c>
      <c r="CJ205">
        <v>1.5</v>
      </c>
      <c r="CK205">
        <v>1.74776617494001</v>
      </c>
      <c r="CL205">
        <v>-0.24</v>
      </c>
      <c r="CM205">
        <v>1.50776617494001</v>
      </c>
    </row>
    <row r="206" spans="1:91" x14ac:dyDescent="0.25">
      <c r="A206">
        <v>1038</v>
      </c>
      <c r="B206" t="s">
        <v>717</v>
      </c>
      <c r="C206" t="s">
        <v>1116</v>
      </c>
      <c r="D206" t="s">
        <v>1515</v>
      </c>
      <c r="E206" t="s">
        <v>396</v>
      </c>
      <c r="F206">
        <v>939939384</v>
      </c>
      <c r="G206">
        <v>24.31</v>
      </c>
      <c r="H206" t="s">
        <v>409</v>
      </c>
      <c r="I206">
        <v>22849926425.040001</v>
      </c>
      <c r="J206" t="s">
        <v>415</v>
      </c>
      <c r="K206">
        <v>40946012.608492099</v>
      </c>
      <c r="L206">
        <v>0.85000000000000009</v>
      </c>
      <c r="M206">
        <v>19422437461.284</v>
      </c>
      <c r="N206">
        <v>41026004263.140007</v>
      </c>
      <c r="O206">
        <v>20102010</v>
      </c>
      <c r="P206">
        <v>2010</v>
      </c>
      <c r="Q206">
        <v>1.9980843917530799</v>
      </c>
      <c r="S206" t="s">
        <v>417</v>
      </c>
      <c r="T206" t="s">
        <v>423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2.5950000000000002</v>
      </c>
      <c r="AT206">
        <v>3.242</v>
      </c>
      <c r="AU206" t="s">
        <v>420</v>
      </c>
      <c r="AV206">
        <v>1</v>
      </c>
      <c r="AW206">
        <v>0</v>
      </c>
      <c r="AX206" t="s">
        <v>445</v>
      </c>
      <c r="AY206">
        <v>0</v>
      </c>
      <c r="AZ206">
        <v>0</v>
      </c>
      <c r="BA206">
        <v>0</v>
      </c>
      <c r="CE206">
        <v>2.9184999999999999</v>
      </c>
      <c r="CG206" t="s">
        <v>450</v>
      </c>
      <c r="CI206">
        <v>1.9980843917530799</v>
      </c>
      <c r="CJ206">
        <v>3.1</v>
      </c>
      <c r="CK206">
        <v>2.5490421958765399</v>
      </c>
      <c r="CL206">
        <v>-0.3</v>
      </c>
      <c r="CM206">
        <v>2.2490421958765401</v>
      </c>
    </row>
    <row r="207" spans="1:91" x14ac:dyDescent="0.25">
      <c r="A207">
        <v>1040</v>
      </c>
      <c r="B207" t="s">
        <v>718</v>
      </c>
      <c r="C207" t="s">
        <v>1117</v>
      </c>
      <c r="D207" t="s">
        <v>1516</v>
      </c>
      <c r="E207" t="s">
        <v>403</v>
      </c>
      <c r="F207">
        <v>1003123170</v>
      </c>
      <c r="G207">
        <v>6.1172519999999997</v>
      </c>
      <c r="H207" t="s">
        <v>413</v>
      </c>
      <c r="I207">
        <v>6136357217.9288397</v>
      </c>
      <c r="J207" t="s">
        <v>416</v>
      </c>
      <c r="K207">
        <v>10155347.8790746</v>
      </c>
      <c r="L207">
        <v>0.85</v>
      </c>
      <c r="M207">
        <v>5215903635.2395134</v>
      </c>
      <c r="N207">
        <v>43783818562.574997</v>
      </c>
      <c r="O207">
        <v>30301010</v>
      </c>
      <c r="P207">
        <v>3030</v>
      </c>
      <c r="Q207">
        <v>3.2733333333333299</v>
      </c>
      <c r="S207" t="s">
        <v>419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2.367</v>
      </c>
      <c r="AT207">
        <v>3.11</v>
      </c>
      <c r="AU207" t="s">
        <v>430</v>
      </c>
      <c r="AV207">
        <v>0</v>
      </c>
      <c r="AW207">
        <v>0</v>
      </c>
      <c r="AX207" t="s">
        <v>442</v>
      </c>
      <c r="AY207">
        <v>0</v>
      </c>
      <c r="AZ207">
        <v>0</v>
      </c>
      <c r="BA207">
        <v>0</v>
      </c>
      <c r="CE207">
        <v>2.7385000000000002</v>
      </c>
      <c r="CG207" t="s">
        <v>450</v>
      </c>
      <c r="CI207">
        <v>3.2733333333333299</v>
      </c>
      <c r="CJ207">
        <v>3.1</v>
      </c>
      <c r="CK207">
        <v>3.1866666666666652</v>
      </c>
      <c r="CL207">
        <v>-0.24</v>
      </c>
      <c r="CM207">
        <v>2.946666666666665</v>
      </c>
    </row>
    <row r="208" spans="1:91" x14ac:dyDescent="0.25">
      <c r="A208">
        <v>1045</v>
      </c>
      <c r="B208" t="s">
        <v>719</v>
      </c>
      <c r="C208" t="s">
        <v>1118</v>
      </c>
      <c r="D208" t="s">
        <v>1517</v>
      </c>
      <c r="E208" t="s">
        <v>398</v>
      </c>
      <c r="F208">
        <v>455500000</v>
      </c>
      <c r="G208">
        <v>57.72</v>
      </c>
      <c r="H208" t="s">
        <v>409</v>
      </c>
      <c r="I208">
        <v>26291460000</v>
      </c>
      <c r="J208" t="s">
        <v>415</v>
      </c>
      <c r="K208">
        <v>40298300.537049197</v>
      </c>
      <c r="L208">
        <v>0.25</v>
      </c>
      <c r="M208">
        <v>6572865000</v>
      </c>
      <c r="N208">
        <v>5847481250</v>
      </c>
      <c r="O208">
        <v>40101020</v>
      </c>
      <c r="P208">
        <v>4010</v>
      </c>
      <c r="Q208">
        <v>2.6728527693572599</v>
      </c>
      <c r="S208" t="s">
        <v>419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D208">
        <v>0</v>
      </c>
      <c r="AE208">
        <v>0</v>
      </c>
      <c r="AF208">
        <v>0</v>
      </c>
      <c r="AH208">
        <v>0</v>
      </c>
      <c r="AI208" t="s">
        <v>424</v>
      </c>
      <c r="AK208" t="s">
        <v>424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2.6230000000000002</v>
      </c>
      <c r="AT208">
        <v>2.0830000000000002</v>
      </c>
      <c r="AU208" t="s">
        <v>420</v>
      </c>
      <c r="AV208">
        <v>1</v>
      </c>
      <c r="AW208">
        <v>0</v>
      </c>
      <c r="AX208" t="s">
        <v>437</v>
      </c>
      <c r="AY208">
        <v>0</v>
      </c>
      <c r="AZ208">
        <v>0</v>
      </c>
      <c r="BA208">
        <v>0</v>
      </c>
      <c r="CE208">
        <v>2.3530000000000002</v>
      </c>
      <c r="CG208" t="s">
        <v>450</v>
      </c>
      <c r="CI208">
        <v>2.6728527693572599</v>
      </c>
      <c r="CJ208">
        <v>3.1</v>
      </c>
      <c r="CK208">
        <v>2.88642638467863</v>
      </c>
      <c r="CL208">
        <v>-0.24</v>
      </c>
      <c r="CM208">
        <v>2.6464263846786298</v>
      </c>
    </row>
    <row r="209" spans="1:91" x14ac:dyDescent="0.25">
      <c r="A209">
        <v>1047</v>
      </c>
      <c r="B209" t="s">
        <v>721</v>
      </c>
      <c r="C209" t="s">
        <v>1120</v>
      </c>
      <c r="D209" t="s">
        <v>1519</v>
      </c>
      <c r="E209" t="s">
        <v>404</v>
      </c>
      <c r="F209">
        <v>1306110000</v>
      </c>
      <c r="G209">
        <v>14.945</v>
      </c>
      <c r="H209" t="s">
        <v>409</v>
      </c>
      <c r="I209">
        <v>19519813950</v>
      </c>
      <c r="J209" t="s">
        <v>415</v>
      </c>
      <c r="K209">
        <v>24805157.2843033</v>
      </c>
      <c r="L209">
        <v>0.35</v>
      </c>
      <c r="M209">
        <v>6831934882.500001</v>
      </c>
      <c r="N209">
        <v>23474061975</v>
      </c>
      <c r="O209">
        <v>30202000</v>
      </c>
      <c r="P209">
        <v>3020</v>
      </c>
      <c r="Q209">
        <v>3.01360162391952</v>
      </c>
      <c r="S209" t="s">
        <v>420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2.262</v>
      </c>
      <c r="AT209">
        <v>3.0430000000000001</v>
      </c>
      <c r="AU209" t="s">
        <v>427</v>
      </c>
      <c r="AV209">
        <v>1</v>
      </c>
      <c r="AW209">
        <v>0</v>
      </c>
      <c r="AX209" t="s">
        <v>443</v>
      </c>
      <c r="AY209">
        <v>0</v>
      </c>
      <c r="AZ209">
        <v>0</v>
      </c>
      <c r="BA209">
        <v>0</v>
      </c>
      <c r="CE209">
        <v>2.6524999999999999</v>
      </c>
      <c r="CG209" t="s">
        <v>450</v>
      </c>
      <c r="CI209">
        <v>3.01360162391952</v>
      </c>
      <c r="CJ209">
        <v>3.1</v>
      </c>
      <c r="CK209">
        <v>3.0568008119597598</v>
      </c>
      <c r="CL209">
        <v>0</v>
      </c>
      <c r="CM209">
        <v>3.0568008119597598</v>
      </c>
    </row>
    <row r="210" spans="1:91" x14ac:dyDescent="0.25">
      <c r="A210">
        <v>1058</v>
      </c>
      <c r="B210" t="s">
        <v>722</v>
      </c>
      <c r="C210" t="s">
        <v>1121</v>
      </c>
      <c r="D210" t="s">
        <v>1520</v>
      </c>
      <c r="E210" t="s">
        <v>396</v>
      </c>
      <c r="F210">
        <v>2487280090</v>
      </c>
      <c r="G210">
        <v>45.975000000000001</v>
      </c>
      <c r="H210" t="s">
        <v>409</v>
      </c>
      <c r="I210">
        <v>114352702137.75</v>
      </c>
      <c r="J210" t="s">
        <v>415</v>
      </c>
      <c r="K210">
        <v>136864149.44412699</v>
      </c>
      <c r="L210">
        <v>0.55000000000000004</v>
      </c>
      <c r="M210">
        <v>62893986175.762497</v>
      </c>
      <c r="N210">
        <v>70247007941.825012</v>
      </c>
      <c r="O210">
        <v>10101020</v>
      </c>
      <c r="P210">
        <v>1010</v>
      </c>
      <c r="Q210">
        <v>3.2867842633911799</v>
      </c>
      <c r="S210" t="s">
        <v>420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0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2.0459999999999998</v>
      </c>
      <c r="AT210">
        <v>2.73</v>
      </c>
      <c r="AU210" t="s">
        <v>426</v>
      </c>
      <c r="AV210">
        <v>0</v>
      </c>
      <c r="AW210">
        <v>0</v>
      </c>
      <c r="AX210" t="s">
        <v>445</v>
      </c>
      <c r="AY210">
        <v>0</v>
      </c>
      <c r="AZ210">
        <v>0</v>
      </c>
      <c r="BA210">
        <v>0</v>
      </c>
      <c r="CE210">
        <v>2.3879999999999999</v>
      </c>
      <c r="CG210" t="s">
        <v>450</v>
      </c>
      <c r="CI210">
        <v>3.2867842633911799</v>
      </c>
      <c r="CJ210">
        <v>3.1</v>
      </c>
      <c r="CK210">
        <v>3.1933921316955902</v>
      </c>
      <c r="CL210">
        <v>0</v>
      </c>
      <c r="CM210">
        <v>3.1933921316955902</v>
      </c>
    </row>
    <row r="211" spans="1:91" x14ac:dyDescent="0.25">
      <c r="A211">
        <v>1060</v>
      </c>
      <c r="B211" t="s">
        <v>723</v>
      </c>
      <c r="C211" t="s">
        <v>1122</v>
      </c>
      <c r="D211" t="s">
        <v>1521</v>
      </c>
      <c r="E211" t="s">
        <v>403</v>
      </c>
      <c r="F211">
        <v>2635357200</v>
      </c>
      <c r="G211">
        <v>8.6487789999999993</v>
      </c>
      <c r="H211" t="s">
        <v>413</v>
      </c>
      <c r="I211">
        <v>22792622008.858799</v>
      </c>
      <c r="J211" t="s">
        <v>416</v>
      </c>
      <c r="K211">
        <v>39917806.110014297</v>
      </c>
      <c r="L211">
        <v>0.95</v>
      </c>
      <c r="M211">
        <v>21652990908.415859</v>
      </c>
      <c r="N211">
        <v>128559312609</v>
      </c>
      <c r="O211">
        <v>30301010</v>
      </c>
      <c r="P211">
        <v>3030</v>
      </c>
      <c r="Q211">
        <v>3.4</v>
      </c>
      <c r="R211">
        <v>1.5</v>
      </c>
      <c r="S211" t="s">
        <v>420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Q211">
        <v>0</v>
      </c>
      <c r="AR211">
        <v>0</v>
      </c>
      <c r="AS211">
        <v>2.137</v>
      </c>
      <c r="AT211">
        <v>3.0670000000000002</v>
      </c>
      <c r="AU211" t="s">
        <v>430</v>
      </c>
      <c r="AV211">
        <v>0</v>
      </c>
      <c r="AW211">
        <v>0</v>
      </c>
      <c r="AX211" t="s">
        <v>442</v>
      </c>
      <c r="AY211">
        <v>0</v>
      </c>
      <c r="AZ211">
        <v>0</v>
      </c>
      <c r="BA211">
        <v>0</v>
      </c>
      <c r="CE211">
        <v>2.6019999999999999</v>
      </c>
      <c r="CG211" t="s">
        <v>450</v>
      </c>
      <c r="CI211">
        <v>3.4</v>
      </c>
      <c r="CJ211">
        <v>1.5</v>
      </c>
      <c r="CK211">
        <v>2.4500000000000002</v>
      </c>
      <c r="CL211">
        <v>0</v>
      </c>
      <c r="CM211">
        <v>2.4500000000000002</v>
      </c>
    </row>
    <row r="212" spans="1:91" x14ac:dyDescent="0.25">
      <c r="A212">
        <v>1066</v>
      </c>
      <c r="B212" t="s">
        <v>726</v>
      </c>
      <c r="C212" t="s">
        <v>1125</v>
      </c>
      <c r="D212" t="s">
        <v>1524</v>
      </c>
      <c r="E212" t="s">
        <v>394</v>
      </c>
      <c r="F212">
        <v>254311860</v>
      </c>
      <c r="G212">
        <v>102.7</v>
      </c>
      <c r="H212" t="s">
        <v>409</v>
      </c>
      <c r="I212">
        <v>26117828022</v>
      </c>
      <c r="J212" t="s">
        <v>415</v>
      </c>
      <c r="K212">
        <v>46495372.159761898</v>
      </c>
      <c r="L212">
        <v>0.9</v>
      </c>
      <c r="M212">
        <v>23506045219.799999</v>
      </c>
      <c r="N212">
        <v>11753022609.9</v>
      </c>
      <c r="O212">
        <v>40301020</v>
      </c>
      <c r="P212">
        <v>4030</v>
      </c>
      <c r="Q212">
        <v>1.7185118858069499</v>
      </c>
      <c r="R212">
        <v>1.5</v>
      </c>
      <c r="S212" t="s">
        <v>420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2.7160000000000002</v>
      </c>
      <c r="AT212">
        <v>3.1230000000000002</v>
      </c>
      <c r="AU212" t="s">
        <v>429</v>
      </c>
      <c r="AV212">
        <v>0</v>
      </c>
      <c r="AW212">
        <v>0</v>
      </c>
      <c r="AX212" t="s">
        <v>433</v>
      </c>
      <c r="AY212">
        <v>0</v>
      </c>
      <c r="AZ212">
        <v>0</v>
      </c>
      <c r="BA212">
        <v>0</v>
      </c>
      <c r="CE212">
        <v>2.9195000000000002</v>
      </c>
      <c r="CG212" t="s">
        <v>450</v>
      </c>
      <c r="CI212">
        <v>1.7185118858069499</v>
      </c>
      <c r="CJ212">
        <v>1.5</v>
      </c>
      <c r="CK212">
        <v>1.609255942903475</v>
      </c>
      <c r="CL212">
        <v>0</v>
      </c>
      <c r="CM212">
        <v>1.609255942903475</v>
      </c>
    </row>
    <row r="213" spans="1:91" x14ac:dyDescent="0.25">
      <c r="A213">
        <v>1069</v>
      </c>
      <c r="B213" t="s">
        <v>727</v>
      </c>
      <c r="C213" t="s">
        <v>1126</v>
      </c>
      <c r="D213" t="s">
        <v>1525</v>
      </c>
      <c r="E213" t="s">
        <v>398</v>
      </c>
      <c r="F213">
        <v>149698200</v>
      </c>
      <c r="G213">
        <v>28.51</v>
      </c>
      <c r="H213" t="s">
        <v>409</v>
      </c>
      <c r="I213">
        <v>4267895682</v>
      </c>
      <c r="J213" t="s">
        <v>415</v>
      </c>
      <c r="K213">
        <v>28451691.4966393</v>
      </c>
      <c r="L213">
        <v>0.7</v>
      </c>
      <c r="M213">
        <v>2987526977.4000001</v>
      </c>
      <c r="N213">
        <v>5380901799</v>
      </c>
      <c r="O213">
        <v>40204025</v>
      </c>
      <c r="P213">
        <v>4020</v>
      </c>
      <c r="Q213">
        <v>1.99847039343651</v>
      </c>
      <c r="S213" t="s">
        <v>417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O213">
        <v>0</v>
      </c>
      <c r="AP213">
        <v>0</v>
      </c>
      <c r="AQ213">
        <v>0</v>
      </c>
      <c r="AR213">
        <v>0</v>
      </c>
      <c r="AS213">
        <v>2.6309999999999998</v>
      </c>
      <c r="AT213">
        <v>2.7149999999999999</v>
      </c>
      <c r="AU213" t="s">
        <v>420</v>
      </c>
      <c r="AV213">
        <v>1</v>
      </c>
      <c r="AW213">
        <v>0</v>
      </c>
      <c r="AX213" t="s">
        <v>437</v>
      </c>
      <c r="AY213">
        <v>0</v>
      </c>
      <c r="AZ213">
        <v>0</v>
      </c>
      <c r="BA213">
        <v>0</v>
      </c>
      <c r="CE213">
        <v>2.673</v>
      </c>
      <c r="CG213" t="s">
        <v>450</v>
      </c>
      <c r="CI213">
        <v>1.99847039343651</v>
      </c>
      <c r="CJ213">
        <v>3.1</v>
      </c>
      <c r="CK213">
        <v>2.5492351967182549</v>
      </c>
      <c r="CL213">
        <v>-0.3</v>
      </c>
      <c r="CM213">
        <v>2.2492351967182551</v>
      </c>
    </row>
    <row r="214" spans="1:91" x14ac:dyDescent="0.25">
      <c r="A214">
        <v>1073</v>
      </c>
      <c r="B214" t="s">
        <v>728</v>
      </c>
      <c r="C214" t="s">
        <v>1127</v>
      </c>
      <c r="D214" t="s">
        <v>1526</v>
      </c>
      <c r="E214" t="s">
        <v>398</v>
      </c>
      <c r="F214">
        <v>217680560</v>
      </c>
      <c r="G214">
        <v>37.375</v>
      </c>
      <c r="H214" t="s">
        <v>409</v>
      </c>
      <c r="I214">
        <v>8135810930</v>
      </c>
      <c r="J214" t="s">
        <v>415</v>
      </c>
      <c r="K214">
        <v>23363361.809672099</v>
      </c>
      <c r="L214">
        <v>1</v>
      </c>
      <c r="M214">
        <v>8135810930</v>
      </c>
      <c r="N214">
        <v>11177896756</v>
      </c>
      <c r="O214">
        <v>20102015</v>
      </c>
      <c r="P214">
        <v>2010</v>
      </c>
      <c r="Q214">
        <v>1.7389424356994501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2.78</v>
      </c>
      <c r="AT214">
        <v>3.0979999999999999</v>
      </c>
      <c r="AU214" t="s">
        <v>420</v>
      </c>
      <c r="AV214">
        <v>1</v>
      </c>
      <c r="AW214">
        <v>0</v>
      </c>
      <c r="AX214" t="s">
        <v>445</v>
      </c>
      <c r="AY214">
        <v>0</v>
      </c>
      <c r="AZ214">
        <v>0</v>
      </c>
      <c r="BA214">
        <v>0</v>
      </c>
      <c r="CE214">
        <v>2.9390000000000001</v>
      </c>
      <c r="CG214" t="s">
        <v>450</v>
      </c>
      <c r="CI214">
        <v>1.7389424356994501</v>
      </c>
      <c r="CJ214">
        <v>3.1</v>
      </c>
      <c r="CK214">
        <v>2.4194712178497251</v>
      </c>
      <c r="CL214">
        <v>-0.18</v>
      </c>
      <c r="CM214">
        <v>2.2394712178497249</v>
      </c>
    </row>
    <row r="215" spans="1:91" x14ac:dyDescent="0.25">
      <c r="A215">
        <v>1078</v>
      </c>
      <c r="B215" t="s">
        <v>729</v>
      </c>
      <c r="C215" t="s">
        <v>1128</v>
      </c>
      <c r="D215" t="s">
        <v>1527</v>
      </c>
      <c r="E215" t="s">
        <v>405</v>
      </c>
      <c r="F215">
        <v>328939640</v>
      </c>
      <c r="G215">
        <v>24.38</v>
      </c>
      <c r="H215" t="s">
        <v>409</v>
      </c>
      <c r="I215">
        <v>8019548423.1999998</v>
      </c>
      <c r="J215" t="s">
        <v>415</v>
      </c>
      <c r="K215">
        <v>8444128.4898360595</v>
      </c>
      <c r="L215">
        <v>0.4</v>
      </c>
      <c r="M215">
        <v>3207819369.2800002</v>
      </c>
      <c r="N215">
        <v>6756420205.6000004</v>
      </c>
      <c r="O215">
        <v>30101010</v>
      </c>
      <c r="P215">
        <v>3010</v>
      </c>
      <c r="Q215">
        <v>3.4</v>
      </c>
      <c r="R215">
        <v>3.1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2.4630000000000001</v>
      </c>
      <c r="AT215">
        <v>3.1339999999999999</v>
      </c>
      <c r="AU215" t="s">
        <v>430</v>
      </c>
      <c r="AV215">
        <v>0</v>
      </c>
      <c r="AW215">
        <v>0</v>
      </c>
      <c r="AX215" t="s">
        <v>444</v>
      </c>
      <c r="AY215">
        <v>0</v>
      </c>
      <c r="AZ215">
        <v>0</v>
      </c>
      <c r="BA215">
        <v>0</v>
      </c>
      <c r="CE215">
        <v>2.7985000000000002</v>
      </c>
      <c r="CG215" t="s">
        <v>450</v>
      </c>
      <c r="CI215">
        <v>3.4</v>
      </c>
      <c r="CJ215">
        <v>3.1</v>
      </c>
      <c r="CK215">
        <v>3.25</v>
      </c>
      <c r="CL215">
        <v>-0.18</v>
      </c>
      <c r="CM215">
        <v>3.07</v>
      </c>
    </row>
    <row r="216" spans="1:91" x14ac:dyDescent="0.25">
      <c r="A216">
        <v>1082</v>
      </c>
      <c r="B216" t="s">
        <v>730</v>
      </c>
      <c r="C216" t="s">
        <v>1129</v>
      </c>
      <c r="D216" t="s">
        <v>1528</v>
      </c>
      <c r="E216" t="s">
        <v>396</v>
      </c>
      <c r="F216">
        <v>180869312</v>
      </c>
      <c r="G216">
        <v>38.119999999999997</v>
      </c>
      <c r="H216" t="s">
        <v>409</v>
      </c>
      <c r="I216">
        <v>6894738173.4399996</v>
      </c>
      <c r="J216" t="s">
        <v>415</v>
      </c>
      <c r="K216">
        <v>14977885.9915873</v>
      </c>
      <c r="L216">
        <v>0.55000000000000004</v>
      </c>
      <c r="M216">
        <v>3792105995.3920002</v>
      </c>
      <c r="N216">
        <v>5108201544.1600008</v>
      </c>
      <c r="O216">
        <v>50205025</v>
      </c>
      <c r="P216">
        <v>5020</v>
      </c>
      <c r="Q216">
        <v>2.9636874199342098</v>
      </c>
      <c r="R216">
        <v>2.39</v>
      </c>
      <c r="S216" t="s">
        <v>418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2.4590000000000001</v>
      </c>
      <c r="AT216">
        <v>3.0110000000000001</v>
      </c>
      <c r="AU216" t="s">
        <v>429</v>
      </c>
      <c r="AV216">
        <v>0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2.7349999999999999</v>
      </c>
      <c r="CG216" t="s">
        <v>450</v>
      </c>
      <c r="CI216">
        <v>2.9636874199342098</v>
      </c>
      <c r="CJ216">
        <v>2.39</v>
      </c>
      <c r="CK216">
        <v>2.676843709967105</v>
      </c>
      <c r="CL216">
        <v>-0.18</v>
      </c>
      <c r="CM216">
        <v>2.4968437099671048</v>
      </c>
    </row>
    <row r="217" spans="1:91" x14ac:dyDescent="0.25">
      <c r="A217">
        <v>1088</v>
      </c>
      <c r="B217" t="s">
        <v>732</v>
      </c>
      <c r="C217" t="s">
        <v>1131</v>
      </c>
      <c r="D217" t="s">
        <v>1530</v>
      </c>
      <c r="E217" t="s">
        <v>403</v>
      </c>
      <c r="F217">
        <v>684448700</v>
      </c>
      <c r="G217">
        <v>63.61459</v>
      </c>
      <c r="H217" t="s">
        <v>413</v>
      </c>
      <c r="I217">
        <v>43540923426.532997</v>
      </c>
      <c r="J217" t="s">
        <v>416</v>
      </c>
      <c r="K217">
        <v>52981753.512116902</v>
      </c>
      <c r="L217">
        <v>1</v>
      </c>
      <c r="M217">
        <v>43540923426.532997</v>
      </c>
      <c r="N217">
        <v>208072404800</v>
      </c>
      <c r="O217">
        <v>45201030</v>
      </c>
      <c r="P217">
        <v>4520</v>
      </c>
      <c r="Q217">
        <v>1.9951439291220101</v>
      </c>
      <c r="R217">
        <v>2.39</v>
      </c>
      <c r="S217" t="s">
        <v>419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2.4089999999999998</v>
      </c>
      <c r="AT217">
        <v>3.339</v>
      </c>
      <c r="AU217" t="s">
        <v>420</v>
      </c>
      <c r="AV217">
        <v>1</v>
      </c>
      <c r="AW217">
        <v>0</v>
      </c>
      <c r="AX217" t="s">
        <v>442</v>
      </c>
      <c r="AY217">
        <v>0</v>
      </c>
      <c r="AZ217">
        <v>0</v>
      </c>
      <c r="BA217">
        <v>0</v>
      </c>
      <c r="CE217">
        <v>2.8740000000000001</v>
      </c>
      <c r="CG217" t="s">
        <v>450</v>
      </c>
      <c r="CI217">
        <v>1.9951439291220101</v>
      </c>
      <c r="CJ217">
        <v>2.39</v>
      </c>
      <c r="CK217">
        <v>2.1925719645610049</v>
      </c>
      <c r="CL217">
        <v>-0.24</v>
      </c>
      <c r="CM217">
        <v>1.9525719645610049</v>
      </c>
    </row>
    <row r="218" spans="1:91" x14ac:dyDescent="0.25">
      <c r="A218">
        <v>1089</v>
      </c>
      <c r="B218" t="s">
        <v>733</v>
      </c>
      <c r="C218" t="s">
        <v>1132</v>
      </c>
      <c r="D218" t="s">
        <v>1531</v>
      </c>
      <c r="E218" t="s">
        <v>404</v>
      </c>
      <c r="F218">
        <v>209125156</v>
      </c>
      <c r="G218">
        <v>54.1</v>
      </c>
      <c r="H218" t="s">
        <v>409</v>
      </c>
      <c r="I218">
        <v>11313670939.6</v>
      </c>
      <c r="J218" t="s">
        <v>415</v>
      </c>
      <c r="K218">
        <v>17990236.415327899</v>
      </c>
      <c r="L218">
        <v>0.5</v>
      </c>
      <c r="M218">
        <v>5656835469.8000002</v>
      </c>
      <c r="N218">
        <v>31787023712</v>
      </c>
      <c r="O218">
        <v>20103015</v>
      </c>
      <c r="P218">
        <v>2010</v>
      </c>
      <c r="Q218">
        <v>3.4</v>
      </c>
      <c r="S218" t="s">
        <v>418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D218">
        <v>0</v>
      </c>
      <c r="AE218">
        <v>0</v>
      </c>
      <c r="AF218">
        <v>0</v>
      </c>
      <c r="AH218">
        <v>0</v>
      </c>
      <c r="AI218" t="s">
        <v>424</v>
      </c>
      <c r="AK218" t="s">
        <v>424</v>
      </c>
      <c r="AL218" t="s">
        <v>424</v>
      </c>
      <c r="AM218" t="s">
        <v>424</v>
      </c>
      <c r="AO218">
        <v>0</v>
      </c>
      <c r="AP218">
        <v>0</v>
      </c>
      <c r="AQ218">
        <v>0</v>
      </c>
      <c r="AR218">
        <v>0</v>
      </c>
      <c r="AS218">
        <v>2.4609999999999999</v>
      </c>
      <c r="AT218">
        <v>3.0750000000000002</v>
      </c>
      <c r="AU218" t="s">
        <v>420</v>
      </c>
      <c r="AV218">
        <v>1</v>
      </c>
      <c r="AW218">
        <v>0</v>
      </c>
      <c r="AX218" t="s">
        <v>443</v>
      </c>
      <c r="AY218">
        <v>0</v>
      </c>
      <c r="AZ218">
        <v>0</v>
      </c>
      <c r="BA218">
        <v>0</v>
      </c>
      <c r="CE218">
        <v>2.7679999999999998</v>
      </c>
      <c r="CG218" t="s">
        <v>450</v>
      </c>
      <c r="CI218">
        <v>3.4</v>
      </c>
      <c r="CJ218">
        <v>3.1</v>
      </c>
      <c r="CK218">
        <v>3.25</v>
      </c>
      <c r="CL218">
        <v>-0.18</v>
      </c>
      <c r="CM218">
        <v>3.07</v>
      </c>
    </row>
    <row r="219" spans="1:91" x14ac:dyDescent="0.25">
      <c r="A219">
        <v>1098</v>
      </c>
      <c r="B219" t="s">
        <v>109</v>
      </c>
      <c r="C219" t="s">
        <v>209</v>
      </c>
      <c r="D219" t="s">
        <v>309</v>
      </c>
      <c r="E219" t="s">
        <v>396</v>
      </c>
      <c r="F219">
        <v>1907070957</v>
      </c>
      <c r="G219">
        <v>47.26</v>
      </c>
      <c r="H219" t="s">
        <v>409</v>
      </c>
      <c r="I219">
        <v>90128173427.819992</v>
      </c>
      <c r="J219" t="s">
        <v>415</v>
      </c>
      <c r="K219">
        <v>34161920.378412701</v>
      </c>
      <c r="L219">
        <v>1</v>
      </c>
      <c r="M219">
        <v>90128173427.819992</v>
      </c>
      <c r="N219">
        <v>579749570928</v>
      </c>
      <c r="O219">
        <v>10101010</v>
      </c>
      <c r="P219">
        <v>1010</v>
      </c>
      <c r="Q219">
        <v>1.9831746989669301</v>
      </c>
      <c r="R219">
        <v>1.5</v>
      </c>
      <c r="S219" t="s">
        <v>418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2.4740000000000002</v>
      </c>
      <c r="AT219">
        <v>3.2949999999999999</v>
      </c>
      <c r="AU219" t="s">
        <v>429</v>
      </c>
      <c r="AV219">
        <v>0</v>
      </c>
      <c r="AW219">
        <v>0</v>
      </c>
      <c r="AX219" t="s">
        <v>442</v>
      </c>
      <c r="AY219">
        <v>0</v>
      </c>
      <c r="AZ219">
        <v>0</v>
      </c>
      <c r="BA219">
        <v>0</v>
      </c>
      <c r="CE219">
        <v>2.8845000000000001</v>
      </c>
      <c r="CG219" t="s">
        <v>450</v>
      </c>
      <c r="CI219">
        <v>1.9831746989669301</v>
      </c>
      <c r="CJ219">
        <v>1.5</v>
      </c>
      <c r="CK219">
        <v>1.7415873494834651</v>
      </c>
      <c r="CL219">
        <v>-0.18</v>
      </c>
      <c r="CM219">
        <v>1.5615873494834649</v>
      </c>
    </row>
    <row r="220" spans="1:91" x14ac:dyDescent="0.25">
      <c r="A220">
        <v>1101</v>
      </c>
      <c r="B220" t="s">
        <v>735</v>
      </c>
      <c r="C220" t="s">
        <v>1134</v>
      </c>
      <c r="D220" t="s">
        <v>1533</v>
      </c>
      <c r="E220" t="s">
        <v>403</v>
      </c>
      <c r="F220">
        <v>2524539800</v>
      </c>
      <c r="G220">
        <v>4.8551149999999996</v>
      </c>
      <c r="H220" t="s">
        <v>413</v>
      </c>
      <c r="I220">
        <v>12256931051.077</v>
      </c>
      <c r="J220" t="s">
        <v>416</v>
      </c>
      <c r="K220">
        <v>18277486.079740301</v>
      </c>
      <c r="L220">
        <v>0.95</v>
      </c>
      <c r="M220">
        <v>11644084498.523149</v>
      </c>
      <c r="N220">
        <v>729087094240</v>
      </c>
      <c r="O220">
        <v>50205020</v>
      </c>
      <c r="P220">
        <v>5020</v>
      </c>
      <c r="Q220">
        <v>3.3371809527846099</v>
      </c>
      <c r="R220">
        <v>2.08</v>
      </c>
      <c r="S220" t="s">
        <v>420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</v>
      </c>
      <c r="AF220">
        <v>0</v>
      </c>
      <c r="AH220">
        <v>0</v>
      </c>
      <c r="AI220" t="s">
        <v>424</v>
      </c>
      <c r="AK220" t="s">
        <v>424</v>
      </c>
      <c r="AL220" t="s">
        <v>424</v>
      </c>
      <c r="AM220" t="s">
        <v>424</v>
      </c>
      <c r="AO220">
        <v>0</v>
      </c>
      <c r="AP220">
        <v>0</v>
      </c>
      <c r="AQ220">
        <v>0</v>
      </c>
      <c r="AR220">
        <v>0</v>
      </c>
      <c r="AS220">
        <v>2.3029999999999999</v>
      </c>
      <c r="AT220">
        <v>3.137</v>
      </c>
      <c r="AU220" t="s">
        <v>432</v>
      </c>
      <c r="AV220">
        <v>0</v>
      </c>
      <c r="AW220">
        <v>0</v>
      </c>
      <c r="AX220" t="s">
        <v>442</v>
      </c>
      <c r="AY220">
        <v>0</v>
      </c>
      <c r="AZ220">
        <v>0</v>
      </c>
      <c r="BA220">
        <v>0</v>
      </c>
      <c r="CE220">
        <v>2.72</v>
      </c>
      <c r="CG220" t="s">
        <v>450</v>
      </c>
      <c r="CI220">
        <v>3.3371809527846099</v>
      </c>
      <c r="CJ220">
        <v>2.08</v>
      </c>
      <c r="CK220">
        <v>2.7085904763923052</v>
      </c>
      <c r="CL220">
        <v>0</v>
      </c>
      <c r="CM220">
        <v>2.7085904763923052</v>
      </c>
    </row>
    <row r="221" spans="1:91" x14ac:dyDescent="0.25">
      <c r="A221">
        <v>1108</v>
      </c>
      <c r="B221" t="s">
        <v>186</v>
      </c>
      <c r="C221" t="s">
        <v>286</v>
      </c>
      <c r="D221" t="s">
        <v>386</v>
      </c>
      <c r="E221" t="s">
        <v>394</v>
      </c>
      <c r="F221">
        <v>298233069</v>
      </c>
      <c r="G221">
        <v>26.56</v>
      </c>
      <c r="H221" t="s">
        <v>409</v>
      </c>
      <c r="I221">
        <v>7921070312.6399994</v>
      </c>
      <c r="J221" t="s">
        <v>415</v>
      </c>
      <c r="K221">
        <v>13654330.0976191</v>
      </c>
      <c r="L221">
        <v>0.70000000000000007</v>
      </c>
      <c r="M221">
        <v>5544749218.8480005</v>
      </c>
      <c r="N221">
        <v>63463997083.199997</v>
      </c>
      <c r="O221">
        <v>50202010</v>
      </c>
      <c r="P221">
        <v>5020</v>
      </c>
      <c r="Q221">
        <v>1.7493489955167301</v>
      </c>
      <c r="R221">
        <v>2.39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2.1520000000000001</v>
      </c>
      <c r="AT221">
        <v>3.1819999999999999</v>
      </c>
      <c r="AU221" t="s">
        <v>431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2.6669999999999998</v>
      </c>
      <c r="CG221" t="s">
        <v>450</v>
      </c>
      <c r="CI221">
        <v>1.7493489955167301</v>
      </c>
      <c r="CJ221">
        <v>2.39</v>
      </c>
      <c r="CK221">
        <v>2.0696744977583652</v>
      </c>
      <c r="CL221">
        <v>-0.3</v>
      </c>
      <c r="CM221">
        <v>1.7696744977583649</v>
      </c>
    </row>
    <row r="222" spans="1:91" x14ac:dyDescent="0.25">
      <c r="A222">
        <v>1111</v>
      </c>
      <c r="B222" t="s">
        <v>739</v>
      </c>
      <c r="C222" t="s">
        <v>1138</v>
      </c>
      <c r="D222" t="s">
        <v>1537</v>
      </c>
      <c r="E222" t="s">
        <v>403</v>
      </c>
      <c r="F222">
        <v>783508360</v>
      </c>
      <c r="G222">
        <v>7.8943979999999998</v>
      </c>
      <c r="H222" t="s">
        <v>413</v>
      </c>
      <c r="I222">
        <v>6185326830.1672802</v>
      </c>
      <c r="J222" t="s">
        <v>416</v>
      </c>
      <c r="K222">
        <v>9850003.0018964</v>
      </c>
      <c r="L222">
        <v>1</v>
      </c>
      <c r="M222">
        <v>6185326830.1672802</v>
      </c>
      <c r="N222">
        <v>238186541440</v>
      </c>
      <c r="O222">
        <v>35101015</v>
      </c>
      <c r="P222">
        <v>3510</v>
      </c>
      <c r="Q222">
        <v>1.7117210497947599</v>
      </c>
      <c r="S222" t="s">
        <v>424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2.13</v>
      </c>
      <c r="AT222">
        <v>2.8439999999999999</v>
      </c>
      <c r="AU222" t="s">
        <v>426</v>
      </c>
      <c r="AV222">
        <v>0</v>
      </c>
      <c r="AW222">
        <v>0</v>
      </c>
      <c r="AX222" t="s">
        <v>442</v>
      </c>
      <c r="AY222">
        <v>0</v>
      </c>
      <c r="AZ222">
        <v>0</v>
      </c>
      <c r="BA222">
        <v>0</v>
      </c>
      <c r="CE222">
        <v>2.4870000000000001</v>
      </c>
      <c r="CG222" t="s">
        <v>450</v>
      </c>
      <c r="CI222">
        <v>1.7117210497947599</v>
      </c>
      <c r="CJ222">
        <v>3.1</v>
      </c>
      <c r="CK222">
        <v>2.4058605248973799</v>
      </c>
      <c r="CL222">
        <v>0.3</v>
      </c>
      <c r="CM222">
        <v>2.7058605248973802</v>
      </c>
    </row>
    <row r="223" spans="1:91" x14ac:dyDescent="0.25">
      <c r="A223">
        <v>1112</v>
      </c>
      <c r="B223" t="s">
        <v>740</v>
      </c>
      <c r="C223" t="s">
        <v>1139</v>
      </c>
      <c r="D223" t="s">
        <v>1538</v>
      </c>
      <c r="E223" t="s">
        <v>402</v>
      </c>
      <c r="F223">
        <v>26706740</v>
      </c>
      <c r="G223">
        <v>157.3681</v>
      </c>
      <c r="H223" t="s">
        <v>412</v>
      </c>
      <c r="I223">
        <v>4202788930.994</v>
      </c>
      <c r="J223" t="s">
        <v>416</v>
      </c>
      <c r="K223">
        <v>4716246.3048326103</v>
      </c>
      <c r="L223">
        <v>0.9</v>
      </c>
      <c r="M223">
        <v>3782510037.8945999</v>
      </c>
      <c r="N223">
        <v>7306964064</v>
      </c>
      <c r="O223">
        <v>30101010</v>
      </c>
      <c r="P223">
        <v>3010</v>
      </c>
      <c r="S223" t="s">
        <v>420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1.9850000000000001</v>
      </c>
      <c r="AT223">
        <v>3.0590000000000002</v>
      </c>
      <c r="AU223" t="s">
        <v>430</v>
      </c>
      <c r="AV223">
        <v>0</v>
      </c>
      <c r="AW223">
        <v>0</v>
      </c>
      <c r="AX223" t="s">
        <v>441</v>
      </c>
      <c r="AY223">
        <v>0</v>
      </c>
      <c r="AZ223">
        <v>0</v>
      </c>
      <c r="BA223">
        <v>0</v>
      </c>
      <c r="CE223">
        <v>2.5219999999999998</v>
      </c>
      <c r="CG223" t="s">
        <v>450</v>
      </c>
      <c r="CI223">
        <v>3.4</v>
      </c>
      <c r="CJ223">
        <v>3.1</v>
      </c>
      <c r="CK223">
        <v>3.25</v>
      </c>
      <c r="CL223">
        <v>0</v>
      </c>
      <c r="CM223">
        <v>3.25</v>
      </c>
    </row>
    <row r="224" spans="1:91" x14ac:dyDescent="0.25">
      <c r="A224">
        <v>1117</v>
      </c>
      <c r="B224" t="s">
        <v>742</v>
      </c>
      <c r="C224" t="s">
        <v>1141</v>
      </c>
      <c r="D224" t="s">
        <v>1540</v>
      </c>
      <c r="E224" t="s">
        <v>406</v>
      </c>
      <c r="F224">
        <v>702562700</v>
      </c>
      <c r="G224">
        <v>317.28489999999999</v>
      </c>
      <c r="H224" t="s">
        <v>414</v>
      </c>
      <c r="I224">
        <v>222912536013.23001</v>
      </c>
      <c r="J224" t="s">
        <v>416</v>
      </c>
      <c r="K224">
        <v>309147577.91078299</v>
      </c>
      <c r="L224">
        <v>1</v>
      </c>
      <c r="M224">
        <v>222912536013.23001</v>
      </c>
      <c r="N224">
        <v>213579060800</v>
      </c>
      <c r="O224">
        <v>20103015</v>
      </c>
      <c r="P224">
        <v>2010</v>
      </c>
      <c r="Q224">
        <v>3.4</v>
      </c>
      <c r="S224" t="s">
        <v>424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2.8759999999999999</v>
      </c>
      <c r="AT224">
        <v>2.17</v>
      </c>
      <c r="AU224" t="s">
        <v>420</v>
      </c>
      <c r="AV224">
        <v>1</v>
      </c>
      <c r="AW224">
        <v>0</v>
      </c>
      <c r="AX224" t="s">
        <v>446</v>
      </c>
      <c r="AY224">
        <v>0</v>
      </c>
      <c r="AZ224">
        <v>0</v>
      </c>
      <c r="BA224">
        <v>0</v>
      </c>
      <c r="CE224">
        <v>2.5230000000000001</v>
      </c>
      <c r="CG224" t="s">
        <v>450</v>
      </c>
      <c r="CI224">
        <v>3.4</v>
      </c>
      <c r="CJ224">
        <v>3.1</v>
      </c>
      <c r="CK224">
        <v>3.25</v>
      </c>
      <c r="CL224">
        <v>0.3</v>
      </c>
      <c r="CM224">
        <v>3.55</v>
      </c>
    </row>
    <row r="225" spans="1:91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412</v>
      </c>
      <c r="I225">
        <v>3690870664</v>
      </c>
      <c r="J225" t="s">
        <v>416</v>
      </c>
      <c r="K225">
        <v>6001786.9137484599</v>
      </c>
      <c r="L225">
        <v>0.85</v>
      </c>
      <c r="M225">
        <v>3137240064.4000001</v>
      </c>
      <c r="N225">
        <v>948980800</v>
      </c>
      <c r="O225">
        <v>45101010</v>
      </c>
      <c r="P225">
        <v>4510</v>
      </c>
      <c r="Q225">
        <v>1.7333717938572899</v>
      </c>
      <c r="S225" t="s">
        <v>418</v>
      </c>
      <c r="T225" t="s">
        <v>422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</v>
      </c>
      <c r="AE225">
        <v>0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O225">
        <v>0</v>
      </c>
      <c r="AP225">
        <v>0</v>
      </c>
      <c r="AQ225">
        <v>0</v>
      </c>
      <c r="AR225">
        <v>0</v>
      </c>
      <c r="AS225">
        <v>1.8740000000000001</v>
      </c>
      <c r="AT225">
        <v>2.9849999999999999</v>
      </c>
      <c r="AU225" t="s">
        <v>420</v>
      </c>
      <c r="AV225">
        <v>1</v>
      </c>
      <c r="AW225">
        <v>0</v>
      </c>
      <c r="AX225" t="s">
        <v>441</v>
      </c>
      <c r="AY225">
        <v>0</v>
      </c>
      <c r="AZ225">
        <v>0</v>
      </c>
      <c r="BA225">
        <v>0</v>
      </c>
      <c r="CE225">
        <v>2.4295</v>
      </c>
      <c r="CG225" t="s">
        <v>450</v>
      </c>
      <c r="CI225">
        <v>1.7333717938572899</v>
      </c>
      <c r="CJ225">
        <v>3.1</v>
      </c>
      <c r="CK225">
        <v>2.4166858969286449</v>
      </c>
      <c r="CL225">
        <v>-0.18</v>
      </c>
      <c r="CM225">
        <v>2.2366858969286452</v>
      </c>
    </row>
    <row r="226" spans="1:91" x14ac:dyDescent="0.25">
      <c r="A226">
        <v>1133</v>
      </c>
      <c r="B226" t="s">
        <v>169</v>
      </c>
      <c r="C226" t="s">
        <v>269</v>
      </c>
      <c r="D226" t="s">
        <v>369</v>
      </c>
      <c r="E226" t="s">
        <v>397</v>
      </c>
      <c r="F226">
        <v>1074613824</v>
      </c>
      <c r="G226">
        <v>20.260000000000002</v>
      </c>
      <c r="H226" t="s">
        <v>409</v>
      </c>
      <c r="I226">
        <v>21771676074.240002</v>
      </c>
      <c r="J226" t="s">
        <v>415</v>
      </c>
      <c r="K226">
        <v>37482966.910301603</v>
      </c>
      <c r="L226">
        <v>1</v>
      </c>
      <c r="M226">
        <v>21771676074.240002</v>
      </c>
      <c r="N226">
        <v>23899411445.759998</v>
      </c>
      <c r="O226">
        <v>40501010</v>
      </c>
      <c r="P226">
        <v>4050</v>
      </c>
      <c r="Q226">
        <v>1.6201795191173001</v>
      </c>
      <c r="R226">
        <v>2.7</v>
      </c>
      <c r="S226" t="s">
        <v>419</v>
      </c>
      <c r="T226" t="s">
        <v>423</v>
      </c>
      <c r="U226">
        <v>0</v>
      </c>
      <c r="V226">
        <v>0.01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O226">
        <v>0</v>
      </c>
      <c r="AP226">
        <v>0</v>
      </c>
      <c r="AQ226">
        <v>0</v>
      </c>
      <c r="AR226">
        <v>0</v>
      </c>
      <c r="AS226">
        <v>1.82</v>
      </c>
      <c r="AT226">
        <v>3.0049999999999999</v>
      </c>
      <c r="AU226" t="s">
        <v>427</v>
      </c>
      <c r="AV226">
        <v>1</v>
      </c>
      <c r="AW226">
        <v>0</v>
      </c>
      <c r="AX226" t="s">
        <v>436</v>
      </c>
      <c r="AY226">
        <v>0</v>
      </c>
      <c r="AZ226">
        <v>0</v>
      </c>
      <c r="BA226">
        <v>0</v>
      </c>
      <c r="CE226">
        <v>2.4125000000000001</v>
      </c>
      <c r="CG226" t="s">
        <v>450</v>
      </c>
      <c r="CI226">
        <v>1.6201795191173001</v>
      </c>
      <c r="CJ226">
        <v>2.7</v>
      </c>
      <c r="CK226">
        <v>2.1600897595586499</v>
      </c>
      <c r="CL226">
        <v>-0.24</v>
      </c>
      <c r="CM226">
        <v>1.9200897595586499</v>
      </c>
    </row>
    <row r="227" spans="1:91" x14ac:dyDescent="0.25">
      <c r="A227">
        <v>1139</v>
      </c>
      <c r="B227" t="s">
        <v>108</v>
      </c>
      <c r="C227" t="s">
        <v>208</v>
      </c>
      <c r="D227" t="s">
        <v>308</v>
      </c>
      <c r="E227" t="s">
        <v>403</v>
      </c>
      <c r="F227">
        <v>995756840</v>
      </c>
      <c r="G227">
        <v>15.692080000000001</v>
      </c>
      <c r="H227" t="s">
        <v>413</v>
      </c>
      <c r="I227">
        <v>15625495993.8272</v>
      </c>
      <c r="J227" t="s">
        <v>416</v>
      </c>
      <c r="K227">
        <v>29289351.006745402</v>
      </c>
      <c r="L227">
        <v>1</v>
      </c>
      <c r="M227">
        <v>15625495993.8272</v>
      </c>
      <c r="N227">
        <v>22145632121.599998</v>
      </c>
      <c r="O227">
        <v>10101015</v>
      </c>
      <c r="P227">
        <v>1010</v>
      </c>
      <c r="Q227">
        <v>1.7465783472899099</v>
      </c>
      <c r="R227">
        <v>1.5</v>
      </c>
      <c r="S227" t="s">
        <v>417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2.41</v>
      </c>
      <c r="AT227">
        <v>3.306</v>
      </c>
      <c r="AU227" t="s">
        <v>426</v>
      </c>
      <c r="AV227">
        <v>0</v>
      </c>
      <c r="AW227">
        <v>0</v>
      </c>
      <c r="AX227" t="s">
        <v>442</v>
      </c>
      <c r="AY227">
        <v>0</v>
      </c>
      <c r="AZ227">
        <v>0</v>
      </c>
      <c r="BA227">
        <v>0</v>
      </c>
      <c r="CE227">
        <v>2.8580000000000001</v>
      </c>
      <c r="CG227" t="s">
        <v>450</v>
      </c>
      <c r="CI227">
        <v>1.7465783472899099</v>
      </c>
      <c r="CJ227">
        <v>1.5</v>
      </c>
      <c r="CK227">
        <v>1.6232891736449551</v>
      </c>
      <c r="CL227">
        <v>-0.3</v>
      </c>
      <c r="CM227">
        <v>1.323289173644955</v>
      </c>
    </row>
    <row r="228" spans="1:91" x14ac:dyDescent="0.25">
      <c r="A228">
        <v>1143</v>
      </c>
      <c r="B228" t="s">
        <v>752</v>
      </c>
      <c r="C228" t="s">
        <v>1151</v>
      </c>
      <c r="D228" t="s">
        <v>1550</v>
      </c>
      <c r="E228" t="s">
        <v>400</v>
      </c>
      <c r="F228">
        <v>132038920</v>
      </c>
      <c r="G228">
        <v>49.447609999999997</v>
      </c>
      <c r="H228" t="s">
        <v>411</v>
      </c>
      <c r="I228">
        <v>6529009020.9811993</v>
      </c>
      <c r="J228" t="s">
        <v>416</v>
      </c>
      <c r="K228">
        <v>8761269.7928578407</v>
      </c>
      <c r="L228">
        <v>0.55000000000000004</v>
      </c>
      <c r="M228">
        <v>3590954961.53966</v>
      </c>
      <c r="N228">
        <v>1615100069.4400001</v>
      </c>
      <c r="O228">
        <v>45102010</v>
      </c>
      <c r="P228">
        <v>4510</v>
      </c>
      <c r="Q228">
        <v>1.9873155260473001</v>
      </c>
      <c r="R228">
        <v>2.08</v>
      </c>
      <c r="S228" t="s">
        <v>419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2.1779999999999999</v>
      </c>
      <c r="AT228">
        <v>2.923</v>
      </c>
      <c r="AU228" t="s">
        <v>417</v>
      </c>
      <c r="AV228">
        <v>1</v>
      </c>
      <c r="AW228">
        <v>0</v>
      </c>
      <c r="AX228" t="s">
        <v>439</v>
      </c>
      <c r="AY228">
        <v>0</v>
      </c>
      <c r="AZ228">
        <v>0</v>
      </c>
      <c r="BA228">
        <v>0</v>
      </c>
      <c r="CE228">
        <v>2.5505</v>
      </c>
      <c r="CG228" t="s">
        <v>450</v>
      </c>
      <c r="CI228">
        <v>1.9873155260473001</v>
      </c>
      <c r="CJ228">
        <v>2.08</v>
      </c>
      <c r="CK228">
        <v>2.0336577630236499</v>
      </c>
      <c r="CL228">
        <v>-0.24</v>
      </c>
      <c r="CM228">
        <v>1.7936577630236501</v>
      </c>
    </row>
    <row r="229" spans="1:91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399</v>
      </c>
      <c r="F229">
        <v>2690238800</v>
      </c>
      <c r="G229">
        <v>8.06</v>
      </c>
      <c r="H229" t="s">
        <v>409</v>
      </c>
      <c r="I229">
        <v>21683324728</v>
      </c>
      <c r="J229" t="s">
        <v>415</v>
      </c>
      <c r="K229">
        <v>27363741.577966101</v>
      </c>
      <c r="L229">
        <v>0.95</v>
      </c>
      <c r="M229">
        <v>20599158491.599998</v>
      </c>
      <c r="N229">
        <v>56839365366.399986</v>
      </c>
      <c r="O229">
        <v>30302025</v>
      </c>
      <c r="P229">
        <v>3030</v>
      </c>
      <c r="Q229">
        <v>1.91247625079164</v>
      </c>
      <c r="S229" t="s">
        <v>420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2.6970000000000001</v>
      </c>
      <c r="AT229">
        <v>3.0529999999999999</v>
      </c>
      <c r="AU229" t="s">
        <v>430</v>
      </c>
      <c r="AV229">
        <v>0</v>
      </c>
      <c r="AW229">
        <v>0</v>
      </c>
      <c r="AX229" t="s">
        <v>438</v>
      </c>
      <c r="AY229">
        <v>0</v>
      </c>
      <c r="AZ229">
        <v>0</v>
      </c>
      <c r="BA229">
        <v>0</v>
      </c>
      <c r="CE229">
        <v>2.875</v>
      </c>
      <c r="CG229" t="s">
        <v>450</v>
      </c>
      <c r="CI229">
        <v>1.91247625079164</v>
      </c>
      <c r="CJ229">
        <v>3.1</v>
      </c>
      <c r="CK229">
        <v>2.5062381253958201</v>
      </c>
      <c r="CL229">
        <v>0</v>
      </c>
      <c r="CM229">
        <v>2.5062381253958201</v>
      </c>
    </row>
    <row r="230" spans="1:91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406</v>
      </c>
      <c r="F230">
        <v>440000000</v>
      </c>
      <c r="G230">
        <v>44.402880000000003</v>
      </c>
      <c r="H230" t="s">
        <v>414</v>
      </c>
      <c r="I230">
        <v>19537267200</v>
      </c>
      <c r="J230" t="s">
        <v>416</v>
      </c>
      <c r="K230">
        <v>39588862.186575599</v>
      </c>
      <c r="L230">
        <v>1</v>
      </c>
      <c r="M230">
        <v>19537267200</v>
      </c>
      <c r="N230">
        <v>9785600000</v>
      </c>
      <c r="O230">
        <v>20103015</v>
      </c>
      <c r="P230">
        <v>2010</v>
      </c>
      <c r="S230" t="s">
        <v>1650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2.7509999999999999</v>
      </c>
      <c r="AT230">
        <v>2.8420000000000001</v>
      </c>
      <c r="AU230" t="s">
        <v>420</v>
      </c>
      <c r="AV230">
        <v>1</v>
      </c>
      <c r="AW230">
        <v>0</v>
      </c>
      <c r="AX230" t="s">
        <v>446</v>
      </c>
      <c r="AY230">
        <v>0</v>
      </c>
      <c r="AZ230">
        <v>0</v>
      </c>
      <c r="BA230">
        <v>0</v>
      </c>
      <c r="CE230">
        <v>2.7965</v>
      </c>
      <c r="CG230" t="s">
        <v>450</v>
      </c>
      <c r="CI230">
        <v>3.4</v>
      </c>
      <c r="CJ230">
        <v>3.1</v>
      </c>
      <c r="CK230">
        <v>3.25</v>
      </c>
      <c r="CL230">
        <v>-0.12</v>
      </c>
      <c r="CM230">
        <v>3.13</v>
      </c>
    </row>
    <row r="231" spans="1:91" x14ac:dyDescent="0.25">
      <c r="A231">
        <v>1151</v>
      </c>
      <c r="B231" t="s">
        <v>120</v>
      </c>
      <c r="C231" t="s">
        <v>220</v>
      </c>
      <c r="D231" t="s">
        <v>320</v>
      </c>
      <c r="E231" t="s">
        <v>394</v>
      </c>
      <c r="F231">
        <v>1263122721</v>
      </c>
      <c r="G231">
        <v>104.12</v>
      </c>
      <c r="H231" t="s">
        <v>409</v>
      </c>
      <c r="I231">
        <v>131516337710.52</v>
      </c>
      <c r="J231" t="s">
        <v>415</v>
      </c>
      <c r="K231">
        <v>154796225.17039701</v>
      </c>
      <c r="L231">
        <v>0.95000000000000007</v>
      </c>
      <c r="M231">
        <v>124940520824.994</v>
      </c>
      <c r="N231">
        <v>26687256849.287998</v>
      </c>
      <c r="O231">
        <v>20103015</v>
      </c>
      <c r="P231">
        <v>2010</v>
      </c>
      <c r="Q231">
        <v>1.72319966282151</v>
      </c>
      <c r="R231">
        <v>1.5</v>
      </c>
      <c r="S231" t="s">
        <v>419</v>
      </c>
      <c r="T231" t="s">
        <v>422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</v>
      </c>
      <c r="AF231">
        <v>0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O231">
        <v>0</v>
      </c>
      <c r="AP231">
        <v>0</v>
      </c>
      <c r="AQ231">
        <v>0</v>
      </c>
      <c r="AR231">
        <v>0</v>
      </c>
      <c r="AS231">
        <v>2.98</v>
      </c>
      <c r="AT231">
        <v>2.774</v>
      </c>
      <c r="AU231" t="s">
        <v>420</v>
      </c>
      <c r="AV231">
        <v>1</v>
      </c>
      <c r="AW231">
        <v>0</v>
      </c>
      <c r="AX231" t="s">
        <v>433</v>
      </c>
      <c r="AY231">
        <v>0</v>
      </c>
      <c r="AZ231">
        <v>0</v>
      </c>
      <c r="BA231">
        <v>0</v>
      </c>
      <c r="CE231">
        <v>2.8769999999999998</v>
      </c>
      <c r="CG231" t="s">
        <v>450</v>
      </c>
      <c r="CI231">
        <v>1.72319966282151</v>
      </c>
      <c r="CJ231">
        <v>1.5</v>
      </c>
      <c r="CK231">
        <v>1.6115998314107549</v>
      </c>
      <c r="CL231">
        <v>-0.24</v>
      </c>
      <c r="CM231">
        <v>1.3715998314107549</v>
      </c>
    </row>
    <row r="232" spans="1:91" x14ac:dyDescent="0.25">
      <c r="A232">
        <v>1156</v>
      </c>
      <c r="B232" t="s">
        <v>756</v>
      </c>
      <c r="C232" t="s">
        <v>1155</v>
      </c>
      <c r="D232" t="s">
        <v>1554</v>
      </c>
      <c r="E232" t="s">
        <v>398</v>
      </c>
      <c r="F232">
        <v>1228504300</v>
      </c>
      <c r="G232">
        <v>273.60000000000002</v>
      </c>
      <c r="H232" t="s">
        <v>409</v>
      </c>
      <c r="I232">
        <v>336118776480</v>
      </c>
      <c r="J232" t="s">
        <v>415</v>
      </c>
      <c r="K232">
        <v>368554481.884426</v>
      </c>
      <c r="L232">
        <v>0.95</v>
      </c>
      <c r="M232">
        <v>319312837656</v>
      </c>
      <c r="N232">
        <v>25955838850.39999</v>
      </c>
      <c r="O232">
        <v>10101015</v>
      </c>
      <c r="P232">
        <v>1010</v>
      </c>
      <c r="Q232">
        <v>1.74740684989184</v>
      </c>
      <c r="R232">
        <v>3.1</v>
      </c>
      <c r="S232" t="s">
        <v>418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2.9609999999999999</v>
      </c>
      <c r="AT232">
        <v>3.121</v>
      </c>
      <c r="AU232" t="s">
        <v>426</v>
      </c>
      <c r="AV232">
        <v>0</v>
      </c>
      <c r="AW232">
        <v>0</v>
      </c>
      <c r="AX232" t="s">
        <v>437</v>
      </c>
      <c r="AY232">
        <v>0</v>
      </c>
      <c r="AZ232">
        <v>0</v>
      </c>
      <c r="BA232">
        <v>0</v>
      </c>
      <c r="CE232">
        <v>3.0409999999999999</v>
      </c>
      <c r="CG232" t="s">
        <v>450</v>
      </c>
      <c r="CI232">
        <v>1.74740684989184</v>
      </c>
      <c r="CJ232">
        <v>3.1</v>
      </c>
      <c r="CK232">
        <v>2.4237034249459199</v>
      </c>
      <c r="CL232">
        <v>-0.18</v>
      </c>
      <c r="CM232">
        <v>2.2437034249459198</v>
      </c>
    </row>
    <row r="233" spans="1:91" x14ac:dyDescent="0.25">
      <c r="A233">
        <v>1158</v>
      </c>
      <c r="B233" t="s">
        <v>757</v>
      </c>
      <c r="C233" t="s">
        <v>1156</v>
      </c>
      <c r="D233" t="s">
        <v>1555</v>
      </c>
      <c r="E233" t="s">
        <v>398</v>
      </c>
      <c r="F233">
        <v>37440000</v>
      </c>
      <c r="G233">
        <v>242</v>
      </c>
      <c r="H233" t="s">
        <v>409</v>
      </c>
      <c r="I233">
        <v>9060480000</v>
      </c>
      <c r="J233" t="s">
        <v>415</v>
      </c>
      <c r="K233">
        <v>21304033.759016398</v>
      </c>
      <c r="L233">
        <v>0.65</v>
      </c>
      <c r="M233">
        <v>5889312000</v>
      </c>
      <c r="N233">
        <v>4823395200</v>
      </c>
      <c r="O233">
        <v>20102010</v>
      </c>
      <c r="P233">
        <v>2010</v>
      </c>
      <c r="Q233">
        <v>3.4</v>
      </c>
      <c r="S233" t="s">
        <v>424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2.4620000000000002</v>
      </c>
      <c r="AT233">
        <v>2.8980000000000001</v>
      </c>
      <c r="AU233" t="s">
        <v>420</v>
      </c>
      <c r="AV233">
        <v>1</v>
      </c>
      <c r="AW233">
        <v>0</v>
      </c>
      <c r="AX233" t="s">
        <v>437</v>
      </c>
      <c r="AY233">
        <v>0</v>
      </c>
      <c r="AZ233">
        <v>0</v>
      </c>
      <c r="BA233">
        <v>0</v>
      </c>
      <c r="CE233">
        <v>2.68</v>
      </c>
      <c r="CG233" t="s">
        <v>450</v>
      </c>
      <c r="CI233">
        <v>3.4</v>
      </c>
      <c r="CJ233">
        <v>3.1</v>
      </c>
      <c r="CK233">
        <v>3.25</v>
      </c>
      <c r="CL233">
        <v>0.3</v>
      </c>
      <c r="CM233">
        <v>3.55</v>
      </c>
    </row>
    <row r="234" spans="1:91" x14ac:dyDescent="0.25">
      <c r="A234">
        <v>1159</v>
      </c>
      <c r="B234" t="s">
        <v>758</v>
      </c>
      <c r="C234" t="s">
        <v>1157</v>
      </c>
      <c r="D234" t="s">
        <v>1556</v>
      </c>
      <c r="E234" t="s">
        <v>394</v>
      </c>
      <c r="F234">
        <v>97330405</v>
      </c>
      <c r="G234">
        <v>204.4</v>
      </c>
      <c r="H234" t="s">
        <v>409</v>
      </c>
      <c r="I234">
        <v>19894334782</v>
      </c>
      <c r="J234" t="s">
        <v>415</v>
      </c>
      <c r="K234">
        <v>11558105.1543651</v>
      </c>
      <c r="L234">
        <v>0.3</v>
      </c>
      <c r="M234">
        <v>5968300434.6000013</v>
      </c>
      <c r="N234">
        <v>5787265881.3000011</v>
      </c>
      <c r="O234">
        <v>20102015</v>
      </c>
      <c r="P234">
        <v>2010</v>
      </c>
      <c r="Q234">
        <v>3.4</v>
      </c>
      <c r="S234" t="s">
        <v>424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</v>
      </c>
      <c r="AF234">
        <v>0</v>
      </c>
      <c r="AH234">
        <v>0</v>
      </c>
      <c r="AI234" t="s">
        <v>424</v>
      </c>
      <c r="AK234" t="s">
        <v>424</v>
      </c>
      <c r="AL234" t="s">
        <v>424</v>
      </c>
      <c r="AM234" t="s">
        <v>424</v>
      </c>
      <c r="AO234">
        <v>0</v>
      </c>
      <c r="AP234">
        <v>0</v>
      </c>
      <c r="AQ234">
        <v>0</v>
      </c>
      <c r="AR234">
        <v>0</v>
      </c>
      <c r="AS234">
        <v>2.613</v>
      </c>
      <c r="AT234">
        <v>2.75</v>
      </c>
      <c r="AU234" t="s">
        <v>420</v>
      </c>
      <c r="AV234">
        <v>1</v>
      </c>
      <c r="AW234">
        <v>0</v>
      </c>
      <c r="AX234" t="s">
        <v>433</v>
      </c>
      <c r="AY234">
        <v>0</v>
      </c>
      <c r="AZ234">
        <v>0</v>
      </c>
      <c r="BA234">
        <v>0</v>
      </c>
      <c r="CE234">
        <v>2.6815000000000002</v>
      </c>
      <c r="CG234" t="s">
        <v>450</v>
      </c>
      <c r="CI234">
        <v>3.4</v>
      </c>
      <c r="CJ234">
        <v>3.1</v>
      </c>
      <c r="CK234">
        <v>3.25</v>
      </c>
      <c r="CL234">
        <v>0.3</v>
      </c>
      <c r="CM234">
        <v>3.55</v>
      </c>
    </row>
    <row r="235" spans="1:91" x14ac:dyDescent="0.25">
      <c r="A235">
        <v>1166</v>
      </c>
      <c r="B235" t="s">
        <v>760</v>
      </c>
      <c r="C235" t="s">
        <v>1159</v>
      </c>
      <c r="D235" t="s">
        <v>1558</v>
      </c>
      <c r="E235" t="s">
        <v>406</v>
      </c>
      <c r="F235">
        <v>40716830</v>
      </c>
      <c r="G235">
        <v>293.25459999999998</v>
      </c>
      <c r="H235" t="s">
        <v>414</v>
      </c>
      <c r="I235">
        <v>11940397694.917999</v>
      </c>
      <c r="J235" t="s">
        <v>416</v>
      </c>
      <c r="K235">
        <v>29126770.267743301</v>
      </c>
      <c r="L235">
        <v>1</v>
      </c>
      <c r="M235">
        <v>11940397694.917999</v>
      </c>
      <c r="N235">
        <v>8070075706</v>
      </c>
      <c r="O235">
        <v>50204000</v>
      </c>
      <c r="P235">
        <v>5020</v>
      </c>
      <c r="Q235">
        <v>1.7459630665127199</v>
      </c>
      <c r="R235">
        <v>2.7</v>
      </c>
      <c r="S235" t="s">
        <v>418</v>
      </c>
      <c r="T235" t="s">
        <v>422</v>
      </c>
      <c r="U235">
        <v>0</v>
      </c>
      <c r="V235">
        <v>0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2.3450000000000002</v>
      </c>
      <c r="AT235">
        <v>2.5179999999999998</v>
      </c>
      <c r="AU235" t="s">
        <v>420</v>
      </c>
      <c r="AV235">
        <v>1</v>
      </c>
      <c r="AW235">
        <v>0</v>
      </c>
      <c r="AX235" t="s">
        <v>446</v>
      </c>
      <c r="AY235">
        <v>0</v>
      </c>
      <c r="AZ235">
        <v>0</v>
      </c>
      <c r="BA235">
        <v>0</v>
      </c>
      <c r="CE235">
        <v>2.4315000000000002</v>
      </c>
      <c r="CG235" t="s">
        <v>450</v>
      </c>
      <c r="CI235">
        <v>1.7459630665127199</v>
      </c>
      <c r="CJ235">
        <v>2.7</v>
      </c>
      <c r="CK235">
        <v>2.2229815332563598</v>
      </c>
      <c r="CL235">
        <v>-0.18</v>
      </c>
      <c r="CM235">
        <v>2.0429815332563601</v>
      </c>
    </row>
    <row r="236" spans="1:91" x14ac:dyDescent="0.25">
      <c r="A236">
        <v>1170</v>
      </c>
      <c r="B236" t="s">
        <v>763</v>
      </c>
      <c r="C236" t="s">
        <v>1162</v>
      </c>
      <c r="D236" t="s">
        <v>1561</v>
      </c>
      <c r="E236" t="s">
        <v>394</v>
      </c>
      <c r="F236">
        <v>179362195</v>
      </c>
      <c r="G236">
        <v>25.66</v>
      </c>
      <c r="H236" t="s">
        <v>409</v>
      </c>
      <c r="I236">
        <v>4602433923.6999998</v>
      </c>
      <c r="J236" t="s">
        <v>415</v>
      </c>
      <c r="K236">
        <v>11100962.8446032</v>
      </c>
      <c r="L236">
        <v>0.85000000000000009</v>
      </c>
      <c r="M236">
        <v>3912068835.145</v>
      </c>
      <c r="N236">
        <v>30217148991.650002</v>
      </c>
      <c r="O236">
        <v>30302020</v>
      </c>
      <c r="P236">
        <v>3030</v>
      </c>
      <c r="Q236">
        <v>3.4</v>
      </c>
      <c r="R236">
        <v>1.77</v>
      </c>
      <c r="S236" t="s">
        <v>420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2.177</v>
      </c>
      <c r="AT236">
        <v>3.2829999999999999</v>
      </c>
      <c r="AU236" t="s">
        <v>430</v>
      </c>
      <c r="AV236">
        <v>0</v>
      </c>
      <c r="AW236">
        <v>0</v>
      </c>
      <c r="AX236" t="s">
        <v>433</v>
      </c>
      <c r="AY236">
        <v>0</v>
      </c>
      <c r="AZ236">
        <v>0</v>
      </c>
      <c r="BA236">
        <v>0</v>
      </c>
      <c r="CE236">
        <v>2.73</v>
      </c>
      <c r="CG236" t="s">
        <v>450</v>
      </c>
      <c r="CI236">
        <v>3.4</v>
      </c>
      <c r="CJ236">
        <v>1.77</v>
      </c>
      <c r="CK236">
        <v>2.585</v>
      </c>
      <c r="CL236">
        <v>0</v>
      </c>
      <c r="CM236">
        <v>2.585</v>
      </c>
    </row>
    <row r="237" spans="1:91" x14ac:dyDescent="0.25">
      <c r="A237">
        <v>1171</v>
      </c>
      <c r="B237" t="s">
        <v>764</v>
      </c>
      <c r="C237" t="s">
        <v>1163</v>
      </c>
      <c r="D237" t="s">
        <v>1562</v>
      </c>
      <c r="E237" t="s">
        <v>398</v>
      </c>
      <c r="F237">
        <v>75000000</v>
      </c>
      <c r="G237">
        <v>94</v>
      </c>
      <c r="H237" t="s">
        <v>409</v>
      </c>
      <c r="I237">
        <v>7050000000</v>
      </c>
      <c r="J237" t="s">
        <v>415</v>
      </c>
      <c r="K237">
        <v>12789693.474590201</v>
      </c>
      <c r="L237">
        <v>1</v>
      </c>
      <c r="M237">
        <v>7050000000</v>
      </c>
      <c r="N237">
        <v>14865000000</v>
      </c>
      <c r="O237">
        <v>10101020</v>
      </c>
      <c r="P237">
        <v>1010</v>
      </c>
      <c r="Q237">
        <v>3.4</v>
      </c>
      <c r="S237" t="s">
        <v>424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2.3159999999999998</v>
      </c>
      <c r="AT237">
        <v>2.8919999999999999</v>
      </c>
      <c r="AU237" t="s">
        <v>426</v>
      </c>
      <c r="AV237">
        <v>0</v>
      </c>
      <c r="AW237">
        <v>0</v>
      </c>
      <c r="AX237" t="s">
        <v>437</v>
      </c>
      <c r="AY237">
        <v>0</v>
      </c>
      <c r="AZ237">
        <v>0</v>
      </c>
      <c r="BA237">
        <v>0</v>
      </c>
      <c r="CE237">
        <v>2.6040000000000001</v>
      </c>
      <c r="CG237" t="s">
        <v>450</v>
      </c>
      <c r="CI237">
        <v>3.4</v>
      </c>
      <c r="CJ237">
        <v>3.1</v>
      </c>
      <c r="CK237">
        <v>3.25</v>
      </c>
      <c r="CL237">
        <v>0.3</v>
      </c>
      <c r="CM237">
        <v>3.55</v>
      </c>
    </row>
    <row r="238" spans="1:91" x14ac:dyDescent="0.25">
      <c r="A238">
        <v>1177</v>
      </c>
      <c r="B238" t="s">
        <v>765</v>
      </c>
      <c r="C238" t="s">
        <v>1164</v>
      </c>
      <c r="D238" t="s">
        <v>1563</v>
      </c>
      <c r="E238" t="s">
        <v>395</v>
      </c>
      <c r="F238">
        <v>182017440</v>
      </c>
      <c r="G238">
        <v>21.872959999999999</v>
      </c>
      <c r="H238" t="s">
        <v>410</v>
      </c>
      <c r="I238">
        <v>3981260184.4224</v>
      </c>
      <c r="J238" t="s">
        <v>416</v>
      </c>
      <c r="K238">
        <v>3194424.91529821</v>
      </c>
      <c r="L238">
        <v>0.75</v>
      </c>
      <c r="M238">
        <v>2985945138.3168001</v>
      </c>
      <c r="N238">
        <v>27056892456</v>
      </c>
      <c r="O238">
        <v>20102010</v>
      </c>
      <c r="P238">
        <v>2010</v>
      </c>
      <c r="Q238">
        <v>3.4</v>
      </c>
      <c r="S238" t="s">
        <v>424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2.3690000000000002</v>
      </c>
      <c r="AT238">
        <v>2.1259999999999999</v>
      </c>
      <c r="AU238" t="s">
        <v>420</v>
      </c>
      <c r="AV238">
        <v>1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2.2475000000000001</v>
      </c>
      <c r="CG238" t="s">
        <v>450</v>
      </c>
      <c r="CI238">
        <v>3.4</v>
      </c>
      <c r="CJ238">
        <v>3.1</v>
      </c>
      <c r="CK238">
        <v>3.25</v>
      </c>
      <c r="CL238">
        <v>0.3</v>
      </c>
      <c r="CM238">
        <v>3.55</v>
      </c>
    </row>
    <row r="239" spans="1:91" x14ac:dyDescent="0.25">
      <c r="A239">
        <v>1178</v>
      </c>
      <c r="B239" t="s">
        <v>766</v>
      </c>
      <c r="C239" t="s">
        <v>1165</v>
      </c>
      <c r="D239" t="s">
        <v>1564</v>
      </c>
      <c r="E239" t="s">
        <v>395</v>
      </c>
      <c r="F239">
        <v>546454160</v>
      </c>
      <c r="G239">
        <v>13.86561</v>
      </c>
      <c r="H239" t="s">
        <v>410</v>
      </c>
      <c r="I239">
        <v>7576920265.4376001</v>
      </c>
      <c r="J239" t="s">
        <v>416</v>
      </c>
      <c r="K239">
        <v>13962066.985252701</v>
      </c>
      <c r="L239">
        <v>0.9</v>
      </c>
      <c r="M239">
        <v>6819228238.8938398</v>
      </c>
      <c r="N239">
        <v>97476493060.800003</v>
      </c>
      <c r="O239">
        <v>50205040</v>
      </c>
      <c r="P239">
        <v>5020</v>
      </c>
      <c r="Q239">
        <v>1.9740686207401801</v>
      </c>
      <c r="R239">
        <v>3.1</v>
      </c>
      <c r="S239" t="s">
        <v>418</v>
      </c>
      <c r="T239" t="s">
        <v>423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2.0510000000000002</v>
      </c>
      <c r="AT239">
        <v>2.637</v>
      </c>
      <c r="AU239" t="s">
        <v>432</v>
      </c>
      <c r="AV239">
        <v>0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2.3439999999999999</v>
      </c>
      <c r="CG239" t="s">
        <v>450</v>
      </c>
      <c r="CI239">
        <v>1.9740686207401801</v>
      </c>
      <c r="CJ239">
        <v>3.1</v>
      </c>
      <c r="CK239">
        <v>2.5370343103700899</v>
      </c>
      <c r="CL239">
        <v>-0.18</v>
      </c>
      <c r="CM239">
        <v>2.3570343103700901</v>
      </c>
    </row>
    <row r="240" spans="1:91" x14ac:dyDescent="0.25">
      <c r="A240">
        <v>1181</v>
      </c>
      <c r="B240" t="s">
        <v>767</v>
      </c>
      <c r="C240" t="s">
        <v>1166</v>
      </c>
      <c r="D240" t="s">
        <v>1565</v>
      </c>
      <c r="E240" t="s">
        <v>403</v>
      </c>
      <c r="F240">
        <v>1352862500</v>
      </c>
      <c r="G240">
        <v>8.5883319999999994</v>
      </c>
      <c r="H240" t="s">
        <v>413</v>
      </c>
      <c r="I240">
        <v>11618832300.35</v>
      </c>
      <c r="J240" t="s">
        <v>416</v>
      </c>
      <c r="K240">
        <v>20340262.9003166</v>
      </c>
      <c r="L240">
        <v>0.9</v>
      </c>
      <c r="M240">
        <v>10456949070.315001</v>
      </c>
      <c r="N240">
        <v>241323612750</v>
      </c>
      <c r="O240">
        <v>35102020</v>
      </c>
      <c r="P240">
        <v>3510</v>
      </c>
      <c r="Q240">
        <v>2.6430599755841402</v>
      </c>
      <c r="S240" t="s">
        <v>417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2.214</v>
      </c>
      <c r="AT240">
        <v>3.1850000000000001</v>
      </c>
      <c r="AU240" t="s">
        <v>425</v>
      </c>
      <c r="AV240">
        <v>1</v>
      </c>
      <c r="AW240">
        <v>0</v>
      </c>
      <c r="AX240" t="s">
        <v>442</v>
      </c>
      <c r="AY240">
        <v>0</v>
      </c>
      <c r="AZ240">
        <v>0</v>
      </c>
      <c r="BA240">
        <v>0</v>
      </c>
      <c r="CE240">
        <v>2.6995</v>
      </c>
      <c r="CG240" t="s">
        <v>450</v>
      </c>
      <c r="CI240">
        <v>2.6430599755841402</v>
      </c>
      <c r="CJ240">
        <v>3.1</v>
      </c>
      <c r="CK240">
        <v>2.8715299877920701</v>
      </c>
      <c r="CL240">
        <v>-0.3</v>
      </c>
      <c r="CM240">
        <v>2.5715299877920699</v>
      </c>
    </row>
    <row r="241" spans="1:91" x14ac:dyDescent="0.25">
      <c r="A241">
        <v>1193</v>
      </c>
      <c r="B241" t="s">
        <v>768</v>
      </c>
      <c r="C241" t="s">
        <v>1167</v>
      </c>
      <c r="D241" t="s">
        <v>1566</v>
      </c>
      <c r="E241" t="s">
        <v>406</v>
      </c>
      <c r="F241">
        <v>38900000</v>
      </c>
      <c r="G241">
        <v>124.82989999999999</v>
      </c>
      <c r="H241" t="s">
        <v>414</v>
      </c>
      <c r="I241">
        <v>4855883110</v>
      </c>
      <c r="J241" t="s">
        <v>416</v>
      </c>
      <c r="K241">
        <v>3499241.6717073601</v>
      </c>
      <c r="L241">
        <v>0.75</v>
      </c>
      <c r="M241">
        <v>3641912332.5</v>
      </c>
      <c r="N241">
        <v>5782485000</v>
      </c>
      <c r="O241">
        <v>50203000</v>
      </c>
      <c r="P241">
        <v>5020</v>
      </c>
      <c r="Q241">
        <v>3.3878998995015599</v>
      </c>
      <c r="S241" t="s">
        <v>418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2.073</v>
      </c>
      <c r="AT241">
        <v>2.2709999999999999</v>
      </c>
      <c r="AU241" t="s">
        <v>420</v>
      </c>
      <c r="AV241">
        <v>1</v>
      </c>
      <c r="AW241">
        <v>0</v>
      </c>
      <c r="AX241" t="s">
        <v>446</v>
      </c>
      <c r="AY241">
        <v>0</v>
      </c>
      <c r="AZ241">
        <v>0</v>
      </c>
      <c r="BA241">
        <v>0</v>
      </c>
      <c r="CE241">
        <v>2.1720000000000002</v>
      </c>
      <c r="CG241" t="s">
        <v>450</v>
      </c>
      <c r="CI241">
        <v>3.3878998995015599</v>
      </c>
      <c r="CJ241">
        <v>3.1</v>
      </c>
      <c r="CK241">
        <v>3.24394994975078</v>
      </c>
      <c r="CL241">
        <v>-0.18</v>
      </c>
      <c r="CM241">
        <v>3.0639499497507798</v>
      </c>
    </row>
    <row r="242" spans="1:91" x14ac:dyDescent="0.25">
      <c r="A242">
        <v>1211</v>
      </c>
      <c r="B242" t="s">
        <v>771</v>
      </c>
      <c r="C242" t="s">
        <v>1170</v>
      </c>
      <c r="D242" t="s">
        <v>1569</v>
      </c>
      <c r="E242" t="s">
        <v>406</v>
      </c>
      <c r="F242">
        <v>4513000</v>
      </c>
      <c r="G242">
        <v>1059.0340000000001</v>
      </c>
      <c r="H242" t="s">
        <v>414</v>
      </c>
      <c r="I242">
        <v>4779420442</v>
      </c>
      <c r="J242" t="s">
        <v>416</v>
      </c>
      <c r="K242">
        <v>8836214.8853714094</v>
      </c>
      <c r="L242">
        <v>0.95</v>
      </c>
      <c r="M242">
        <v>4540449419.8999996</v>
      </c>
      <c r="N242">
        <v>849752770</v>
      </c>
      <c r="O242">
        <v>20103015</v>
      </c>
      <c r="P242">
        <v>2010</v>
      </c>
      <c r="S242" t="s">
        <v>421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2.593</v>
      </c>
      <c r="AT242">
        <v>3.0190000000000001</v>
      </c>
      <c r="AU242" t="s">
        <v>420</v>
      </c>
      <c r="AV242">
        <v>1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2.806</v>
      </c>
      <c r="CG242" t="s">
        <v>450</v>
      </c>
      <c r="CI242">
        <v>3.4</v>
      </c>
      <c r="CJ242">
        <v>3.1</v>
      </c>
      <c r="CK242">
        <v>3.25</v>
      </c>
      <c r="CL242">
        <v>0.18</v>
      </c>
      <c r="CM242">
        <v>3.43</v>
      </c>
    </row>
    <row r="243" spans="1:91" x14ac:dyDescent="0.25">
      <c r="A243">
        <v>1214</v>
      </c>
      <c r="B243" t="s">
        <v>774</v>
      </c>
      <c r="C243" t="s">
        <v>1173</v>
      </c>
      <c r="D243" t="s">
        <v>1572</v>
      </c>
      <c r="E243" t="s">
        <v>398</v>
      </c>
      <c r="F243">
        <v>1128000000</v>
      </c>
      <c r="G243">
        <v>55.74</v>
      </c>
      <c r="H243" t="s">
        <v>409</v>
      </c>
      <c r="I243">
        <v>62874720000</v>
      </c>
      <c r="J243" t="s">
        <v>415</v>
      </c>
      <c r="K243">
        <v>37144508.143114701</v>
      </c>
      <c r="L243">
        <v>0.25</v>
      </c>
      <c r="M243">
        <v>15718680000</v>
      </c>
      <c r="N243">
        <v>55892400000</v>
      </c>
      <c r="O243">
        <v>20102010</v>
      </c>
      <c r="P243">
        <v>2010</v>
      </c>
      <c r="Q243">
        <v>2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2.9220000000000002</v>
      </c>
      <c r="AT243">
        <v>2.8780000000000001</v>
      </c>
      <c r="AU243" t="s">
        <v>420</v>
      </c>
      <c r="AV243">
        <v>1</v>
      </c>
      <c r="AW243">
        <v>0</v>
      </c>
      <c r="AX243" t="s">
        <v>437</v>
      </c>
      <c r="AY243">
        <v>0</v>
      </c>
      <c r="AZ243">
        <v>0</v>
      </c>
      <c r="BA243">
        <v>0</v>
      </c>
      <c r="CE243">
        <v>2.9</v>
      </c>
      <c r="CG243" t="s">
        <v>450</v>
      </c>
      <c r="CI243">
        <v>2</v>
      </c>
      <c r="CJ243">
        <v>3.1</v>
      </c>
      <c r="CK243">
        <v>2.5499999999999998</v>
      </c>
      <c r="CL243">
        <v>-0.3</v>
      </c>
      <c r="CM243">
        <v>2.25</v>
      </c>
    </row>
    <row r="244" spans="1:91" x14ac:dyDescent="0.25">
      <c r="A244">
        <v>1215</v>
      </c>
      <c r="B244" t="s">
        <v>775</v>
      </c>
      <c r="C244" t="s">
        <v>1174</v>
      </c>
      <c r="D244" t="s">
        <v>1573</v>
      </c>
      <c r="E244" t="s">
        <v>406</v>
      </c>
      <c r="F244">
        <v>382270870</v>
      </c>
      <c r="G244">
        <v>21.90372</v>
      </c>
      <c r="H244" t="s">
        <v>414</v>
      </c>
      <c r="I244">
        <v>8373154100.6364002</v>
      </c>
      <c r="J244" t="s">
        <v>416</v>
      </c>
      <c r="K244">
        <v>13951048.151531501</v>
      </c>
      <c r="L244">
        <v>0.8</v>
      </c>
      <c r="M244">
        <v>6698523280.5091209</v>
      </c>
      <c r="N244">
        <v>60612869147.199997</v>
      </c>
      <c r="O244">
        <v>50203030</v>
      </c>
      <c r="P244">
        <v>5020</v>
      </c>
      <c r="S244" t="s">
        <v>418</v>
      </c>
      <c r="T244" t="s">
        <v>422</v>
      </c>
      <c r="U244">
        <v>0</v>
      </c>
      <c r="V244">
        <v>0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2.7029999999999998</v>
      </c>
      <c r="AT244">
        <v>2.8279999999999998</v>
      </c>
      <c r="AU244" t="s">
        <v>420</v>
      </c>
      <c r="AV244">
        <v>1</v>
      </c>
      <c r="AW244">
        <v>0</v>
      </c>
      <c r="AX244" t="s">
        <v>446</v>
      </c>
      <c r="AY244">
        <v>0</v>
      </c>
      <c r="AZ244">
        <v>0</v>
      </c>
      <c r="BA244">
        <v>0</v>
      </c>
      <c r="CE244">
        <v>2.7654999999999998</v>
      </c>
      <c r="CG244" t="s">
        <v>450</v>
      </c>
      <c r="CI244">
        <v>3.4</v>
      </c>
      <c r="CJ244">
        <v>3.1</v>
      </c>
      <c r="CK244">
        <v>3.25</v>
      </c>
      <c r="CL244">
        <v>-0.18</v>
      </c>
      <c r="CM244">
        <v>3.07</v>
      </c>
    </row>
    <row r="245" spans="1:91" x14ac:dyDescent="0.25">
      <c r="A245">
        <v>1218</v>
      </c>
      <c r="B245" t="s">
        <v>180</v>
      </c>
      <c r="C245" t="s">
        <v>280</v>
      </c>
      <c r="D245" t="s">
        <v>380</v>
      </c>
      <c r="E245" t="s">
        <v>406</v>
      </c>
      <c r="F245">
        <v>160479300</v>
      </c>
      <c r="G245">
        <v>252.84970000000001</v>
      </c>
      <c r="H245" t="s">
        <v>414</v>
      </c>
      <c r="I245">
        <v>40577142861.209999</v>
      </c>
      <c r="J245" t="s">
        <v>416</v>
      </c>
      <c r="K245">
        <v>92114432.940758303</v>
      </c>
      <c r="L245">
        <v>1</v>
      </c>
      <c r="M245">
        <v>40577142861.209999</v>
      </c>
      <c r="N245">
        <v>31806997260</v>
      </c>
      <c r="O245">
        <v>50101035</v>
      </c>
      <c r="P245">
        <v>5010</v>
      </c>
      <c r="Q245">
        <v>1.74390558393971</v>
      </c>
      <c r="S245" t="s">
        <v>420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2.6779999999999999</v>
      </c>
      <c r="AT245">
        <v>2.95</v>
      </c>
      <c r="AU245" t="s">
        <v>420</v>
      </c>
      <c r="AV245">
        <v>1</v>
      </c>
      <c r="AW245">
        <v>0</v>
      </c>
      <c r="AX245" t="s">
        <v>446</v>
      </c>
      <c r="AY245">
        <v>0</v>
      </c>
      <c r="AZ245">
        <v>0</v>
      </c>
      <c r="BA245">
        <v>0</v>
      </c>
      <c r="CE245">
        <v>2.8140000000000001</v>
      </c>
      <c r="CG245" t="s">
        <v>450</v>
      </c>
      <c r="CI245">
        <v>1.74390558393971</v>
      </c>
      <c r="CJ245">
        <v>3.1</v>
      </c>
      <c r="CK245">
        <v>2.4219527919698551</v>
      </c>
      <c r="CL245">
        <v>0</v>
      </c>
      <c r="CM245">
        <v>2.4219527919698551</v>
      </c>
    </row>
    <row r="246" spans="1:91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395</v>
      </c>
      <c r="F246">
        <v>2115831000</v>
      </c>
      <c r="G246">
        <v>15.232390000000001</v>
      </c>
      <c r="H246" t="s">
        <v>410</v>
      </c>
      <c r="I246">
        <v>32229162966.09</v>
      </c>
      <c r="J246" t="s">
        <v>416</v>
      </c>
      <c r="K246">
        <v>45246872.796090297</v>
      </c>
      <c r="L246">
        <v>0.8</v>
      </c>
      <c r="M246">
        <v>25783330372.872002</v>
      </c>
      <c r="N246">
        <v>335486163360</v>
      </c>
      <c r="O246">
        <v>30101010</v>
      </c>
      <c r="P246">
        <v>3010</v>
      </c>
      <c r="Q246">
        <v>3.4</v>
      </c>
      <c r="S246" t="s">
        <v>420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2.1139999999999999</v>
      </c>
      <c r="AT246">
        <v>2.665</v>
      </c>
      <c r="AU246" t="s">
        <v>430</v>
      </c>
      <c r="AV246">
        <v>0</v>
      </c>
      <c r="AW246">
        <v>0</v>
      </c>
      <c r="AX246" t="s">
        <v>434</v>
      </c>
      <c r="AY246">
        <v>0</v>
      </c>
      <c r="AZ246">
        <v>0</v>
      </c>
      <c r="BA246">
        <v>0</v>
      </c>
      <c r="CE246">
        <v>2.3895</v>
      </c>
      <c r="CG246" t="s">
        <v>450</v>
      </c>
      <c r="CI246">
        <v>3.4</v>
      </c>
      <c r="CJ246">
        <v>3.1</v>
      </c>
      <c r="CK246">
        <v>3.25</v>
      </c>
      <c r="CL246">
        <v>0</v>
      </c>
      <c r="CM246">
        <v>3.25</v>
      </c>
    </row>
    <row r="247" spans="1:91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403</v>
      </c>
      <c r="F247">
        <v>874396060</v>
      </c>
      <c r="G247">
        <v>12.494429999999999</v>
      </c>
      <c r="H247" t="s">
        <v>413</v>
      </c>
      <c r="I247">
        <v>10925080363.945801</v>
      </c>
      <c r="J247" t="s">
        <v>416</v>
      </c>
      <c r="K247">
        <v>18147097.5031357</v>
      </c>
      <c r="L247">
        <v>0.95</v>
      </c>
      <c r="M247">
        <v>10378826345.74851</v>
      </c>
      <c r="N247">
        <v>164640034137.39999</v>
      </c>
      <c r="O247">
        <v>20102010</v>
      </c>
      <c r="P247">
        <v>2010</v>
      </c>
      <c r="Q247">
        <v>3.4</v>
      </c>
      <c r="R247">
        <v>1.5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</v>
      </c>
      <c r="AE247">
        <v>0</v>
      </c>
      <c r="AF247">
        <v>0</v>
      </c>
      <c r="AH247">
        <v>0</v>
      </c>
      <c r="AI247" t="s">
        <v>424</v>
      </c>
      <c r="AK247" t="s">
        <v>424</v>
      </c>
      <c r="AL247" t="s">
        <v>424</v>
      </c>
      <c r="AM247" t="s">
        <v>424</v>
      </c>
      <c r="AO247">
        <v>0</v>
      </c>
      <c r="AP247">
        <v>0</v>
      </c>
      <c r="AQ247">
        <v>0</v>
      </c>
      <c r="AR247">
        <v>0</v>
      </c>
      <c r="AS247">
        <v>3.0630000000000002</v>
      </c>
      <c r="AT247">
        <v>3.4209999999999998</v>
      </c>
      <c r="AU247" t="s">
        <v>420</v>
      </c>
      <c r="AV247">
        <v>1</v>
      </c>
      <c r="AW247">
        <v>0</v>
      </c>
      <c r="AX247" t="s">
        <v>442</v>
      </c>
      <c r="AY247">
        <v>0</v>
      </c>
      <c r="AZ247">
        <v>0</v>
      </c>
      <c r="BA247">
        <v>0</v>
      </c>
      <c r="CE247">
        <v>3.242</v>
      </c>
      <c r="CG247" t="s">
        <v>450</v>
      </c>
      <c r="CI247">
        <v>3.4</v>
      </c>
      <c r="CJ247">
        <v>1.5</v>
      </c>
      <c r="CK247">
        <v>2.4500000000000002</v>
      </c>
      <c r="CL247">
        <v>-0.18</v>
      </c>
      <c r="CM247">
        <v>2.27</v>
      </c>
    </row>
    <row r="248" spans="1:91" x14ac:dyDescent="0.25">
      <c r="A248">
        <v>1239</v>
      </c>
      <c r="B248" t="s">
        <v>131</v>
      </c>
      <c r="C248" t="s">
        <v>231</v>
      </c>
      <c r="D248" t="s">
        <v>331</v>
      </c>
      <c r="E248" t="s">
        <v>394</v>
      </c>
      <c r="F248">
        <v>800316777</v>
      </c>
      <c r="G248">
        <v>37.835000000000001</v>
      </c>
      <c r="H248" t="s">
        <v>409</v>
      </c>
      <c r="I248">
        <v>30279985257.794998</v>
      </c>
      <c r="J248" t="s">
        <v>415</v>
      </c>
      <c r="K248">
        <v>97163081.891071394</v>
      </c>
      <c r="L248">
        <v>0.9</v>
      </c>
      <c r="M248">
        <v>27251986732.015499</v>
      </c>
      <c r="N248">
        <v>142760506681.26001</v>
      </c>
      <c r="O248">
        <v>30101010</v>
      </c>
      <c r="P248">
        <v>3010</v>
      </c>
      <c r="Q248">
        <v>2.89333333333333</v>
      </c>
      <c r="R248">
        <v>1.5</v>
      </c>
      <c r="S248" t="s">
        <v>419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2.452</v>
      </c>
      <c r="AT248">
        <v>3.1869999999999998</v>
      </c>
      <c r="AU248" t="s">
        <v>430</v>
      </c>
      <c r="AV248">
        <v>0</v>
      </c>
      <c r="AW248">
        <v>0</v>
      </c>
      <c r="AX248" t="s">
        <v>433</v>
      </c>
      <c r="AY248">
        <v>0</v>
      </c>
      <c r="AZ248">
        <v>0</v>
      </c>
      <c r="BA248">
        <v>0</v>
      </c>
      <c r="CE248">
        <v>2.8195000000000001</v>
      </c>
      <c r="CG248" t="s">
        <v>450</v>
      </c>
      <c r="CI248">
        <v>2.89333333333333</v>
      </c>
      <c r="CJ248">
        <v>1.5</v>
      </c>
      <c r="CK248">
        <v>2.196666666666665</v>
      </c>
      <c r="CL248">
        <v>-0.24</v>
      </c>
      <c r="CM248">
        <v>1.956666666666665</v>
      </c>
    </row>
    <row r="249" spans="1:91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407</v>
      </c>
      <c r="F249">
        <v>34250000</v>
      </c>
      <c r="G249">
        <v>237.4</v>
      </c>
      <c r="H249" t="s">
        <v>409</v>
      </c>
      <c r="I249">
        <v>8130950000</v>
      </c>
      <c r="J249" t="s">
        <v>415</v>
      </c>
      <c r="K249">
        <v>4215309.9031745996</v>
      </c>
      <c r="L249">
        <v>0.4</v>
      </c>
      <c r="M249">
        <v>3252380000</v>
      </c>
      <c r="N249">
        <v>2715340000</v>
      </c>
      <c r="O249">
        <v>30202010</v>
      </c>
      <c r="P249">
        <v>3020</v>
      </c>
      <c r="Q249">
        <v>2</v>
      </c>
      <c r="S249" t="s">
        <v>424</v>
      </c>
      <c r="T249" t="s">
        <v>422</v>
      </c>
      <c r="U249">
        <v>0</v>
      </c>
      <c r="V249">
        <v>0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2.3879999999999999</v>
      </c>
      <c r="AU249" t="s">
        <v>430</v>
      </c>
      <c r="AV249">
        <v>0</v>
      </c>
      <c r="AW249">
        <v>0</v>
      </c>
      <c r="AX249" t="s">
        <v>447</v>
      </c>
      <c r="AY249">
        <v>0</v>
      </c>
      <c r="AZ249">
        <v>0</v>
      </c>
      <c r="BA249">
        <v>0</v>
      </c>
      <c r="CE249">
        <v>2.194</v>
      </c>
      <c r="CG249" t="s">
        <v>450</v>
      </c>
      <c r="CI249">
        <v>2</v>
      </c>
      <c r="CJ249">
        <v>3.1</v>
      </c>
      <c r="CK249">
        <v>2.5499999999999998</v>
      </c>
      <c r="CL249">
        <v>0.3</v>
      </c>
      <c r="CM249">
        <v>2.85</v>
      </c>
    </row>
    <row r="250" spans="1:91" x14ac:dyDescent="0.25">
      <c r="A250">
        <v>1250</v>
      </c>
      <c r="B250" t="s">
        <v>124</v>
      </c>
      <c r="C250" t="s">
        <v>224</v>
      </c>
      <c r="D250" t="s">
        <v>324</v>
      </c>
      <c r="E250" t="s">
        <v>406</v>
      </c>
      <c r="F250">
        <v>59626810</v>
      </c>
      <c r="G250">
        <v>310.37360000000001</v>
      </c>
      <c r="H250" t="s">
        <v>414</v>
      </c>
      <c r="I250">
        <v>18506587676.216</v>
      </c>
      <c r="J250" t="s">
        <v>416</v>
      </c>
      <c r="K250">
        <v>37253581.499226198</v>
      </c>
      <c r="L250">
        <v>0.85</v>
      </c>
      <c r="M250">
        <v>15730599524.7836</v>
      </c>
      <c r="N250">
        <v>10045328680.700001</v>
      </c>
      <c r="O250">
        <v>20102010</v>
      </c>
      <c r="P250">
        <v>2010</v>
      </c>
      <c r="Q250">
        <v>1.9776400456237699</v>
      </c>
      <c r="R250">
        <v>2.39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3.0779999999999998</v>
      </c>
      <c r="AT250">
        <v>3.0640000000000001</v>
      </c>
      <c r="AU250" t="s">
        <v>420</v>
      </c>
      <c r="AV250">
        <v>1</v>
      </c>
      <c r="AW250">
        <v>0</v>
      </c>
      <c r="AX250" t="s">
        <v>446</v>
      </c>
      <c r="AY250">
        <v>0</v>
      </c>
      <c r="AZ250">
        <v>0</v>
      </c>
      <c r="BA250">
        <v>0</v>
      </c>
      <c r="CE250">
        <v>3.0710000000000002</v>
      </c>
      <c r="CG250" t="s">
        <v>450</v>
      </c>
      <c r="CI250">
        <v>1.9776400456237699</v>
      </c>
      <c r="CJ250">
        <v>2.39</v>
      </c>
      <c r="CK250">
        <v>2.1838200228118851</v>
      </c>
      <c r="CL250">
        <v>-0.18</v>
      </c>
      <c r="CM250">
        <v>2.003820022811885</v>
      </c>
    </row>
    <row r="251" spans="1:91" x14ac:dyDescent="0.25">
      <c r="A251">
        <v>1255</v>
      </c>
      <c r="B251" t="s">
        <v>784</v>
      </c>
      <c r="C251" t="s">
        <v>1183</v>
      </c>
      <c r="D251" t="s">
        <v>1582</v>
      </c>
      <c r="E251" t="s">
        <v>400</v>
      </c>
      <c r="F251">
        <v>375456307</v>
      </c>
      <c r="G251">
        <v>13.587339999999999</v>
      </c>
      <c r="H251" t="s">
        <v>411</v>
      </c>
      <c r="I251">
        <v>5101452498.3533802</v>
      </c>
      <c r="J251" t="s">
        <v>416</v>
      </c>
      <c r="K251">
        <v>3367248.5429913201</v>
      </c>
      <c r="L251">
        <v>0.65</v>
      </c>
      <c r="M251">
        <v>3315944123.929697</v>
      </c>
      <c r="N251">
        <v>48370036030.809998</v>
      </c>
      <c r="O251">
        <v>30101010</v>
      </c>
      <c r="P251">
        <v>3010</v>
      </c>
      <c r="S251" t="s">
        <v>424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2.21</v>
      </c>
      <c r="AT251">
        <v>3.0910000000000002</v>
      </c>
      <c r="AU251" t="s">
        <v>430</v>
      </c>
      <c r="AV251">
        <v>0</v>
      </c>
      <c r="AW251">
        <v>0</v>
      </c>
      <c r="AX251" t="s">
        <v>439</v>
      </c>
      <c r="AY251">
        <v>0</v>
      </c>
      <c r="AZ251">
        <v>0</v>
      </c>
      <c r="BA251">
        <v>0</v>
      </c>
      <c r="CE251">
        <v>2.6505000000000001</v>
      </c>
      <c r="CG251" t="s">
        <v>450</v>
      </c>
      <c r="CI251">
        <v>3.4</v>
      </c>
      <c r="CJ251">
        <v>3.1</v>
      </c>
      <c r="CK251">
        <v>3.25</v>
      </c>
      <c r="CL251">
        <v>0.3</v>
      </c>
      <c r="CM251">
        <v>3.55</v>
      </c>
    </row>
    <row r="252" spans="1:91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403</v>
      </c>
      <c r="F252">
        <v>98905780</v>
      </c>
      <c r="G252">
        <v>35.397849999999998</v>
      </c>
      <c r="H252" t="s">
        <v>413</v>
      </c>
      <c r="I252">
        <v>3501051964.573</v>
      </c>
      <c r="J252" t="s">
        <v>416</v>
      </c>
      <c r="K252">
        <v>4976802.5069741402</v>
      </c>
      <c r="L252">
        <v>1</v>
      </c>
      <c r="M252">
        <v>3501051964.573</v>
      </c>
      <c r="N252">
        <v>19603125596</v>
      </c>
      <c r="O252">
        <v>50202010</v>
      </c>
      <c r="P252">
        <v>5020</v>
      </c>
      <c r="Q252">
        <v>1.98890419257859</v>
      </c>
      <c r="R252">
        <v>3.01</v>
      </c>
      <c r="S252" t="s">
        <v>419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1.9830000000000001</v>
      </c>
      <c r="AT252">
        <v>2.8879999999999999</v>
      </c>
      <c r="AU252" t="s">
        <v>420</v>
      </c>
      <c r="AV252">
        <v>1</v>
      </c>
      <c r="AW252">
        <v>0</v>
      </c>
      <c r="AX252" t="s">
        <v>442</v>
      </c>
      <c r="AY252">
        <v>0</v>
      </c>
      <c r="AZ252">
        <v>0</v>
      </c>
      <c r="BA252">
        <v>0</v>
      </c>
      <c r="CE252">
        <v>2.4355000000000002</v>
      </c>
      <c r="CG252" t="s">
        <v>450</v>
      </c>
      <c r="CI252">
        <v>1.98890419257859</v>
      </c>
      <c r="CJ252">
        <v>3.01</v>
      </c>
      <c r="CK252">
        <v>2.499452096289295</v>
      </c>
      <c r="CL252">
        <v>-0.24</v>
      </c>
      <c r="CM252">
        <v>2.2594520962892952</v>
      </c>
    </row>
    <row r="253" spans="1:91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403</v>
      </c>
      <c r="F253">
        <v>544014700</v>
      </c>
      <c r="G253">
        <v>13.419269999999999</v>
      </c>
      <c r="H253" t="s">
        <v>413</v>
      </c>
      <c r="I253">
        <v>7300280143.2689991</v>
      </c>
      <c r="J253" t="s">
        <v>416</v>
      </c>
      <c r="K253">
        <v>15801062.6867617</v>
      </c>
      <c r="L253">
        <v>1</v>
      </c>
      <c r="M253">
        <v>7300280143.2689991</v>
      </c>
      <c r="N253">
        <v>107823713540</v>
      </c>
      <c r="O253">
        <v>30202010</v>
      </c>
      <c r="P253">
        <v>3020</v>
      </c>
      <c r="Q253">
        <v>3.0199999999999898</v>
      </c>
      <c r="S253" t="s">
        <v>418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1.746</v>
      </c>
      <c r="AT253">
        <v>2.8820000000000001</v>
      </c>
      <c r="AU253" t="s">
        <v>430</v>
      </c>
      <c r="AV253">
        <v>0</v>
      </c>
      <c r="AW253">
        <v>0</v>
      </c>
      <c r="AX253" t="s">
        <v>442</v>
      </c>
      <c r="AY253">
        <v>0</v>
      </c>
      <c r="AZ253">
        <v>0</v>
      </c>
      <c r="BA253">
        <v>0</v>
      </c>
      <c r="CE253">
        <v>2.3140000000000001</v>
      </c>
      <c r="CG253" t="s">
        <v>450</v>
      </c>
      <c r="CI253">
        <v>3.0199999999999898</v>
      </c>
      <c r="CJ253">
        <v>3.1</v>
      </c>
      <c r="CK253">
        <v>3.0599999999999952</v>
      </c>
      <c r="CL253">
        <v>-0.18</v>
      </c>
      <c r="CM253">
        <v>2.879999999999995</v>
      </c>
    </row>
    <row r="254" spans="1:91" x14ac:dyDescent="0.25">
      <c r="A254">
        <v>1266</v>
      </c>
      <c r="B254" t="s">
        <v>791</v>
      </c>
      <c r="C254" t="s">
        <v>1190</v>
      </c>
      <c r="D254" t="s">
        <v>1589</v>
      </c>
      <c r="E254" t="s">
        <v>403</v>
      </c>
      <c r="F254">
        <v>2414227500</v>
      </c>
      <c r="G254">
        <v>14.3018</v>
      </c>
      <c r="H254" t="s">
        <v>413</v>
      </c>
      <c r="I254">
        <v>34527798859.5</v>
      </c>
      <c r="J254" t="s">
        <v>416</v>
      </c>
      <c r="K254">
        <v>49461386.726039</v>
      </c>
      <c r="L254">
        <v>0.8</v>
      </c>
      <c r="M254">
        <v>27622239087.599998</v>
      </c>
      <c r="N254">
        <v>382799912400</v>
      </c>
      <c r="O254">
        <v>30101010</v>
      </c>
      <c r="P254">
        <v>3010</v>
      </c>
      <c r="Q254">
        <v>3.4</v>
      </c>
      <c r="R254">
        <v>1.77</v>
      </c>
      <c r="S254" t="s">
        <v>420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2.1509999999999998</v>
      </c>
      <c r="AT254">
        <v>3.052</v>
      </c>
      <c r="AU254" t="s">
        <v>430</v>
      </c>
      <c r="AV254">
        <v>0</v>
      </c>
      <c r="AW254">
        <v>0</v>
      </c>
      <c r="AX254" t="s">
        <v>442</v>
      </c>
      <c r="AY254">
        <v>0</v>
      </c>
      <c r="AZ254">
        <v>0</v>
      </c>
      <c r="BA254">
        <v>0</v>
      </c>
      <c r="CE254">
        <v>2.6015000000000001</v>
      </c>
      <c r="CG254" t="s">
        <v>450</v>
      </c>
      <c r="CI254">
        <v>3.4</v>
      </c>
      <c r="CJ254">
        <v>1.77</v>
      </c>
      <c r="CK254">
        <v>2.585</v>
      </c>
      <c r="CL254">
        <v>0</v>
      </c>
      <c r="CM254">
        <v>2.585</v>
      </c>
    </row>
    <row r="255" spans="1:91" x14ac:dyDescent="0.25">
      <c r="A255">
        <v>1272</v>
      </c>
      <c r="B255" t="s">
        <v>792</v>
      </c>
      <c r="C255" t="s">
        <v>1191</v>
      </c>
      <c r="D255" t="s">
        <v>1590</v>
      </c>
      <c r="E255" t="s">
        <v>404</v>
      </c>
      <c r="F255">
        <v>2896073567</v>
      </c>
      <c r="G255">
        <v>13.488</v>
      </c>
      <c r="H255" t="s">
        <v>409</v>
      </c>
      <c r="I255">
        <v>39062240271.695999</v>
      </c>
      <c r="J255" t="s">
        <v>415</v>
      </c>
      <c r="K255">
        <v>198824448.27852499</v>
      </c>
      <c r="L255">
        <v>0.70000000000000007</v>
      </c>
      <c r="M255">
        <v>27343568190.187199</v>
      </c>
      <c r="N255">
        <v>401801246685.58008</v>
      </c>
      <c r="O255">
        <v>40101020</v>
      </c>
      <c r="P255">
        <v>4010</v>
      </c>
      <c r="Q255">
        <v>3.4</v>
      </c>
      <c r="S255" t="s">
        <v>424</v>
      </c>
      <c r="T255" t="s">
        <v>423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424</v>
      </c>
      <c r="AO255">
        <v>0</v>
      </c>
      <c r="AP255">
        <v>0</v>
      </c>
      <c r="AQ255">
        <v>0</v>
      </c>
      <c r="AR255">
        <v>0</v>
      </c>
      <c r="AS255">
        <v>2.7130000000000001</v>
      </c>
      <c r="AT255">
        <v>2.1349999999999998</v>
      </c>
      <c r="AU255" t="s">
        <v>420</v>
      </c>
      <c r="AV255">
        <v>1</v>
      </c>
      <c r="AW255">
        <v>0</v>
      </c>
      <c r="AX255" t="s">
        <v>445</v>
      </c>
      <c r="AY255">
        <v>0</v>
      </c>
      <c r="AZ255">
        <v>0</v>
      </c>
      <c r="BA255">
        <v>0</v>
      </c>
      <c r="CE255">
        <v>2.4239999999999999</v>
      </c>
      <c r="CG255" t="s">
        <v>450</v>
      </c>
      <c r="CI255">
        <v>3.4</v>
      </c>
      <c r="CJ255">
        <v>3.1</v>
      </c>
      <c r="CK255">
        <v>3.25</v>
      </c>
      <c r="CL255">
        <v>0.3</v>
      </c>
      <c r="CM255">
        <v>3.55</v>
      </c>
    </row>
    <row r="256" spans="1:91" x14ac:dyDescent="0.25">
      <c r="A256">
        <v>1274</v>
      </c>
      <c r="B256" t="s">
        <v>793</v>
      </c>
      <c r="C256" t="s">
        <v>1192</v>
      </c>
      <c r="D256" t="s">
        <v>1591</v>
      </c>
      <c r="E256" t="s">
        <v>394</v>
      </c>
      <c r="F256">
        <v>911281920</v>
      </c>
      <c r="G256">
        <v>26.75</v>
      </c>
      <c r="H256" t="s">
        <v>409</v>
      </c>
      <c r="I256">
        <v>24376791360</v>
      </c>
      <c r="J256" t="s">
        <v>415</v>
      </c>
      <c r="K256">
        <v>69986935.472063407</v>
      </c>
      <c r="L256">
        <v>0.70000000000000007</v>
      </c>
      <c r="M256">
        <v>17063753952</v>
      </c>
      <c r="N256">
        <v>126431253580.8</v>
      </c>
      <c r="O256">
        <v>10102010</v>
      </c>
      <c r="P256">
        <v>1010</v>
      </c>
      <c r="Q256">
        <v>3.2675945310025298</v>
      </c>
      <c r="R256">
        <v>3.1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2.911</v>
      </c>
      <c r="AT256">
        <v>2.8580000000000001</v>
      </c>
      <c r="AU256" t="s">
        <v>420</v>
      </c>
      <c r="AV256">
        <v>1</v>
      </c>
      <c r="AW256">
        <v>0</v>
      </c>
      <c r="AX256" t="s">
        <v>445</v>
      </c>
      <c r="AY256">
        <v>0</v>
      </c>
      <c r="AZ256">
        <v>0</v>
      </c>
      <c r="BA256">
        <v>0</v>
      </c>
      <c r="CE256">
        <v>2.8845000000000001</v>
      </c>
      <c r="CG256" t="s">
        <v>450</v>
      </c>
      <c r="CI256">
        <v>3.2675945310025298</v>
      </c>
      <c r="CJ256">
        <v>3.1</v>
      </c>
      <c r="CK256">
        <v>3.1837972655012652</v>
      </c>
      <c r="CL256">
        <v>-0.3</v>
      </c>
      <c r="CM256">
        <v>2.8837972655012649</v>
      </c>
    </row>
    <row r="257" spans="1:91" x14ac:dyDescent="0.25">
      <c r="A257">
        <v>1276</v>
      </c>
      <c r="B257" t="s">
        <v>189</v>
      </c>
      <c r="C257" t="s">
        <v>289</v>
      </c>
      <c r="D257" t="s">
        <v>389</v>
      </c>
      <c r="E257" t="s">
        <v>399</v>
      </c>
      <c r="F257">
        <v>613066600</v>
      </c>
      <c r="G257">
        <v>10.71</v>
      </c>
      <c r="H257" t="s">
        <v>409</v>
      </c>
      <c r="I257">
        <v>6565943286.000001</v>
      </c>
      <c r="J257" t="s">
        <v>415</v>
      </c>
      <c r="K257">
        <v>19128821.576101702</v>
      </c>
      <c r="L257">
        <v>1</v>
      </c>
      <c r="M257">
        <v>6565943286.000001</v>
      </c>
      <c r="N257">
        <v>121509800120</v>
      </c>
      <c r="O257">
        <v>55101015</v>
      </c>
      <c r="P257">
        <v>5510</v>
      </c>
      <c r="Q257">
        <v>1.8865311555342901</v>
      </c>
      <c r="R257">
        <v>1.5</v>
      </c>
      <c r="S257" t="s">
        <v>417</v>
      </c>
      <c r="T257" t="s">
        <v>423</v>
      </c>
      <c r="U257">
        <v>0</v>
      </c>
      <c r="V257">
        <v>0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2.58</v>
      </c>
      <c r="AT257">
        <v>3.1419999999999999</v>
      </c>
      <c r="AU257" t="s">
        <v>420</v>
      </c>
      <c r="AV257">
        <v>1</v>
      </c>
      <c r="AW257">
        <v>0</v>
      </c>
      <c r="AX257" t="s">
        <v>438</v>
      </c>
      <c r="AY257">
        <v>0</v>
      </c>
      <c r="AZ257">
        <v>0</v>
      </c>
      <c r="BA257">
        <v>0</v>
      </c>
      <c r="CE257">
        <v>2.8610000000000002</v>
      </c>
      <c r="CG257" t="s">
        <v>450</v>
      </c>
      <c r="CI257">
        <v>1.8865311555342901</v>
      </c>
      <c r="CJ257">
        <v>1.5</v>
      </c>
      <c r="CK257">
        <v>1.693265577767145</v>
      </c>
      <c r="CL257">
        <v>-0.3</v>
      </c>
      <c r="CM257">
        <v>1.393265577767145</v>
      </c>
    </row>
    <row r="258" spans="1:91" x14ac:dyDescent="0.25">
      <c r="A258">
        <v>1277</v>
      </c>
      <c r="B258" t="s">
        <v>147</v>
      </c>
      <c r="C258" t="s">
        <v>247</v>
      </c>
      <c r="D258" t="s">
        <v>347</v>
      </c>
      <c r="E258" t="s">
        <v>400</v>
      </c>
      <c r="F258">
        <v>447972681</v>
      </c>
      <c r="G258">
        <v>10.611890000000001</v>
      </c>
      <c r="H258" t="s">
        <v>411</v>
      </c>
      <c r="I258">
        <v>4753836813.7770901</v>
      </c>
      <c r="J258" t="s">
        <v>416</v>
      </c>
      <c r="K258">
        <v>7342922.1966118803</v>
      </c>
      <c r="L258">
        <v>1</v>
      </c>
      <c r="M258">
        <v>4753836813.7770901</v>
      </c>
      <c r="N258">
        <v>88788185374.199997</v>
      </c>
      <c r="O258">
        <v>30301010</v>
      </c>
      <c r="P258">
        <v>3030</v>
      </c>
      <c r="Q258">
        <v>1.9999941425684999</v>
      </c>
      <c r="S258" t="s">
        <v>419</v>
      </c>
      <c r="T258" t="s">
        <v>422</v>
      </c>
      <c r="U258">
        <v>0</v>
      </c>
      <c r="V258">
        <v>0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2.2010000000000001</v>
      </c>
      <c r="AT258">
        <v>3.4180000000000001</v>
      </c>
      <c r="AU258" t="s">
        <v>430</v>
      </c>
      <c r="AV258">
        <v>0</v>
      </c>
      <c r="AW258">
        <v>0</v>
      </c>
      <c r="AX258" t="s">
        <v>439</v>
      </c>
      <c r="AY258">
        <v>0</v>
      </c>
      <c r="AZ258">
        <v>0</v>
      </c>
      <c r="BA258">
        <v>0</v>
      </c>
      <c r="CE258">
        <v>2.8094999999999999</v>
      </c>
      <c r="CG258" t="s">
        <v>450</v>
      </c>
      <c r="CI258">
        <v>1.9999941425684999</v>
      </c>
      <c r="CJ258">
        <v>3.1</v>
      </c>
      <c r="CK258">
        <v>2.5499970712842499</v>
      </c>
      <c r="CL258">
        <v>-0.24</v>
      </c>
      <c r="CM258">
        <v>2.3099970712842501</v>
      </c>
    </row>
    <row r="259" spans="1:91" x14ac:dyDescent="0.25">
      <c r="A259">
        <v>1279</v>
      </c>
      <c r="B259" t="s">
        <v>126</v>
      </c>
      <c r="C259" t="s">
        <v>226</v>
      </c>
      <c r="D259" t="s">
        <v>326</v>
      </c>
      <c r="E259" t="s">
        <v>406</v>
      </c>
      <c r="F259">
        <v>159455250</v>
      </c>
      <c r="G259">
        <v>138.75899999999999</v>
      </c>
      <c r="H259" t="s">
        <v>414</v>
      </c>
      <c r="I259">
        <v>22125851034.75</v>
      </c>
      <c r="J259" t="s">
        <v>416</v>
      </c>
      <c r="K259">
        <v>38963232.823840298</v>
      </c>
      <c r="L259">
        <v>0.75</v>
      </c>
      <c r="M259">
        <v>16594388276.0625</v>
      </c>
      <c r="N259">
        <v>23703022912.5</v>
      </c>
      <c r="O259">
        <v>20102015</v>
      </c>
      <c r="P259">
        <v>2010</v>
      </c>
      <c r="Q259">
        <v>1.74431611527946</v>
      </c>
      <c r="R259">
        <v>3.01</v>
      </c>
      <c r="S259" t="s">
        <v>418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0</v>
      </c>
      <c r="AF259">
        <v>0</v>
      </c>
      <c r="AH259">
        <v>0</v>
      </c>
      <c r="AI259" t="s">
        <v>424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2.85</v>
      </c>
      <c r="AT259">
        <v>2.2160000000000002</v>
      </c>
      <c r="AU259" t="s">
        <v>420</v>
      </c>
      <c r="AV259">
        <v>1</v>
      </c>
      <c r="AW259">
        <v>0</v>
      </c>
      <c r="AX259" t="s">
        <v>446</v>
      </c>
      <c r="AY259">
        <v>0</v>
      </c>
      <c r="AZ259">
        <v>0</v>
      </c>
      <c r="BA259">
        <v>0</v>
      </c>
      <c r="CE259">
        <v>2.5329999999999999</v>
      </c>
      <c r="CG259" t="s">
        <v>450</v>
      </c>
      <c r="CI259">
        <v>1.74431611527946</v>
      </c>
      <c r="CJ259">
        <v>3.01</v>
      </c>
      <c r="CK259">
        <v>2.37715805763973</v>
      </c>
      <c r="CL259">
        <v>-0.18</v>
      </c>
      <c r="CM259">
        <v>2.1971580576397298</v>
      </c>
    </row>
    <row r="260" spans="1:91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406</v>
      </c>
      <c r="F260">
        <v>69759705</v>
      </c>
      <c r="G260">
        <v>45.210979999999999</v>
      </c>
      <c r="H260" t="s">
        <v>414</v>
      </c>
      <c r="I260">
        <v>3153904627.5609002</v>
      </c>
      <c r="J260" t="s">
        <v>416</v>
      </c>
      <c r="K260">
        <v>14965457.106192701</v>
      </c>
      <c r="L260">
        <v>0.95</v>
      </c>
      <c r="M260">
        <v>2996209396.1828551</v>
      </c>
      <c r="N260">
        <v>13135054854.450001</v>
      </c>
      <c r="O260">
        <v>15102015</v>
      </c>
      <c r="P260">
        <v>1510</v>
      </c>
      <c r="Q260">
        <v>2</v>
      </c>
      <c r="T260" t="s">
        <v>1652</v>
      </c>
      <c r="U260" t="s">
        <v>1652</v>
      </c>
      <c r="V260" t="s">
        <v>1652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E260">
        <v>0</v>
      </c>
      <c r="AS260" t="s">
        <v>1652</v>
      </c>
      <c r="AT260" t="s">
        <v>1652</v>
      </c>
      <c r="AU260" t="s">
        <v>426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G260" t="s">
        <v>450</v>
      </c>
      <c r="CI260">
        <v>2</v>
      </c>
      <c r="CJ260">
        <v>3.1</v>
      </c>
      <c r="CK260">
        <v>2.5499999999999998</v>
      </c>
      <c r="CL260">
        <v>0.3</v>
      </c>
      <c r="CM260">
        <v>2.85</v>
      </c>
    </row>
    <row r="261" spans="1:91" x14ac:dyDescent="0.25">
      <c r="A261">
        <v>1302</v>
      </c>
      <c r="B261" t="s">
        <v>190</v>
      </c>
      <c r="C261" t="s">
        <v>290</v>
      </c>
      <c r="D261" t="s">
        <v>390</v>
      </c>
      <c r="E261" t="s">
        <v>395</v>
      </c>
      <c r="F261">
        <v>638676100</v>
      </c>
      <c r="G261">
        <v>13.483459999999999</v>
      </c>
      <c r="H261" t="s">
        <v>410</v>
      </c>
      <c r="I261">
        <v>8611563647.3059998</v>
      </c>
      <c r="J261" t="s">
        <v>416</v>
      </c>
      <c r="K261">
        <v>18512719.7292796</v>
      </c>
      <c r="L261">
        <v>0.85</v>
      </c>
      <c r="M261">
        <v>7319829100.2100992</v>
      </c>
      <c r="N261">
        <v>107597762567</v>
      </c>
      <c r="O261">
        <v>55101010</v>
      </c>
      <c r="P261">
        <v>5510</v>
      </c>
      <c r="Q261">
        <v>1.51093325943585</v>
      </c>
      <c r="S261" t="s">
        <v>419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2.3260000000000001</v>
      </c>
      <c r="AT261">
        <v>2.9609999999999999</v>
      </c>
      <c r="AU261" t="s">
        <v>420</v>
      </c>
      <c r="AV261">
        <v>1</v>
      </c>
      <c r="AW261">
        <v>0</v>
      </c>
      <c r="AX261" t="s">
        <v>434</v>
      </c>
      <c r="AY261">
        <v>0</v>
      </c>
      <c r="AZ261">
        <v>0</v>
      </c>
      <c r="BA261">
        <v>0</v>
      </c>
      <c r="CE261">
        <v>2.6435</v>
      </c>
      <c r="CG261" t="s">
        <v>450</v>
      </c>
      <c r="CI261">
        <v>1.51093325943585</v>
      </c>
      <c r="CJ261">
        <v>3.1</v>
      </c>
      <c r="CK261">
        <v>2.3054666297179249</v>
      </c>
      <c r="CL261">
        <v>-0.24</v>
      </c>
      <c r="CM261">
        <v>2.0654666297179252</v>
      </c>
    </row>
    <row r="262" spans="1:91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395</v>
      </c>
      <c r="F262">
        <v>1944777200</v>
      </c>
      <c r="G262">
        <v>12.089700000000001</v>
      </c>
      <c r="H262" t="s">
        <v>410</v>
      </c>
      <c r="I262">
        <v>23511772914.84</v>
      </c>
      <c r="J262" t="s">
        <v>416</v>
      </c>
      <c r="K262">
        <v>56749422.021813497</v>
      </c>
      <c r="L262">
        <v>0.8</v>
      </c>
      <c r="M262">
        <v>18809418331.872002</v>
      </c>
      <c r="N262">
        <v>308363872832</v>
      </c>
      <c r="O262">
        <v>30101010</v>
      </c>
      <c r="P262">
        <v>3010</v>
      </c>
      <c r="Q262">
        <v>3.4</v>
      </c>
      <c r="S262" t="s">
        <v>420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2.12</v>
      </c>
      <c r="AT262">
        <v>2.879</v>
      </c>
      <c r="AU262" t="s">
        <v>430</v>
      </c>
      <c r="AV262">
        <v>0</v>
      </c>
      <c r="AW262">
        <v>0</v>
      </c>
      <c r="AX262" t="s">
        <v>434</v>
      </c>
      <c r="AY262">
        <v>0</v>
      </c>
      <c r="AZ262">
        <v>0</v>
      </c>
      <c r="BA262">
        <v>0</v>
      </c>
      <c r="CE262">
        <v>2.4994999999999998</v>
      </c>
      <c r="CG262" t="s">
        <v>450</v>
      </c>
      <c r="CI262">
        <v>3.4</v>
      </c>
      <c r="CJ262">
        <v>3.1</v>
      </c>
      <c r="CK262">
        <v>3.25</v>
      </c>
      <c r="CL262">
        <v>0</v>
      </c>
      <c r="CM262">
        <v>3.25</v>
      </c>
    </row>
    <row r="263" spans="1:91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395</v>
      </c>
      <c r="F263">
        <v>1132005700</v>
      </c>
      <c r="G263">
        <v>22.911539999999999</v>
      </c>
      <c r="H263" t="s">
        <v>410</v>
      </c>
      <c r="I263">
        <v>25935993875.778</v>
      </c>
      <c r="J263" t="s">
        <v>416</v>
      </c>
      <c r="K263">
        <v>52696496.869358599</v>
      </c>
      <c r="L263">
        <v>0.9</v>
      </c>
      <c r="M263">
        <v>23342394488.200199</v>
      </c>
      <c r="N263">
        <v>201927176766</v>
      </c>
      <c r="O263">
        <v>30101010</v>
      </c>
      <c r="P263">
        <v>3010</v>
      </c>
      <c r="Q263">
        <v>2.7038476194512802</v>
      </c>
      <c r="R263">
        <v>3.1</v>
      </c>
      <c r="S263" t="s">
        <v>420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2.3650000000000002</v>
      </c>
      <c r="AT263">
        <v>3.2189999999999999</v>
      </c>
      <c r="AU263" t="s">
        <v>430</v>
      </c>
      <c r="AV263">
        <v>0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2.7919999999999998</v>
      </c>
      <c r="CG263" t="s">
        <v>450</v>
      </c>
      <c r="CI263">
        <v>2.7038476194512802</v>
      </c>
      <c r="CJ263">
        <v>3.1</v>
      </c>
      <c r="CK263">
        <v>2.9019238097256399</v>
      </c>
      <c r="CL263">
        <v>0</v>
      </c>
      <c r="CM263">
        <v>2.9019238097256399</v>
      </c>
    </row>
    <row r="264" spans="1:91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395</v>
      </c>
      <c r="F264">
        <v>356000060</v>
      </c>
      <c r="G264">
        <v>28.090910000000001</v>
      </c>
      <c r="H264" t="s">
        <v>410</v>
      </c>
      <c r="I264">
        <v>10000365645.454599</v>
      </c>
      <c r="J264" t="s">
        <v>416</v>
      </c>
      <c r="K264">
        <v>9484698.7879996691</v>
      </c>
      <c r="L264">
        <v>0.55000000000000004</v>
      </c>
      <c r="M264">
        <v>5500201105.0000315</v>
      </c>
      <c r="N264">
        <v>38807566540.600014</v>
      </c>
      <c r="O264">
        <v>20103015</v>
      </c>
      <c r="P264">
        <v>2010</v>
      </c>
      <c r="S264" t="s">
        <v>420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2.5059999999999998</v>
      </c>
      <c r="AT264">
        <v>3.0790000000000002</v>
      </c>
      <c r="AU264" t="s">
        <v>429</v>
      </c>
      <c r="AV264">
        <v>0</v>
      </c>
      <c r="AW264">
        <v>0</v>
      </c>
      <c r="AX264" t="s">
        <v>434</v>
      </c>
      <c r="AY264">
        <v>0</v>
      </c>
      <c r="AZ264">
        <v>0</v>
      </c>
      <c r="BA264">
        <v>0</v>
      </c>
      <c r="CE264">
        <v>2.7925</v>
      </c>
      <c r="CG264" t="s">
        <v>450</v>
      </c>
      <c r="CI264">
        <v>3.4</v>
      </c>
      <c r="CJ264">
        <v>3.1</v>
      </c>
      <c r="CK264">
        <v>3.25</v>
      </c>
      <c r="CL264">
        <v>0</v>
      </c>
      <c r="CM264">
        <v>3.25</v>
      </c>
    </row>
    <row r="265" spans="1:91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406</v>
      </c>
      <c r="F265">
        <v>28727518</v>
      </c>
      <c r="G265">
        <v>812.77689999999996</v>
      </c>
      <c r="H265" t="s">
        <v>414</v>
      </c>
      <c r="I265">
        <v>23349063024.7342</v>
      </c>
      <c r="J265" t="s">
        <v>416</v>
      </c>
      <c r="K265">
        <v>52686100.382191204</v>
      </c>
      <c r="L265">
        <v>1</v>
      </c>
      <c r="M265">
        <v>23349063024.7342</v>
      </c>
      <c r="N265">
        <v>5693794067.5999994</v>
      </c>
      <c r="O265">
        <v>30301010</v>
      </c>
      <c r="P265">
        <v>3030</v>
      </c>
      <c r="Q265">
        <v>3.4</v>
      </c>
      <c r="R265">
        <v>2.08</v>
      </c>
      <c r="S265" t="s">
        <v>421</v>
      </c>
      <c r="T265" t="s">
        <v>422</v>
      </c>
      <c r="U265">
        <v>0</v>
      </c>
      <c r="V265">
        <v>0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2.0960000000000001</v>
      </c>
      <c r="AT265">
        <v>2.4180000000000001</v>
      </c>
      <c r="AU265" t="s">
        <v>430</v>
      </c>
      <c r="AV265">
        <v>0</v>
      </c>
      <c r="AW265">
        <v>0</v>
      </c>
      <c r="AX265" t="s">
        <v>446</v>
      </c>
      <c r="AY265">
        <v>0</v>
      </c>
      <c r="AZ265">
        <v>0</v>
      </c>
      <c r="BA265">
        <v>0</v>
      </c>
      <c r="CE265">
        <v>2.2570000000000001</v>
      </c>
      <c r="CG265" t="s">
        <v>450</v>
      </c>
      <c r="CI265">
        <v>3.4</v>
      </c>
      <c r="CJ265">
        <v>2.08</v>
      </c>
      <c r="CK265">
        <v>2.74</v>
      </c>
      <c r="CL265">
        <v>0.18</v>
      </c>
      <c r="CM265">
        <v>2.92</v>
      </c>
    </row>
    <row r="266" spans="1:91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406</v>
      </c>
      <c r="F266">
        <v>77307550</v>
      </c>
      <c r="G266">
        <v>115.36669999999999</v>
      </c>
      <c r="H266" t="s">
        <v>414</v>
      </c>
      <c r="I266">
        <v>8918716928.5849991</v>
      </c>
      <c r="J266" t="s">
        <v>416</v>
      </c>
      <c r="K266">
        <v>14630639.937562499</v>
      </c>
      <c r="L266">
        <v>1</v>
      </c>
      <c r="M266">
        <v>8918716928.5849991</v>
      </c>
      <c r="N266">
        <v>15322356410</v>
      </c>
      <c r="O266">
        <v>35101010</v>
      </c>
      <c r="P266">
        <v>3510</v>
      </c>
      <c r="Q266">
        <v>3.4</v>
      </c>
      <c r="S266" t="s">
        <v>424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1.9770000000000001</v>
      </c>
      <c r="AT266">
        <v>2.9020000000000001</v>
      </c>
      <c r="AU266" t="s">
        <v>425</v>
      </c>
      <c r="AV266">
        <v>1</v>
      </c>
      <c r="AW266">
        <v>0</v>
      </c>
      <c r="AX266" t="s">
        <v>446</v>
      </c>
      <c r="AY266">
        <v>0</v>
      </c>
      <c r="AZ266">
        <v>0</v>
      </c>
      <c r="BA266">
        <v>0</v>
      </c>
      <c r="CE266">
        <v>2.4394999999999998</v>
      </c>
      <c r="CG266" t="s">
        <v>450</v>
      </c>
      <c r="CI266">
        <v>3.4</v>
      </c>
      <c r="CJ266">
        <v>3.1</v>
      </c>
      <c r="CK266">
        <v>3.25</v>
      </c>
      <c r="CL266">
        <v>0.3</v>
      </c>
      <c r="CM266">
        <v>3.55</v>
      </c>
    </row>
    <row r="267" spans="1:91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406</v>
      </c>
      <c r="F267">
        <v>317497300</v>
      </c>
      <c r="G267">
        <v>147.05260000000001</v>
      </c>
      <c r="H267" t="s">
        <v>414</v>
      </c>
      <c r="I267">
        <v>46688803457.980003</v>
      </c>
      <c r="J267" t="s">
        <v>416</v>
      </c>
      <c r="K267">
        <v>109881687.206549</v>
      </c>
      <c r="L267">
        <v>0.9</v>
      </c>
      <c r="M267">
        <v>42019923112.182007</v>
      </c>
      <c r="N267">
        <v>56635168374</v>
      </c>
      <c r="O267">
        <v>30302020</v>
      </c>
      <c r="P267">
        <v>3030</v>
      </c>
      <c r="Q267">
        <v>3.4</v>
      </c>
      <c r="S267" t="s">
        <v>418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2.278</v>
      </c>
      <c r="AT267">
        <v>3.2930000000000001</v>
      </c>
      <c r="AU267" t="s">
        <v>430</v>
      </c>
      <c r="AV267">
        <v>0</v>
      </c>
      <c r="AW267">
        <v>0</v>
      </c>
      <c r="AX267" t="s">
        <v>446</v>
      </c>
      <c r="AY267">
        <v>0</v>
      </c>
      <c r="AZ267">
        <v>0</v>
      </c>
      <c r="BA267">
        <v>0</v>
      </c>
      <c r="CE267">
        <v>2.7854999999999999</v>
      </c>
      <c r="CG267" t="s">
        <v>450</v>
      </c>
      <c r="CI267">
        <v>3.4</v>
      </c>
      <c r="CJ267">
        <v>3.1</v>
      </c>
      <c r="CK267">
        <v>3.25</v>
      </c>
      <c r="CL267">
        <v>-0.18</v>
      </c>
      <c r="CM267">
        <v>3.07</v>
      </c>
    </row>
    <row r="268" spans="1:91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406</v>
      </c>
      <c r="F268">
        <v>51801945</v>
      </c>
      <c r="G268">
        <v>531.21839999999997</v>
      </c>
      <c r="H268" t="s">
        <v>414</v>
      </c>
      <c r="I268">
        <v>27518146339.787998</v>
      </c>
      <c r="J268" t="s">
        <v>416</v>
      </c>
      <c r="K268">
        <v>54056194.880447403</v>
      </c>
      <c r="L268">
        <v>0.5</v>
      </c>
      <c r="M268">
        <v>13759073169.893999</v>
      </c>
      <c r="N268">
        <v>5133572749.5</v>
      </c>
      <c r="O268">
        <v>15102015</v>
      </c>
      <c r="P268">
        <v>1510</v>
      </c>
      <c r="Q268">
        <v>1.7043064448883301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2.7719999999999998</v>
      </c>
      <c r="AT268">
        <v>2.488</v>
      </c>
      <c r="AU268" t="s">
        <v>426</v>
      </c>
      <c r="AV268">
        <v>0</v>
      </c>
      <c r="AW268">
        <v>0</v>
      </c>
      <c r="AX268" t="s">
        <v>446</v>
      </c>
      <c r="AY268">
        <v>0</v>
      </c>
      <c r="AZ268">
        <v>0</v>
      </c>
      <c r="BA268">
        <v>0</v>
      </c>
      <c r="CE268">
        <v>2.63</v>
      </c>
      <c r="CG268" t="s">
        <v>450</v>
      </c>
      <c r="CI268">
        <v>1.7043064448883301</v>
      </c>
      <c r="CJ268">
        <v>3.1</v>
      </c>
      <c r="CK268">
        <v>2.4021532224441651</v>
      </c>
      <c r="CL268">
        <v>-0.3</v>
      </c>
      <c r="CM268">
        <v>2.1021532224441648</v>
      </c>
    </row>
    <row r="269" spans="1:91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412</v>
      </c>
      <c r="I269">
        <v>3046911071.9094</v>
      </c>
      <c r="J269" t="s">
        <v>416</v>
      </c>
      <c r="K269">
        <v>6528818.7574102096</v>
      </c>
      <c r="L269">
        <v>0.95</v>
      </c>
      <c r="M269">
        <v>2894565518.31393</v>
      </c>
      <c r="N269">
        <v>164911616820</v>
      </c>
      <c r="O269">
        <v>30101010</v>
      </c>
      <c r="P269">
        <v>3010</v>
      </c>
      <c r="Q269">
        <v>3.4</v>
      </c>
      <c r="S269" t="s">
        <v>424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1.806</v>
      </c>
      <c r="AT269">
        <v>2.6840000000000002</v>
      </c>
      <c r="AU269" t="s">
        <v>430</v>
      </c>
      <c r="AV269">
        <v>0</v>
      </c>
      <c r="AW269">
        <v>0</v>
      </c>
      <c r="AX269" t="s">
        <v>441</v>
      </c>
      <c r="AY269">
        <v>0</v>
      </c>
      <c r="AZ269">
        <v>0</v>
      </c>
      <c r="BA269">
        <v>0</v>
      </c>
      <c r="CE269">
        <v>2.2450000000000001</v>
      </c>
      <c r="CG269" t="s">
        <v>450</v>
      </c>
      <c r="CI269">
        <v>3.4</v>
      </c>
      <c r="CJ269">
        <v>3.1</v>
      </c>
      <c r="CK269">
        <v>3.25</v>
      </c>
      <c r="CL269">
        <v>0.3</v>
      </c>
      <c r="CM269">
        <v>3.55</v>
      </c>
    </row>
    <row r="270" spans="1:91" x14ac:dyDescent="0.25">
      <c r="A270">
        <v>1316</v>
      </c>
      <c r="B270" t="s">
        <v>192</v>
      </c>
      <c r="C270" t="s">
        <v>292</v>
      </c>
      <c r="D270" t="s">
        <v>392</v>
      </c>
      <c r="E270" t="s">
        <v>398</v>
      </c>
      <c r="F270">
        <v>139772050</v>
      </c>
      <c r="G270">
        <v>98.02</v>
      </c>
      <c r="H270" t="s">
        <v>409</v>
      </c>
      <c r="I270">
        <v>13700456341</v>
      </c>
      <c r="J270" t="s">
        <v>415</v>
      </c>
      <c r="K270">
        <v>28548769.3108197</v>
      </c>
      <c r="L270">
        <v>0.9</v>
      </c>
      <c r="M270">
        <v>12330410706.9</v>
      </c>
      <c r="N270">
        <v>400027607100</v>
      </c>
      <c r="O270">
        <v>55201000</v>
      </c>
      <c r="P270">
        <v>5520</v>
      </c>
      <c r="Q270">
        <v>1.92369051873579</v>
      </c>
      <c r="R270">
        <v>3.1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2.6389999999999998</v>
      </c>
      <c r="AT270">
        <v>3.008</v>
      </c>
      <c r="AU270" t="s">
        <v>420</v>
      </c>
      <c r="AV270">
        <v>1</v>
      </c>
      <c r="AW270">
        <v>0</v>
      </c>
      <c r="AX270" t="s">
        <v>437</v>
      </c>
      <c r="AY270">
        <v>0</v>
      </c>
      <c r="AZ270">
        <v>0</v>
      </c>
      <c r="BA270">
        <v>0</v>
      </c>
      <c r="CE270">
        <v>2.8235000000000001</v>
      </c>
      <c r="CG270" t="s">
        <v>450</v>
      </c>
      <c r="CI270">
        <v>1.92369051873579</v>
      </c>
      <c r="CJ270">
        <v>3.1</v>
      </c>
      <c r="CK270">
        <v>2.5118452593678948</v>
      </c>
      <c r="CL270">
        <v>-0.3</v>
      </c>
      <c r="CM270">
        <v>2.211845259367895</v>
      </c>
    </row>
    <row r="271" spans="1:91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398</v>
      </c>
      <c r="F271">
        <v>258229000</v>
      </c>
      <c r="G271">
        <v>83.6</v>
      </c>
      <c r="H271" t="s">
        <v>409</v>
      </c>
      <c r="I271">
        <v>21587944400</v>
      </c>
      <c r="J271" t="s">
        <v>415</v>
      </c>
      <c r="K271">
        <v>8563219.3114754092</v>
      </c>
      <c r="L271">
        <v>0.25</v>
      </c>
      <c r="M271">
        <v>5396986100</v>
      </c>
      <c r="N271">
        <v>205292055000</v>
      </c>
      <c r="O271">
        <v>30302020</v>
      </c>
      <c r="P271">
        <v>3030</v>
      </c>
      <c r="Q271">
        <v>3.4</v>
      </c>
      <c r="R271">
        <v>3.1</v>
      </c>
      <c r="S271" t="s">
        <v>418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O271">
        <v>0</v>
      </c>
      <c r="AP271">
        <v>0</v>
      </c>
      <c r="AQ271">
        <v>0</v>
      </c>
      <c r="AR271">
        <v>0</v>
      </c>
      <c r="AS271">
        <v>2.2959999999999998</v>
      </c>
      <c r="AT271">
        <v>2.4860000000000002</v>
      </c>
      <c r="AU271" t="s">
        <v>430</v>
      </c>
      <c r="AV271">
        <v>0</v>
      </c>
      <c r="AW271">
        <v>0</v>
      </c>
      <c r="AX271" t="s">
        <v>437</v>
      </c>
      <c r="AY271">
        <v>0</v>
      </c>
      <c r="AZ271">
        <v>0</v>
      </c>
      <c r="BA271">
        <v>0</v>
      </c>
      <c r="CE271">
        <v>2.391</v>
      </c>
      <c r="CG271" t="s">
        <v>450</v>
      </c>
      <c r="CI271">
        <v>3.4</v>
      </c>
      <c r="CJ271">
        <v>3.1</v>
      </c>
      <c r="CK271">
        <v>3.25</v>
      </c>
      <c r="CL271">
        <v>-0.18</v>
      </c>
      <c r="CM271">
        <v>3.07</v>
      </c>
    </row>
    <row r="272" spans="1:91" x14ac:dyDescent="0.25">
      <c r="A272">
        <v>1336</v>
      </c>
      <c r="B272" t="s">
        <v>159</v>
      </c>
      <c r="C272" t="s">
        <v>259</v>
      </c>
      <c r="D272" t="s">
        <v>359</v>
      </c>
      <c r="E272" t="s">
        <v>403</v>
      </c>
      <c r="F272">
        <v>3540041300</v>
      </c>
      <c r="G272">
        <v>1.3824259999999999</v>
      </c>
      <c r="H272" t="s">
        <v>413</v>
      </c>
      <c r="I272">
        <v>4893845134.1938</v>
      </c>
      <c r="J272" t="s">
        <v>416</v>
      </c>
      <c r="K272">
        <v>19580322.357266299</v>
      </c>
      <c r="L272">
        <v>1</v>
      </c>
      <c r="M272">
        <v>4893845134.1938</v>
      </c>
      <c r="N272">
        <v>11257331334000</v>
      </c>
      <c r="O272">
        <v>40202010</v>
      </c>
      <c r="P272">
        <v>4020</v>
      </c>
      <c r="Q272">
        <v>1.7480510479370199</v>
      </c>
      <c r="R272">
        <v>1.5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422</v>
      </c>
      <c r="AA272" t="s">
        <v>422</v>
      </c>
      <c r="AB272" t="s">
        <v>422</v>
      </c>
      <c r="AC272" t="s">
        <v>422</v>
      </c>
      <c r="AD272">
        <v>0</v>
      </c>
      <c r="AE272">
        <v>0</v>
      </c>
      <c r="AF272">
        <v>0</v>
      </c>
      <c r="AH272">
        <v>0</v>
      </c>
      <c r="AI272" t="s">
        <v>424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</v>
      </c>
      <c r="AR272">
        <v>0</v>
      </c>
      <c r="AS272">
        <v>2.4900000000000002</v>
      </c>
      <c r="AT272">
        <v>2.7679999999999998</v>
      </c>
      <c r="AU272" t="s">
        <v>424</v>
      </c>
      <c r="AV272">
        <v>1</v>
      </c>
      <c r="AW272">
        <v>0</v>
      </c>
      <c r="AX272" t="s">
        <v>442</v>
      </c>
      <c r="AY272">
        <v>0</v>
      </c>
      <c r="AZ272">
        <v>0</v>
      </c>
      <c r="BA272">
        <v>0</v>
      </c>
      <c r="CE272">
        <v>2.629</v>
      </c>
      <c r="CG272" t="s">
        <v>450</v>
      </c>
      <c r="CI272">
        <v>1.7480510479370199</v>
      </c>
      <c r="CJ272">
        <v>1.5</v>
      </c>
      <c r="CK272">
        <v>1.62402552396851</v>
      </c>
      <c r="CL272">
        <v>-0.24</v>
      </c>
      <c r="CM272">
        <v>1.38402552396851</v>
      </c>
    </row>
    <row r="273" spans="1:91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395</v>
      </c>
      <c r="F273">
        <v>683286900</v>
      </c>
      <c r="G273">
        <v>11.195</v>
      </c>
      <c r="H273" t="s">
        <v>410</v>
      </c>
      <c r="I273">
        <v>7649396845.5</v>
      </c>
      <c r="J273" t="s">
        <v>416</v>
      </c>
      <c r="K273">
        <v>18266804.221528899</v>
      </c>
      <c r="L273">
        <v>0.8</v>
      </c>
      <c r="M273">
        <v>6119517476.4000006</v>
      </c>
      <c r="N273">
        <v>1738281873600</v>
      </c>
      <c r="O273">
        <v>15102015</v>
      </c>
      <c r="P273">
        <v>1510</v>
      </c>
      <c r="Q273">
        <v>1.74727372151472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2.5539999999999998</v>
      </c>
      <c r="AT273">
        <v>3.0670000000000002</v>
      </c>
      <c r="AU273" t="s">
        <v>426</v>
      </c>
      <c r="AV273">
        <v>0</v>
      </c>
      <c r="AW273">
        <v>0</v>
      </c>
      <c r="AX273" t="s">
        <v>434</v>
      </c>
      <c r="AY273">
        <v>0</v>
      </c>
      <c r="AZ273">
        <v>0</v>
      </c>
      <c r="BA273">
        <v>0</v>
      </c>
      <c r="CE273">
        <v>2.8105000000000002</v>
      </c>
      <c r="CG273" t="s">
        <v>450</v>
      </c>
      <c r="CI273">
        <v>1.74727372151472</v>
      </c>
      <c r="CJ273">
        <v>3.1</v>
      </c>
      <c r="CK273">
        <v>2.4236368607573602</v>
      </c>
      <c r="CL273">
        <v>-0.3</v>
      </c>
      <c r="CM273">
        <v>2.1236368607573599</v>
      </c>
    </row>
    <row r="274" spans="1:91" x14ac:dyDescent="0.25">
      <c r="A274">
        <v>1348</v>
      </c>
      <c r="B274" t="s">
        <v>112</v>
      </c>
      <c r="C274" t="s">
        <v>212</v>
      </c>
      <c r="D274" t="s">
        <v>312</v>
      </c>
      <c r="E274" t="s">
        <v>401</v>
      </c>
      <c r="F274">
        <v>5670161600</v>
      </c>
      <c r="G274">
        <v>4.1740000000000004</v>
      </c>
      <c r="H274" t="s">
        <v>409</v>
      </c>
      <c r="I274">
        <v>23667254518.400002</v>
      </c>
      <c r="J274" t="s">
        <v>415</v>
      </c>
      <c r="K274">
        <v>53268601.0030111</v>
      </c>
      <c r="L274">
        <v>0.7</v>
      </c>
      <c r="M274">
        <v>16567078162.879999</v>
      </c>
      <c r="N274">
        <v>12621779721600</v>
      </c>
      <c r="O274">
        <v>15102015</v>
      </c>
      <c r="P274">
        <v>1510</v>
      </c>
      <c r="Q274">
        <v>1.7233600828722999</v>
      </c>
      <c r="R274">
        <v>1.5</v>
      </c>
      <c r="S274" t="s">
        <v>417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3.1030000000000002</v>
      </c>
      <c r="AT274">
        <v>2.8849999999999998</v>
      </c>
      <c r="AU274" t="s">
        <v>426</v>
      </c>
      <c r="AV274">
        <v>0</v>
      </c>
      <c r="AW274">
        <v>0</v>
      </c>
      <c r="AX274" t="s">
        <v>440</v>
      </c>
      <c r="AY274">
        <v>0</v>
      </c>
      <c r="AZ274">
        <v>0</v>
      </c>
      <c r="BA274">
        <v>0</v>
      </c>
      <c r="CE274">
        <v>2.9940000000000002</v>
      </c>
      <c r="CG274" t="s">
        <v>450</v>
      </c>
      <c r="CI274">
        <v>1.7233600828722999</v>
      </c>
      <c r="CJ274">
        <v>1.5</v>
      </c>
      <c r="CK274">
        <v>1.6116800414361501</v>
      </c>
      <c r="CL274">
        <v>-0.3</v>
      </c>
      <c r="CM274">
        <v>1.31168004143615</v>
      </c>
    </row>
    <row r="275" spans="1:91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405</v>
      </c>
      <c r="F275">
        <v>664499940</v>
      </c>
      <c r="G275">
        <v>8.43</v>
      </c>
      <c r="H275" t="s">
        <v>409</v>
      </c>
      <c r="I275">
        <v>5601734494.1999998</v>
      </c>
      <c r="J275" t="s">
        <v>415</v>
      </c>
      <c r="K275">
        <v>447632.55360655801</v>
      </c>
      <c r="L275">
        <v>1</v>
      </c>
      <c r="M275">
        <v>5601734494.1999998</v>
      </c>
      <c r="N275">
        <v>2113109809200</v>
      </c>
      <c r="O275">
        <v>15102015</v>
      </c>
      <c r="P275">
        <v>1510</v>
      </c>
      <c r="Q275">
        <v>1.7182081201914601</v>
      </c>
      <c r="R275">
        <v>3.01</v>
      </c>
      <c r="S275" t="s">
        <v>419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2.4969999999999999</v>
      </c>
      <c r="AT275">
        <v>2.589</v>
      </c>
      <c r="AU275" t="s">
        <v>426</v>
      </c>
      <c r="AV275">
        <v>0</v>
      </c>
      <c r="AW275">
        <v>0</v>
      </c>
      <c r="AX275" t="s">
        <v>444</v>
      </c>
      <c r="AY275">
        <v>0</v>
      </c>
      <c r="AZ275">
        <v>0</v>
      </c>
      <c r="BA275">
        <v>0</v>
      </c>
      <c r="CE275">
        <v>2.5430000000000001</v>
      </c>
      <c r="CG275" t="s">
        <v>450</v>
      </c>
      <c r="CI275">
        <v>1.7182081201914601</v>
      </c>
      <c r="CJ275">
        <v>3.01</v>
      </c>
      <c r="CK275">
        <v>2.3641040600957299</v>
      </c>
      <c r="CL275">
        <v>-0.24</v>
      </c>
      <c r="CM275">
        <v>2.1241040600957302</v>
      </c>
    </row>
    <row r="276" spans="1:91" x14ac:dyDescent="0.25">
      <c r="A276">
        <v>1350</v>
      </c>
      <c r="B276" t="s">
        <v>115</v>
      </c>
      <c r="C276" t="s">
        <v>215</v>
      </c>
      <c r="D276" t="s">
        <v>315</v>
      </c>
      <c r="E276" t="s">
        <v>400</v>
      </c>
      <c r="F276">
        <v>1368349989</v>
      </c>
      <c r="G276">
        <v>12.142609999999999</v>
      </c>
      <c r="H276" t="s">
        <v>411</v>
      </c>
      <c r="I276">
        <v>16615340259.93129</v>
      </c>
      <c r="J276" t="s">
        <v>416</v>
      </c>
      <c r="K276">
        <v>14604406.268437199</v>
      </c>
      <c r="L276">
        <v>0.45</v>
      </c>
      <c r="M276">
        <v>7476903116.9690809</v>
      </c>
      <c r="N276">
        <v>1958108834259</v>
      </c>
      <c r="O276">
        <v>15102015</v>
      </c>
      <c r="P276">
        <v>1510</v>
      </c>
      <c r="Q276">
        <v>1.692422773381</v>
      </c>
      <c r="R276">
        <v>2.7</v>
      </c>
      <c r="S276" t="s">
        <v>419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2.3370000000000002</v>
      </c>
      <c r="AT276">
        <v>2.9340000000000002</v>
      </c>
      <c r="AU276" t="s">
        <v>426</v>
      </c>
      <c r="AV276">
        <v>0</v>
      </c>
      <c r="AW276">
        <v>0</v>
      </c>
      <c r="AX276" t="s">
        <v>439</v>
      </c>
      <c r="AY276">
        <v>0</v>
      </c>
      <c r="AZ276">
        <v>0</v>
      </c>
      <c r="BA276">
        <v>0</v>
      </c>
      <c r="CE276">
        <v>2.6355</v>
      </c>
      <c r="CG276" t="s">
        <v>450</v>
      </c>
      <c r="CI276">
        <v>1.692422773381</v>
      </c>
      <c r="CJ276">
        <v>2.7</v>
      </c>
      <c r="CK276">
        <v>2.1962113866905</v>
      </c>
      <c r="CL276">
        <v>-0.24</v>
      </c>
      <c r="CM276">
        <v>1.9562113866905</v>
      </c>
    </row>
    <row r="277" spans="1:91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394</v>
      </c>
      <c r="F277">
        <v>59874365</v>
      </c>
      <c r="G277">
        <v>100.95</v>
      </c>
      <c r="H277" t="s">
        <v>409</v>
      </c>
      <c r="I277">
        <v>6044317146.75</v>
      </c>
      <c r="J277" t="s">
        <v>415</v>
      </c>
      <c r="K277">
        <v>19608061.763730198</v>
      </c>
      <c r="L277">
        <v>0.95000000000000007</v>
      </c>
      <c r="M277">
        <v>5742101289.4125004</v>
      </c>
      <c r="N277">
        <v>180880456665</v>
      </c>
      <c r="O277">
        <v>50205020</v>
      </c>
      <c r="P277">
        <v>5020</v>
      </c>
      <c r="Q277">
        <v>1.8451450789305299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2.3149999999999999</v>
      </c>
      <c r="AT277">
        <v>2.6640000000000001</v>
      </c>
      <c r="AU277" t="s">
        <v>426</v>
      </c>
      <c r="AV277">
        <v>0</v>
      </c>
      <c r="AW277">
        <v>0</v>
      </c>
      <c r="AX277" t="s">
        <v>433</v>
      </c>
      <c r="AY277">
        <v>0</v>
      </c>
      <c r="AZ277">
        <v>0</v>
      </c>
      <c r="BA277">
        <v>0</v>
      </c>
      <c r="CE277">
        <v>2.4895</v>
      </c>
      <c r="CG277" t="s">
        <v>450</v>
      </c>
      <c r="CI277">
        <v>1.8451450789305299</v>
      </c>
      <c r="CJ277">
        <v>2.7</v>
      </c>
      <c r="CK277">
        <v>2.2725725394652652</v>
      </c>
      <c r="CL277">
        <v>-0.18</v>
      </c>
      <c r="CM277">
        <v>2.092572539465265</v>
      </c>
    </row>
    <row r="278" spans="1:91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395</v>
      </c>
      <c r="F278">
        <v>3932109400</v>
      </c>
      <c r="G278">
        <v>3.062665</v>
      </c>
      <c r="H278" t="s">
        <v>410</v>
      </c>
      <c r="I278">
        <v>12042733835.551001</v>
      </c>
      <c r="J278" t="s">
        <v>416</v>
      </c>
      <c r="K278">
        <v>23714827.3458638</v>
      </c>
      <c r="L278">
        <v>0.6</v>
      </c>
      <c r="M278">
        <v>7225640301.3305998</v>
      </c>
      <c r="N278">
        <v>7502464735200</v>
      </c>
      <c r="O278">
        <v>15102015</v>
      </c>
      <c r="P278">
        <v>1510</v>
      </c>
      <c r="Q278">
        <v>1.7484413889375301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2.4809999999999999</v>
      </c>
      <c r="AT278">
        <v>3.2639999999999998</v>
      </c>
      <c r="AU278" t="s">
        <v>426</v>
      </c>
      <c r="AV278">
        <v>0</v>
      </c>
      <c r="AW278">
        <v>0</v>
      </c>
      <c r="AX278" t="s">
        <v>434</v>
      </c>
      <c r="AY278">
        <v>0</v>
      </c>
      <c r="AZ278">
        <v>0</v>
      </c>
      <c r="BA278">
        <v>0</v>
      </c>
      <c r="CE278">
        <v>2.8725000000000001</v>
      </c>
      <c r="CG278" t="s">
        <v>450</v>
      </c>
      <c r="CI278">
        <v>1.7484413889375301</v>
      </c>
      <c r="CJ278">
        <v>3.1</v>
      </c>
      <c r="CK278">
        <v>2.4242206944687652</v>
      </c>
      <c r="CL278">
        <v>-0.18</v>
      </c>
      <c r="CM278">
        <v>2.244220694468765</v>
      </c>
    </row>
    <row r="279" spans="1:91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406</v>
      </c>
      <c r="F279">
        <v>75171080</v>
      </c>
      <c r="G279">
        <v>79.587059999999994</v>
      </c>
      <c r="H279" t="s">
        <v>414</v>
      </c>
      <c r="I279">
        <v>5982645254.2247992</v>
      </c>
      <c r="J279" t="s">
        <v>416</v>
      </c>
      <c r="K279">
        <v>18044772.726358701</v>
      </c>
      <c r="L279">
        <v>0.8</v>
      </c>
      <c r="M279">
        <v>4786116203.3798399</v>
      </c>
      <c r="N279">
        <v>191235227520</v>
      </c>
      <c r="O279">
        <v>10101015</v>
      </c>
      <c r="P279">
        <v>1010</v>
      </c>
      <c r="Q279">
        <v>1.9728064315495999</v>
      </c>
      <c r="S279" t="s">
        <v>419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2.7850000000000001</v>
      </c>
      <c r="AT279">
        <v>3.222</v>
      </c>
      <c r="AU279" t="s">
        <v>426</v>
      </c>
      <c r="AV279">
        <v>0</v>
      </c>
      <c r="AW279">
        <v>0</v>
      </c>
      <c r="AX279" t="s">
        <v>446</v>
      </c>
      <c r="AY279">
        <v>0</v>
      </c>
      <c r="AZ279">
        <v>0</v>
      </c>
      <c r="BA279">
        <v>0</v>
      </c>
      <c r="CE279">
        <v>3.0034999999999998</v>
      </c>
      <c r="CG279" t="s">
        <v>450</v>
      </c>
      <c r="CI279">
        <v>1.9728064315495999</v>
      </c>
      <c r="CJ279">
        <v>3.1</v>
      </c>
      <c r="CK279">
        <v>2.5364032157748002</v>
      </c>
      <c r="CL279">
        <v>-0.24</v>
      </c>
      <c r="CM279">
        <v>2.2964032157748</v>
      </c>
    </row>
    <row r="280" spans="1:91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395</v>
      </c>
      <c r="F280">
        <v>107838165</v>
      </c>
      <c r="G280">
        <v>32.281170000000003</v>
      </c>
      <c r="H280" t="s">
        <v>410</v>
      </c>
      <c r="I280">
        <v>3481142136.8530502</v>
      </c>
      <c r="J280" t="s">
        <v>416</v>
      </c>
      <c r="K280">
        <v>5319607.1481512701</v>
      </c>
      <c r="L280">
        <v>1</v>
      </c>
      <c r="M280">
        <v>3481142136.8530502</v>
      </c>
      <c r="N280">
        <v>342925364700</v>
      </c>
      <c r="O280">
        <v>40203050</v>
      </c>
      <c r="P280">
        <v>4020</v>
      </c>
      <c r="Q280">
        <v>1.73866922356208</v>
      </c>
      <c r="S280" t="s">
        <v>420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2.5659999999999998</v>
      </c>
      <c r="AT280">
        <v>3.2280000000000002</v>
      </c>
      <c r="AU280" t="s">
        <v>420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2.8969999999999998</v>
      </c>
      <c r="CG280" t="s">
        <v>450</v>
      </c>
      <c r="CI280">
        <v>1.73866922356208</v>
      </c>
      <c r="CJ280">
        <v>3.1</v>
      </c>
      <c r="CK280">
        <v>2.4193346117810401</v>
      </c>
      <c r="CL280">
        <v>0</v>
      </c>
      <c r="CM280">
        <v>2.4193346117810401</v>
      </c>
    </row>
    <row r="281" spans="1:91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403</v>
      </c>
      <c r="F281">
        <v>2480677500</v>
      </c>
      <c r="G281">
        <v>1.7698929999999999</v>
      </c>
      <c r="H281" t="s">
        <v>413</v>
      </c>
      <c r="I281">
        <v>4390533742.5074997</v>
      </c>
      <c r="J281" t="s">
        <v>416</v>
      </c>
      <c r="K281">
        <v>7722815.8409963399</v>
      </c>
      <c r="L281">
        <v>0.9</v>
      </c>
      <c r="M281">
        <v>3951480368.2567501</v>
      </c>
      <c r="N281">
        <v>226386628650</v>
      </c>
      <c r="O281">
        <v>35102070</v>
      </c>
      <c r="P281">
        <v>3510</v>
      </c>
      <c r="Q281">
        <v>2.4391719121134199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422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2.1179999999999999</v>
      </c>
      <c r="AT281">
        <v>2.5339999999999998</v>
      </c>
      <c r="AU281" t="s">
        <v>425</v>
      </c>
      <c r="AV281">
        <v>1</v>
      </c>
      <c r="AW281">
        <v>0</v>
      </c>
      <c r="AX281" t="s">
        <v>442</v>
      </c>
      <c r="AY281">
        <v>0</v>
      </c>
      <c r="AZ281">
        <v>0</v>
      </c>
      <c r="BA281">
        <v>0</v>
      </c>
      <c r="CE281">
        <v>2.3260000000000001</v>
      </c>
      <c r="CG281" t="s">
        <v>450</v>
      </c>
      <c r="CI281">
        <v>2.4391719121134199</v>
      </c>
      <c r="CJ281">
        <v>3.1</v>
      </c>
      <c r="CK281">
        <v>2.76958595605671</v>
      </c>
      <c r="CL281">
        <v>-0.18</v>
      </c>
      <c r="CM281">
        <v>2.5895859560567098</v>
      </c>
    </row>
    <row r="282" spans="1:91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412</v>
      </c>
      <c r="I282">
        <v>12401846035.525999</v>
      </c>
      <c r="J282" t="s">
        <v>416</v>
      </c>
      <c r="K282">
        <v>16625526.2193272</v>
      </c>
      <c r="L282">
        <v>0.5</v>
      </c>
      <c r="M282">
        <v>6200923017.7629995</v>
      </c>
      <c r="N282">
        <v>31251079470</v>
      </c>
      <c r="O282">
        <v>30302010</v>
      </c>
      <c r="P282">
        <v>3030</v>
      </c>
      <c r="Q282">
        <v>3.1466666666666598</v>
      </c>
      <c r="R282">
        <v>2.08</v>
      </c>
      <c r="S282" t="s">
        <v>1648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2.1019999999999999</v>
      </c>
      <c r="AT282">
        <v>3.028</v>
      </c>
      <c r="AU282" t="s">
        <v>430</v>
      </c>
      <c r="AV282">
        <v>0</v>
      </c>
      <c r="AW282">
        <v>0</v>
      </c>
      <c r="AX282" t="s">
        <v>441</v>
      </c>
      <c r="AY282">
        <v>0</v>
      </c>
      <c r="AZ282">
        <v>0</v>
      </c>
      <c r="BA282">
        <v>0</v>
      </c>
      <c r="CE282">
        <v>2.5649999999999999</v>
      </c>
      <c r="CG282" t="s">
        <v>450</v>
      </c>
      <c r="CI282">
        <v>3.1466666666666598</v>
      </c>
      <c r="CJ282">
        <v>2.08</v>
      </c>
      <c r="CK282">
        <v>2.6133333333333302</v>
      </c>
      <c r="CL282">
        <v>0.3</v>
      </c>
      <c r="CM282">
        <v>2.91333333333333</v>
      </c>
    </row>
    <row r="283" spans="1:91" x14ac:dyDescent="0.25">
      <c r="A283">
        <v>1419</v>
      </c>
      <c r="B283" t="s">
        <v>167</v>
      </c>
      <c r="C283" t="s">
        <v>267</v>
      </c>
      <c r="D283" t="s">
        <v>367</v>
      </c>
      <c r="E283" t="s">
        <v>398</v>
      </c>
      <c r="F283">
        <v>507431030</v>
      </c>
      <c r="G283">
        <v>6.5759999999999996</v>
      </c>
      <c r="H283" t="s">
        <v>409</v>
      </c>
      <c r="I283">
        <v>3336866453.2800002</v>
      </c>
      <c r="J283" t="s">
        <v>415</v>
      </c>
      <c r="K283">
        <v>30812669.2248688</v>
      </c>
      <c r="L283">
        <v>0.9</v>
      </c>
      <c r="M283">
        <v>3003179807.9520001</v>
      </c>
      <c r="N283">
        <v>46308155797.800003</v>
      </c>
      <c r="O283">
        <v>40501015</v>
      </c>
      <c r="P283">
        <v>4050</v>
      </c>
      <c r="Q283">
        <v>1.76815424438663</v>
      </c>
      <c r="R283">
        <v>1.5</v>
      </c>
      <c r="S283" t="s">
        <v>417</v>
      </c>
      <c r="T283" t="s">
        <v>422</v>
      </c>
      <c r="U283">
        <v>0</v>
      </c>
      <c r="V283">
        <v>0.01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2.5910000000000002</v>
      </c>
      <c r="AT283">
        <v>2.93</v>
      </c>
      <c r="AU283" t="s">
        <v>432</v>
      </c>
      <c r="AV283">
        <v>0</v>
      </c>
      <c r="AW283">
        <v>0</v>
      </c>
      <c r="AX283" t="s">
        <v>437</v>
      </c>
      <c r="AY283">
        <v>0</v>
      </c>
      <c r="AZ283">
        <v>0</v>
      </c>
      <c r="BA283">
        <v>0</v>
      </c>
      <c r="CE283">
        <v>2.7605</v>
      </c>
      <c r="CG283" t="s">
        <v>450</v>
      </c>
      <c r="CI283">
        <v>1.76815424438663</v>
      </c>
      <c r="CJ283">
        <v>1.5</v>
      </c>
      <c r="CK283">
        <v>1.634077122193315</v>
      </c>
      <c r="CL283">
        <v>-0.3</v>
      </c>
      <c r="CM283">
        <v>1.334077122193315</v>
      </c>
    </row>
    <row r="284" spans="1:91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406</v>
      </c>
      <c r="F284">
        <v>3462087600</v>
      </c>
      <c r="G284">
        <v>32.238869999999999</v>
      </c>
      <c r="H284" t="s">
        <v>414</v>
      </c>
      <c r="I284">
        <v>111613792065.01199</v>
      </c>
      <c r="J284" t="s">
        <v>416</v>
      </c>
      <c r="K284">
        <v>190335590.75150201</v>
      </c>
      <c r="L284">
        <v>0.85</v>
      </c>
      <c r="M284">
        <v>94871723255.260193</v>
      </c>
      <c r="N284">
        <v>298397330244</v>
      </c>
      <c r="O284">
        <v>30202010</v>
      </c>
      <c r="P284">
        <v>3020</v>
      </c>
      <c r="Q284">
        <v>3.4</v>
      </c>
      <c r="S284" t="s">
        <v>419</v>
      </c>
      <c r="T284" t="s">
        <v>423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2.2610000000000001</v>
      </c>
      <c r="AT284">
        <v>2.4910000000000001</v>
      </c>
      <c r="AU284" t="s">
        <v>430</v>
      </c>
      <c r="AV284">
        <v>0</v>
      </c>
      <c r="AW284">
        <v>0</v>
      </c>
      <c r="AX284" t="s">
        <v>446</v>
      </c>
      <c r="AY284">
        <v>0</v>
      </c>
      <c r="AZ284">
        <v>0</v>
      </c>
      <c r="BA284">
        <v>0</v>
      </c>
      <c r="CE284">
        <v>2.3759999999999999</v>
      </c>
      <c r="CG284" t="s">
        <v>450</v>
      </c>
      <c r="CI284">
        <v>3.4</v>
      </c>
      <c r="CJ284">
        <v>3.1</v>
      </c>
      <c r="CK284">
        <v>3.25</v>
      </c>
      <c r="CL284">
        <v>-0.24</v>
      </c>
      <c r="CM284">
        <v>3.01</v>
      </c>
    </row>
    <row r="285" spans="1:91" x14ac:dyDescent="0.25">
      <c r="A285">
        <v>1426</v>
      </c>
      <c r="B285" t="s">
        <v>121</v>
      </c>
      <c r="C285" t="s">
        <v>221</v>
      </c>
      <c r="D285" t="s">
        <v>321</v>
      </c>
      <c r="E285" t="s">
        <v>407</v>
      </c>
      <c r="F285">
        <v>194505658</v>
      </c>
      <c r="G285">
        <v>181.8</v>
      </c>
      <c r="H285" t="s">
        <v>409</v>
      </c>
      <c r="I285">
        <v>35361128624.400002</v>
      </c>
      <c r="J285" t="s">
        <v>415</v>
      </c>
      <c r="K285">
        <v>36834331.3722222</v>
      </c>
      <c r="L285">
        <v>0.65</v>
      </c>
      <c r="M285">
        <v>22984733605.860001</v>
      </c>
      <c r="N285">
        <v>12819867918.780001</v>
      </c>
      <c r="O285">
        <v>20103015</v>
      </c>
      <c r="P285">
        <v>2010</v>
      </c>
      <c r="Q285">
        <v>1.74156423615151</v>
      </c>
      <c r="R285">
        <v>1.77</v>
      </c>
      <c r="S285" t="s">
        <v>419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2.661</v>
      </c>
      <c r="AT285">
        <v>2.8610000000000002</v>
      </c>
      <c r="AU285" t="s">
        <v>429</v>
      </c>
      <c r="AV285">
        <v>0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2.7610000000000001</v>
      </c>
      <c r="CG285" t="s">
        <v>450</v>
      </c>
      <c r="CI285">
        <v>1.74156423615151</v>
      </c>
      <c r="CJ285">
        <v>1.77</v>
      </c>
      <c r="CK285">
        <v>1.7557821180757549</v>
      </c>
      <c r="CL285">
        <v>-0.24</v>
      </c>
      <c r="CM285">
        <v>1.5157821180757549</v>
      </c>
    </row>
    <row r="286" spans="1:91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396</v>
      </c>
      <c r="F286">
        <v>1829281171</v>
      </c>
      <c r="G286">
        <v>28.02</v>
      </c>
      <c r="H286" t="s">
        <v>409</v>
      </c>
      <c r="I286">
        <v>51256458411.419998</v>
      </c>
      <c r="J286" t="s">
        <v>415</v>
      </c>
      <c r="K286">
        <v>33560177.086428598</v>
      </c>
      <c r="L286">
        <v>0.45</v>
      </c>
      <c r="M286">
        <v>23065406285.139</v>
      </c>
      <c r="N286">
        <v>83470099832.730011</v>
      </c>
      <c r="O286">
        <v>40301010</v>
      </c>
      <c r="P286">
        <v>4030</v>
      </c>
      <c r="Q286">
        <v>1.98736553146424</v>
      </c>
      <c r="S286" t="s">
        <v>418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1.905</v>
      </c>
      <c r="AT286">
        <v>3.3580000000000001</v>
      </c>
      <c r="AU286" t="s">
        <v>426</v>
      </c>
      <c r="AV286">
        <v>0</v>
      </c>
      <c r="AW286">
        <v>0</v>
      </c>
      <c r="AX286" t="s">
        <v>445</v>
      </c>
      <c r="AY286">
        <v>0</v>
      </c>
      <c r="AZ286">
        <v>0</v>
      </c>
      <c r="BA286">
        <v>0</v>
      </c>
      <c r="CE286">
        <v>2.6315</v>
      </c>
      <c r="CG286" t="s">
        <v>450</v>
      </c>
      <c r="CI286">
        <v>1.98736553146424</v>
      </c>
      <c r="CJ286">
        <v>3.1</v>
      </c>
      <c r="CK286">
        <v>2.5436827657321199</v>
      </c>
      <c r="CL286">
        <v>-0.18</v>
      </c>
      <c r="CM286">
        <v>2.3636827657321202</v>
      </c>
    </row>
    <row r="287" spans="1:91" x14ac:dyDescent="0.25">
      <c r="A287">
        <v>1429</v>
      </c>
      <c r="B287" t="s">
        <v>153</v>
      </c>
      <c r="C287" t="s">
        <v>253</v>
      </c>
      <c r="D287" t="s">
        <v>353</v>
      </c>
      <c r="E287" t="s">
        <v>394</v>
      </c>
      <c r="F287">
        <v>142625428</v>
      </c>
      <c r="G287">
        <v>82.02</v>
      </c>
      <c r="H287" t="s">
        <v>409</v>
      </c>
      <c r="I287">
        <v>11698137604.559999</v>
      </c>
      <c r="J287" t="s">
        <v>415</v>
      </c>
      <c r="K287">
        <v>24417917.903809499</v>
      </c>
      <c r="L287">
        <v>0.85000000000000009</v>
      </c>
      <c r="M287">
        <v>9943416963.8760014</v>
      </c>
      <c r="N287">
        <v>12292885639.32</v>
      </c>
      <c r="O287">
        <v>35102045</v>
      </c>
      <c r="P287">
        <v>3510</v>
      </c>
      <c r="Q287">
        <v>1.7463750143176899</v>
      </c>
      <c r="R287">
        <v>2.7</v>
      </c>
      <c r="S287" t="s">
        <v>417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2.6110000000000002</v>
      </c>
      <c r="AT287">
        <v>3.1669999999999998</v>
      </c>
      <c r="AU287" t="s">
        <v>425</v>
      </c>
      <c r="AV287">
        <v>1</v>
      </c>
      <c r="AW287">
        <v>0</v>
      </c>
      <c r="AX287" t="s">
        <v>433</v>
      </c>
      <c r="AY287">
        <v>0</v>
      </c>
      <c r="AZ287">
        <v>0</v>
      </c>
      <c r="BA287">
        <v>0</v>
      </c>
      <c r="CE287">
        <v>2.8889999999999998</v>
      </c>
      <c r="CG287" t="s">
        <v>450</v>
      </c>
      <c r="CI287">
        <v>1.7463750143176899</v>
      </c>
      <c r="CJ287">
        <v>2.7</v>
      </c>
      <c r="CK287">
        <v>2.2231875071588449</v>
      </c>
      <c r="CL287">
        <v>-0.3</v>
      </c>
      <c r="CM287">
        <v>1.9231875071588449</v>
      </c>
    </row>
    <row r="288" spans="1:91" x14ac:dyDescent="0.25">
      <c r="A288">
        <v>1431</v>
      </c>
      <c r="B288" t="s">
        <v>136</v>
      </c>
      <c r="C288" t="s">
        <v>236</v>
      </c>
      <c r="D288" t="s">
        <v>336</v>
      </c>
      <c r="E288" t="s">
        <v>404</v>
      </c>
      <c r="F288">
        <v>1557675176</v>
      </c>
      <c r="G288">
        <v>47.784999999999997</v>
      </c>
      <c r="H288" t="s">
        <v>409</v>
      </c>
      <c r="I288">
        <v>74433508285.159988</v>
      </c>
      <c r="J288" t="s">
        <v>415</v>
      </c>
      <c r="K288">
        <v>328954382.36553299</v>
      </c>
      <c r="L288">
        <v>1</v>
      </c>
      <c r="M288">
        <v>74433508285.159988</v>
      </c>
      <c r="N288">
        <v>157948262846.39999</v>
      </c>
      <c r="O288">
        <v>30101010</v>
      </c>
      <c r="P288">
        <v>3010</v>
      </c>
      <c r="Q288">
        <v>3.4</v>
      </c>
      <c r="R288">
        <v>1.5</v>
      </c>
      <c r="S288" t="s">
        <v>418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2.355</v>
      </c>
      <c r="AT288">
        <v>3.0659999999999998</v>
      </c>
      <c r="AU288" t="s">
        <v>430</v>
      </c>
      <c r="AV288">
        <v>0</v>
      </c>
      <c r="AW288">
        <v>0</v>
      </c>
      <c r="AX288" t="s">
        <v>443</v>
      </c>
      <c r="AY288">
        <v>0</v>
      </c>
      <c r="AZ288">
        <v>0</v>
      </c>
      <c r="BA288">
        <v>0</v>
      </c>
      <c r="CE288">
        <v>2.7105000000000001</v>
      </c>
      <c r="CG288" t="s">
        <v>450</v>
      </c>
      <c r="CI288">
        <v>3.4</v>
      </c>
      <c r="CJ288">
        <v>1.5</v>
      </c>
      <c r="CK288">
        <v>2.4500000000000002</v>
      </c>
      <c r="CL288">
        <v>-0.18</v>
      </c>
      <c r="CM288">
        <v>2.27</v>
      </c>
    </row>
    <row r="289" spans="1:91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396</v>
      </c>
      <c r="F289">
        <v>2637743772</v>
      </c>
      <c r="G289">
        <v>53.3</v>
      </c>
      <c r="H289" t="s">
        <v>409</v>
      </c>
      <c r="I289">
        <v>140591743047.60001</v>
      </c>
      <c r="J289" t="s">
        <v>415</v>
      </c>
      <c r="K289">
        <v>67116423.676190495</v>
      </c>
      <c r="L289">
        <v>1</v>
      </c>
      <c r="M289">
        <v>140591743047.60001</v>
      </c>
      <c r="N289">
        <v>267467218480.79999</v>
      </c>
      <c r="O289">
        <v>45201020</v>
      </c>
      <c r="P289">
        <v>4520</v>
      </c>
      <c r="Q289">
        <v>1.9946538426723599</v>
      </c>
      <c r="R289">
        <v>1.5</v>
      </c>
      <c r="S289" t="s">
        <v>418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2.464</v>
      </c>
      <c r="AT289">
        <v>3</v>
      </c>
      <c r="AU289" t="s">
        <v>420</v>
      </c>
      <c r="AV289">
        <v>1</v>
      </c>
      <c r="AW289">
        <v>0</v>
      </c>
      <c r="AX289" t="s">
        <v>442</v>
      </c>
      <c r="AY289">
        <v>0</v>
      </c>
      <c r="AZ289">
        <v>0</v>
      </c>
      <c r="BA289">
        <v>0</v>
      </c>
      <c r="CE289">
        <v>2.7320000000000002</v>
      </c>
      <c r="CG289" t="s">
        <v>450</v>
      </c>
      <c r="CI289">
        <v>1.9946538426723599</v>
      </c>
      <c r="CJ289">
        <v>1.5</v>
      </c>
      <c r="CK289">
        <v>1.74732692133618</v>
      </c>
      <c r="CL289">
        <v>-0.18</v>
      </c>
      <c r="CM289">
        <v>1.56732692133618</v>
      </c>
    </row>
    <row r="290" spans="1:91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404</v>
      </c>
      <c r="F290">
        <v>717473508</v>
      </c>
      <c r="G290">
        <v>13.81</v>
      </c>
      <c r="H290" t="s">
        <v>409</v>
      </c>
      <c r="I290">
        <v>9908309145.4799995</v>
      </c>
      <c r="J290" t="s">
        <v>415</v>
      </c>
      <c r="K290">
        <v>33150047.318852499</v>
      </c>
      <c r="L290">
        <v>0.55000000000000004</v>
      </c>
      <c r="M290">
        <v>5449570030.0139999</v>
      </c>
      <c r="N290">
        <v>40013497541.160004</v>
      </c>
      <c r="O290">
        <v>30302010</v>
      </c>
      <c r="P290">
        <v>3030</v>
      </c>
      <c r="Q290">
        <v>3.4</v>
      </c>
      <c r="R290">
        <v>3.1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2.2250000000000001</v>
      </c>
      <c r="AT290">
        <v>2.2309999999999999</v>
      </c>
      <c r="AU290" t="s">
        <v>430</v>
      </c>
      <c r="AV290">
        <v>0</v>
      </c>
      <c r="AW290">
        <v>0</v>
      </c>
      <c r="AX290" t="s">
        <v>443</v>
      </c>
      <c r="AY290">
        <v>0</v>
      </c>
      <c r="AZ290">
        <v>0</v>
      </c>
      <c r="BA290">
        <v>0</v>
      </c>
      <c r="CE290">
        <v>2.2280000000000002</v>
      </c>
      <c r="CG290" t="s">
        <v>450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403</v>
      </c>
      <c r="F291">
        <v>488792080</v>
      </c>
      <c r="G291">
        <v>10.40296</v>
      </c>
      <c r="H291" t="s">
        <v>413</v>
      </c>
      <c r="I291">
        <v>5084884456.5567999</v>
      </c>
      <c r="J291" t="s">
        <v>416</v>
      </c>
      <c r="K291">
        <v>7898997.63288505</v>
      </c>
      <c r="L291">
        <v>0.9</v>
      </c>
      <c r="M291">
        <v>4576396010.9011202</v>
      </c>
      <c r="N291">
        <v>44607165220.800003</v>
      </c>
      <c r="O291">
        <v>35102040</v>
      </c>
      <c r="P291">
        <v>3510</v>
      </c>
      <c r="Q291">
        <v>1.94404522330952</v>
      </c>
      <c r="S291" t="s">
        <v>421</v>
      </c>
      <c r="T291" t="s">
        <v>422</v>
      </c>
      <c r="U291">
        <v>0</v>
      </c>
      <c r="V291">
        <v>0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2.089</v>
      </c>
      <c r="AT291">
        <v>2.8769999999999998</v>
      </c>
      <c r="AU291" t="s">
        <v>425</v>
      </c>
      <c r="AV291">
        <v>1</v>
      </c>
      <c r="AW291">
        <v>0</v>
      </c>
      <c r="AX291" t="s">
        <v>442</v>
      </c>
      <c r="AY291">
        <v>0</v>
      </c>
      <c r="AZ291">
        <v>0</v>
      </c>
      <c r="BA291">
        <v>0</v>
      </c>
      <c r="CE291">
        <v>2.4830000000000001</v>
      </c>
      <c r="CG291" t="s">
        <v>450</v>
      </c>
      <c r="CI291">
        <v>1.94404522330952</v>
      </c>
      <c r="CJ291">
        <v>3.1</v>
      </c>
      <c r="CK291">
        <v>2.5220226116547599</v>
      </c>
      <c r="CL291">
        <v>0.18</v>
      </c>
      <c r="CM291">
        <v>2.7020226116547601</v>
      </c>
    </row>
    <row r="292" spans="1:91" x14ac:dyDescent="0.25">
      <c r="A292">
        <v>1442</v>
      </c>
      <c r="B292" t="s">
        <v>193</v>
      </c>
      <c r="C292" t="s">
        <v>293</v>
      </c>
      <c r="D292" t="s">
        <v>393</v>
      </c>
      <c r="E292" t="s">
        <v>403</v>
      </c>
      <c r="F292">
        <v>681888400</v>
      </c>
      <c r="G292">
        <v>11.622780000000001</v>
      </c>
      <c r="H292" t="s">
        <v>413</v>
      </c>
      <c r="I292">
        <v>7925438857.7520008</v>
      </c>
      <c r="J292" t="s">
        <v>416</v>
      </c>
      <c r="K292">
        <v>15580051.4032885</v>
      </c>
      <c r="L292">
        <v>1</v>
      </c>
      <c r="M292">
        <v>7925438857.7520008</v>
      </c>
      <c r="N292">
        <v>69143483760</v>
      </c>
      <c r="O292">
        <v>65102030</v>
      </c>
      <c r="P292">
        <v>6510</v>
      </c>
      <c r="Q292">
        <v>1.6963650110689901</v>
      </c>
      <c r="S292" t="s">
        <v>417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2.96</v>
      </c>
      <c r="AT292">
        <v>2.3919999999999999</v>
      </c>
      <c r="AU292" t="s">
        <v>428</v>
      </c>
      <c r="AV292">
        <v>1</v>
      </c>
      <c r="AW292">
        <v>0</v>
      </c>
      <c r="AX292" t="s">
        <v>442</v>
      </c>
      <c r="AY292">
        <v>0</v>
      </c>
      <c r="AZ292">
        <v>0</v>
      </c>
      <c r="BA292">
        <v>0</v>
      </c>
      <c r="CE292">
        <v>2.6760000000000002</v>
      </c>
      <c r="CG292" t="s">
        <v>450</v>
      </c>
      <c r="CI292">
        <v>1.6963650110689901</v>
      </c>
      <c r="CJ292">
        <v>3.1</v>
      </c>
      <c r="CK292">
        <v>2.398182505534495</v>
      </c>
      <c r="CL292">
        <v>-0.3</v>
      </c>
      <c r="CM292">
        <v>2.0981825055344951</v>
      </c>
    </row>
    <row r="293" spans="1:91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406</v>
      </c>
      <c r="F293">
        <v>30000000</v>
      </c>
      <c r="G293">
        <v>389.80110000000002</v>
      </c>
      <c r="H293" t="s">
        <v>414</v>
      </c>
      <c r="I293">
        <v>11694033000</v>
      </c>
      <c r="J293" t="s">
        <v>416</v>
      </c>
      <c r="K293">
        <v>34521108.4792215</v>
      </c>
      <c r="L293">
        <v>0.9</v>
      </c>
      <c r="M293">
        <v>10524629700</v>
      </c>
      <c r="N293">
        <v>2737800000</v>
      </c>
      <c r="O293">
        <v>50202020</v>
      </c>
      <c r="P293">
        <v>5020</v>
      </c>
      <c r="Q293">
        <v>3.4</v>
      </c>
      <c r="S293" t="s">
        <v>421</v>
      </c>
      <c r="T293" t="s">
        <v>422</v>
      </c>
      <c r="U293">
        <v>0</v>
      </c>
      <c r="V293">
        <v>0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2.3010000000000002</v>
      </c>
      <c r="AT293">
        <v>2.9359999999999999</v>
      </c>
      <c r="AU293" t="s">
        <v>420</v>
      </c>
      <c r="AV293">
        <v>1</v>
      </c>
      <c r="AW293">
        <v>0</v>
      </c>
      <c r="AX293" t="s">
        <v>446</v>
      </c>
      <c r="AY293">
        <v>0</v>
      </c>
      <c r="AZ293">
        <v>0</v>
      </c>
      <c r="BA293">
        <v>0</v>
      </c>
      <c r="CE293">
        <v>2.6185</v>
      </c>
      <c r="CG293" t="s">
        <v>450</v>
      </c>
      <c r="CI293">
        <v>3.4</v>
      </c>
      <c r="CJ293">
        <v>3.1</v>
      </c>
      <c r="CK293">
        <v>3.25</v>
      </c>
      <c r="CL293">
        <v>0.18</v>
      </c>
      <c r="CM293">
        <v>3.43</v>
      </c>
    </row>
    <row r="294" spans="1:91" x14ac:dyDescent="0.25">
      <c r="A294">
        <v>1471</v>
      </c>
      <c r="B294" t="s">
        <v>113</v>
      </c>
      <c r="C294" t="s">
        <v>213</v>
      </c>
      <c r="D294" t="s">
        <v>313</v>
      </c>
      <c r="E294" t="s">
        <v>403</v>
      </c>
      <c r="F294">
        <v>25081295000</v>
      </c>
      <c r="G294">
        <v>0.80032029999999998</v>
      </c>
      <c r="H294" t="s">
        <v>413</v>
      </c>
      <c r="I294">
        <v>20073069538.788502</v>
      </c>
      <c r="J294" t="s">
        <v>416</v>
      </c>
      <c r="K294">
        <v>51438057.273945697</v>
      </c>
      <c r="L294">
        <v>0.8</v>
      </c>
      <c r="M294">
        <v>16058455631.0308</v>
      </c>
      <c r="N294">
        <v>2034594650400</v>
      </c>
      <c r="O294">
        <v>15102015</v>
      </c>
      <c r="P294">
        <v>1510</v>
      </c>
      <c r="Q294">
        <v>1.72809052700944</v>
      </c>
      <c r="R294">
        <v>1.5</v>
      </c>
      <c r="S294" t="s">
        <v>417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2.7650000000000001</v>
      </c>
      <c r="AT294">
        <v>3.141</v>
      </c>
      <c r="AU294" t="s">
        <v>426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2.9529999999999998</v>
      </c>
      <c r="CG294" t="s">
        <v>450</v>
      </c>
      <c r="CI294">
        <v>1.72809052700944</v>
      </c>
      <c r="CJ294">
        <v>1.5</v>
      </c>
      <c r="CK294">
        <v>1.61404526350472</v>
      </c>
      <c r="CL294">
        <v>-0.3</v>
      </c>
      <c r="CM294">
        <v>1.31404526350472</v>
      </c>
    </row>
    <row r="295" spans="1:91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395</v>
      </c>
      <c r="F295">
        <v>1588467400</v>
      </c>
      <c r="G295">
        <v>29.502649999999999</v>
      </c>
      <c r="H295" t="s">
        <v>410</v>
      </c>
      <c r="I295">
        <v>46863997738.610001</v>
      </c>
      <c r="J295" t="s">
        <v>416</v>
      </c>
      <c r="K295">
        <v>77388630.084493697</v>
      </c>
      <c r="L295">
        <v>1</v>
      </c>
      <c r="M295">
        <v>46863997738.610001</v>
      </c>
      <c r="N295">
        <v>161070594360</v>
      </c>
      <c r="O295">
        <v>50206015</v>
      </c>
      <c r="P295">
        <v>5020</v>
      </c>
      <c r="Q295">
        <v>2</v>
      </c>
      <c r="S295" t="s">
        <v>424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2.6949999999999998</v>
      </c>
      <c r="AT295">
        <v>3.036</v>
      </c>
      <c r="AU295" t="s">
        <v>420</v>
      </c>
      <c r="AV295">
        <v>1</v>
      </c>
      <c r="AW295">
        <v>0</v>
      </c>
      <c r="AX295" t="s">
        <v>434</v>
      </c>
      <c r="AY295">
        <v>0</v>
      </c>
      <c r="AZ295">
        <v>0</v>
      </c>
      <c r="BA295">
        <v>0</v>
      </c>
      <c r="CE295">
        <v>2.8654999999999999</v>
      </c>
      <c r="CG295" t="s">
        <v>450</v>
      </c>
      <c r="CI295">
        <v>2</v>
      </c>
      <c r="CJ295">
        <v>3.1</v>
      </c>
      <c r="CK295">
        <v>2.5499999999999998</v>
      </c>
      <c r="CL295">
        <v>0.3</v>
      </c>
      <c r="CM295">
        <v>2.85</v>
      </c>
    </row>
    <row r="296" spans="1:91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398</v>
      </c>
      <c r="F296">
        <v>822852900</v>
      </c>
      <c r="G296">
        <v>28.49</v>
      </c>
      <c r="H296" t="s">
        <v>409</v>
      </c>
      <c r="I296">
        <v>23443079121</v>
      </c>
      <c r="J296" t="s">
        <v>415</v>
      </c>
      <c r="K296">
        <v>58053347.874098398</v>
      </c>
      <c r="L296">
        <v>0.85</v>
      </c>
      <c r="M296">
        <v>19926617252.849998</v>
      </c>
      <c r="N296">
        <v>70921691451</v>
      </c>
      <c r="O296">
        <v>35101010</v>
      </c>
      <c r="P296">
        <v>3510</v>
      </c>
      <c r="Q296">
        <v>1.8469209156492401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2.3359999999999999</v>
      </c>
      <c r="AT296">
        <v>2.91</v>
      </c>
      <c r="AU296" t="s">
        <v>425</v>
      </c>
      <c r="AV296">
        <v>1</v>
      </c>
      <c r="AW296">
        <v>0</v>
      </c>
      <c r="AX296" t="s">
        <v>437</v>
      </c>
      <c r="AY296">
        <v>0</v>
      </c>
      <c r="AZ296">
        <v>0</v>
      </c>
      <c r="BA296">
        <v>0</v>
      </c>
      <c r="CE296">
        <v>2.6230000000000002</v>
      </c>
      <c r="CG296" t="s">
        <v>450</v>
      </c>
      <c r="CI296">
        <v>1.8469209156492401</v>
      </c>
      <c r="CJ296">
        <v>3.1</v>
      </c>
      <c r="CK296">
        <v>2.4734604578246202</v>
      </c>
      <c r="CL296">
        <v>-0.18</v>
      </c>
      <c r="CM296">
        <v>2.29346045782462</v>
      </c>
    </row>
    <row r="297" spans="1:91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407</v>
      </c>
      <c r="F297">
        <v>225845971</v>
      </c>
      <c r="G297">
        <v>20.96</v>
      </c>
      <c r="H297" t="s">
        <v>409</v>
      </c>
      <c r="I297">
        <v>4733731552.1599998</v>
      </c>
      <c r="J297" t="s">
        <v>415</v>
      </c>
      <c r="K297">
        <v>8979727.3103968203</v>
      </c>
      <c r="L297">
        <v>0.8</v>
      </c>
      <c r="M297">
        <v>3786985241.7280002</v>
      </c>
      <c r="N297">
        <v>18320625167.52</v>
      </c>
      <c r="O297">
        <v>35102020</v>
      </c>
      <c r="P297">
        <v>3510</v>
      </c>
      <c r="Q297">
        <v>3.3551264172679298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2.13</v>
      </c>
      <c r="AT297">
        <v>2.68</v>
      </c>
      <c r="AU297" t="s">
        <v>425</v>
      </c>
      <c r="AV297">
        <v>1</v>
      </c>
      <c r="AW297">
        <v>0</v>
      </c>
      <c r="AX297" t="s">
        <v>447</v>
      </c>
      <c r="AY297">
        <v>0</v>
      </c>
      <c r="AZ297">
        <v>0</v>
      </c>
      <c r="BA297">
        <v>0</v>
      </c>
      <c r="CE297">
        <v>2.4049999999999998</v>
      </c>
      <c r="CG297" t="s">
        <v>450</v>
      </c>
      <c r="CI297">
        <v>3.3551264172679298</v>
      </c>
      <c r="CJ297">
        <v>3.1</v>
      </c>
      <c r="CK297">
        <v>3.2275632086339652</v>
      </c>
      <c r="CL297">
        <v>-0.18</v>
      </c>
      <c r="CM297">
        <v>3.047563208633965</v>
      </c>
    </row>
    <row r="298" spans="1:91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403</v>
      </c>
      <c r="F298">
        <v>176424010</v>
      </c>
      <c r="G298">
        <v>32.012810000000002</v>
      </c>
      <c r="H298" t="s">
        <v>413</v>
      </c>
      <c r="I298">
        <v>5647828311.5681</v>
      </c>
      <c r="J298" t="s">
        <v>416</v>
      </c>
      <c r="K298">
        <v>15630698.560913401</v>
      </c>
      <c r="L298">
        <v>1</v>
      </c>
      <c r="M298">
        <v>5647828311.5681</v>
      </c>
      <c r="N298">
        <v>17889394614</v>
      </c>
      <c r="O298">
        <v>40501025</v>
      </c>
      <c r="P298">
        <v>4050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2.67</v>
      </c>
      <c r="AT298">
        <v>3.17</v>
      </c>
      <c r="AU298" t="s">
        <v>1657</v>
      </c>
      <c r="AV298">
        <v>0</v>
      </c>
      <c r="AW298">
        <v>0</v>
      </c>
      <c r="AX298" t="s">
        <v>442</v>
      </c>
      <c r="AY298">
        <v>0</v>
      </c>
      <c r="AZ298">
        <v>0</v>
      </c>
      <c r="BA298">
        <v>0</v>
      </c>
      <c r="CE298">
        <v>2.92</v>
      </c>
      <c r="CG298" t="s">
        <v>450</v>
      </c>
      <c r="CI298">
        <v>3.4</v>
      </c>
      <c r="CJ298">
        <v>3.1</v>
      </c>
      <c r="CK298">
        <v>3.25</v>
      </c>
      <c r="CL298">
        <v>-0.18</v>
      </c>
      <c r="CM298">
        <v>3.07</v>
      </c>
    </row>
    <row r="299" spans="1:91" x14ac:dyDescent="0.25">
      <c r="A299">
        <v>1512</v>
      </c>
      <c r="B299" t="s">
        <v>163</v>
      </c>
      <c r="C299" t="s">
        <v>263</v>
      </c>
      <c r="D299" t="s">
        <v>363</v>
      </c>
      <c r="E299" t="s">
        <v>396</v>
      </c>
      <c r="F299">
        <v>238516153</v>
      </c>
      <c r="G299">
        <v>172.6</v>
      </c>
      <c r="H299" t="s">
        <v>409</v>
      </c>
      <c r="I299">
        <v>41167888007.800003</v>
      </c>
      <c r="J299" t="s">
        <v>415</v>
      </c>
      <c r="K299">
        <v>74863714.427777797</v>
      </c>
      <c r="L299">
        <v>1</v>
      </c>
      <c r="M299">
        <v>41167888007.800003</v>
      </c>
      <c r="N299">
        <v>24185537914.200001</v>
      </c>
      <c r="O299">
        <v>40301030</v>
      </c>
      <c r="P299">
        <v>4030</v>
      </c>
      <c r="Q299">
        <v>1.5670644957319</v>
      </c>
      <c r="R299">
        <v>1.5</v>
      </c>
      <c r="S299" t="s">
        <v>418</v>
      </c>
      <c r="T299" t="s">
        <v>422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2.13</v>
      </c>
      <c r="AT299">
        <v>3.66</v>
      </c>
      <c r="AU299" t="s">
        <v>429</v>
      </c>
      <c r="AV299">
        <v>0</v>
      </c>
      <c r="AW299">
        <v>0</v>
      </c>
      <c r="AX299" t="s">
        <v>445</v>
      </c>
      <c r="AY299">
        <v>0</v>
      </c>
      <c r="AZ299">
        <v>0</v>
      </c>
      <c r="BA299">
        <v>0</v>
      </c>
      <c r="CE299">
        <v>2.895</v>
      </c>
      <c r="CG299" t="s">
        <v>450</v>
      </c>
      <c r="CI299">
        <v>1.5670644957319</v>
      </c>
      <c r="CJ299">
        <v>1.5</v>
      </c>
      <c r="CK299">
        <v>1.5335322478659501</v>
      </c>
      <c r="CL299">
        <v>-0.18</v>
      </c>
      <c r="CM299">
        <v>1.3535322478659499</v>
      </c>
    </row>
    <row r="300" spans="1:91" x14ac:dyDescent="0.25">
      <c r="A300">
        <v>1517</v>
      </c>
      <c r="B300" t="s">
        <v>164</v>
      </c>
      <c r="C300" t="s">
        <v>264</v>
      </c>
      <c r="D300" t="s">
        <v>364</v>
      </c>
      <c r="E300" t="s">
        <v>403</v>
      </c>
      <c r="F300">
        <v>1078802400</v>
      </c>
      <c r="G300">
        <v>9.1105959999999993</v>
      </c>
      <c r="H300" t="s">
        <v>413</v>
      </c>
      <c r="I300">
        <v>9828532830.2304001</v>
      </c>
      <c r="J300" t="s">
        <v>416</v>
      </c>
      <c r="K300">
        <v>20881891.102371901</v>
      </c>
      <c r="L300">
        <v>0.95</v>
      </c>
      <c r="M300">
        <v>9337106188.7188797</v>
      </c>
      <c r="N300">
        <v>103921035192</v>
      </c>
      <c r="O300">
        <v>40301020</v>
      </c>
      <c r="P300">
        <v>4030</v>
      </c>
      <c r="Q300">
        <v>1.9934117984292601</v>
      </c>
      <c r="R300">
        <v>1.5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2.2429999999999999</v>
      </c>
      <c r="AT300">
        <v>3.0659999999999998</v>
      </c>
      <c r="AU300" t="s">
        <v>429</v>
      </c>
      <c r="AV300">
        <v>0</v>
      </c>
      <c r="AW300">
        <v>0</v>
      </c>
      <c r="AX300" t="s">
        <v>448</v>
      </c>
      <c r="AY300">
        <v>0</v>
      </c>
      <c r="AZ300">
        <v>0</v>
      </c>
      <c r="BA300">
        <v>0</v>
      </c>
      <c r="CE300">
        <v>2.6545000000000001</v>
      </c>
      <c r="CG300" t="s">
        <v>450</v>
      </c>
      <c r="CI300">
        <v>1.9934117984292601</v>
      </c>
      <c r="CJ300">
        <v>1.5</v>
      </c>
      <c r="CK300">
        <v>1.74670589921463</v>
      </c>
      <c r="CL300">
        <v>-0.18</v>
      </c>
      <c r="CM300">
        <v>1.5667058992146301</v>
      </c>
    </row>
    <row r="301" spans="1:91" x14ac:dyDescent="0.25">
      <c r="A301">
        <v>1531</v>
      </c>
      <c r="B301" t="s">
        <v>846</v>
      </c>
      <c r="C301" t="s">
        <v>1245</v>
      </c>
      <c r="D301" t="s">
        <v>1644</v>
      </c>
      <c r="E301" t="s">
        <v>400</v>
      </c>
      <c r="F301">
        <v>254725627</v>
      </c>
      <c r="G301">
        <v>27.561669999999999</v>
      </c>
      <c r="H301" t="s">
        <v>411</v>
      </c>
      <c r="I301">
        <v>7020663671.9170895</v>
      </c>
      <c r="J301" t="s">
        <v>416</v>
      </c>
      <c r="K301">
        <v>16854533.268218201</v>
      </c>
      <c r="L301">
        <v>0.65</v>
      </c>
      <c r="M301">
        <v>4563431386.7461081</v>
      </c>
      <c r="N301">
        <v>16788966075.57</v>
      </c>
      <c r="O301">
        <v>55201015</v>
      </c>
      <c r="P301">
        <v>5520</v>
      </c>
      <c r="Q301">
        <v>2.9576728383146702</v>
      </c>
      <c r="R301">
        <v>3.1</v>
      </c>
      <c r="S301" t="s">
        <v>420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2.8450000000000002</v>
      </c>
      <c r="AT301">
        <v>3.3780000000000001</v>
      </c>
      <c r="AU301" t="s">
        <v>420</v>
      </c>
      <c r="AV301">
        <v>1</v>
      </c>
      <c r="AW301">
        <v>0</v>
      </c>
      <c r="AX301" t="s">
        <v>439</v>
      </c>
      <c r="AY301">
        <v>0</v>
      </c>
      <c r="AZ301">
        <v>0</v>
      </c>
      <c r="BA301">
        <v>0</v>
      </c>
      <c r="CE301">
        <v>3.1114999999999999</v>
      </c>
      <c r="CG301" t="s">
        <v>450</v>
      </c>
      <c r="CI301">
        <v>2.9576728383146702</v>
      </c>
      <c r="CJ301">
        <v>3.1</v>
      </c>
      <c r="CK301">
        <v>3.0288364191573351</v>
      </c>
      <c r="CL301">
        <v>0</v>
      </c>
      <c r="CM301">
        <v>3.0288364191573351</v>
      </c>
    </row>
    <row r="302" spans="1:91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398</v>
      </c>
      <c r="F302">
        <v>263982060</v>
      </c>
      <c r="G302">
        <v>36.979999999999997</v>
      </c>
      <c r="H302" t="s">
        <v>409</v>
      </c>
      <c r="I302">
        <v>9762056578.7999992</v>
      </c>
      <c r="J302" t="s">
        <v>415</v>
      </c>
      <c r="K302">
        <v>33253485.885327902</v>
      </c>
      <c r="L302">
        <v>0.9</v>
      </c>
      <c r="M302">
        <v>8785850920.9200001</v>
      </c>
      <c r="N302">
        <v>24091002795.599998</v>
      </c>
      <c r="O302">
        <v>40401020</v>
      </c>
      <c r="P302">
        <v>4040</v>
      </c>
      <c r="Q302">
        <v>1.99948141228607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2.6619999999999999</v>
      </c>
      <c r="AT302">
        <v>3.024</v>
      </c>
      <c r="AU302" t="s">
        <v>431</v>
      </c>
      <c r="AV302">
        <v>1</v>
      </c>
      <c r="AW302">
        <v>0</v>
      </c>
      <c r="AX302" t="s">
        <v>437</v>
      </c>
      <c r="AY302">
        <v>0</v>
      </c>
      <c r="AZ302">
        <v>0</v>
      </c>
      <c r="BA302">
        <v>0</v>
      </c>
      <c r="CE302">
        <v>2.843</v>
      </c>
      <c r="CG302" t="s">
        <v>450</v>
      </c>
      <c r="CI302">
        <v>1.99948141228607</v>
      </c>
      <c r="CJ302">
        <v>3.1</v>
      </c>
      <c r="CK302">
        <v>2.5497407061430351</v>
      </c>
      <c r="CL302">
        <v>-0.18</v>
      </c>
      <c r="CM302">
        <v>2.3697407061430349</v>
      </c>
    </row>
    <row r="303" spans="1:91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412</v>
      </c>
      <c r="I303">
        <v>6797528401.8442001</v>
      </c>
      <c r="J303" t="s">
        <v>416</v>
      </c>
      <c r="K303">
        <v>18585941.2435234</v>
      </c>
      <c r="L303">
        <v>0.9</v>
      </c>
      <c r="M303">
        <v>6117775561.6597815</v>
      </c>
      <c r="N303">
        <v>6481638376.1999998</v>
      </c>
      <c r="O303">
        <v>20103010</v>
      </c>
      <c r="P303">
        <v>2010</v>
      </c>
      <c r="Q303">
        <v>3.4</v>
      </c>
      <c r="S303" t="s">
        <v>424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D303">
        <v>0</v>
      </c>
      <c r="AE303">
        <v>0</v>
      </c>
      <c r="AF303">
        <v>0</v>
      </c>
      <c r="AH303">
        <v>0</v>
      </c>
      <c r="AI303" t="s">
        <v>424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2.266</v>
      </c>
      <c r="AT303">
        <v>2.3730000000000002</v>
      </c>
      <c r="AU303" t="s">
        <v>429</v>
      </c>
      <c r="AV303">
        <v>0</v>
      </c>
      <c r="AW303">
        <v>0</v>
      </c>
      <c r="AX303" t="s">
        <v>441</v>
      </c>
      <c r="AY303">
        <v>0</v>
      </c>
      <c r="AZ303">
        <v>0</v>
      </c>
      <c r="BA303">
        <v>0</v>
      </c>
      <c r="CE303">
        <v>2.3195000000000001</v>
      </c>
      <c r="CG303" t="s">
        <v>450</v>
      </c>
      <c r="CI303">
        <v>3.4</v>
      </c>
      <c r="CJ303">
        <v>3.1</v>
      </c>
      <c r="CK303">
        <v>3.25</v>
      </c>
      <c r="CL303">
        <v>0.3</v>
      </c>
      <c r="CM303">
        <v>3.55</v>
      </c>
    </row>
    <row r="304" spans="1:91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406</v>
      </c>
      <c r="F304">
        <v>146355760</v>
      </c>
      <c r="G304">
        <v>614.58010000000002</v>
      </c>
      <c r="H304" t="s">
        <v>414</v>
      </c>
      <c r="I304">
        <v>89947337616.376007</v>
      </c>
      <c r="J304" t="s">
        <v>416</v>
      </c>
      <c r="K304">
        <v>167672036.70820701</v>
      </c>
      <c r="L304">
        <v>1</v>
      </c>
      <c r="M304">
        <v>89947337616.376007</v>
      </c>
      <c r="N304">
        <v>14840474064</v>
      </c>
      <c r="O304">
        <v>30302010</v>
      </c>
      <c r="P304">
        <v>3030</v>
      </c>
      <c r="Q304">
        <v>2.7666666666666599</v>
      </c>
      <c r="R304">
        <v>2.39</v>
      </c>
      <c r="S304" t="s">
        <v>418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2.1850000000000001</v>
      </c>
      <c r="AT304">
        <v>3.117</v>
      </c>
      <c r="AU304" t="s">
        <v>430</v>
      </c>
      <c r="AV304">
        <v>0</v>
      </c>
      <c r="AW304">
        <v>0</v>
      </c>
      <c r="AX304" t="s">
        <v>446</v>
      </c>
      <c r="AY304">
        <v>0</v>
      </c>
      <c r="AZ304">
        <v>0</v>
      </c>
      <c r="BA304">
        <v>0</v>
      </c>
      <c r="CE304">
        <v>2.6509999999999998</v>
      </c>
      <c r="CG304" t="s">
        <v>450</v>
      </c>
      <c r="CI304">
        <v>2.7666666666666599</v>
      </c>
      <c r="CJ304">
        <v>2.39</v>
      </c>
      <c r="CK304">
        <v>2.57833333333333</v>
      </c>
      <c r="CL304">
        <v>-0.18</v>
      </c>
      <c r="CM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9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15.692080000000001</v>
      </c>
      <c r="H2" t="s">
        <v>413</v>
      </c>
      <c r="I2">
        <v>15625495993.8272</v>
      </c>
      <c r="J2" t="s">
        <v>416</v>
      </c>
      <c r="K2">
        <v>29289351.006745402</v>
      </c>
      <c r="L2">
        <v>1</v>
      </c>
      <c r="M2">
        <v>15625495993.8272</v>
      </c>
      <c r="N2">
        <v>22145632121.599998</v>
      </c>
      <c r="O2">
        <v>10101015</v>
      </c>
      <c r="P2">
        <v>1010</v>
      </c>
      <c r="Q2">
        <v>1.7465783472899099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2.8580000000000001</v>
      </c>
      <c r="CG2" t="s">
        <v>450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90128173427.819992</v>
      </c>
      <c r="J3" t="s">
        <v>415</v>
      </c>
      <c r="K3">
        <v>34161920.378412701</v>
      </c>
      <c r="L3">
        <v>1</v>
      </c>
      <c r="M3">
        <v>90128173427.819992</v>
      </c>
      <c r="N3">
        <v>579749570928</v>
      </c>
      <c r="O3">
        <v>10101010</v>
      </c>
      <c r="P3">
        <v>1010</v>
      </c>
      <c r="Q3">
        <v>1.9831746989669301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2.4740000000000002</v>
      </c>
      <c r="AT3">
        <v>3.2949999999999999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2.8845000000000001</v>
      </c>
      <c r="CG3" t="s">
        <v>450</v>
      </c>
      <c r="CI3">
        <v>1.9831746989669301</v>
      </c>
      <c r="CJ3">
        <v>1.5</v>
      </c>
      <c r="CK3">
        <v>1.7415873494834651</v>
      </c>
      <c r="CL3">
        <v>-0.18</v>
      </c>
      <c r="CM3">
        <v>1.5615873494834649</v>
      </c>
    </row>
    <row r="4" spans="1:91" x14ac:dyDescent="0.25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569.79999999999995</v>
      </c>
      <c r="H4" t="s">
        <v>409</v>
      </c>
      <c r="I4">
        <v>28107406650.400002</v>
      </c>
      <c r="J4" t="s">
        <v>415</v>
      </c>
      <c r="K4">
        <v>78679459.003174603</v>
      </c>
      <c r="L4">
        <v>0.95000000000000007</v>
      </c>
      <c r="M4">
        <v>26702036317.880001</v>
      </c>
      <c r="N4">
        <v>12802731347.92</v>
      </c>
      <c r="O4">
        <v>10102020</v>
      </c>
      <c r="P4">
        <v>1010</v>
      </c>
      <c r="Q4">
        <v>1.7486641100579701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2.4460000000000002</v>
      </c>
      <c r="AT4">
        <v>3.2189999999999999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1.7486641100579701</v>
      </c>
      <c r="CJ4">
        <v>3.1</v>
      </c>
      <c r="CK4">
        <v>2.4243320550289851</v>
      </c>
      <c r="CL4">
        <v>-0.3</v>
      </c>
      <c r="CM4">
        <v>2.1243320550289848</v>
      </c>
    </row>
    <row r="5" spans="1:91" x14ac:dyDescent="0.25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99.481160000000003</v>
      </c>
      <c r="H5" t="s">
        <v>414</v>
      </c>
      <c r="I5">
        <v>16811733080.402399</v>
      </c>
      <c r="J5" t="s">
        <v>416</v>
      </c>
      <c r="K5">
        <v>53427462.634575203</v>
      </c>
      <c r="L5">
        <v>0.9</v>
      </c>
      <c r="M5">
        <v>15130559772.36216</v>
      </c>
      <c r="N5">
        <v>5974280837.2799997</v>
      </c>
      <c r="O5">
        <v>10102030</v>
      </c>
      <c r="P5">
        <v>1010</v>
      </c>
      <c r="Q5">
        <v>1.7497523085933799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2.5649999999999999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2.9824999999999999</v>
      </c>
      <c r="CG5" t="s">
        <v>450</v>
      </c>
      <c r="CI5">
        <v>1.7497523085933799</v>
      </c>
      <c r="CJ5">
        <v>3.1</v>
      </c>
      <c r="CK5">
        <v>2.4248761542966899</v>
      </c>
      <c r="CL5">
        <v>-0.3</v>
      </c>
      <c r="CM5">
        <v>2.1248761542966901</v>
      </c>
    </row>
    <row r="6" spans="1:91" x14ac:dyDescent="0.25">
      <c r="A6">
        <v>71</v>
      </c>
      <c r="B6" t="s">
        <v>484</v>
      </c>
      <c r="C6" t="s">
        <v>883</v>
      </c>
      <c r="D6" t="s">
        <v>1282</v>
      </c>
      <c r="E6" t="s">
        <v>401</v>
      </c>
      <c r="F6">
        <v>450499200</v>
      </c>
      <c r="G6">
        <v>69.459999999999994</v>
      </c>
      <c r="H6" t="s">
        <v>409</v>
      </c>
      <c r="I6">
        <v>31291674432</v>
      </c>
      <c r="J6" t="s">
        <v>415</v>
      </c>
      <c r="K6">
        <v>42461320.374285698</v>
      </c>
      <c r="L6">
        <v>1</v>
      </c>
      <c r="M6">
        <v>31291674432</v>
      </c>
      <c r="N6">
        <v>937038336</v>
      </c>
      <c r="O6">
        <v>10101010</v>
      </c>
      <c r="P6">
        <v>1010</v>
      </c>
      <c r="Q6">
        <v>1.7124185807336301</v>
      </c>
      <c r="R6">
        <v>3.01</v>
      </c>
      <c r="S6" t="s">
        <v>418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2.5059999999999998</v>
      </c>
      <c r="AT6">
        <v>3.1360000000000001</v>
      </c>
      <c r="AU6" t="s">
        <v>432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2.8210000000000002</v>
      </c>
      <c r="CG6" t="s">
        <v>450</v>
      </c>
      <c r="CI6">
        <v>1.7124185807336301</v>
      </c>
      <c r="CJ6">
        <v>3.01</v>
      </c>
      <c r="CK6">
        <v>2.3612092903668152</v>
      </c>
      <c r="CL6">
        <v>-0.18</v>
      </c>
      <c r="CM6">
        <v>2.181209290366815</v>
      </c>
    </row>
    <row r="7" spans="1:91" x14ac:dyDescent="0.25">
      <c r="A7">
        <v>1348</v>
      </c>
      <c r="B7" t="s">
        <v>112</v>
      </c>
      <c r="C7" t="s">
        <v>212</v>
      </c>
      <c r="D7" t="s">
        <v>312</v>
      </c>
      <c r="E7" t="s">
        <v>401</v>
      </c>
      <c r="F7">
        <v>5670161600</v>
      </c>
      <c r="G7">
        <v>4.1740000000000004</v>
      </c>
      <c r="H7" t="s">
        <v>409</v>
      </c>
      <c r="I7">
        <v>23667254518.400002</v>
      </c>
      <c r="J7" t="s">
        <v>415</v>
      </c>
      <c r="K7">
        <v>53268601.0030111</v>
      </c>
      <c r="L7">
        <v>0.7</v>
      </c>
      <c r="M7">
        <v>16567078162.879999</v>
      </c>
      <c r="N7">
        <v>12621779721600</v>
      </c>
      <c r="O7">
        <v>15102015</v>
      </c>
      <c r="P7">
        <v>1510</v>
      </c>
      <c r="Q7">
        <v>1.7233600828722999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3.1030000000000002</v>
      </c>
      <c r="AT7">
        <v>2.8849999999999998</v>
      </c>
      <c r="AU7" t="s">
        <v>426</v>
      </c>
      <c r="AV7">
        <v>0</v>
      </c>
      <c r="AW7">
        <v>0</v>
      </c>
      <c r="AX7" t="s">
        <v>440</v>
      </c>
      <c r="AY7">
        <v>0</v>
      </c>
      <c r="AZ7">
        <v>0</v>
      </c>
      <c r="BA7">
        <v>0</v>
      </c>
      <c r="CE7">
        <v>2.9940000000000002</v>
      </c>
      <c r="CG7" t="s">
        <v>450</v>
      </c>
      <c r="CI7">
        <v>1.7233600828722999</v>
      </c>
      <c r="CJ7">
        <v>1.5</v>
      </c>
      <c r="CK7">
        <v>1.6116800414361501</v>
      </c>
      <c r="CL7">
        <v>-0.3</v>
      </c>
      <c r="CM7">
        <v>1.31168004143615</v>
      </c>
    </row>
    <row r="8" spans="1:91" x14ac:dyDescent="0.25">
      <c r="A8">
        <v>1471</v>
      </c>
      <c r="B8" t="s">
        <v>113</v>
      </c>
      <c r="C8" t="s">
        <v>213</v>
      </c>
      <c r="D8" t="s">
        <v>313</v>
      </c>
      <c r="E8" t="s">
        <v>403</v>
      </c>
      <c r="F8">
        <v>25081295000</v>
      </c>
      <c r="G8">
        <v>0.80032029999999998</v>
      </c>
      <c r="H8" t="s">
        <v>413</v>
      </c>
      <c r="I8">
        <v>20073069538.788502</v>
      </c>
      <c r="J8" t="s">
        <v>416</v>
      </c>
      <c r="K8">
        <v>51438057.273945697</v>
      </c>
      <c r="L8">
        <v>0.8</v>
      </c>
      <c r="M8">
        <v>16058455631.0308</v>
      </c>
      <c r="N8">
        <v>2034594650400</v>
      </c>
      <c r="O8">
        <v>15102015</v>
      </c>
      <c r="P8">
        <v>1510</v>
      </c>
      <c r="Q8">
        <v>1.72809052700944</v>
      </c>
      <c r="R8">
        <v>1.5</v>
      </c>
      <c r="S8" t="s">
        <v>417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2.7650000000000001</v>
      </c>
      <c r="AT8">
        <v>3.141</v>
      </c>
      <c r="AU8" t="s">
        <v>426</v>
      </c>
      <c r="AV8">
        <v>0</v>
      </c>
      <c r="AW8">
        <v>0</v>
      </c>
      <c r="AX8" t="s">
        <v>442</v>
      </c>
      <c r="AY8">
        <v>0</v>
      </c>
      <c r="AZ8">
        <v>0</v>
      </c>
      <c r="BA8">
        <v>0</v>
      </c>
      <c r="CE8">
        <v>2.9529999999999998</v>
      </c>
      <c r="CG8" t="s">
        <v>450</v>
      </c>
      <c r="CI8">
        <v>1.72809052700944</v>
      </c>
      <c r="CJ8">
        <v>1.5</v>
      </c>
      <c r="CK8">
        <v>1.61404526350472</v>
      </c>
      <c r="CL8">
        <v>-0.3</v>
      </c>
      <c r="CM8">
        <v>1.31404526350472</v>
      </c>
    </row>
    <row r="9" spans="1:91" x14ac:dyDescent="0.25">
      <c r="A9">
        <v>1002</v>
      </c>
      <c r="B9" t="s">
        <v>114</v>
      </c>
      <c r="C9" t="s">
        <v>214</v>
      </c>
      <c r="D9" t="s">
        <v>314</v>
      </c>
      <c r="E9" t="s">
        <v>394</v>
      </c>
      <c r="F9">
        <v>2660056599</v>
      </c>
      <c r="G9">
        <v>11.074999999999999</v>
      </c>
      <c r="H9" t="s">
        <v>409</v>
      </c>
      <c r="I9">
        <v>29460126833.924999</v>
      </c>
      <c r="J9" t="s">
        <v>415</v>
      </c>
      <c r="K9">
        <v>71522746.378896803</v>
      </c>
      <c r="L9">
        <v>0.65</v>
      </c>
      <c r="M9">
        <v>19149082442.05125</v>
      </c>
      <c r="N9">
        <v>344597032117.45502</v>
      </c>
      <c r="O9">
        <v>15102015</v>
      </c>
      <c r="P9">
        <v>1510</v>
      </c>
      <c r="Q9">
        <v>1.7104133479050101</v>
      </c>
      <c r="R9">
        <v>2.39</v>
      </c>
      <c r="S9" t="s">
        <v>418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2.7160000000000002</v>
      </c>
      <c r="AT9">
        <v>2.7469999999999999</v>
      </c>
      <c r="AU9" t="s">
        <v>426</v>
      </c>
      <c r="AV9">
        <v>0</v>
      </c>
      <c r="AW9">
        <v>0</v>
      </c>
      <c r="AX9" t="s">
        <v>433</v>
      </c>
      <c r="AY9">
        <v>0</v>
      </c>
      <c r="AZ9">
        <v>0</v>
      </c>
      <c r="BA9">
        <v>0</v>
      </c>
      <c r="CE9">
        <v>2.7315</v>
      </c>
      <c r="CG9" t="s">
        <v>450</v>
      </c>
      <c r="CI9">
        <v>1.7104133479050101</v>
      </c>
      <c r="CJ9">
        <v>2.39</v>
      </c>
      <c r="CK9">
        <v>2.0502066739525051</v>
      </c>
      <c r="CL9">
        <v>-0.18</v>
      </c>
      <c r="CM9">
        <v>1.8702066739525049</v>
      </c>
    </row>
    <row r="10" spans="1:91" x14ac:dyDescent="0.25">
      <c r="A10">
        <v>1350</v>
      </c>
      <c r="B10" t="s">
        <v>115</v>
      </c>
      <c r="C10" t="s">
        <v>215</v>
      </c>
      <c r="D10" t="s">
        <v>315</v>
      </c>
      <c r="E10" t="s">
        <v>400</v>
      </c>
      <c r="F10">
        <v>1368349989</v>
      </c>
      <c r="G10">
        <v>12.142609999999999</v>
      </c>
      <c r="H10" t="s">
        <v>411</v>
      </c>
      <c r="I10">
        <v>16615340259.93129</v>
      </c>
      <c r="J10" t="s">
        <v>416</v>
      </c>
      <c r="K10">
        <v>14604406.268437199</v>
      </c>
      <c r="L10">
        <v>0.45</v>
      </c>
      <c r="M10">
        <v>7476903116.9690809</v>
      </c>
      <c r="N10">
        <v>1958108834259</v>
      </c>
      <c r="O10">
        <v>15102015</v>
      </c>
      <c r="P10">
        <v>1510</v>
      </c>
      <c r="Q10">
        <v>1.692422773381</v>
      </c>
      <c r="R10">
        <v>2.7</v>
      </c>
      <c r="S10" t="s">
        <v>419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2.3370000000000002</v>
      </c>
      <c r="AT10">
        <v>2.9340000000000002</v>
      </c>
      <c r="AU10" t="s">
        <v>426</v>
      </c>
      <c r="AV10">
        <v>0</v>
      </c>
      <c r="AW10">
        <v>0</v>
      </c>
      <c r="AX10" t="s">
        <v>439</v>
      </c>
      <c r="AY10">
        <v>0</v>
      </c>
      <c r="AZ10">
        <v>0</v>
      </c>
      <c r="BA10">
        <v>0</v>
      </c>
      <c r="CE10">
        <v>2.6355</v>
      </c>
      <c r="CG10" t="s">
        <v>450</v>
      </c>
      <c r="CI10">
        <v>1.692422773381</v>
      </c>
      <c r="CJ10">
        <v>2.7</v>
      </c>
      <c r="CK10">
        <v>2.1962113866905</v>
      </c>
      <c r="CL10">
        <v>-0.24</v>
      </c>
      <c r="CM10">
        <v>1.9562113866905</v>
      </c>
    </row>
    <row r="11" spans="1:91" x14ac:dyDescent="0.25">
      <c r="A11">
        <v>227</v>
      </c>
      <c r="B11" t="s">
        <v>538</v>
      </c>
      <c r="C11" t="s">
        <v>937</v>
      </c>
      <c r="D11" t="s">
        <v>1336</v>
      </c>
      <c r="E11" t="s">
        <v>403</v>
      </c>
      <c r="F11">
        <v>9956837000</v>
      </c>
      <c r="G11">
        <v>1.820668</v>
      </c>
      <c r="H11" t="s">
        <v>413</v>
      </c>
      <c r="I11">
        <v>18128094507.116001</v>
      </c>
      <c r="J11" t="s">
        <v>416</v>
      </c>
      <c r="K11">
        <v>22456253.843416799</v>
      </c>
      <c r="L11">
        <v>0.4</v>
      </c>
      <c r="M11">
        <v>7251237802.8464012</v>
      </c>
      <c r="N11">
        <v>223272112888</v>
      </c>
      <c r="O11">
        <v>15102015</v>
      </c>
      <c r="P11">
        <v>1510</v>
      </c>
      <c r="Q11">
        <v>2.3119389045162899</v>
      </c>
      <c r="R11">
        <v>2.39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2.762</v>
      </c>
      <c r="AT11">
        <v>2.5619999999999998</v>
      </c>
      <c r="AU11" t="s">
        <v>426</v>
      </c>
      <c r="AV11">
        <v>0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2.6619999999999999</v>
      </c>
      <c r="CG11" t="s">
        <v>450</v>
      </c>
      <c r="CI11">
        <v>2.3119389045162899</v>
      </c>
      <c r="CJ11">
        <v>2.39</v>
      </c>
      <c r="CK11">
        <v>2.3509694522581448</v>
      </c>
      <c r="CL11">
        <v>-0.3</v>
      </c>
      <c r="CM11">
        <v>2.050969452258145</v>
      </c>
    </row>
    <row r="12" spans="1:91" x14ac:dyDescent="0.25">
      <c r="A12">
        <v>976</v>
      </c>
      <c r="B12" t="s">
        <v>116</v>
      </c>
      <c r="C12" t="s">
        <v>216</v>
      </c>
      <c r="D12" t="s">
        <v>316</v>
      </c>
      <c r="E12" t="s">
        <v>402</v>
      </c>
      <c r="F12">
        <v>414555050</v>
      </c>
      <c r="G12">
        <v>53.644550000000002</v>
      </c>
      <c r="H12" t="s">
        <v>412</v>
      </c>
      <c r="I12">
        <v>22238619107.477501</v>
      </c>
      <c r="J12" t="s">
        <v>416</v>
      </c>
      <c r="K12">
        <v>28551144.8592216</v>
      </c>
      <c r="L12">
        <v>0.85</v>
      </c>
      <c r="M12">
        <v>18902826241.355881</v>
      </c>
      <c r="N12">
        <v>70227698245.25</v>
      </c>
      <c r="O12">
        <v>20103010</v>
      </c>
      <c r="P12">
        <v>2010</v>
      </c>
      <c r="Q12">
        <v>1.7046060481660801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2.5750000000000002</v>
      </c>
      <c r="AT12">
        <v>2.8759999999999999</v>
      </c>
      <c r="AU12" t="s">
        <v>420</v>
      </c>
      <c r="AV12">
        <v>1</v>
      </c>
      <c r="AW12">
        <v>0</v>
      </c>
      <c r="AX12" t="s">
        <v>441</v>
      </c>
      <c r="AY12">
        <v>0</v>
      </c>
      <c r="AZ12">
        <v>0</v>
      </c>
      <c r="BA12">
        <v>0</v>
      </c>
      <c r="CE12">
        <v>2.7254999999999998</v>
      </c>
      <c r="CG12" t="s">
        <v>450</v>
      </c>
      <c r="CI12">
        <v>1.7046060481660801</v>
      </c>
      <c r="CJ12">
        <v>1.5</v>
      </c>
      <c r="CK12">
        <v>1.60230302408304</v>
      </c>
      <c r="CL12">
        <v>-0.3</v>
      </c>
      <c r="CM12">
        <v>1.30230302408304</v>
      </c>
    </row>
    <row r="13" spans="1:91" x14ac:dyDescent="0.25">
      <c r="A13">
        <v>566</v>
      </c>
      <c r="B13" t="s">
        <v>117</v>
      </c>
      <c r="C13" t="s">
        <v>217</v>
      </c>
      <c r="D13" t="s">
        <v>317</v>
      </c>
      <c r="E13" t="s">
        <v>403</v>
      </c>
      <c r="F13">
        <v>4145945300</v>
      </c>
      <c r="G13">
        <v>17.2758</v>
      </c>
      <c r="H13" t="s">
        <v>413</v>
      </c>
      <c r="I13">
        <v>71624521813.740005</v>
      </c>
      <c r="J13" t="s">
        <v>416</v>
      </c>
      <c r="K13">
        <v>94231734.899956703</v>
      </c>
      <c r="L13">
        <v>1</v>
      </c>
      <c r="M13">
        <v>71624521813.740005</v>
      </c>
      <c r="N13">
        <v>75311096374.5</v>
      </c>
      <c r="O13">
        <v>20103015</v>
      </c>
      <c r="P13">
        <v>2010</v>
      </c>
      <c r="Q13">
        <v>1.73069234760163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3.198</v>
      </c>
      <c r="AT13">
        <v>2.7879999999999998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2.9929999999999999</v>
      </c>
      <c r="CG13" t="s">
        <v>450</v>
      </c>
      <c r="CI13">
        <v>1.73069234760163</v>
      </c>
      <c r="CJ13">
        <v>1.5</v>
      </c>
      <c r="CK13">
        <v>1.615346173800815</v>
      </c>
      <c r="CL13">
        <v>-0.3</v>
      </c>
      <c r="CM13">
        <v>1.315346173800815</v>
      </c>
    </row>
    <row r="14" spans="1:91" x14ac:dyDescent="0.25">
      <c r="A14">
        <v>974</v>
      </c>
      <c r="B14" t="s">
        <v>118</v>
      </c>
      <c r="C14" t="s">
        <v>218</v>
      </c>
      <c r="D14" t="s">
        <v>318</v>
      </c>
      <c r="E14" t="s">
        <v>406</v>
      </c>
      <c r="F14">
        <v>2189930400</v>
      </c>
      <c r="G14">
        <v>104.3617</v>
      </c>
      <c r="H14" t="s">
        <v>414</v>
      </c>
      <c r="I14">
        <v>228544859425.67999</v>
      </c>
      <c r="J14" t="s">
        <v>416</v>
      </c>
      <c r="K14">
        <v>348052438.84857303</v>
      </c>
      <c r="L14">
        <v>0.95</v>
      </c>
      <c r="M14">
        <v>217117616454.396</v>
      </c>
      <c r="N14">
        <v>414630472284</v>
      </c>
      <c r="O14">
        <v>20103015</v>
      </c>
      <c r="P14">
        <v>2010</v>
      </c>
      <c r="Q14">
        <v>1.7351435772655099</v>
      </c>
      <c r="R14">
        <v>1.5</v>
      </c>
      <c r="S14" t="s">
        <v>417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2.9780000000000002</v>
      </c>
      <c r="AT14">
        <v>2.9729999999999999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2.9754999999999998</v>
      </c>
      <c r="CG14" t="s">
        <v>450</v>
      </c>
      <c r="CI14">
        <v>1.7351435772655099</v>
      </c>
      <c r="CJ14">
        <v>1.5</v>
      </c>
      <c r="CK14">
        <v>1.617571788632755</v>
      </c>
      <c r="CL14">
        <v>-0.3</v>
      </c>
      <c r="CM14">
        <v>1.3175717886327549</v>
      </c>
    </row>
    <row r="15" spans="1:91" x14ac:dyDescent="0.25">
      <c r="A15">
        <v>126</v>
      </c>
      <c r="B15" t="s">
        <v>119</v>
      </c>
      <c r="C15" t="s">
        <v>219</v>
      </c>
      <c r="D15" t="s">
        <v>319</v>
      </c>
      <c r="E15" t="s">
        <v>403</v>
      </c>
      <c r="F15">
        <v>1550581200</v>
      </c>
      <c r="G15">
        <v>141.54310000000001</v>
      </c>
      <c r="H15" t="s">
        <v>413</v>
      </c>
      <c r="I15">
        <v>219474069849.72</v>
      </c>
      <c r="J15" t="s">
        <v>416</v>
      </c>
      <c r="K15">
        <v>175769656.35404101</v>
      </c>
      <c r="L15">
        <v>1</v>
      </c>
      <c r="M15">
        <v>219474069849.72</v>
      </c>
      <c r="N15">
        <v>423618783840</v>
      </c>
      <c r="O15">
        <v>20103015</v>
      </c>
      <c r="P15">
        <v>2010</v>
      </c>
      <c r="Q15">
        <v>1.74009250374075</v>
      </c>
      <c r="R15">
        <v>1.5</v>
      </c>
      <c r="S15" t="s">
        <v>417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2.7770000000000001</v>
      </c>
      <c r="AT15">
        <v>2.399</v>
      </c>
      <c r="AU15" t="s">
        <v>420</v>
      </c>
      <c r="AV15">
        <v>1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2.5880000000000001</v>
      </c>
      <c r="CG15" t="s">
        <v>450</v>
      </c>
      <c r="CI15">
        <v>1.74009250374075</v>
      </c>
      <c r="CJ15">
        <v>1.5</v>
      </c>
      <c r="CK15">
        <v>1.6200462518703751</v>
      </c>
      <c r="CL15">
        <v>-0.3</v>
      </c>
      <c r="CM15">
        <v>1.3200462518703751</v>
      </c>
    </row>
    <row r="16" spans="1:91" x14ac:dyDescent="0.25">
      <c r="A16">
        <v>1151</v>
      </c>
      <c r="B16" t="s">
        <v>120</v>
      </c>
      <c r="C16" t="s">
        <v>220</v>
      </c>
      <c r="D16" t="s">
        <v>320</v>
      </c>
      <c r="E16" t="s">
        <v>394</v>
      </c>
      <c r="F16">
        <v>1263122721</v>
      </c>
      <c r="G16">
        <v>104.12</v>
      </c>
      <c r="H16" t="s">
        <v>409</v>
      </c>
      <c r="I16">
        <v>131516337710.52</v>
      </c>
      <c r="J16" t="s">
        <v>415</v>
      </c>
      <c r="K16">
        <v>154796225.17039701</v>
      </c>
      <c r="L16">
        <v>0.95000000000000007</v>
      </c>
      <c r="M16">
        <v>124940520824.994</v>
      </c>
      <c r="N16">
        <v>26687256849.287998</v>
      </c>
      <c r="O16">
        <v>20103015</v>
      </c>
      <c r="P16">
        <v>2010</v>
      </c>
      <c r="Q16">
        <v>1.72319966282151</v>
      </c>
      <c r="R16">
        <v>1.5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2.98</v>
      </c>
      <c r="AT16">
        <v>2.774</v>
      </c>
      <c r="AU16" t="s">
        <v>420</v>
      </c>
      <c r="AV16">
        <v>1</v>
      </c>
      <c r="AW16">
        <v>0</v>
      </c>
      <c r="AX16" t="s">
        <v>433</v>
      </c>
      <c r="AY16">
        <v>0</v>
      </c>
      <c r="AZ16">
        <v>0</v>
      </c>
      <c r="BA16">
        <v>0</v>
      </c>
      <c r="CE16">
        <v>2.8769999999999998</v>
      </c>
      <c r="CG16" t="s">
        <v>450</v>
      </c>
      <c r="CI16">
        <v>1.72319966282151</v>
      </c>
      <c r="CJ16">
        <v>1.5</v>
      </c>
      <c r="CK16">
        <v>1.6115998314107549</v>
      </c>
      <c r="CL16">
        <v>-0.24</v>
      </c>
      <c r="CM16">
        <v>1.3715998314107549</v>
      </c>
    </row>
    <row r="17" spans="1:91" x14ac:dyDescent="0.25">
      <c r="A17">
        <v>1426</v>
      </c>
      <c r="B17" t="s">
        <v>121</v>
      </c>
      <c r="C17" t="s">
        <v>221</v>
      </c>
      <c r="D17" t="s">
        <v>321</v>
      </c>
      <c r="E17" t="s">
        <v>407</v>
      </c>
      <c r="F17">
        <v>194505658</v>
      </c>
      <c r="G17">
        <v>181.8</v>
      </c>
      <c r="H17" t="s">
        <v>409</v>
      </c>
      <c r="I17">
        <v>35361128624.400002</v>
      </c>
      <c r="J17" t="s">
        <v>415</v>
      </c>
      <c r="K17">
        <v>36834331.3722222</v>
      </c>
      <c r="L17">
        <v>0.65</v>
      </c>
      <c r="M17">
        <v>22984733605.860001</v>
      </c>
      <c r="N17">
        <v>12819867918.780001</v>
      </c>
      <c r="O17">
        <v>20103015</v>
      </c>
      <c r="P17">
        <v>2010</v>
      </c>
      <c r="Q17">
        <v>1.74156423615151</v>
      </c>
      <c r="R17">
        <v>1.77</v>
      </c>
      <c r="S17" t="s">
        <v>419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2.661</v>
      </c>
      <c r="AT17">
        <v>2.8610000000000002</v>
      </c>
      <c r="AU17" t="s">
        <v>429</v>
      </c>
      <c r="AV17">
        <v>0</v>
      </c>
      <c r="AW17">
        <v>0</v>
      </c>
      <c r="AX17" t="s">
        <v>447</v>
      </c>
      <c r="AY17">
        <v>0</v>
      </c>
      <c r="AZ17">
        <v>0</v>
      </c>
      <c r="BA17">
        <v>0</v>
      </c>
      <c r="CE17">
        <v>2.7610000000000001</v>
      </c>
      <c r="CG17" t="s">
        <v>450</v>
      </c>
      <c r="CI17">
        <v>1.74156423615151</v>
      </c>
      <c r="CJ17">
        <v>1.77</v>
      </c>
      <c r="CK17">
        <v>1.7557821180757549</v>
      </c>
      <c r="CL17">
        <v>-0.24</v>
      </c>
      <c r="CM17">
        <v>1.5157821180757549</v>
      </c>
    </row>
    <row r="18" spans="1:91" x14ac:dyDescent="0.25">
      <c r="A18">
        <v>322</v>
      </c>
      <c r="B18" t="s">
        <v>122</v>
      </c>
      <c r="C18" t="s">
        <v>222</v>
      </c>
      <c r="D18" t="s">
        <v>322</v>
      </c>
      <c r="E18" t="s">
        <v>403</v>
      </c>
      <c r="F18">
        <v>2049789600</v>
      </c>
      <c r="G18">
        <v>2.9909249999999998</v>
      </c>
      <c r="H18" t="s">
        <v>413</v>
      </c>
      <c r="I18">
        <v>6130766959.3800001</v>
      </c>
      <c r="J18" t="s">
        <v>416</v>
      </c>
      <c r="K18">
        <v>9155054.9499982595</v>
      </c>
      <c r="L18">
        <v>0.8</v>
      </c>
      <c r="M18">
        <v>4904613567.5040007</v>
      </c>
      <c r="N18">
        <v>345020585472</v>
      </c>
      <c r="O18">
        <v>20102015</v>
      </c>
      <c r="P18">
        <v>2010</v>
      </c>
      <c r="Q18">
        <v>1.97423180401412</v>
      </c>
      <c r="R18">
        <v>1.5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2.786</v>
      </c>
      <c r="AT18">
        <v>3.0009999999999999</v>
      </c>
      <c r="AU18" t="s">
        <v>420</v>
      </c>
      <c r="AV18">
        <v>1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2.8935</v>
      </c>
      <c r="CG18" t="s">
        <v>450</v>
      </c>
      <c r="CI18">
        <v>1.97423180401412</v>
      </c>
      <c r="CJ18">
        <v>1.5</v>
      </c>
      <c r="CK18">
        <v>1.7371159020070599</v>
      </c>
      <c r="CL18">
        <v>-0.18</v>
      </c>
      <c r="CM18">
        <v>1.55711590200706</v>
      </c>
    </row>
    <row r="19" spans="1:91" x14ac:dyDescent="0.25">
      <c r="A19">
        <v>73</v>
      </c>
      <c r="B19" t="s">
        <v>123</v>
      </c>
      <c r="C19" t="s">
        <v>223</v>
      </c>
      <c r="D19" t="s">
        <v>323</v>
      </c>
      <c r="E19" t="s">
        <v>402</v>
      </c>
      <c r="F19">
        <v>234974400</v>
      </c>
      <c r="G19">
        <v>18.719290000000001</v>
      </c>
      <c r="H19" t="s">
        <v>412</v>
      </c>
      <c r="I19">
        <v>4398553936.1760006</v>
      </c>
      <c r="J19" t="s">
        <v>416</v>
      </c>
      <c r="K19">
        <v>7606684.1957903598</v>
      </c>
      <c r="L19">
        <v>0.85</v>
      </c>
      <c r="M19">
        <v>3738770845.7495999</v>
      </c>
      <c r="N19">
        <v>415434739.19999999</v>
      </c>
      <c r="O19">
        <v>20102010</v>
      </c>
      <c r="P19">
        <v>2010</v>
      </c>
      <c r="Q19">
        <v>1.91599093280441</v>
      </c>
      <c r="R19">
        <v>1.5</v>
      </c>
      <c r="S19" t="s">
        <v>421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2.6269999999999998</v>
      </c>
      <c r="AT19">
        <v>2.7530000000000001</v>
      </c>
      <c r="AU19" t="s">
        <v>420</v>
      </c>
      <c r="AV19">
        <v>1</v>
      </c>
      <c r="AW19">
        <v>0</v>
      </c>
      <c r="AX19" t="s">
        <v>441</v>
      </c>
      <c r="AY19">
        <v>0</v>
      </c>
      <c r="AZ19">
        <v>0</v>
      </c>
      <c r="BA19">
        <v>0</v>
      </c>
      <c r="CE19">
        <v>2.69</v>
      </c>
      <c r="CG19" t="s">
        <v>450</v>
      </c>
      <c r="CI19">
        <v>1.91599093280441</v>
      </c>
      <c r="CJ19">
        <v>1.5</v>
      </c>
      <c r="CK19">
        <v>1.707995466402205</v>
      </c>
      <c r="CL19">
        <v>0.18</v>
      </c>
      <c r="CM19">
        <v>1.8879954664022049</v>
      </c>
    </row>
    <row r="20" spans="1:91" x14ac:dyDescent="0.25">
      <c r="A20">
        <v>1250</v>
      </c>
      <c r="B20" t="s">
        <v>124</v>
      </c>
      <c r="C20" t="s">
        <v>224</v>
      </c>
      <c r="D20" t="s">
        <v>324</v>
      </c>
      <c r="E20" t="s">
        <v>406</v>
      </c>
      <c r="F20">
        <v>59626810</v>
      </c>
      <c r="G20">
        <v>310.37360000000001</v>
      </c>
      <c r="H20" t="s">
        <v>414</v>
      </c>
      <c r="I20">
        <v>18506587676.216</v>
      </c>
      <c r="J20" t="s">
        <v>416</v>
      </c>
      <c r="K20">
        <v>37253581.499226198</v>
      </c>
      <c r="L20">
        <v>0.85</v>
      </c>
      <c r="M20">
        <v>15730599524.7836</v>
      </c>
      <c r="N20">
        <v>10045328680.700001</v>
      </c>
      <c r="O20">
        <v>20102010</v>
      </c>
      <c r="P20">
        <v>2010</v>
      </c>
      <c r="Q20">
        <v>1.9776400456237699</v>
      </c>
      <c r="R20">
        <v>2.39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3.0779999999999998</v>
      </c>
      <c r="AT20">
        <v>3.0640000000000001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3.0710000000000002</v>
      </c>
      <c r="CG20" t="s">
        <v>450</v>
      </c>
      <c r="CI20">
        <v>1.9776400456237699</v>
      </c>
      <c r="CJ20">
        <v>2.39</v>
      </c>
      <c r="CK20">
        <v>2.1838200228118851</v>
      </c>
      <c r="CL20">
        <v>-0.18</v>
      </c>
      <c r="CM20">
        <v>2.003820022811885</v>
      </c>
    </row>
    <row r="21" spans="1:91" x14ac:dyDescent="0.25">
      <c r="A21">
        <v>1007</v>
      </c>
      <c r="B21" t="s">
        <v>125</v>
      </c>
      <c r="C21" t="s">
        <v>225</v>
      </c>
      <c r="D21" t="s">
        <v>325</v>
      </c>
      <c r="E21" t="s">
        <v>399</v>
      </c>
      <c r="F21">
        <v>108382010</v>
      </c>
      <c r="G21">
        <v>52.44</v>
      </c>
      <c r="H21" t="s">
        <v>409</v>
      </c>
      <c r="I21">
        <v>5683552604.3999996</v>
      </c>
      <c r="J21" t="s">
        <v>415</v>
      </c>
      <c r="K21">
        <v>9590018.5647457596</v>
      </c>
      <c r="L21">
        <v>1</v>
      </c>
      <c r="M21">
        <v>5683552604.3999996</v>
      </c>
      <c r="N21">
        <v>21600534593</v>
      </c>
      <c r="O21">
        <v>20103015</v>
      </c>
      <c r="P21">
        <v>2010</v>
      </c>
      <c r="Q21">
        <v>1.9707580162642699</v>
      </c>
      <c r="R21">
        <v>2.7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2.4689999999999999</v>
      </c>
      <c r="AT21">
        <v>2.8260000000000001</v>
      </c>
      <c r="AU21" t="s">
        <v>420</v>
      </c>
      <c r="AV21">
        <v>1</v>
      </c>
      <c r="AW21">
        <v>0</v>
      </c>
      <c r="AX21" t="s">
        <v>438</v>
      </c>
      <c r="AY21">
        <v>0</v>
      </c>
      <c r="AZ21">
        <v>0</v>
      </c>
      <c r="BA21">
        <v>0</v>
      </c>
      <c r="CE21">
        <v>2.6475</v>
      </c>
      <c r="CG21" t="s">
        <v>450</v>
      </c>
      <c r="CI21">
        <v>1.9707580162642699</v>
      </c>
      <c r="CJ21">
        <v>2.7</v>
      </c>
      <c r="CK21">
        <v>2.3353790081321351</v>
      </c>
      <c r="CL21">
        <v>-0.18</v>
      </c>
      <c r="CM21">
        <v>2.1553790081321349</v>
      </c>
    </row>
    <row r="22" spans="1:91" x14ac:dyDescent="0.25">
      <c r="A22">
        <v>1279</v>
      </c>
      <c r="B22" t="s">
        <v>126</v>
      </c>
      <c r="C22" t="s">
        <v>226</v>
      </c>
      <c r="D22" t="s">
        <v>326</v>
      </c>
      <c r="E22" t="s">
        <v>406</v>
      </c>
      <c r="F22">
        <v>159455250</v>
      </c>
      <c r="G22">
        <v>138.75899999999999</v>
      </c>
      <c r="H22" t="s">
        <v>414</v>
      </c>
      <c r="I22">
        <v>22125851034.75</v>
      </c>
      <c r="J22" t="s">
        <v>416</v>
      </c>
      <c r="K22">
        <v>38963232.823840298</v>
      </c>
      <c r="L22">
        <v>0.75</v>
      </c>
      <c r="M22">
        <v>16594388276.0625</v>
      </c>
      <c r="N22">
        <v>23703022912.5</v>
      </c>
      <c r="O22">
        <v>20102015</v>
      </c>
      <c r="P22">
        <v>2010</v>
      </c>
      <c r="Q22">
        <v>1.74431611527946</v>
      </c>
      <c r="R22">
        <v>3.01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2.85</v>
      </c>
      <c r="AT22">
        <v>2.2160000000000002</v>
      </c>
      <c r="AU22" t="s">
        <v>420</v>
      </c>
      <c r="AV22">
        <v>1</v>
      </c>
      <c r="AW22">
        <v>0</v>
      </c>
      <c r="AX22" t="s">
        <v>446</v>
      </c>
      <c r="AY22">
        <v>0</v>
      </c>
      <c r="AZ22">
        <v>0</v>
      </c>
      <c r="BA22">
        <v>0</v>
      </c>
      <c r="CE22">
        <v>2.5329999999999999</v>
      </c>
      <c r="CG22" t="s">
        <v>450</v>
      </c>
      <c r="CI22">
        <v>1.74431611527946</v>
      </c>
      <c r="CJ22">
        <v>3.01</v>
      </c>
      <c r="CK22">
        <v>2.37715805763973</v>
      </c>
      <c r="CL22">
        <v>-0.18</v>
      </c>
      <c r="CM22">
        <v>2.1971580576397298</v>
      </c>
    </row>
    <row r="23" spans="1:91" x14ac:dyDescent="0.25">
      <c r="A23">
        <v>178</v>
      </c>
      <c r="B23" t="s">
        <v>518</v>
      </c>
      <c r="C23" t="s">
        <v>917</v>
      </c>
      <c r="D23" t="s">
        <v>1316</v>
      </c>
      <c r="E23" t="s">
        <v>398</v>
      </c>
      <c r="F23">
        <v>982424100</v>
      </c>
      <c r="G23">
        <v>22.05</v>
      </c>
      <c r="H23" t="s">
        <v>409</v>
      </c>
      <c r="I23">
        <v>21662451405</v>
      </c>
      <c r="J23" t="s">
        <v>415</v>
      </c>
      <c r="K23">
        <v>74110033.456483603</v>
      </c>
      <c r="L23">
        <v>1</v>
      </c>
      <c r="M23">
        <v>21662451405</v>
      </c>
      <c r="N23">
        <v>55074695046</v>
      </c>
      <c r="O23">
        <v>20103015</v>
      </c>
      <c r="P23">
        <v>2010</v>
      </c>
      <c r="Q23">
        <v>1.6931442341836</v>
      </c>
      <c r="R23">
        <v>3.1</v>
      </c>
      <c r="S23" t="s">
        <v>418</v>
      </c>
      <c r="T23" t="s">
        <v>423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2.6280000000000001</v>
      </c>
      <c r="AT23">
        <v>3.1920000000000002</v>
      </c>
      <c r="AU23" t="s">
        <v>420</v>
      </c>
      <c r="AV23">
        <v>1</v>
      </c>
      <c r="AW23">
        <v>0</v>
      </c>
      <c r="AX23" t="s">
        <v>437</v>
      </c>
      <c r="AY23">
        <v>0</v>
      </c>
      <c r="AZ23">
        <v>0</v>
      </c>
      <c r="BA23">
        <v>0</v>
      </c>
      <c r="CE23">
        <v>2.91</v>
      </c>
      <c r="CG23" t="s">
        <v>450</v>
      </c>
      <c r="CI23">
        <v>1.6931442341836</v>
      </c>
      <c r="CJ23">
        <v>3.1</v>
      </c>
      <c r="CK23">
        <v>2.3965721170918002</v>
      </c>
      <c r="CL23">
        <v>-0.18</v>
      </c>
      <c r="CM23">
        <v>2.2165721170918</v>
      </c>
    </row>
    <row r="24" spans="1:91" x14ac:dyDescent="0.25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19.524999999999999</v>
      </c>
      <c r="H24" t="s">
        <v>409</v>
      </c>
      <c r="I24">
        <v>23130664177.5</v>
      </c>
      <c r="J24" t="s">
        <v>415</v>
      </c>
      <c r="K24">
        <v>92864872.3770082</v>
      </c>
      <c r="L24">
        <v>0.8</v>
      </c>
      <c r="M24">
        <v>18504531342</v>
      </c>
      <c r="N24">
        <v>53130039796.800003</v>
      </c>
      <c r="O24">
        <v>30101010</v>
      </c>
      <c r="P24">
        <v>3010</v>
      </c>
      <c r="Q24">
        <v>1.9118214423098601</v>
      </c>
      <c r="R24">
        <v>1.5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2.3889999999999998</v>
      </c>
      <c r="AT24">
        <v>2.794</v>
      </c>
      <c r="AU24" t="s">
        <v>430</v>
      </c>
      <c r="AV24">
        <v>0</v>
      </c>
      <c r="AW24">
        <v>0</v>
      </c>
      <c r="AX24" t="s">
        <v>437</v>
      </c>
      <c r="AY24">
        <v>0</v>
      </c>
      <c r="AZ24">
        <v>0</v>
      </c>
      <c r="BA24">
        <v>0</v>
      </c>
      <c r="CE24">
        <v>2.5914999999999999</v>
      </c>
      <c r="CG24" t="s">
        <v>450</v>
      </c>
      <c r="CI24">
        <v>1.9118214423098601</v>
      </c>
      <c r="CJ24">
        <v>1.5</v>
      </c>
      <c r="CK24">
        <v>1.70591072115493</v>
      </c>
      <c r="CL24">
        <v>-0.18</v>
      </c>
      <c r="CM24">
        <v>1.5259107211549301</v>
      </c>
    </row>
    <row r="25" spans="1:91" x14ac:dyDescent="0.25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409</v>
      </c>
      <c r="I25">
        <v>14762300565.5</v>
      </c>
      <c r="J25" t="s">
        <v>415</v>
      </c>
      <c r="K25">
        <v>28502146.137509499</v>
      </c>
      <c r="L25">
        <v>0.9</v>
      </c>
      <c r="M25">
        <v>13286070508.950001</v>
      </c>
      <c r="N25">
        <v>4358837012.4000006</v>
      </c>
      <c r="O25">
        <v>30101010</v>
      </c>
      <c r="P25">
        <v>3010</v>
      </c>
      <c r="Q25">
        <v>1.99934707512142</v>
      </c>
      <c r="R25">
        <v>1.5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2.4860000000000002</v>
      </c>
      <c r="AT25">
        <v>3.169</v>
      </c>
      <c r="AU25" t="s">
        <v>430</v>
      </c>
      <c r="AV25">
        <v>0</v>
      </c>
      <c r="AW25">
        <v>0</v>
      </c>
      <c r="AX25" t="s">
        <v>436</v>
      </c>
      <c r="AY25">
        <v>0</v>
      </c>
      <c r="AZ25">
        <v>0</v>
      </c>
      <c r="BA25">
        <v>0</v>
      </c>
      <c r="CE25">
        <v>2.8275000000000001</v>
      </c>
      <c r="CG25" t="s">
        <v>450</v>
      </c>
      <c r="CI25">
        <v>1.99934707512142</v>
      </c>
      <c r="CJ25">
        <v>1.5</v>
      </c>
      <c r="CK25">
        <v>1.74967353756071</v>
      </c>
      <c r="CL25">
        <v>-0.18</v>
      </c>
      <c r="CM25">
        <v>1.56967353756071</v>
      </c>
    </row>
    <row r="26" spans="1:91" x14ac:dyDescent="0.25">
      <c r="A26">
        <v>665</v>
      </c>
      <c r="B26" t="s">
        <v>129</v>
      </c>
      <c r="C26" t="s">
        <v>229</v>
      </c>
      <c r="D26" t="s">
        <v>329</v>
      </c>
      <c r="E26" t="s">
        <v>404</v>
      </c>
      <c r="F26">
        <v>17803670501</v>
      </c>
      <c r="G26">
        <v>4.5205000000000002</v>
      </c>
      <c r="H26" t="s">
        <v>409</v>
      </c>
      <c r="I26">
        <v>80481492499.770508</v>
      </c>
      <c r="J26" t="s">
        <v>415</v>
      </c>
      <c r="K26">
        <v>260212884.25246701</v>
      </c>
      <c r="L26">
        <v>0.9</v>
      </c>
      <c r="M26">
        <v>72433343249.793457</v>
      </c>
      <c r="N26">
        <v>629395359551.35205</v>
      </c>
      <c r="O26">
        <v>30101010</v>
      </c>
      <c r="P26">
        <v>3010</v>
      </c>
      <c r="Q26">
        <v>1.99846386909479</v>
      </c>
      <c r="R26">
        <v>2.39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2.444</v>
      </c>
      <c r="AT26">
        <v>3.077</v>
      </c>
      <c r="AU26" t="s">
        <v>430</v>
      </c>
      <c r="AV26">
        <v>0</v>
      </c>
      <c r="AW26">
        <v>0</v>
      </c>
      <c r="AX26" t="s">
        <v>443</v>
      </c>
      <c r="AY26">
        <v>0</v>
      </c>
      <c r="AZ26">
        <v>0</v>
      </c>
      <c r="BA26">
        <v>0</v>
      </c>
      <c r="CE26">
        <v>2.7605</v>
      </c>
      <c r="CG26" t="s">
        <v>450</v>
      </c>
      <c r="CI26">
        <v>1.99846386909479</v>
      </c>
      <c r="CJ26">
        <v>2.39</v>
      </c>
      <c r="CK26">
        <v>2.1942319345473948</v>
      </c>
      <c r="CL26">
        <v>-0.3</v>
      </c>
      <c r="CM26">
        <v>1.894231934547395</v>
      </c>
    </row>
    <row r="27" spans="1:91" x14ac:dyDescent="0.25">
      <c r="A27">
        <v>723</v>
      </c>
      <c r="B27" t="s">
        <v>130</v>
      </c>
      <c r="C27" t="s">
        <v>230</v>
      </c>
      <c r="D27" t="s">
        <v>330</v>
      </c>
      <c r="E27" t="s">
        <v>407</v>
      </c>
      <c r="F27">
        <v>417544151</v>
      </c>
      <c r="G27">
        <v>81.3</v>
      </c>
      <c r="H27" t="s">
        <v>409</v>
      </c>
      <c r="I27">
        <v>33946339476.299999</v>
      </c>
      <c r="J27" t="s">
        <v>415</v>
      </c>
      <c r="K27">
        <v>34500356.415872999</v>
      </c>
      <c r="L27">
        <v>0.55000000000000004</v>
      </c>
      <c r="M27">
        <v>18670486711.965</v>
      </c>
      <c r="N27">
        <v>9020623838.2040005</v>
      </c>
      <c r="O27">
        <v>30101010</v>
      </c>
      <c r="P27">
        <v>3010</v>
      </c>
      <c r="Q27">
        <v>2.89333333333333</v>
      </c>
      <c r="R27">
        <v>1.5</v>
      </c>
      <c r="S27" t="s">
        <v>417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2.3780000000000001</v>
      </c>
      <c r="AT27">
        <v>2.879</v>
      </c>
      <c r="AU27" t="s">
        <v>430</v>
      </c>
      <c r="AV27">
        <v>0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2.6284999999999998</v>
      </c>
      <c r="CG27" t="s">
        <v>450</v>
      </c>
      <c r="CI27">
        <v>2.89333333333333</v>
      </c>
      <c r="CJ27">
        <v>1.5</v>
      </c>
      <c r="CK27">
        <v>2.196666666666665</v>
      </c>
      <c r="CL27">
        <v>-0.3</v>
      </c>
      <c r="CM27">
        <v>1.8966666666666649</v>
      </c>
    </row>
    <row r="28" spans="1:91" x14ac:dyDescent="0.25">
      <c r="A28">
        <v>1239</v>
      </c>
      <c r="B28" t="s">
        <v>131</v>
      </c>
      <c r="C28" t="s">
        <v>231</v>
      </c>
      <c r="D28" t="s">
        <v>331</v>
      </c>
      <c r="E28" t="s">
        <v>394</v>
      </c>
      <c r="F28">
        <v>800316777</v>
      </c>
      <c r="G28">
        <v>37.835000000000001</v>
      </c>
      <c r="H28" t="s">
        <v>409</v>
      </c>
      <c r="I28">
        <v>30279985257.794998</v>
      </c>
      <c r="J28" t="s">
        <v>415</v>
      </c>
      <c r="K28">
        <v>97163081.891071394</v>
      </c>
      <c r="L28">
        <v>0.9</v>
      </c>
      <c r="M28">
        <v>27251986732.015499</v>
      </c>
      <c r="N28">
        <v>142760506681.26001</v>
      </c>
      <c r="O28">
        <v>30101010</v>
      </c>
      <c r="P28">
        <v>3010</v>
      </c>
      <c r="Q28">
        <v>2.89333333333333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2.452</v>
      </c>
      <c r="AT28">
        <v>3.1869999999999998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2.8195000000000001</v>
      </c>
      <c r="CG28" t="s">
        <v>450</v>
      </c>
      <c r="CI28">
        <v>2.89333333333333</v>
      </c>
      <c r="CJ28">
        <v>1.5</v>
      </c>
      <c r="CK28">
        <v>2.196666666666665</v>
      </c>
      <c r="CL28">
        <v>-0.24</v>
      </c>
      <c r="CM28">
        <v>1.956666666666665</v>
      </c>
    </row>
    <row r="29" spans="1:91" x14ac:dyDescent="0.25">
      <c r="A29">
        <v>161</v>
      </c>
      <c r="B29" t="s">
        <v>132</v>
      </c>
      <c r="C29" t="s">
        <v>232</v>
      </c>
      <c r="D29" t="s">
        <v>332</v>
      </c>
      <c r="E29" t="s">
        <v>401</v>
      </c>
      <c r="F29">
        <v>15152492000</v>
      </c>
      <c r="G29">
        <v>5.8840000000000003</v>
      </c>
      <c r="H29" t="s">
        <v>409</v>
      </c>
      <c r="I29">
        <v>89157262928</v>
      </c>
      <c r="J29" t="s">
        <v>415</v>
      </c>
      <c r="K29">
        <v>149229392.385506</v>
      </c>
      <c r="L29">
        <v>1</v>
      </c>
      <c r="M29">
        <v>89157262928</v>
      </c>
      <c r="N29">
        <v>412450832240</v>
      </c>
      <c r="O29">
        <v>30101010</v>
      </c>
      <c r="P29">
        <v>3010</v>
      </c>
      <c r="Q29">
        <v>3.1466666666666598</v>
      </c>
      <c r="R29">
        <v>1.5</v>
      </c>
      <c r="S29" t="s">
        <v>417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2.3980000000000001</v>
      </c>
      <c r="AT29">
        <v>3.1459999999999999</v>
      </c>
      <c r="AU29" t="s">
        <v>430</v>
      </c>
      <c r="AV29">
        <v>0</v>
      </c>
      <c r="AW29">
        <v>0</v>
      </c>
      <c r="AX29" t="s">
        <v>440</v>
      </c>
      <c r="AY29">
        <v>0</v>
      </c>
      <c r="AZ29">
        <v>0</v>
      </c>
      <c r="BA29">
        <v>0</v>
      </c>
      <c r="CE29">
        <v>2.7719999999999998</v>
      </c>
      <c r="CG29" t="s">
        <v>450</v>
      </c>
      <c r="CI29">
        <v>3.1466666666666598</v>
      </c>
      <c r="CJ29">
        <v>1.5</v>
      </c>
      <c r="CK29">
        <v>2.3233333333333301</v>
      </c>
      <c r="CL29">
        <v>-0.3</v>
      </c>
      <c r="CM29">
        <v>2.0233333333333299</v>
      </c>
    </row>
    <row r="30" spans="1:91" x14ac:dyDescent="0.25">
      <c r="A30">
        <v>338</v>
      </c>
      <c r="B30" t="s">
        <v>133</v>
      </c>
      <c r="C30" t="s">
        <v>233</v>
      </c>
      <c r="D30" t="s">
        <v>333</v>
      </c>
      <c r="E30" t="s">
        <v>394</v>
      </c>
      <c r="F30">
        <v>3025902350</v>
      </c>
      <c r="G30">
        <v>15.64</v>
      </c>
      <c r="H30" t="s">
        <v>409</v>
      </c>
      <c r="I30">
        <v>47325112754</v>
      </c>
      <c r="J30" t="s">
        <v>415</v>
      </c>
      <c r="K30">
        <v>92791251.722857103</v>
      </c>
      <c r="L30">
        <v>0.3</v>
      </c>
      <c r="M30">
        <v>14197533826.200001</v>
      </c>
      <c r="N30">
        <v>190994956332</v>
      </c>
      <c r="O30">
        <v>30101010</v>
      </c>
      <c r="P30">
        <v>3010</v>
      </c>
      <c r="Q30">
        <v>3.2733333333333299</v>
      </c>
      <c r="R30">
        <v>1.5</v>
      </c>
      <c r="S30" t="s">
        <v>419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2.1840000000000002</v>
      </c>
      <c r="AT30">
        <v>2.8410000000000002</v>
      </c>
      <c r="AU30" t="s">
        <v>430</v>
      </c>
      <c r="AV30">
        <v>0</v>
      </c>
      <c r="AW30">
        <v>0</v>
      </c>
      <c r="AX30" t="s">
        <v>433</v>
      </c>
      <c r="AY30">
        <v>0</v>
      </c>
      <c r="AZ30">
        <v>0</v>
      </c>
      <c r="BA30">
        <v>0</v>
      </c>
      <c r="CE30">
        <v>2.5125000000000002</v>
      </c>
      <c r="CG30" t="s">
        <v>450</v>
      </c>
      <c r="CI30">
        <v>3.2733333333333299</v>
      </c>
      <c r="CJ30">
        <v>1.5</v>
      </c>
      <c r="CK30">
        <v>2.3866666666666649</v>
      </c>
      <c r="CL30">
        <v>-0.24</v>
      </c>
      <c r="CM30">
        <v>2.1466666666666652</v>
      </c>
    </row>
    <row r="31" spans="1:91" x14ac:dyDescent="0.25">
      <c r="A31">
        <v>203</v>
      </c>
      <c r="B31" t="s">
        <v>134</v>
      </c>
      <c r="C31" t="s">
        <v>234</v>
      </c>
      <c r="D31" t="s">
        <v>334</v>
      </c>
      <c r="E31" t="s">
        <v>394</v>
      </c>
      <c r="F31">
        <v>1130810671</v>
      </c>
      <c r="G31">
        <v>71.12</v>
      </c>
      <c r="H31" t="s">
        <v>409</v>
      </c>
      <c r="I31">
        <v>80423254921.520004</v>
      </c>
      <c r="J31" t="s">
        <v>415</v>
      </c>
      <c r="K31">
        <v>181499028.285079</v>
      </c>
      <c r="L31">
        <v>0.95000000000000007</v>
      </c>
      <c r="M31">
        <v>76402092175.444016</v>
      </c>
      <c r="N31">
        <v>60223583905.447006</v>
      </c>
      <c r="O31">
        <v>30101010</v>
      </c>
      <c r="P31">
        <v>3010</v>
      </c>
      <c r="Q31">
        <v>3.3054605885148698</v>
      </c>
      <c r="R31">
        <v>1.5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2.3250000000000002</v>
      </c>
      <c r="AT31">
        <v>3.2959999999999998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2.8105000000000002</v>
      </c>
      <c r="CG31" t="s">
        <v>450</v>
      </c>
      <c r="CI31">
        <v>3.3054605885148698</v>
      </c>
      <c r="CJ31">
        <v>1.5</v>
      </c>
      <c r="CK31">
        <v>2.4027302942574349</v>
      </c>
      <c r="CL31">
        <v>-0.24</v>
      </c>
      <c r="CM31">
        <v>2.1627302942574351</v>
      </c>
    </row>
    <row r="32" spans="1:91" x14ac:dyDescent="0.25">
      <c r="A32">
        <v>212</v>
      </c>
      <c r="B32" t="s">
        <v>135</v>
      </c>
      <c r="C32" t="s">
        <v>235</v>
      </c>
      <c r="D32" t="s">
        <v>335</v>
      </c>
      <c r="E32" t="s">
        <v>406</v>
      </c>
      <c r="F32">
        <v>86061900</v>
      </c>
      <c r="G32">
        <v>100.7996</v>
      </c>
      <c r="H32" t="s">
        <v>414</v>
      </c>
      <c r="I32">
        <v>8675005095.2399998</v>
      </c>
      <c r="J32" t="s">
        <v>416</v>
      </c>
      <c r="K32">
        <v>7565856.8700409401</v>
      </c>
      <c r="L32">
        <v>0.35</v>
      </c>
      <c r="M32">
        <v>3036251783.3340001</v>
      </c>
      <c r="N32">
        <v>1688620539.9000001</v>
      </c>
      <c r="O32">
        <v>30101010</v>
      </c>
      <c r="P32">
        <v>3010</v>
      </c>
      <c r="Q32">
        <v>2.7183589714236498</v>
      </c>
      <c r="R32">
        <v>2.08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2.3719999999999999</v>
      </c>
      <c r="AT32">
        <v>2.5950000000000002</v>
      </c>
      <c r="AU32" t="s">
        <v>430</v>
      </c>
      <c r="AV32">
        <v>0</v>
      </c>
      <c r="AW32">
        <v>0</v>
      </c>
      <c r="AX32" t="s">
        <v>446</v>
      </c>
      <c r="AY32">
        <v>0</v>
      </c>
      <c r="AZ32">
        <v>0</v>
      </c>
      <c r="BA32">
        <v>0</v>
      </c>
      <c r="CE32">
        <v>2.4834999999999998</v>
      </c>
      <c r="CG32" t="s">
        <v>450</v>
      </c>
      <c r="CI32">
        <v>2.7183589714236498</v>
      </c>
      <c r="CJ32">
        <v>2.08</v>
      </c>
      <c r="CK32">
        <v>2.3991794857118252</v>
      </c>
      <c r="CL32">
        <v>-0.18</v>
      </c>
      <c r="CM32">
        <v>2.219179485711825</v>
      </c>
    </row>
    <row r="33" spans="1:91" x14ac:dyDescent="0.25">
      <c r="A33">
        <v>1431</v>
      </c>
      <c r="B33" t="s">
        <v>136</v>
      </c>
      <c r="C33" t="s">
        <v>236</v>
      </c>
      <c r="D33" t="s">
        <v>336</v>
      </c>
      <c r="E33" t="s">
        <v>404</v>
      </c>
      <c r="F33">
        <v>1557675176</v>
      </c>
      <c r="G33">
        <v>47.784999999999997</v>
      </c>
      <c r="H33" t="s">
        <v>409</v>
      </c>
      <c r="I33">
        <v>74433508285.159988</v>
      </c>
      <c r="J33" t="s">
        <v>415</v>
      </c>
      <c r="K33">
        <v>328954382.36553299</v>
      </c>
      <c r="L33">
        <v>1</v>
      </c>
      <c r="M33">
        <v>74433508285.159988</v>
      </c>
      <c r="N33">
        <v>157948262846.39999</v>
      </c>
      <c r="O33">
        <v>30101010</v>
      </c>
      <c r="P33">
        <v>3010</v>
      </c>
      <c r="Q33">
        <v>3.4</v>
      </c>
      <c r="R33">
        <v>1.5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2.355</v>
      </c>
      <c r="AT33">
        <v>3.0659999999999998</v>
      </c>
      <c r="AU33" t="s">
        <v>430</v>
      </c>
      <c r="AV33">
        <v>0</v>
      </c>
      <c r="AW33">
        <v>0</v>
      </c>
      <c r="AX33" t="s">
        <v>443</v>
      </c>
      <c r="AY33">
        <v>0</v>
      </c>
      <c r="AZ33">
        <v>0</v>
      </c>
      <c r="BA33">
        <v>0</v>
      </c>
      <c r="CE33">
        <v>2.7105000000000001</v>
      </c>
      <c r="CG33" t="s">
        <v>450</v>
      </c>
      <c r="CI33">
        <v>3.4</v>
      </c>
      <c r="CJ33">
        <v>1.5</v>
      </c>
      <c r="CK33">
        <v>2.4500000000000002</v>
      </c>
      <c r="CL33">
        <v>-0.18</v>
      </c>
      <c r="CM33">
        <v>2.27</v>
      </c>
    </row>
    <row r="34" spans="1:91" x14ac:dyDescent="0.25">
      <c r="A34">
        <v>919</v>
      </c>
      <c r="B34" t="s">
        <v>137</v>
      </c>
      <c r="C34" t="s">
        <v>237</v>
      </c>
      <c r="D34" t="s">
        <v>337</v>
      </c>
      <c r="E34" t="s">
        <v>403</v>
      </c>
      <c r="F34">
        <v>8058562000</v>
      </c>
      <c r="G34">
        <v>5.4620050000000004</v>
      </c>
      <c r="H34" t="s">
        <v>413</v>
      </c>
      <c r="I34">
        <v>44015905936.810013</v>
      </c>
      <c r="J34" t="s">
        <v>416</v>
      </c>
      <c r="K34">
        <v>81343299.2132736</v>
      </c>
      <c r="L34">
        <v>0.9</v>
      </c>
      <c r="M34">
        <v>39614315343.129013</v>
      </c>
      <c r="N34">
        <v>1445464265940</v>
      </c>
      <c r="O34">
        <v>30101010</v>
      </c>
      <c r="P34">
        <v>3010</v>
      </c>
      <c r="Q34">
        <v>1.9993421653535901</v>
      </c>
      <c r="S34" t="s">
        <v>419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2.4140000000000001</v>
      </c>
      <c r="AT34">
        <v>2.734</v>
      </c>
      <c r="AU34" t="s">
        <v>430</v>
      </c>
      <c r="AV34">
        <v>0</v>
      </c>
      <c r="AW34">
        <v>0</v>
      </c>
      <c r="AX34" t="s">
        <v>442</v>
      </c>
      <c r="AY34">
        <v>0</v>
      </c>
      <c r="AZ34">
        <v>0</v>
      </c>
      <c r="BA34">
        <v>0</v>
      </c>
      <c r="CE34">
        <v>2.5739999999999998</v>
      </c>
      <c r="CG34" t="s">
        <v>450</v>
      </c>
      <c r="CI34">
        <v>1.9993421653535901</v>
      </c>
      <c r="CJ34">
        <v>3.1</v>
      </c>
      <c r="CK34">
        <v>2.5496710826767952</v>
      </c>
      <c r="CL34">
        <v>-0.24</v>
      </c>
      <c r="CM34">
        <v>2.309671082676795</v>
      </c>
    </row>
    <row r="35" spans="1:91" x14ac:dyDescent="0.25">
      <c r="A35">
        <v>165</v>
      </c>
      <c r="B35" t="s">
        <v>138</v>
      </c>
      <c r="C35" t="s">
        <v>238</v>
      </c>
      <c r="D35" t="s">
        <v>338</v>
      </c>
      <c r="E35" t="s">
        <v>397</v>
      </c>
      <c r="F35">
        <v>1003409101</v>
      </c>
      <c r="G35">
        <v>10.44</v>
      </c>
      <c r="H35" t="s">
        <v>409</v>
      </c>
      <c r="I35">
        <v>10475591014.440001</v>
      </c>
      <c r="J35" t="s">
        <v>415</v>
      </c>
      <c r="K35">
        <v>17800026.3292921</v>
      </c>
      <c r="L35">
        <v>1</v>
      </c>
      <c r="M35">
        <v>10475591014.440001</v>
      </c>
      <c r="N35">
        <v>27312795729.220001</v>
      </c>
      <c r="O35">
        <v>30101010</v>
      </c>
      <c r="P35">
        <v>3010</v>
      </c>
      <c r="Q35">
        <v>1.9796332440151201</v>
      </c>
      <c r="S35" t="s">
        <v>420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2.3170000000000002</v>
      </c>
      <c r="AT35">
        <v>2.5430000000000001</v>
      </c>
      <c r="AU35" t="s">
        <v>430</v>
      </c>
      <c r="AV35">
        <v>0</v>
      </c>
      <c r="AW35">
        <v>0</v>
      </c>
      <c r="AX35" t="s">
        <v>436</v>
      </c>
      <c r="AY35">
        <v>0</v>
      </c>
      <c r="AZ35">
        <v>0</v>
      </c>
      <c r="BA35">
        <v>0</v>
      </c>
      <c r="CE35">
        <v>2.4300000000000002</v>
      </c>
      <c r="CG35" t="s">
        <v>450</v>
      </c>
      <c r="CI35">
        <v>1.9796332440151201</v>
      </c>
      <c r="CJ35">
        <v>3.1</v>
      </c>
      <c r="CK35">
        <v>2.5398166220075602</v>
      </c>
      <c r="CL35">
        <v>0</v>
      </c>
      <c r="CM35">
        <v>2.5398166220075602</v>
      </c>
    </row>
    <row r="36" spans="1:91" x14ac:dyDescent="0.25">
      <c r="A36">
        <v>1266</v>
      </c>
      <c r="B36" t="s">
        <v>791</v>
      </c>
      <c r="C36" t="s">
        <v>1190</v>
      </c>
      <c r="D36" t="s">
        <v>1589</v>
      </c>
      <c r="E36" t="s">
        <v>403</v>
      </c>
      <c r="F36">
        <v>2414227500</v>
      </c>
      <c r="G36">
        <v>14.3018</v>
      </c>
      <c r="H36" t="s">
        <v>413</v>
      </c>
      <c r="I36">
        <v>34527798859.5</v>
      </c>
      <c r="J36" t="s">
        <v>416</v>
      </c>
      <c r="K36">
        <v>49461386.726039</v>
      </c>
      <c r="L36">
        <v>0.8</v>
      </c>
      <c r="M36">
        <v>27622239087.599998</v>
      </c>
      <c r="N36">
        <v>382799912400</v>
      </c>
      <c r="O36">
        <v>30101010</v>
      </c>
      <c r="P36">
        <v>3010</v>
      </c>
      <c r="Q36">
        <v>3.4</v>
      </c>
      <c r="R36">
        <v>1.77</v>
      </c>
      <c r="S36" t="s">
        <v>420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2.1509999999999998</v>
      </c>
      <c r="AT36">
        <v>3.052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2.6015000000000001</v>
      </c>
      <c r="CG36" t="s">
        <v>450</v>
      </c>
      <c r="CI36">
        <v>3.4</v>
      </c>
      <c r="CJ36">
        <v>1.77</v>
      </c>
      <c r="CK36">
        <v>2.585</v>
      </c>
      <c r="CL36">
        <v>0</v>
      </c>
      <c r="CM36">
        <v>2.585</v>
      </c>
    </row>
    <row r="37" spans="1:91" x14ac:dyDescent="0.25">
      <c r="A37">
        <v>712</v>
      </c>
      <c r="B37" t="s">
        <v>139</v>
      </c>
      <c r="C37" t="s">
        <v>239</v>
      </c>
      <c r="D37" t="s">
        <v>339</v>
      </c>
      <c r="E37" t="s">
        <v>406</v>
      </c>
      <c r="F37">
        <v>206001790</v>
      </c>
      <c r="G37">
        <v>62.627630000000003</v>
      </c>
      <c r="H37" t="s">
        <v>414</v>
      </c>
      <c r="I37">
        <v>12901403883.457701</v>
      </c>
      <c r="J37" t="s">
        <v>416</v>
      </c>
      <c r="K37">
        <v>34741508.719351202</v>
      </c>
      <c r="L37">
        <v>1</v>
      </c>
      <c r="M37">
        <v>12901403883.457701</v>
      </c>
      <c r="N37">
        <v>8091750311.1999998</v>
      </c>
      <c r="O37">
        <v>30202010</v>
      </c>
      <c r="P37">
        <v>3020</v>
      </c>
      <c r="Q37">
        <v>1.9981674720073901</v>
      </c>
      <c r="R37">
        <v>2.7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2.1840000000000002</v>
      </c>
      <c r="AT37">
        <v>2.6669999999999998</v>
      </c>
      <c r="AU37" t="s">
        <v>430</v>
      </c>
      <c r="AV37">
        <v>0</v>
      </c>
      <c r="AW37">
        <v>0</v>
      </c>
      <c r="AX37" t="s">
        <v>446</v>
      </c>
      <c r="AY37">
        <v>0</v>
      </c>
      <c r="AZ37">
        <v>0</v>
      </c>
      <c r="BA37">
        <v>0</v>
      </c>
      <c r="CE37">
        <v>2.4255</v>
      </c>
      <c r="CG37" t="s">
        <v>450</v>
      </c>
      <c r="CI37">
        <v>1.9981674720073901</v>
      </c>
      <c r="CJ37">
        <v>2.7</v>
      </c>
      <c r="CK37">
        <v>2.3490837360036951</v>
      </c>
      <c r="CL37">
        <v>-0.18</v>
      </c>
      <c r="CM37">
        <v>2.169083736003695</v>
      </c>
    </row>
    <row r="38" spans="1:91" x14ac:dyDescent="0.25">
      <c r="A38">
        <v>533</v>
      </c>
      <c r="B38" t="s">
        <v>140</v>
      </c>
      <c r="C38" t="s">
        <v>240</v>
      </c>
      <c r="D38" t="s">
        <v>340</v>
      </c>
      <c r="E38" t="s">
        <v>407</v>
      </c>
      <c r="F38">
        <v>138400000</v>
      </c>
      <c r="G38">
        <v>68.55</v>
      </c>
      <c r="H38" t="s">
        <v>409</v>
      </c>
      <c r="I38">
        <v>9487320000</v>
      </c>
      <c r="J38" t="s">
        <v>415</v>
      </c>
      <c r="K38">
        <v>6900889.3166666701</v>
      </c>
      <c r="L38">
        <v>0.55000000000000004</v>
      </c>
      <c r="M38">
        <v>5218026000</v>
      </c>
      <c r="N38">
        <v>1382719800</v>
      </c>
      <c r="O38">
        <v>30202000</v>
      </c>
      <c r="P38">
        <v>3020</v>
      </c>
      <c r="Q38">
        <v>1.8920544675342099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2.2050000000000001</v>
      </c>
      <c r="AT38">
        <v>2.8639999999999999</v>
      </c>
      <c r="AU38" t="s">
        <v>430</v>
      </c>
      <c r="AV38">
        <v>0</v>
      </c>
      <c r="AW38">
        <v>0</v>
      </c>
      <c r="AX38" t="s">
        <v>447</v>
      </c>
      <c r="AY38">
        <v>0</v>
      </c>
      <c r="AZ38">
        <v>0</v>
      </c>
      <c r="BA38">
        <v>0</v>
      </c>
      <c r="CE38">
        <v>2.5345</v>
      </c>
      <c r="CG38" t="s">
        <v>450</v>
      </c>
      <c r="CI38">
        <v>1.8920544675342099</v>
      </c>
      <c r="CJ38">
        <v>3.1</v>
      </c>
      <c r="CK38">
        <v>2.496027233767105</v>
      </c>
      <c r="CL38">
        <v>-0.3</v>
      </c>
      <c r="CM38">
        <v>2.1960272337671052</v>
      </c>
    </row>
    <row r="39" spans="1:91" x14ac:dyDescent="0.25">
      <c r="A39">
        <v>384</v>
      </c>
      <c r="B39" t="s">
        <v>141</v>
      </c>
      <c r="C39" t="s">
        <v>241</v>
      </c>
      <c r="D39" t="s">
        <v>341</v>
      </c>
      <c r="E39" t="s">
        <v>398</v>
      </c>
      <c r="F39">
        <v>188300000</v>
      </c>
      <c r="G39">
        <v>246.4</v>
      </c>
      <c r="H39" t="s">
        <v>409</v>
      </c>
      <c r="I39">
        <v>46397120000</v>
      </c>
      <c r="J39" t="s">
        <v>415</v>
      </c>
      <c r="K39">
        <v>64953417.481147498</v>
      </c>
      <c r="L39">
        <v>1</v>
      </c>
      <c r="M39">
        <v>46397120000</v>
      </c>
      <c r="N39">
        <v>7865291000.000001</v>
      </c>
      <c r="O39">
        <v>30202015</v>
      </c>
      <c r="P39">
        <v>3020</v>
      </c>
      <c r="Q39">
        <v>1.73908167025175</v>
      </c>
      <c r="S39" t="s">
        <v>418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2.3820000000000001</v>
      </c>
      <c r="AT39">
        <v>3.2309999999999999</v>
      </c>
      <c r="AU39" t="s">
        <v>430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2.8065000000000002</v>
      </c>
      <c r="CG39" t="s">
        <v>450</v>
      </c>
      <c r="CI39">
        <v>1.73908167025175</v>
      </c>
      <c r="CJ39">
        <v>3.1</v>
      </c>
      <c r="CK39">
        <v>2.4195408351258751</v>
      </c>
      <c r="CL39">
        <v>-0.18</v>
      </c>
      <c r="CM39">
        <v>2.239540835125875</v>
      </c>
    </row>
    <row r="40" spans="1:91" x14ac:dyDescent="0.25">
      <c r="A40">
        <v>806</v>
      </c>
      <c r="B40" t="s">
        <v>142</v>
      </c>
      <c r="C40" t="s">
        <v>242</v>
      </c>
      <c r="D40" t="s">
        <v>342</v>
      </c>
      <c r="E40" t="s">
        <v>403</v>
      </c>
      <c r="F40">
        <v>531451840</v>
      </c>
      <c r="G40">
        <v>140.05609999999999</v>
      </c>
      <c r="H40" t="s">
        <v>413</v>
      </c>
      <c r="I40">
        <v>74433072048.223999</v>
      </c>
      <c r="J40" t="s">
        <v>416</v>
      </c>
      <c r="K40">
        <v>76651155.451063305</v>
      </c>
      <c r="L40">
        <v>0.95</v>
      </c>
      <c r="M40">
        <v>70711418445.81279</v>
      </c>
      <c r="N40">
        <v>19831656861.439999</v>
      </c>
      <c r="O40">
        <v>30201030</v>
      </c>
      <c r="P40">
        <v>3020</v>
      </c>
      <c r="Q40">
        <v>1.9964408278924499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2.3010000000000002</v>
      </c>
      <c r="AT40">
        <v>3.03</v>
      </c>
      <c r="AU40" t="s">
        <v>430</v>
      </c>
      <c r="AV40">
        <v>0</v>
      </c>
      <c r="AW40">
        <v>0</v>
      </c>
      <c r="AX40" t="s">
        <v>442</v>
      </c>
      <c r="AY40">
        <v>0</v>
      </c>
      <c r="AZ40">
        <v>0</v>
      </c>
      <c r="BA40">
        <v>0</v>
      </c>
      <c r="CE40">
        <v>2.6655000000000002</v>
      </c>
      <c r="CG40" t="s">
        <v>450</v>
      </c>
      <c r="CI40">
        <v>1.9964408278924499</v>
      </c>
      <c r="CJ40">
        <v>3.1</v>
      </c>
      <c r="CK40">
        <v>2.548220413946225</v>
      </c>
      <c r="CL40">
        <v>-0.24</v>
      </c>
      <c r="CM40">
        <v>2.3082204139462248</v>
      </c>
    </row>
    <row r="41" spans="1:91" x14ac:dyDescent="0.25">
      <c r="A41">
        <v>660</v>
      </c>
      <c r="B41" t="s">
        <v>143</v>
      </c>
      <c r="C41" t="s">
        <v>243</v>
      </c>
      <c r="D41" t="s">
        <v>343</v>
      </c>
      <c r="E41" t="s">
        <v>403</v>
      </c>
      <c r="F41">
        <v>290636470</v>
      </c>
      <c r="G41">
        <v>28.9421</v>
      </c>
      <c r="H41" t="s">
        <v>413</v>
      </c>
      <c r="I41">
        <v>8411629778.3870001</v>
      </c>
      <c r="J41" t="s">
        <v>416</v>
      </c>
      <c r="K41">
        <v>15022768.651234301</v>
      </c>
      <c r="L41">
        <v>1</v>
      </c>
      <c r="M41">
        <v>8411629778.3870001</v>
      </c>
      <c r="N41">
        <v>11416200541.6</v>
      </c>
      <c r="O41">
        <v>30202010</v>
      </c>
      <c r="P41">
        <v>3020</v>
      </c>
      <c r="Q41">
        <v>1.9965141737727501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2.117</v>
      </c>
      <c r="AT41">
        <v>2.9159999999999999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2.5165000000000002</v>
      </c>
      <c r="CG41" t="s">
        <v>450</v>
      </c>
      <c r="CI41">
        <v>1.9965141737727501</v>
      </c>
      <c r="CJ41">
        <v>3.1</v>
      </c>
      <c r="CK41">
        <v>2.548257086886375</v>
      </c>
      <c r="CL41">
        <v>-0.24</v>
      </c>
      <c r="CM41">
        <v>2.3082570868863752</v>
      </c>
    </row>
    <row r="42" spans="1:91" x14ac:dyDescent="0.25">
      <c r="A42">
        <v>470</v>
      </c>
      <c r="B42" t="s">
        <v>144</v>
      </c>
      <c r="C42" t="s">
        <v>244</v>
      </c>
      <c r="D42" t="s">
        <v>344</v>
      </c>
      <c r="E42" t="s">
        <v>394</v>
      </c>
      <c r="F42">
        <v>104235507</v>
      </c>
      <c r="G42">
        <v>119</v>
      </c>
      <c r="H42" t="s">
        <v>409</v>
      </c>
      <c r="I42">
        <v>12404025333</v>
      </c>
      <c r="J42" t="s">
        <v>415</v>
      </c>
      <c r="K42">
        <v>23304182.974603198</v>
      </c>
      <c r="L42">
        <v>0.75</v>
      </c>
      <c r="M42">
        <v>9303018999.75</v>
      </c>
      <c r="N42">
        <v>1420078488.49125</v>
      </c>
      <c r="O42">
        <v>30202015</v>
      </c>
      <c r="P42">
        <v>3020</v>
      </c>
      <c r="Q42">
        <v>1.97838083490229</v>
      </c>
      <c r="R42">
        <v>3.1</v>
      </c>
      <c r="S42" t="s">
        <v>418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2.37</v>
      </c>
      <c r="AT42">
        <v>3.1080000000000001</v>
      </c>
      <c r="AU42" t="s">
        <v>430</v>
      </c>
      <c r="AV42">
        <v>0</v>
      </c>
      <c r="AW42">
        <v>0</v>
      </c>
      <c r="AX42" t="s">
        <v>445</v>
      </c>
      <c r="AY42">
        <v>0</v>
      </c>
      <c r="AZ42">
        <v>0</v>
      </c>
      <c r="BA42">
        <v>0</v>
      </c>
      <c r="CE42">
        <v>2.7389999999999999</v>
      </c>
      <c r="CG42" t="s">
        <v>450</v>
      </c>
      <c r="CI42">
        <v>1.97838083490229</v>
      </c>
      <c r="CJ42">
        <v>3.1</v>
      </c>
      <c r="CK42">
        <v>2.5391904174511448</v>
      </c>
      <c r="CL42">
        <v>-0.18</v>
      </c>
      <c r="CM42">
        <v>2.3591904174511451</v>
      </c>
    </row>
    <row r="43" spans="1:91" x14ac:dyDescent="0.25">
      <c r="A43">
        <v>455</v>
      </c>
      <c r="B43" t="s">
        <v>586</v>
      </c>
      <c r="C43" t="s">
        <v>985</v>
      </c>
      <c r="D43" t="s">
        <v>1384</v>
      </c>
      <c r="E43" t="s">
        <v>395</v>
      </c>
      <c r="F43">
        <v>1241125400</v>
      </c>
      <c r="G43">
        <v>31.462900000000001</v>
      </c>
      <c r="H43" t="s">
        <v>410</v>
      </c>
      <c r="I43">
        <v>39049404347.660004</v>
      </c>
      <c r="J43" t="s">
        <v>416</v>
      </c>
      <c r="K43">
        <v>31946725.174529798</v>
      </c>
      <c r="L43">
        <v>0.65</v>
      </c>
      <c r="M43">
        <v>25382112825.979</v>
      </c>
      <c r="N43">
        <v>14654277879.15</v>
      </c>
      <c r="O43">
        <v>30202010</v>
      </c>
      <c r="P43">
        <v>3020</v>
      </c>
      <c r="Q43">
        <v>1.9422809457579899</v>
      </c>
      <c r="S43" t="s">
        <v>424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2.0419999999999998</v>
      </c>
      <c r="AT43">
        <v>3.4140000000000001</v>
      </c>
      <c r="AU43" t="s">
        <v>430</v>
      </c>
      <c r="AV43">
        <v>0</v>
      </c>
      <c r="AW43">
        <v>0</v>
      </c>
      <c r="AX43" t="s">
        <v>434</v>
      </c>
      <c r="AY43">
        <v>0</v>
      </c>
      <c r="AZ43">
        <v>0</v>
      </c>
      <c r="BA43">
        <v>0</v>
      </c>
      <c r="CE43">
        <v>2.7280000000000002</v>
      </c>
      <c r="CG43" t="s">
        <v>450</v>
      </c>
      <c r="CI43">
        <v>1.9422809457579899</v>
      </c>
      <c r="CJ43">
        <v>3.1</v>
      </c>
      <c r="CK43">
        <v>2.521140472878995</v>
      </c>
      <c r="CL43">
        <v>0.3</v>
      </c>
      <c r="CM43">
        <v>2.8211404728789948</v>
      </c>
    </row>
    <row r="44" spans="1:91" x14ac:dyDescent="0.25">
      <c r="A44">
        <v>786</v>
      </c>
      <c r="B44" t="s">
        <v>145</v>
      </c>
      <c r="C44" t="s">
        <v>245</v>
      </c>
      <c r="D44" t="s">
        <v>345</v>
      </c>
      <c r="E44" t="s">
        <v>403</v>
      </c>
      <c r="F44">
        <v>5893244000</v>
      </c>
      <c r="G44">
        <v>2.8784939999999999</v>
      </c>
      <c r="H44" t="s">
        <v>413</v>
      </c>
      <c r="I44">
        <v>16963667494.535999</v>
      </c>
      <c r="J44" t="s">
        <v>416</v>
      </c>
      <c r="K44">
        <v>32798433.932136402</v>
      </c>
      <c r="L44">
        <v>1</v>
      </c>
      <c r="M44">
        <v>16963667494.535999</v>
      </c>
      <c r="N44">
        <v>231486624320</v>
      </c>
      <c r="O44">
        <v>30301010</v>
      </c>
      <c r="P44">
        <v>3030</v>
      </c>
      <c r="Q44">
        <v>1.98835042585939</v>
      </c>
      <c r="R44">
        <v>1.5</v>
      </c>
      <c r="S44" t="s">
        <v>417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2.2440000000000002</v>
      </c>
      <c r="AT44">
        <v>2.6379999999999999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2.4409999999999998</v>
      </c>
      <c r="CG44" t="s">
        <v>450</v>
      </c>
      <c r="CI44">
        <v>1.98835042585939</v>
      </c>
      <c r="CJ44">
        <v>1.5</v>
      </c>
      <c r="CK44">
        <v>1.744175212929695</v>
      </c>
      <c r="CL44">
        <v>-0.3</v>
      </c>
      <c r="CM44">
        <v>1.444175212929695</v>
      </c>
    </row>
    <row r="45" spans="1:91" x14ac:dyDescent="0.25">
      <c r="A45">
        <v>543</v>
      </c>
      <c r="B45" t="s">
        <v>146</v>
      </c>
      <c r="C45" t="s">
        <v>246</v>
      </c>
      <c r="D45" t="s">
        <v>346</v>
      </c>
      <c r="E45" t="s">
        <v>404</v>
      </c>
      <c r="F45">
        <v>1569420004</v>
      </c>
      <c r="G45">
        <v>31.33</v>
      </c>
      <c r="H45" t="s">
        <v>409</v>
      </c>
      <c r="I45">
        <v>49169928725.32</v>
      </c>
      <c r="J45" t="s">
        <v>415</v>
      </c>
      <c r="K45">
        <v>104407090.472541</v>
      </c>
      <c r="L45">
        <v>0.70000000000000007</v>
      </c>
      <c r="M45">
        <v>34418950107.724007</v>
      </c>
      <c r="N45">
        <v>19955960060.862</v>
      </c>
      <c r="O45">
        <v>30302010</v>
      </c>
      <c r="P45">
        <v>3030</v>
      </c>
      <c r="Q45">
        <v>2.9259268183552698</v>
      </c>
      <c r="R45">
        <v>1.5</v>
      </c>
      <c r="S45" t="s">
        <v>418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2.379</v>
      </c>
      <c r="AT45">
        <v>3.2090000000000001</v>
      </c>
      <c r="AU45" t="s">
        <v>430</v>
      </c>
      <c r="AV45">
        <v>0</v>
      </c>
      <c r="AW45">
        <v>0</v>
      </c>
      <c r="AX45" t="s">
        <v>443</v>
      </c>
      <c r="AY45">
        <v>0</v>
      </c>
      <c r="AZ45">
        <v>0</v>
      </c>
      <c r="BA45">
        <v>0</v>
      </c>
      <c r="CE45">
        <v>2.794</v>
      </c>
      <c r="CG45" t="s">
        <v>450</v>
      </c>
      <c r="CI45">
        <v>2.9259268183552698</v>
      </c>
      <c r="CJ45">
        <v>1.5</v>
      </c>
      <c r="CK45">
        <v>2.2129634091776351</v>
      </c>
      <c r="CL45">
        <v>-0.18</v>
      </c>
      <c r="CM45">
        <v>2.032963409177635</v>
      </c>
    </row>
    <row r="46" spans="1:91" x14ac:dyDescent="0.25">
      <c r="A46">
        <v>1277</v>
      </c>
      <c r="B46" t="s">
        <v>147</v>
      </c>
      <c r="C46" t="s">
        <v>247</v>
      </c>
      <c r="D46" t="s">
        <v>347</v>
      </c>
      <c r="E46" t="s">
        <v>400</v>
      </c>
      <c r="F46">
        <v>447972681</v>
      </c>
      <c r="G46">
        <v>10.611890000000001</v>
      </c>
      <c r="H46" t="s">
        <v>411</v>
      </c>
      <c r="I46">
        <v>4753836813.7770901</v>
      </c>
      <c r="J46" t="s">
        <v>416</v>
      </c>
      <c r="K46">
        <v>7342922.1966118803</v>
      </c>
      <c r="L46">
        <v>1</v>
      </c>
      <c r="M46">
        <v>4753836813.7770901</v>
      </c>
      <c r="N46">
        <v>88788185374.199997</v>
      </c>
      <c r="O46">
        <v>30301010</v>
      </c>
      <c r="P46">
        <v>3030</v>
      </c>
      <c r="Q46">
        <v>1.9999941425684999</v>
      </c>
      <c r="S46" t="s">
        <v>419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2.2010000000000001</v>
      </c>
      <c r="AT46">
        <v>3.4180000000000001</v>
      </c>
      <c r="AU46" t="s">
        <v>430</v>
      </c>
      <c r="AV46">
        <v>0</v>
      </c>
      <c r="AW46">
        <v>0</v>
      </c>
      <c r="AX46" t="s">
        <v>439</v>
      </c>
      <c r="AY46">
        <v>0</v>
      </c>
      <c r="AZ46">
        <v>0</v>
      </c>
      <c r="BA46">
        <v>0</v>
      </c>
      <c r="CE46">
        <v>2.8094999999999999</v>
      </c>
      <c r="CG46" t="s">
        <v>450</v>
      </c>
      <c r="CI46">
        <v>1.9999941425684999</v>
      </c>
      <c r="CJ46">
        <v>3.1</v>
      </c>
      <c r="CK46">
        <v>2.5499970712842499</v>
      </c>
      <c r="CL46">
        <v>-0.24</v>
      </c>
      <c r="CM46">
        <v>2.3099970712842501</v>
      </c>
    </row>
    <row r="47" spans="1:91" x14ac:dyDescent="0.25">
      <c r="A47">
        <v>25</v>
      </c>
      <c r="B47" t="s">
        <v>148</v>
      </c>
      <c r="C47" t="s">
        <v>248</v>
      </c>
      <c r="D47" t="s">
        <v>348</v>
      </c>
      <c r="E47" t="s">
        <v>403</v>
      </c>
      <c r="F47">
        <v>306304700</v>
      </c>
      <c r="G47">
        <v>33.850409999999997</v>
      </c>
      <c r="H47" t="s">
        <v>413</v>
      </c>
      <c r="I47">
        <v>10368539679.927</v>
      </c>
      <c r="J47" t="s">
        <v>416</v>
      </c>
      <c r="K47">
        <v>10015139.725619299</v>
      </c>
      <c r="L47">
        <v>0.7</v>
      </c>
      <c r="M47">
        <v>7257977775.9488983</v>
      </c>
      <c r="N47">
        <v>885526887700</v>
      </c>
      <c r="O47">
        <v>30302025</v>
      </c>
      <c r="P47">
        <v>3030</v>
      </c>
      <c r="Q47">
        <v>1.99880903325661</v>
      </c>
      <c r="R47">
        <v>2.7</v>
      </c>
      <c r="S47" t="s">
        <v>420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1.88</v>
      </c>
      <c r="AT47">
        <v>2.7</v>
      </c>
      <c r="AU47" t="s">
        <v>430</v>
      </c>
      <c r="AV47">
        <v>0</v>
      </c>
      <c r="AW47">
        <v>0</v>
      </c>
      <c r="AX47" t="s">
        <v>442</v>
      </c>
      <c r="AY47">
        <v>0</v>
      </c>
      <c r="AZ47">
        <v>0</v>
      </c>
      <c r="BA47">
        <v>0</v>
      </c>
      <c r="CE47">
        <v>2.29</v>
      </c>
      <c r="CG47" t="s">
        <v>450</v>
      </c>
      <c r="CI47">
        <v>1.99880903325661</v>
      </c>
      <c r="CJ47">
        <v>2.7</v>
      </c>
      <c r="CK47">
        <v>2.3494045166283049</v>
      </c>
      <c r="CL47">
        <v>0</v>
      </c>
      <c r="CM47">
        <v>2.3494045166283049</v>
      </c>
    </row>
    <row r="48" spans="1:91" x14ac:dyDescent="0.25">
      <c r="A48">
        <v>397</v>
      </c>
      <c r="B48" t="s">
        <v>149</v>
      </c>
      <c r="C48" t="s">
        <v>249</v>
      </c>
      <c r="D48" t="s">
        <v>349</v>
      </c>
      <c r="E48" t="s">
        <v>403</v>
      </c>
      <c r="F48">
        <v>1311388200</v>
      </c>
      <c r="G48">
        <v>3.1891919999999998</v>
      </c>
      <c r="H48" t="s">
        <v>413</v>
      </c>
      <c r="I48">
        <v>4182268756.3344002</v>
      </c>
      <c r="J48" t="s">
        <v>416</v>
      </c>
      <c r="K48">
        <v>12673712.369872499</v>
      </c>
      <c r="L48">
        <v>1</v>
      </c>
      <c r="M48">
        <v>4182268756.3344002</v>
      </c>
      <c r="N48">
        <v>54776685114.000008</v>
      </c>
      <c r="O48">
        <v>30302025</v>
      </c>
      <c r="P48">
        <v>3030</v>
      </c>
      <c r="Q48">
        <v>1.99264326473623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1.8839999999999999</v>
      </c>
      <c r="AT48">
        <v>2.6429999999999998</v>
      </c>
      <c r="AU48" t="s">
        <v>430</v>
      </c>
      <c r="AV48">
        <v>0</v>
      </c>
      <c r="AW48">
        <v>0</v>
      </c>
      <c r="AX48" t="s">
        <v>442</v>
      </c>
      <c r="AY48">
        <v>0</v>
      </c>
      <c r="AZ48">
        <v>0</v>
      </c>
      <c r="BA48">
        <v>0</v>
      </c>
      <c r="CE48">
        <v>2.2635000000000001</v>
      </c>
      <c r="CG48" t="s">
        <v>450</v>
      </c>
      <c r="CI48">
        <v>1.99264326473623</v>
      </c>
      <c r="CJ48">
        <v>3.1</v>
      </c>
      <c r="CK48">
        <v>2.546321632368115</v>
      </c>
      <c r="CL48">
        <v>-0.18</v>
      </c>
      <c r="CM48">
        <v>2.3663216323681149</v>
      </c>
    </row>
    <row r="49" spans="1:91" x14ac:dyDescent="0.25">
      <c r="A49">
        <v>143</v>
      </c>
      <c r="B49" t="s">
        <v>150</v>
      </c>
      <c r="C49" t="s">
        <v>250</v>
      </c>
      <c r="D49" t="s">
        <v>350</v>
      </c>
      <c r="E49" t="s">
        <v>403</v>
      </c>
      <c r="F49">
        <v>2677649400</v>
      </c>
      <c r="G49">
        <v>6.0277909999999997</v>
      </c>
      <c r="H49" t="s">
        <v>413</v>
      </c>
      <c r="I49">
        <v>16140310954.475401</v>
      </c>
      <c r="J49" t="s">
        <v>416</v>
      </c>
      <c r="K49">
        <v>29758651.104662601</v>
      </c>
      <c r="L49">
        <v>1</v>
      </c>
      <c r="M49">
        <v>16140310954.475401</v>
      </c>
      <c r="N49">
        <v>72885616668</v>
      </c>
      <c r="O49">
        <v>30301010</v>
      </c>
      <c r="P49">
        <v>3030</v>
      </c>
      <c r="Q49">
        <v>1.9994209635284099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2.2200000000000002</v>
      </c>
      <c r="AT49">
        <v>3.3250000000000002</v>
      </c>
      <c r="AU49" t="s">
        <v>430</v>
      </c>
      <c r="AV49">
        <v>0</v>
      </c>
      <c r="AW49">
        <v>0</v>
      </c>
      <c r="AX49" t="s">
        <v>442</v>
      </c>
      <c r="AY49">
        <v>0</v>
      </c>
      <c r="AZ49">
        <v>0</v>
      </c>
      <c r="BA49">
        <v>0</v>
      </c>
      <c r="CE49">
        <v>2.7725</v>
      </c>
      <c r="CG49" t="s">
        <v>450</v>
      </c>
      <c r="CI49">
        <v>1.9994209635284099</v>
      </c>
      <c r="CJ49">
        <v>3.1</v>
      </c>
      <c r="CK49">
        <v>2.5497104817642051</v>
      </c>
      <c r="CL49">
        <v>-0.18</v>
      </c>
      <c r="CM49">
        <v>2.369710481764205</v>
      </c>
    </row>
    <row r="50" spans="1:91" x14ac:dyDescent="0.25">
      <c r="A50">
        <v>145</v>
      </c>
      <c r="B50" t="s">
        <v>151</v>
      </c>
      <c r="C50" t="s">
        <v>251</v>
      </c>
      <c r="D50" t="s">
        <v>351</v>
      </c>
      <c r="E50" t="s">
        <v>394</v>
      </c>
      <c r="F50">
        <v>2214797873</v>
      </c>
      <c r="G50">
        <v>36.979999999999997</v>
      </c>
      <c r="H50" t="s">
        <v>409</v>
      </c>
      <c r="I50">
        <v>81903225343.539993</v>
      </c>
      <c r="J50" t="s">
        <v>415</v>
      </c>
      <c r="K50">
        <v>141293081.09468201</v>
      </c>
      <c r="L50">
        <v>0.85000000000000009</v>
      </c>
      <c r="M50">
        <v>69617741542.009003</v>
      </c>
      <c r="N50">
        <v>51243778387.601013</v>
      </c>
      <c r="O50">
        <v>30302010</v>
      </c>
      <c r="P50">
        <v>3030</v>
      </c>
      <c r="Q50">
        <v>3.2733333333333299</v>
      </c>
      <c r="R50">
        <v>1.5</v>
      </c>
      <c r="S50" t="s">
        <v>420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2.3420000000000001</v>
      </c>
      <c r="AT50">
        <v>2.6240000000000001</v>
      </c>
      <c r="AU50" t="s">
        <v>430</v>
      </c>
      <c r="AV50">
        <v>0</v>
      </c>
      <c r="AW50">
        <v>0</v>
      </c>
      <c r="AX50" t="s">
        <v>433</v>
      </c>
      <c r="AY50">
        <v>0</v>
      </c>
      <c r="AZ50">
        <v>0</v>
      </c>
      <c r="BA50">
        <v>0</v>
      </c>
      <c r="CE50">
        <v>2.4830000000000001</v>
      </c>
      <c r="CG50" t="s">
        <v>450</v>
      </c>
      <c r="CI50">
        <v>3.2733333333333299</v>
      </c>
      <c r="CJ50">
        <v>1.5</v>
      </c>
      <c r="CK50">
        <v>2.3866666666666649</v>
      </c>
      <c r="CL50">
        <v>0</v>
      </c>
      <c r="CM50">
        <v>2.3866666666666649</v>
      </c>
    </row>
    <row r="51" spans="1:91" x14ac:dyDescent="0.25">
      <c r="A51">
        <v>1546</v>
      </c>
      <c r="B51" t="s">
        <v>849</v>
      </c>
      <c r="C51" t="s">
        <v>1248</v>
      </c>
      <c r="D51" t="s">
        <v>1647</v>
      </c>
      <c r="E51" t="s">
        <v>406</v>
      </c>
      <c r="F51">
        <v>146355760</v>
      </c>
      <c r="G51">
        <v>614.58010000000002</v>
      </c>
      <c r="H51" t="s">
        <v>414</v>
      </c>
      <c r="I51">
        <v>89947337616.376007</v>
      </c>
      <c r="J51" t="s">
        <v>416</v>
      </c>
      <c r="K51">
        <v>167672036.70820701</v>
      </c>
      <c r="L51">
        <v>1</v>
      </c>
      <c r="M51">
        <v>89947337616.376007</v>
      </c>
      <c r="N51">
        <v>14840474064</v>
      </c>
      <c r="O51">
        <v>30302010</v>
      </c>
      <c r="P51">
        <v>3030</v>
      </c>
      <c r="Q51">
        <v>2.7666666666666599</v>
      </c>
      <c r="R51">
        <v>2.39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2.1850000000000001</v>
      </c>
      <c r="AT51">
        <v>3.117</v>
      </c>
      <c r="AU51" t="s">
        <v>430</v>
      </c>
      <c r="AV51">
        <v>0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2.6509999999999998</v>
      </c>
      <c r="CG51" t="s">
        <v>450</v>
      </c>
      <c r="CI51">
        <v>2.7666666666666599</v>
      </c>
      <c r="CJ51">
        <v>2.39</v>
      </c>
      <c r="CK51">
        <v>2.57833333333333</v>
      </c>
      <c r="CL51">
        <v>-0.18</v>
      </c>
      <c r="CM51">
        <v>2.3983333333333299</v>
      </c>
    </row>
    <row r="52" spans="1:91" x14ac:dyDescent="0.25">
      <c r="A52">
        <v>781</v>
      </c>
      <c r="B52" t="s">
        <v>152</v>
      </c>
      <c r="C52" t="s">
        <v>252</v>
      </c>
      <c r="D52" t="s">
        <v>352</v>
      </c>
      <c r="E52" t="s">
        <v>403</v>
      </c>
      <c r="F52">
        <v>744937900</v>
      </c>
      <c r="G52">
        <v>6.8970200000000004</v>
      </c>
      <c r="H52" t="s">
        <v>413</v>
      </c>
      <c r="I52">
        <v>5137851595.0580006</v>
      </c>
      <c r="J52" t="s">
        <v>416</v>
      </c>
      <c r="K52">
        <v>14821728.319426199</v>
      </c>
      <c r="L52">
        <v>1</v>
      </c>
      <c r="M52">
        <v>5137851595.0580006</v>
      </c>
      <c r="N52">
        <v>29261160712</v>
      </c>
      <c r="O52">
        <v>35102000</v>
      </c>
      <c r="P52">
        <v>3510</v>
      </c>
      <c r="Q52">
        <v>1.7395630247731899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2.242</v>
      </c>
      <c r="AT52">
        <v>2.879</v>
      </c>
      <c r="AU52" t="s">
        <v>425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2.5605000000000002</v>
      </c>
      <c r="CG52" t="s">
        <v>450</v>
      </c>
      <c r="CI52">
        <v>1.7395630247731899</v>
      </c>
      <c r="CJ52">
        <v>1.5</v>
      </c>
      <c r="CK52">
        <v>1.6197815123865951</v>
      </c>
      <c r="CL52">
        <v>-0.3</v>
      </c>
      <c r="CM52">
        <v>1.319781512386595</v>
      </c>
    </row>
    <row r="53" spans="1:91" x14ac:dyDescent="0.25">
      <c r="A53">
        <v>1429</v>
      </c>
      <c r="B53" t="s">
        <v>153</v>
      </c>
      <c r="C53" t="s">
        <v>253</v>
      </c>
      <c r="D53" t="s">
        <v>353</v>
      </c>
      <c r="E53" t="s">
        <v>394</v>
      </c>
      <c r="F53">
        <v>142625428</v>
      </c>
      <c r="G53">
        <v>82.02</v>
      </c>
      <c r="H53" t="s">
        <v>409</v>
      </c>
      <c r="I53">
        <v>11698137604.559999</v>
      </c>
      <c r="J53" t="s">
        <v>415</v>
      </c>
      <c r="K53">
        <v>24417917.903809499</v>
      </c>
      <c r="L53">
        <v>0.85000000000000009</v>
      </c>
      <c r="M53">
        <v>9943416963.8760014</v>
      </c>
      <c r="N53">
        <v>12292885639.32</v>
      </c>
      <c r="O53">
        <v>35102045</v>
      </c>
      <c r="P53">
        <v>3510</v>
      </c>
      <c r="Q53">
        <v>1.7463750143176899</v>
      </c>
      <c r="R53">
        <v>2.7</v>
      </c>
      <c r="S53" t="s">
        <v>417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2.6110000000000002</v>
      </c>
      <c r="AT53">
        <v>3.1669999999999998</v>
      </c>
      <c r="AU53" t="s">
        <v>425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2.8889999999999998</v>
      </c>
      <c r="CG53" t="s">
        <v>450</v>
      </c>
      <c r="CI53">
        <v>1.7463750143176899</v>
      </c>
      <c r="CJ53">
        <v>2.7</v>
      </c>
      <c r="CK53">
        <v>2.2231875071588449</v>
      </c>
      <c r="CL53">
        <v>-0.3</v>
      </c>
      <c r="CM53">
        <v>1.9231875071588449</v>
      </c>
    </row>
    <row r="54" spans="1:91" x14ac:dyDescent="0.25">
      <c r="A54">
        <v>539</v>
      </c>
      <c r="B54" t="s">
        <v>154</v>
      </c>
      <c r="C54" t="s">
        <v>254</v>
      </c>
      <c r="D54" t="s">
        <v>354</v>
      </c>
      <c r="E54" t="s">
        <v>394</v>
      </c>
      <c r="F54">
        <v>76738691</v>
      </c>
      <c r="G54">
        <v>91.9</v>
      </c>
      <c r="H54" t="s">
        <v>409</v>
      </c>
      <c r="I54">
        <v>7052285702.9000006</v>
      </c>
      <c r="J54" t="s">
        <v>415</v>
      </c>
      <c r="K54">
        <v>10616904.702777799</v>
      </c>
      <c r="L54">
        <v>0.60000000000000009</v>
      </c>
      <c r="M54">
        <v>4231371421.7400012</v>
      </c>
      <c r="N54">
        <v>836374993.20899999</v>
      </c>
      <c r="O54">
        <v>35102030</v>
      </c>
      <c r="P54">
        <v>3510</v>
      </c>
      <c r="Q54">
        <v>2.2375872094998699</v>
      </c>
      <c r="R54">
        <v>2.08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2.1800000000000002</v>
      </c>
      <c r="AT54">
        <v>3.1019999999999999</v>
      </c>
      <c r="AU54" t="s">
        <v>425</v>
      </c>
      <c r="AV54">
        <v>1</v>
      </c>
      <c r="AW54">
        <v>0</v>
      </c>
      <c r="AX54" t="s">
        <v>433</v>
      </c>
      <c r="AY54">
        <v>0</v>
      </c>
      <c r="AZ54">
        <v>0</v>
      </c>
      <c r="BA54">
        <v>0</v>
      </c>
      <c r="CE54">
        <v>2.641</v>
      </c>
      <c r="CG54" t="s">
        <v>450</v>
      </c>
      <c r="CI54">
        <v>2.2375872094998699</v>
      </c>
      <c r="CJ54">
        <v>2.08</v>
      </c>
      <c r="CK54">
        <v>2.1587936047499352</v>
      </c>
      <c r="CL54">
        <v>-0.18</v>
      </c>
      <c r="CM54">
        <v>1.978793604749935</v>
      </c>
    </row>
    <row r="55" spans="1:91" x14ac:dyDescent="0.25">
      <c r="A55">
        <v>862</v>
      </c>
      <c r="B55" t="s">
        <v>155</v>
      </c>
      <c r="C55" t="s">
        <v>255</v>
      </c>
      <c r="D55" t="s">
        <v>355</v>
      </c>
      <c r="E55" t="s">
        <v>401</v>
      </c>
      <c r="F55">
        <v>563724900</v>
      </c>
      <c r="G55">
        <v>10.87</v>
      </c>
      <c r="H55" t="s">
        <v>409</v>
      </c>
      <c r="I55">
        <v>6127689663</v>
      </c>
      <c r="J55" t="s">
        <v>415</v>
      </c>
      <c r="K55">
        <v>8755069.4216968194</v>
      </c>
      <c r="L55">
        <v>0.65</v>
      </c>
      <c r="M55">
        <v>3982998280.9499998</v>
      </c>
      <c r="N55">
        <v>14393024146.799999</v>
      </c>
      <c r="O55">
        <v>35102000</v>
      </c>
      <c r="P55">
        <v>3510</v>
      </c>
      <c r="Q55">
        <v>1.7450067698613001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2.177</v>
      </c>
      <c r="AT55">
        <v>2.6259999999999999</v>
      </c>
      <c r="AU55" t="s">
        <v>425</v>
      </c>
      <c r="AV55">
        <v>1</v>
      </c>
      <c r="AW55">
        <v>0</v>
      </c>
      <c r="AX55" t="s">
        <v>440</v>
      </c>
      <c r="AY55">
        <v>0</v>
      </c>
      <c r="AZ55">
        <v>0</v>
      </c>
      <c r="BA55">
        <v>0</v>
      </c>
      <c r="CE55">
        <v>2.4015</v>
      </c>
      <c r="CG55" t="s">
        <v>450</v>
      </c>
      <c r="CI55">
        <v>1.7450067698613001</v>
      </c>
      <c r="CJ55">
        <v>3.1</v>
      </c>
      <c r="CK55">
        <v>2.4225033849306499</v>
      </c>
      <c r="CL55">
        <v>-0.18</v>
      </c>
      <c r="CM55">
        <v>2.2425033849306502</v>
      </c>
    </row>
    <row r="56" spans="1:91" x14ac:dyDescent="0.25">
      <c r="A56">
        <v>754</v>
      </c>
      <c r="B56" t="s">
        <v>669</v>
      </c>
      <c r="C56" t="s">
        <v>1068</v>
      </c>
      <c r="D56" t="s">
        <v>1467</v>
      </c>
      <c r="E56" t="s">
        <v>394</v>
      </c>
      <c r="F56">
        <v>286861172</v>
      </c>
      <c r="G56">
        <v>30.28</v>
      </c>
      <c r="H56" t="s">
        <v>409</v>
      </c>
      <c r="I56">
        <v>8686156288.1599998</v>
      </c>
      <c r="J56" t="s">
        <v>415</v>
      </c>
      <c r="K56">
        <v>17079656.9850794</v>
      </c>
      <c r="L56">
        <v>0.75</v>
      </c>
      <c r="M56">
        <v>6514617216.1199999</v>
      </c>
      <c r="N56">
        <v>8450930127.1199999</v>
      </c>
      <c r="O56">
        <v>35102045</v>
      </c>
      <c r="P56">
        <v>3510</v>
      </c>
      <c r="Q56">
        <v>1.99471520451756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2.2109999999999999</v>
      </c>
      <c r="AT56">
        <v>2.3570000000000002</v>
      </c>
      <c r="AU56" t="s">
        <v>425</v>
      </c>
      <c r="AV56">
        <v>1</v>
      </c>
      <c r="AW56">
        <v>0</v>
      </c>
      <c r="AX56" t="s">
        <v>433</v>
      </c>
      <c r="AY56">
        <v>0</v>
      </c>
      <c r="AZ56">
        <v>0</v>
      </c>
      <c r="BA56">
        <v>0</v>
      </c>
      <c r="CE56">
        <v>2.2839999999999998</v>
      </c>
      <c r="CG56" t="s">
        <v>450</v>
      </c>
      <c r="CI56">
        <v>1.99471520451756</v>
      </c>
      <c r="CJ56">
        <v>3.1</v>
      </c>
      <c r="CK56">
        <v>2.5473576022587801</v>
      </c>
      <c r="CL56">
        <v>-0.3</v>
      </c>
      <c r="CM56">
        <v>2.2473576022587798</v>
      </c>
    </row>
    <row r="57" spans="1:91" x14ac:dyDescent="0.25">
      <c r="A57">
        <v>202</v>
      </c>
      <c r="B57" t="s">
        <v>156</v>
      </c>
      <c r="C57" t="s">
        <v>256</v>
      </c>
      <c r="D57" t="s">
        <v>356</v>
      </c>
      <c r="E57" t="s">
        <v>398</v>
      </c>
      <c r="F57">
        <v>579795650</v>
      </c>
      <c r="G57">
        <v>82.58</v>
      </c>
      <c r="H57" t="s">
        <v>409</v>
      </c>
      <c r="I57">
        <v>47879524777</v>
      </c>
      <c r="J57" t="s">
        <v>415</v>
      </c>
      <c r="K57">
        <v>97231108.921311393</v>
      </c>
      <c r="L57">
        <v>0.5</v>
      </c>
      <c r="M57">
        <v>23939762388.5</v>
      </c>
      <c r="N57">
        <v>16251672069.5</v>
      </c>
      <c r="O57">
        <v>40101020</v>
      </c>
      <c r="P57">
        <v>4010</v>
      </c>
      <c r="Q57">
        <v>1.7483805263697001</v>
      </c>
      <c r="R57">
        <v>1.5</v>
      </c>
      <c r="S57" t="s">
        <v>419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2.3959999999999999</v>
      </c>
      <c r="AT57">
        <v>2.3119999999999998</v>
      </c>
      <c r="AU57" t="s">
        <v>420</v>
      </c>
      <c r="AV57">
        <v>1</v>
      </c>
      <c r="AW57">
        <v>0</v>
      </c>
      <c r="AX57" t="s">
        <v>437</v>
      </c>
      <c r="AY57">
        <v>0</v>
      </c>
      <c r="AZ57">
        <v>0</v>
      </c>
      <c r="BA57">
        <v>0</v>
      </c>
      <c r="CE57">
        <v>2.3540000000000001</v>
      </c>
      <c r="CG57" t="s">
        <v>450</v>
      </c>
      <c r="CI57">
        <v>1.7483805263697001</v>
      </c>
      <c r="CJ57">
        <v>1.5</v>
      </c>
      <c r="CK57">
        <v>1.6241902631848499</v>
      </c>
      <c r="CL57">
        <v>-0.24</v>
      </c>
      <c r="CM57">
        <v>1.3841902631848499</v>
      </c>
    </row>
    <row r="58" spans="1:91" x14ac:dyDescent="0.25">
      <c r="A58">
        <v>321</v>
      </c>
      <c r="B58" t="s">
        <v>157</v>
      </c>
      <c r="C58" t="s">
        <v>257</v>
      </c>
      <c r="D58" t="s">
        <v>357</v>
      </c>
      <c r="E58" t="s">
        <v>398</v>
      </c>
      <c r="F58">
        <v>200005980</v>
      </c>
      <c r="G58">
        <v>69</v>
      </c>
      <c r="H58" t="s">
        <v>409</v>
      </c>
      <c r="I58">
        <v>13800412620</v>
      </c>
      <c r="J58" t="s">
        <v>415</v>
      </c>
      <c r="K58">
        <v>24556942.140819699</v>
      </c>
      <c r="L58">
        <v>0.55000000000000004</v>
      </c>
      <c r="M58">
        <v>7590226941.000001</v>
      </c>
      <c r="N58">
        <v>23144692005.599998</v>
      </c>
      <c r="O58">
        <v>40101025</v>
      </c>
      <c r="P58">
        <v>4010</v>
      </c>
      <c r="Q58">
        <v>1.99537761888822</v>
      </c>
      <c r="R58">
        <v>1.5</v>
      </c>
      <c r="S58" t="s">
        <v>419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2.4060000000000001</v>
      </c>
      <c r="AT58">
        <v>2.6320000000000001</v>
      </c>
      <c r="AU58" t="s">
        <v>420</v>
      </c>
      <c r="AV58">
        <v>1</v>
      </c>
      <c r="AW58">
        <v>0</v>
      </c>
      <c r="AX58" t="s">
        <v>437</v>
      </c>
      <c r="AY58">
        <v>0</v>
      </c>
      <c r="AZ58">
        <v>0</v>
      </c>
      <c r="BA58">
        <v>0</v>
      </c>
      <c r="CE58">
        <v>2.5190000000000001</v>
      </c>
      <c r="CG58" t="s">
        <v>450</v>
      </c>
      <c r="CI58">
        <v>1.99537761888822</v>
      </c>
      <c r="CJ58">
        <v>1.5</v>
      </c>
      <c r="CK58">
        <v>1.7476888094441101</v>
      </c>
      <c r="CL58">
        <v>-0.24</v>
      </c>
      <c r="CM58">
        <v>1.5076888094441101</v>
      </c>
    </row>
    <row r="59" spans="1:91" x14ac:dyDescent="0.25">
      <c r="A59">
        <v>809</v>
      </c>
      <c r="B59" t="s">
        <v>158</v>
      </c>
      <c r="C59" t="s">
        <v>258</v>
      </c>
      <c r="D59" t="s">
        <v>358</v>
      </c>
      <c r="E59" t="s">
        <v>394</v>
      </c>
      <c r="F59">
        <v>534311946</v>
      </c>
      <c r="G59">
        <v>346.1</v>
      </c>
      <c r="H59" t="s">
        <v>409</v>
      </c>
      <c r="I59">
        <v>184925364510.60001</v>
      </c>
      <c r="J59" t="s">
        <v>415</v>
      </c>
      <c r="K59">
        <v>150007719.04285699</v>
      </c>
      <c r="L59">
        <v>0.45</v>
      </c>
      <c r="M59">
        <v>83216414029.770004</v>
      </c>
      <c r="N59">
        <v>9444497957.4960003</v>
      </c>
      <c r="O59">
        <v>40204035</v>
      </c>
      <c r="P59">
        <v>4020</v>
      </c>
      <c r="Q59">
        <v>1.74938320831028</v>
      </c>
      <c r="R59">
        <v>1.5</v>
      </c>
      <c r="S59" t="s">
        <v>417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2.4470000000000001</v>
      </c>
      <c r="AT59">
        <v>2.8420000000000001</v>
      </c>
      <c r="AU59" t="s">
        <v>420</v>
      </c>
      <c r="AV59">
        <v>1</v>
      </c>
      <c r="AW59">
        <v>0</v>
      </c>
      <c r="AX59" t="s">
        <v>433</v>
      </c>
      <c r="AY59">
        <v>0</v>
      </c>
      <c r="AZ59">
        <v>0</v>
      </c>
      <c r="BA59">
        <v>0</v>
      </c>
      <c r="CE59">
        <v>2.6444999999999999</v>
      </c>
      <c r="CG59" t="s">
        <v>450</v>
      </c>
      <c r="CI59">
        <v>1.74938320831028</v>
      </c>
      <c r="CJ59">
        <v>1.5</v>
      </c>
      <c r="CK59">
        <v>1.62469160415514</v>
      </c>
      <c r="CL59">
        <v>-0.3</v>
      </c>
      <c r="CM59">
        <v>1.32469160415514</v>
      </c>
    </row>
    <row r="60" spans="1:91" x14ac:dyDescent="0.25">
      <c r="A60">
        <v>1336</v>
      </c>
      <c r="B60" t="s">
        <v>159</v>
      </c>
      <c r="C60" t="s">
        <v>259</v>
      </c>
      <c r="D60" t="s">
        <v>359</v>
      </c>
      <c r="E60" t="s">
        <v>403</v>
      </c>
      <c r="F60">
        <v>3540041300</v>
      </c>
      <c r="G60">
        <v>1.3824259999999999</v>
      </c>
      <c r="H60" t="s">
        <v>413</v>
      </c>
      <c r="I60">
        <v>4893845134.1938</v>
      </c>
      <c r="J60" t="s">
        <v>416</v>
      </c>
      <c r="K60">
        <v>19580322.357266299</v>
      </c>
      <c r="L60">
        <v>1</v>
      </c>
      <c r="M60">
        <v>4893845134.1938</v>
      </c>
      <c r="N60">
        <v>11257331334000</v>
      </c>
      <c r="O60">
        <v>40202010</v>
      </c>
      <c r="P60">
        <v>4020</v>
      </c>
      <c r="Q60">
        <v>1.7480510479370199</v>
      </c>
      <c r="R60">
        <v>1.5</v>
      </c>
      <c r="S60" t="s">
        <v>419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2.4900000000000002</v>
      </c>
      <c r="AT60">
        <v>2.7679999999999998</v>
      </c>
      <c r="AU60" t="s">
        <v>424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2.629</v>
      </c>
      <c r="CG60" t="s">
        <v>450</v>
      </c>
      <c r="CI60">
        <v>1.7480510479370199</v>
      </c>
      <c r="CJ60">
        <v>1.5</v>
      </c>
      <c r="CK60">
        <v>1.62402552396851</v>
      </c>
      <c r="CL60">
        <v>-0.24</v>
      </c>
      <c r="CM60">
        <v>1.38402552396851</v>
      </c>
    </row>
    <row r="61" spans="1:91" x14ac:dyDescent="0.25">
      <c r="A61">
        <v>171</v>
      </c>
      <c r="B61" t="s">
        <v>160</v>
      </c>
      <c r="C61" t="s">
        <v>260</v>
      </c>
      <c r="D61" t="s">
        <v>360</v>
      </c>
      <c r="E61" t="s">
        <v>403</v>
      </c>
      <c r="F61">
        <v>1450318700</v>
      </c>
      <c r="G61">
        <v>5.1331730000000002</v>
      </c>
      <c r="H61" t="s">
        <v>413</v>
      </c>
      <c r="I61">
        <v>7444736792.2351007</v>
      </c>
      <c r="J61" t="s">
        <v>416</v>
      </c>
      <c r="K61">
        <v>20081175.638739999</v>
      </c>
      <c r="L61">
        <v>1</v>
      </c>
      <c r="M61">
        <v>7444736792.2351007</v>
      </c>
      <c r="N61">
        <v>39477675014</v>
      </c>
      <c r="O61">
        <v>40202010</v>
      </c>
      <c r="P61">
        <v>4020</v>
      </c>
      <c r="Q61">
        <v>1.7482663894438499</v>
      </c>
      <c r="R61">
        <v>1.77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2.4900000000000002</v>
      </c>
      <c r="AT61">
        <v>3.2989999999999999</v>
      </c>
      <c r="AU61" t="s">
        <v>424</v>
      </c>
      <c r="AV61">
        <v>1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2.8944999999999999</v>
      </c>
      <c r="CG61" t="s">
        <v>450</v>
      </c>
      <c r="CI61">
        <v>1.7482663894438499</v>
      </c>
      <c r="CJ61">
        <v>1.77</v>
      </c>
      <c r="CK61">
        <v>1.7591331947219251</v>
      </c>
      <c r="CL61">
        <v>-0.3</v>
      </c>
      <c r="CM61">
        <v>1.459133194721925</v>
      </c>
    </row>
    <row r="62" spans="1:91" x14ac:dyDescent="0.25">
      <c r="A62">
        <v>1033</v>
      </c>
      <c r="B62" t="s">
        <v>161</v>
      </c>
      <c r="C62" t="s">
        <v>261</v>
      </c>
      <c r="D62" t="s">
        <v>361</v>
      </c>
      <c r="E62" t="s">
        <v>403</v>
      </c>
      <c r="F62">
        <v>319915900</v>
      </c>
      <c r="G62">
        <v>14.61008</v>
      </c>
      <c r="H62" t="s">
        <v>413</v>
      </c>
      <c r="I62">
        <v>4673996892.2720003</v>
      </c>
      <c r="J62" t="s">
        <v>416</v>
      </c>
      <c r="K62">
        <v>15670413.556200899</v>
      </c>
      <c r="L62">
        <v>1</v>
      </c>
      <c r="M62">
        <v>4673996892.2720003</v>
      </c>
      <c r="N62">
        <v>16427681465</v>
      </c>
      <c r="O62">
        <v>40202010</v>
      </c>
      <c r="P62">
        <v>4020</v>
      </c>
      <c r="Q62">
        <v>1.9955323498800199</v>
      </c>
      <c r="R62">
        <v>1.5</v>
      </c>
      <c r="S62" t="s">
        <v>419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2.157</v>
      </c>
      <c r="AT62">
        <v>2.8759999999999999</v>
      </c>
      <c r="AU62" t="s">
        <v>424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2.5165000000000002</v>
      </c>
      <c r="CG62" t="s">
        <v>450</v>
      </c>
      <c r="CI62">
        <v>1.9955323498800199</v>
      </c>
      <c r="CJ62">
        <v>1.5</v>
      </c>
      <c r="CK62">
        <v>1.74776617494001</v>
      </c>
      <c r="CL62">
        <v>-0.24</v>
      </c>
      <c r="CM62">
        <v>1.50776617494001</v>
      </c>
    </row>
    <row r="63" spans="1:91" x14ac:dyDescent="0.25">
      <c r="A63">
        <v>189</v>
      </c>
      <c r="B63" t="s">
        <v>162</v>
      </c>
      <c r="C63" t="s">
        <v>262</v>
      </c>
      <c r="D63" t="s">
        <v>362</v>
      </c>
      <c r="E63" t="s">
        <v>403</v>
      </c>
      <c r="F63">
        <v>118657364</v>
      </c>
      <c r="G63">
        <v>28.04748</v>
      </c>
      <c r="H63" t="s">
        <v>413</v>
      </c>
      <c r="I63">
        <v>3328040043.6427202</v>
      </c>
      <c r="J63" t="s">
        <v>416</v>
      </c>
      <c r="K63">
        <v>10092470.100475</v>
      </c>
      <c r="L63">
        <v>1</v>
      </c>
      <c r="M63">
        <v>3328040043.6427202</v>
      </c>
      <c r="N63">
        <v>6651931825.8400002</v>
      </c>
      <c r="O63">
        <v>40202010</v>
      </c>
      <c r="P63">
        <v>4020</v>
      </c>
      <c r="Q63">
        <v>1.9966860020732899</v>
      </c>
      <c r="R63">
        <v>2.08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1.786</v>
      </c>
      <c r="AT63">
        <v>2.78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2.2829999999999999</v>
      </c>
      <c r="CG63" t="s">
        <v>450</v>
      </c>
      <c r="CI63">
        <v>1.9966860020732899</v>
      </c>
      <c r="CJ63">
        <v>2.08</v>
      </c>
      <c r="CK63">
        <v>2.0383430010366448</v>
      </c>
      <c r="CL63">
        <v>-0.18</v>
      </c>
      <c r="CM63">
        <v>1.8583430010366451</v>
      </c>
    </row>
    <row r="64" spans="1:91" x14ac:dyDescent="0.25">
      <c r="A64">
        <v>587</v>
      </c>
      <c r="B64" t="s">
        <v>628</v>
      </c>
      <c r="C64" t="s">
        <v>1027</v>
      </c>
      <c r="D64" t="s">
        <v>1426</v>
      </c>
      <c r="E64" t="s">
        <v>398</v>
      </c>
      <c r="F64">
        <v>178162870</v>
      </c>
      <c r="G64">
        <v>83.9</v>
      </c>
      <c r="H64" t="s">
        <v>409</v>
      </c>
      <c r="I64">
        <v>14947864793</v>
      </c>
      <c r="J64" t="s">
        <v>415</v>
      </c>
      <c r="K64">
        <v>27155576.799672101</v>
      </c>
      <c r="L64">
        <v>0.9</v>
      </c>
      <c r="M64">
        <v>13453078313.700001</v>
      </c>
      <c r="N64">
        <v>22945596027.299999</v>
      </c>
      <c r="O64">
        <v>40202025</v>
      </c>
      <c r="P64">
        <v>4020</v>
      </c>
      <c r="Q64">
        <v>1.7474964823060299</v>
      </c>
      <c r="R64">
        <v>2.08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E64">
        <v>0</v>
      </c>
      <c r="AS64">
        <v>2.9809999999999999</v>
      </c>
      <c r="AT64">
        <v>2.5419999999999998</v>
      </c>
      <c r="AU64" t="s">
        <v>420</v>
      </c>
      <c r="AV64">
        <v>1</v>
      </c>
      <c r="AW64">
        <v>0</v>
      </c>
      <c r="AX64" t="s">
        <v>437</v>
      </c>
      <c r="AY64">
        <v>0</v>
      </c>
      <c r="AZ64">
        <v>0</v>
      </c>
      <c r="BA64">
        <v>0</v>
      </c>
      <c r="CE64">
        <v>2.7614999999999998</v>
      </c>
      <c r="CG64" t="s">
        <v>450</v>
      </c>
      <c r="CI64">
        <v>1.7474964823060299</v>
      </c>
      <c r="CJ64">
        <v>2.08</v>
      </c>
      <c r="CK64">
        <v>1.9137482411530149</v>
      </c>
      <c r="CL64">
        <v>0</v>
      </c>
      <c r="CM64">
        <v>1.9137482411530149</v>
      </c>
    </row>
    <row r="65" spans="1:91" x14ac:dyDescent="0.25">
      <c r="A65">
        <v>1512</v>
      </c>
      <c r="B65" t="s">
        <v>163</v>
      </c>
      <c r="C65" t="s">
        <v>263</v>
      </c>
      <c r="D65" t="s">
        <v>363</v>
      </c>
      <c r="E65" t="s">
        <v>396</v>
      </c>
      <c r="F65">
        <v>238516153</v>
      </c>
      <c r="G65">
        <v>172.6</v>
      </c>
      <c r="H65" t="s">
        <v>409</v>
      </c>
      <c r="I65">
        <v>41167888007.800003</v>
      </c>
      <c r="J65" t="s">
        <v>415</v>
      </c>
      <c r="K65">
        <v>74863714.427777797</v>
      </c>
      <c r="L65">
        <v>1</v>
      </c>
      <c r="M65">
        <v>41167888007.800003</v>
      </c>
      <c r="N65">
        <v>24185537914.200001</v>
      </c>
      <c r="O65">
        <v>40301030</v>
      </c>
      <c r="P65">
        <v>4030</v>
      </c>
      <c r="Q65">
        <v>1.5670644957319</v>
      </c>
      <c r="R65">
        <v>1.5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2.13</v>
      </c>
      <c r="AT65">
        <v>3.66</v>
      </c>
      <c r="AU65" t="s">
        <v>429</v>
      </c>
      <c r="AV65">
        <v>0</v>
      </c>
      <c r="AW65">
        <v>0</v>
      </c>
      <c r="AX65" t="s">
        <v>445</v>
      </c>
      <c r="AY65">
        <v>0</v>
      </c>
      <c r="AZ65">
        <v>0</v>
      </c>
      <c r="BA65">
        <v>0</v>
      </c>
      <c r="CE65">
        <v>2.895</v>
      </c>
      <c r="CG65" t="s">
        <v>450</v>
      </c>
      <c r="CI65">
        <v>1.5670644957319</v>
      </c>
      <c r="CJ65">
        <v>1.5</v>
      </c>
      <c r="CK65">
        <v>1.5335322478659501</v>
      </c>
      <c r="CL65">
        <v>-0.18</v>
      </c>
      <c r="CM65">
        <v>1.3535322478659499</v>
      </c>
    </row>
    <row r="66" spans="1:91" x14ac:dyDescent="0.25">
      <c r="A66">
        <v>1517</v>
      </c>
      <c r="B66" t="s">
        <v>164</v>
      </c>
      <c r="C66" t="s">
        <v>264</v>
      </c>
      <c r="D66" t="s">
        <v>364</v>
      </c>
      <c r="E66" t="s">
        <v>403</v>
      </c>
      <c r="F66">
        <v>1078802400</v>
      </c>
      <c r="G66">
        <v>9.1105959999999993</v>
      </c>
      <c r="H66" t="s">
        <v>413</v>
      </c>
      <c r="I66">
        <v>9828532830.2304001</v>
      </c>
      <c r="J66" t="s">
        <v>416</v>
      </c>
      <c r="K66">
        <v>20881891.102371901</v>
      </c>
      <c r="L66">
        <v>0.95</v>
      </c>
      <c r="M66">
        <v>9337106188.7188797</v>
      </c>
      <c r="N66">
        <v>103921035192</v>
      </c>
      <c r="O66">
        <v>40301020</v>
      </c>
      <c r="P66">
        <v>4030</v>
      </c>
      <c r="Q66">
        <v>1.9934117984292601</v>
      </c>
      <c r="R66">
        <v>1.5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2.2429999999999999</v>
      </c>
      <c r="AT66">
        <v>3.0659999999999998</v>
      </c>
      <c r="AU66" t="s">
        <v>429</v>
      </c>
      <c r="AV66">
        <v>0</v>
      </c>
      <c r="AW66">
        <v>0</v>
      </c>
      <c r="AX66" t="s">
        <v>448</v>
      </c>
      <c r="AY66">
        <v>0</v>
      </c>
      <c r="AZ66">
        <v>0</v>
      </c>
      <c r="BA66">
        <v>0</v>
      </c>
      <c r="CE66">
        <v>2.6545000000000001</v>
      </c>
      <c r="CG66" t="s">
        <v>450</v>
      </c>
      <c r="CI66">
        <v>1.9934117984292601</v>
      </c>
      <c r="CJ66">
        <v>1.5</v>
      </c>
      <c r="CK66">
        <v>1.74670589921463</v>
      </c>
      <c r="CL66">
        <v>-0.18</v>
      </c>
      <c r="CM66">
        <v>1.5667058992146301</v>
      </c>
    </row>
    <row r="67" spans="1:91" x14ac:dyDescent="0.25">
      <c r="A67">
        <v>747</v>
      </c>
      <c r="B67" t="s">
        <v>165</v>
      </c>
      <c r="C67" t="s">
        <v>265</v>
      </c>
      <c r="D67" t="s">
        <v>365</v>
      </c>
      <c r="E67" t="s">
        <v>403</v>
      </c>
      <c r="F67">
        <v>1788668100</v>
      </c>
      <c r="G67">
        <v>2.9667460000000001</v>
      </c>
      <c r="H67" t="s">
        <v>413</v>
      </c>
      <c r="I67">
        <v>5306523931.0025997</v>
      </c>
      <c r="J67" t="s">
        <v>416</v>
      </c>
      <c r="K67">
        <v>14671962.5543341</v>
      </c>
      <c r="L67">
        <v>0.85</v>
      </c>
      <c r="M67">
        <v>4510545341.35221</v>
      </c>
      <c r="N67">
        <v>59720050522.800003</v>
      </c>
      <c r="O67">
        <v>40401025</v>
      </c>
      <c r="P67">
        <v>4040</v>
      </c>
      <c r="Q67">
        <v>1.99679915892727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2.3319999999999999</v>
      </c>
      <c r="AT67">
        <v>3.3580000000000001</v>
      </c>
      <c r="AU67" t="s">
        <v>431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CE67">
        <v>2.8450000000000002</v>
      </c>
      <c r="CG67" t="s">
        <v>450</v>
      </c>
      <c r="CI67">
        <v>1.99679915892727</v>
      </c>
      <c r="CJ67">
        <v>1.5</v>
      </c>
      <c r="CK67">
        <v>1.7483995794636349</v>
      </c>
      <c r="CL67">
        <v>-0.24</v>
      </c>
      <c r="CM67">
        <v>1.5083995794636349</v>
      </c>
    </row>
    <row r="68" spans="1:91" x14ac:dyDescent="0.25">
      <c r="A68">
        <v>931</v>
      </c>
      <c r="B68" t="s">
        <v>166</v>
      </c>
      <c r="C68" t="s">
        <v>266</v>
      </c>
      <c r="D68" t="s">
        <v>366</v>
      </c>
      <c r="E68" t="s">
        <v>403</v>
      </c>
      <c r="F68">
        <v>123443540</v>
      </c>
      <c r="G68">
        <v>121.0757</v>
      </c>
      <c r="H68" t="s">
        <v>413</v>
      </c>
      <c r="I68">
        <v>14946013015.978001</v>
      </c>
      <c r="J68" t="s">
        <v>416</v>
      </c>
      <c r="K68">
        <v>22701103.9734562</v>
      </c>
      <c r="L68">
        <v>0.9</v>
      </c>
      <c r="M68">
        <v>13451411714.380199</v>
      </c>
      <c r="N68">
        <v>22142067769.799999</v>
      </c>
      <c r="O68">
        <v>40401010</v>
      </c>
      <c r="P68">
        <v>4040</v>
      </c>
      <c r="Q68">
        <v>1.98869886550994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2.3570000000000002</v>
      </c>
      <c r="AT68">
        <v>2.1</v>
      </c>
      <c r="AU68" t="s">
        <v>431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CE68">
        <v>2.2284999999999999</v>
      </c>
      <c r="CG68" t="s">
        <v>450</v>
      </c>
      <c r="CI68">
        <v>1.98869886550994</v>
      </c>
      <c r="CJ68">
        <v>1.5</v>
      </c>
      <c r="CK68">
        <v>1.74434943275497</v>
      </c>
      <c r="CL68">
        <v>-0.18</v>
      </c>
      <c r="CM68">
        <v>1.5643494327549701</v>
      </c>
    </row>
    <row r="69" spans="1:91" x14ac:dyDescent="0.25">
      <c r="A69">
        <v>1419</v>
      </c>
      <c r="B69" t="s">
        <v>167</v>
      </c>
      <c r="C69" t="s">
        <v>267</v>
      </c>
      <c r="D69" t="s">
        <v>367</v>
      </c>
      <c r="E69" t="s">
        <v>398</v>
      </c>
      <c r="F69">
        <v>507431030</v>
      </c>
      <c r="G69">
        <v>6.5759999999999996</v>
      </c>
      <c r="H69" t="s">
        <v>409</v>
      </c>
      <c r="I69">
        <v>3336866453.2800002</v>
      </c>
      <c r="J69" t="s">
        <v>415</v>
      </c>
      <c r="K69">
        <v>30812669.2248688</v>
      </c>
      <c r="L69">
        <v>0.9</v>
      </c>
      <c r="M69">
        <v>3003179807.9520001</v>
      </c>
      <c r="N69">
        <v>46308155797.800003</v>
      </c>
      <c r="O69">
        <v>40501015</v>
      </c>
      <c r="P69">
        <v>4050</v>
      </c>
      <c r="Q69">
        <v>1.76815424438663</v>
      </c>
      <c r="R69">
        <v>1.5</v>
      </c>
      <c r="S69" t="s">
        <v>417</v>
      </c>
      <c r="T69" t="s">
        <v>422</v>
      </c>
      <c r="U69">
        <v>0</v>
      </c>
      <c r="V69">
        <v>0.01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2.5910000000000002</v>
      </c>
      <c r="AT69">
        <v>2.93</v>
      </c>
      <c r="AU69" t="s">
        <v>432</v>
      </c>
      <c r="AV69">
        <v>0</v>
      </c>
      <c r="AW69">
        <v>0</v>
      </c>
      <c r="AX69" t="s">
        <v>437</v>
      </c>
      <c r="AY69">
        <v>0</v>
      </c>
      <c r="AZ69">
        <v>0</v>
      </c>
      <c r="BA69">
        <v>0</v>
      </c>
      <c r="CE69">
        <v>2.7605</v>
      </c>
      <c r="CG69" t="s">
        <v>450</v>
      </c>
      <c r="CI69">
        <v>1.76815424438663</v>
      </c>
      <c r="CJ69">
        <v>1.5</v>
      </c>
      <c r="CK69">
        <v>1.634077122193315</v>
      </c>
      <c r="CL69">
        <v>-0.3</v>
      </c>
      <c r="CM69">
        <v>1.334077122193315</v>
      </c>
    </row>
    <row r="70" spans="1:91" x14ac:dyDescent="0.25">
      <c r="A70">
        <v>815</v>
      </c>
      <c r="B70" t="s">
        <v>168</v>
      </c>
      <c r="C70" t="s">
        <v>268</v>
      </c>
      <c r="D70" t="s">
        <v>368</v>
      </c>
      <c r="E70" t="s">
        <v>398</v>
      </c>
      <c r="F70">
        <v>1200015000</v>
      </c>
      <c r="G70">
        <v>6.3940000000000001</v>
      </c>
      <c r="H70" t="s">
        <v>409</v>
      </c>
      <c r="I70">
        <v>7672895910</v>
      </c>
      <c r="J70" t="s">
        <v>415</v>
      </c>
      <c r="K70">
        <v>40455426.200245902</v>
      </c>
      <c r="L70">
        <v>0.85</v>
      </c>
      <c r="M70">
        <v>6521961523.5</v>
      </c>
      <c r="N70">
        <v>40066100820</v>
      </c>
      <c r="O70">
        <v>40501010</v>
      </c>
      <c r="P70">
        <v>4050</v>
      </c>
      <c r="Q70">
        <v>1.83638692207139</v>
      </c>
      <c r="R70">
        <v>1.5</v>
      </c>
      <c r="S70" t="s">
        <v>418</v>
      </c>
      <c r="T70" t="s">
        <v>422</v>
      </c>
      <c r="U70">
        <v>0</v>
      </c>
      <c r="V70">
        <v>0.01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2.17</v>
      </c>
      <c r="AT70">
        <v>2.78</v>
      </c>
      <c r="AU70" t="s">
        <v>427</v>
      </c>
      <c r="AV70">
        <v>1</v>
      </c>
      <c r="AW70">
        <v>0</v>
      </c>
      <c r="AX70" t="s">
        <v>437</v>
      </c>
      <c r="AY70">
        <v>0</v>
      </c>
      <c r="AZ70">
        <v>0</v>
      </c>
      <c r="BA70">
        <v>0</v>
      </c>
      <c r="CE70">
        <v>2.4750000000000001</v>
      </c>
      <c r="CG70" t="s">
        <v>450</v>
      </c>
      <c r="CI70">
        <v>1.83638692207139</v>
      </c>
      <c r="CJ70">
        <v>1.5</v>
      </c>
      <c r="CK70">
        <v>1.668193461035695</v>
      </c>
      <c r="CL70">
        <v>-0.18</v>
      </c>
      <c r="CM70">
        <v>1.4881934610356951</v>
      </c>
    </row>
    <row r="71" spans="1:91" x14ac:dyDescent="0.25">
      <c r="A71">
        <v>1133</v>
      </c>
      <c r="B71" t="s">
        <v>169</v>
      </c>
      <c r="C71" t="s">
        <v>269</v>
      </c>
      <c r="D71" t="s">
        <v>369</v>
      </c>
      <c r="E71" t="s">
        <v>397</v>
      </c>
      <c r="F71">
        <v>1074613824</v>
      </c>
      <c r="G71">
        <v>20.260000000000002</v>
      </c>
      <c r="H71" t="s">
        <v>409</v>
      </c>
      <c r="I71">
        <v>21771676074.240002</v>
      </c>
      <c r="J71" t="s">
        <v>415</v>
      </c>
      <c r="K71">
        <v>37482966.910301603</v>
      </c>
      <c r="L71">
        <v>1</v>
      </c>
      <c r="M71">
        <v>21771676074.240002</v>
      </c>
      <c r="N71">
        <v>23899411445.759998</v>
      </c>
      <c r="O71">
        <v>40501010</v>
      </c>
      <c r="P71">
        <v>4050</v>
      </c>
      <c r="Q71">
        <v>1.6201795191173001</v>
      </c>
      <c r="R71">
        <v>2.7</v>
      </c>
      <c r="S71" t="s">
        <v>419</v>
      </c>
      <c r="T71" t="s">
        <v>423</v>
      </c>
      <c r="U71">
        <v>0</v>
      </c>
      <c r="V71">
        <v>0.01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1.82</v>
      </c>
      <c r="AT71">
        <v>3.0049999999999999</v>
      </c>
      <c r="AU71" t="s">
        <v>427</v>
      </c>
      <c r="AV71">
        <v>1</v>
      </c>
      <c r="AW71">
        <v>0</v>
      </c>
      <c r="AX71" t="s">
        <v>436</v>
      </c>
      <c r="AY71">
        <v>0</v>
      </c>
      <c r="AZ71">
        <v>0</v>
      </c>
      <c r="BA71">
        <v>0</v>
      </c>
      <c r="CE71">
        <v>2.4125000000000001</v>
      </c>
      <c r="CG71" t="s">
        <v>450</v>
      </c>
      <c r="CI71">
        <v>1.6201795191173001</v>
      </c>
      <c r="CJ71">
        <v>2.7</v>
      </c>
      <c r="CK71">
        <v>2.1600897595586499</v>
      </c>
      <c r="CL71">
        <v>-0.24</v>
      </c>
      <c r="CM71">
        <v>1.9200897595586499</v>
      </c>
    </row>
    <row r="72" spans="1:91" x14ac:dyDescent="0.25">
      <c r="A72">
        <v>659</v>
      </c>
      <c r="B72" t="s">
        <v>652</v>
      </c>
      <c r="C72" t="s">
        <v>1051</v>
      </c>
      <c r="D72" t="s">
        <v>1450</v>
      </c>
      <c r="E72" t="s">
        <v>403</v>
      </c>
      <c r="F72">
        <v>158172500</v>
      </c>
      <c r="G72">
        <v>119.6854</v>
      </c>
      <c r="H72" t="s">
        <v>413</v>
      </c>
      <c r="I72">
        <v>18930938931.5</v>
      </c>
      <c r="J72" t="s">
        <v>416</v>
      </c>
      <c r="K72">
        <v>32247793.982799198</v>
      </c>
      <c r="L72">
        <v>0.95</v>
      </c>
      <c r="M72">
        <v>17984391984.924999</v>
      </c>
      <c r="N72">
        <v>5902365010</v>
      </c>
      <c r="O72">
        <v>40501025</v>
      </c>
      <c r="P72">
        <v>4050</v>
      </c>
      <c r="Q72">
        <v>1.84275880396175</v>
      </c>
      <c r="R72">
        <v>2.08</v>
      </c>
      <c r="S72" t="s">
        <v>420</v>
      </c>
      <c r="T72" t="s">
        <v>422</v>
      </c>
      <c r="U72">
        <v>0</v>
      </c>
      <c r="V72">
        <v>0.01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2.2839999999999998</v>
      </c>
      <c r="AT72">
        <v>2.9609999999999999</v>
      </c>
      <c r="AU72" t="s">
        <v>1657</v>
      </c>
      <c r="AV72">
        <v>0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2.6225000000000001</v>
      </c>
      <c r="CG72" t="s">
        <v>450</v>
      </c>
      <c r="CI72">
        <v>1.84275880396175</v>
      </c>
      <c r="CJ72">
        <v>2.08</v>
      </c>
      <c r="CK72">
        <v>1.961379401980875</v>
      </c>
      <c r="CL72">
        <v>0</v>
      </c>
      <c r="CM72">
        <v>1.961379401980875</v>
      </c>
    </row>
    <row r="73" spans="1:91" x14ac:dyDescent="0.25">
      <c r="A73">
        <v>299</v>
      </c>
      <c r="B73" t="s">
        <v>170</v>
      </c>
      <c r="C73" t="s">
        <v>270</v>
      </c>
      <c r="D73" t="s">
        <v>370</v>
      </c>
      <c r="E73" t="s">
        <v>403</v>
      </c>
      <c r="F73">
        <v>362188870</v>
      </c>
      <c r="G73">
        <v>39.991840000000003</v>
      </c>
      <c r="H73" t="s">
        <v>413</v>
      </c>
      <c r="I73">
        <v>14484599338.820801</v>
      </c>
      <c r="J73" t="s">
        <v>416</v>
      </c>
      <c r="K73">
        <v>14412050.783097999</v>
      </c>
      <c r="L73">
        <v>0.55000000000000004</v>
      </c>
      <c r="M73">
        <v>7966529636.3514414</v>
      </c>
      <c r="N73">
        <v>11167369428.709999</v>
      </c>
      <c r="O73">
        <v>45101020</v>
      </c>
      <c r="P73">
        <v>4510</v>
      </c>
      <c r="Q73">
        <v>1.7271705380618301</v>
      </c>
      <c r="R73">
        <v>1.5</v>
      </c>
      <c r="S73" t="s">
        <v>417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2.3450000000000002</v>
      </c>
      <c r="AT73">
        <v>2.57</v>
      </c>
      <c r="AU73" t="s">
        <v>420</v>
      </c>
      <c r="AV73">
        <v>1</v>
      </c>
      <c r="AW73">
        <v>0</v>
      </c>
      <c r="AX73" t="s">
        <v>446</v>
      </c>
      <c r="AY73">
        <v>0</v>
      </c>
      <c r="AZ73">
        <v>0</v>
      </c>
      <c r="BA73">
        <v>0</v>
      </c>
      <c r="CE73">
        <v>2.4575</v>
      </c>
      <c r="CG73" t="s">
        <v>450</v>
      </c>
      <c r="CI73">
        <v>1.7271705380618301</v>
      </c>
      <c r="CJ73">
        <v>1.5</v>
      </c>
      <c r="CK73">
        <v>1.6135852690309149</v>
      </c>
      <c r="CL73">
        <v>-0.3</v>
      </c>
      <c r="CM73">
        <v>1.3135852690309151</v>
      </c>
    </row>
    <row r="74" spans="1:91" x14ac:dyDescent="0.25">
      <c r="A74">
        <v>364</v>
      </c>
      <c r="B74" t="s">
        <v>171</v>
      </c>
      <c r="C74" t="s">
        <v>271</v>
      </c>
      <c r="D74" t="s">
        <v>371</v>
      </c>
      <c r="E74" t="s">
        <v>394</v>
      </c>
      <c r="F74">
        <v>679553991</v>
      </c>
      <c r="G74">
        <v>68.48</v>
      </c>
      <c r="H74" t="s">
        <v>409</v>
      </c>
      <c r="I74">
        <v>46535857303.68</v>
      </c>
      <c r="J74" t="s">
        <v>415</v>
      </c>
      <c r="K74">
        <v>73768688.648571402</v>
      </c>
      <c r="L74">
        <v>0.95000000000000007</v>
      </c>
      <c r="M74">
        <v>44209064438.496002</v>
      </c>
      <c r="N74">
        <v>135829251721.08</v>
      </c>
      <c r="O74">
        <v>45102020</v>
      </c>
      <c r="P74">
        <v>4510</v>
      </c>
      <c r="Q74">
        <v>1.7387876622748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2.4980000000000002</v>
      </c>
      <c r="AT74">
        <v>2.8370000000000002</v>
      </c>
      <c r="AU74" t="s">
        <v>420</v>
      </c>
      <c r="AV74">
        <v>1</v>
      </c>
      <c r="AW74">
        <v>0</v>
      </c>
      <c r="AX74" t="s">
        <v>433</v>
      </c>
      <c r="AY74">
        <v>0</v>
      </c>
      <c r="AZ74">
        <v>0</v>
      </c>
      <c r="BA74">
        <v>0</v>
      </c>
      <c r="CE74">
        <v>2.6675</v>
      </c>
      <c r="CG74" t="s">
        <v>450</v>
      </c>
      <c r="CI74">
        <v>1.7387876622748</v>
      </c>
      <c r="CJ74">
        <v>1.5</v>
      </c>
      <c r="CK74">
        <v>1.6193938311374001</v>
      </c>
      <c r="CL74">
        <v>-0.3</v>
      </c>
      <c r="CM74">
        <v>1.3193938311374001</v>
      </c>
    </row>
    <row r="75" spans="1:91" x14ac:dyDescent="0.25">
      <c r="A75">
        <v>173</v>
      </c>
      <c r="B75" t="s">
        <v>172</v>
      </c>
      <c r="C75" t="s">
        <v>272</v>
      </c>
      <c r="D75" t="s">
        <v>372</v>
      </c>
      <c r="E75" t="s">
        <v>406</v>
      </c>
      <c r="F75">
        <v>5488858</v>
      </c>
      <c r="G75">
        <v>1126.021</v>
      </c>
      <c r="H75" t="s">
        <v>414</v>
      </c>
      <c r="I75">
        <v>6180569374.0179996</v>
      </c>
      <c r="J75" t="s">
        <v>416</v>
      </c>
      <c r="K75">
        <v>21337047.627355602</v>
      </c>
      <c r="L75">
        <v>0.7</v>
      </c>
      <c r="M75">
        <v>4326398561.8125992</v>
      </c>
      <c r="N75">
        <v>104584700.332</v>
      </c>
      <c r="O75">
        <v>45102020</v>
      </c>
      <c r="P75">
        <v>4510</v>
      </c>
      <c r="Q75">
        <v>1.7426036975708401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1.829</v>
      </c>
      <c r="AT75">
        <v>2.5819999999999999</v>
      </c>
      <c r="AU75" t="s">
        <v>420</v>
      </c>
      <c r="AV75">
        <v>1</v>
      </c>
      <c r="AW75">
        <v>0</v>
      </c>
      <c r="AX75" t="s">
        <v>446</v>
      </c>
      <c r="AY75">
        <v>0</v>
      </c>
      <c r="AZ75">
        <v>0</v>
      </c>
      <c r="BA75">
        <v>0</v>
      </c>
      <c r="CE75">
        <v>2.2054999999999998</v>
      </c>
      <c r="CG75" t="s">
        <v>450</v>
      </c>
      <c r="CI75">
        <v>1.7426036975708401</v>
      </c>
      <c r="CJ75">
        <v>1.5</v>
      </c>
      <c r="CK75">
        <v>1.6213018487854201</v>
      </c>
      <c r="CL75">
        <v>-0.3</v>
      </c>
      <c r="CM75">
        <v>1.32130184878542</v>
      </c>
    </row>
    <row r="76" spans="1:91" x14ac:dyDescent="0.25">
      <c r="A76">
        <v>923</v>
      </c>
      <c r="B76" t="s">
        <v>173</v>
      </c>
      <c r="C76" t="s">
        <v>273</v>
      </c>
      <c r="D76" t="s">
        <v>373</v>
      </c>
      <c r="E76" t="s">
        <v>406</v>
      </c>
      <c r="F76">
        <v>2620000000</v>
      </c>
      <c r="G76">
        <v>90.485759999999999</v>
      </c>
      <c r="H76" t="s">
        <v>414</v>
      </c>
      <c r="I76">
        <v>237072691200</v>
      </c>
      <c r="J76" t="s">
        <v>416</v>
      </c>
      <c r="K76">
        <v>395799404.31295902</v>
      </c>
      <c r="L76">
        <v>1</v>
      </c>
      <c r="M76">
        <v>237072691200</v>
      </c>
      <c r="N76">
        <v>522166000000</v>
      </c>
      <c r="O76">
        <v>45102020</v>
      </c>
      <c r="P76">
        <v>4510</v>
      </c>
      <c r="Q76">
        <v>1.74112504395241</v>
      </c>
      <c r="R76">
        <v>1.5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2.2480000000000002</v>
      </c>
      <c r="AT76">
        <v>2.8980000000000001</v>
      </c>
      <c r="AU76" t="s">
        <v>420</v>
      </c>
      <c r="AV76">
        <v>1</v>
      </c>
      <c r="AW76">
        <v>0</v>
      </c>
      <c r="AX76" t="s">
        <v>446</v>
      </c>
      <c r="AY76">
        <v>0</v>
      </c>
      <c r="AZ76">
        <v>0</v>
      </c>
      <c r="BA76">
        <v>0</v>
      </c>
      <c r="CE76">
        <v>2.573</v>
      </c>
      <c r="CG76" t="s">
        <v>450</v>
      </c>
      <c r="CI76">
        <v>1.74112504395241</v>
      </c>
      <c r="CJ76">
        <v>1.5</v>
      </c>
      <c r="CK76">
        <v>1.620562521976205</v>
      </c>
      <c r="CL76">
        <v>-0.24</v>
      </c>
      <c r="CM76">
        <v>1.380562521976205</v>
      </c>
    </row>
    <row r="77" spans="1:91" x14ac:dyDescent="0.25">
      <c r="A77">
        <v>1010</v>
      </c>
      <c r="B77" t="s">
        <v>174</v>
      </c>
      <c r="C77" t="s">
        <v>274</v>
      </c>
      <c r="D77" t="s">
        <v>374</v>
      </c>
      <c r="E77" t="s">
        <v>400</v>
      </c>
      <c r="F77">
        <v>1001430970</v>
      </c>
      <c r="G77">
        <v>9.1671560000000003</v>
      </c>
      <c r="H77" t="s">
        <v>411</v>
      </c>
      <c r="I77">
        <v>9180273925.2213211</v>
      </c>
      <c r="J77" t="s">
        <v>416</v>
      </c>
      <c r="K77">
        <v>9237785.1270873696</v>
      </c>
      <c r="L77">
        <v>0.75</v>
      </c>
      <c r="M77">
        <v>6885205443.9159908</v>
      </c>
      <c r="N77">
        <v>149688894240.75</v>
      </c>
      <c r="O77">
        <v>45102020</v>
      </c>
      <c r="P77">
        <v>4510</v>
      </c>
      <c r="Q77">
        <v>1.7387081680102601</v>
      </c>
      <c r="R77">
        <v>1.5</v>
      </c>
      <c r="S77" t="s">
        <v>418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2.3149999999999999</v>
      </c>
      <c r="AT77">
        <v>3.2949999999999999</v>
      </c>
      <c r="AU77" t="s">
        <v>420</v>
      </c>
      <c r="AV77">
        <v>1</v>
      </c>
      <c r="AW77">
        <v>0</v>
      </c>
      <c r="AX77" t="s">
        <v>439</v>
      </c>
      <c r="AY77">
        <v>0</v>
      </c>
      <c r="AZ77">
        <v>0</v>
      </c>
      <c r="BA77">
        <v>0</v>
      </c>
      <c r="CE77">
        <v>2.8050000000000002</v>
      </c>
      <c r="CG77" t="s">
        <v>450</v>
      </c>
      <c r="CI77">
        <v>1.7387081680102601</v>
      </c>
      <c r="CJ77">
        <v>1.5</v>
      </c>
      <c r="CK77">
        <v>1.6193540840051299</v>
      </c>
      <c r="CL77">
        <v>-0.18</v>
      </c>
      <c r="CM77">
        <v>1.43935408400513</v>
      </c>
    </row>
    <row r="78" spans="1:91" x14ac:dyDescent="0.25">
      <c r="A78">
        <v>391</v>
      </c>
      <c r="B78" t="s">
        <v>175</v>
      </c>
      <c r="C78" t="s">
        <v>275</v>
      </c>
      <c r="D78" t="s">
        <v>375</v>
      </c>
      <c r="E78" t="s">
        <v>403</v>
      </c>
      <c r="F78">
        <v>2225173800</v>
      </c>
      <c r="G78">
        <v>26.475850000000001</v>
      </c>
      <c r="H78" t="s">
        <v>413</v>
      </c>
      <c r="I78">
        <v>58913367752.730003</v>
      </c>
      <c r="J78" t="s">
        <v>416</v>
      </c>
      <c r="K78">
        <v>91262542.967915595</v>
      </c>
      <c r="L78">
        <v>1</v>
      </c>
      <c r="M78">
        <v>58913367752.730003</v>
      </c>
      <c r="N78">
        <v>92945509626</v>
      </c>
      <c r="O78">
        <v>45101015</v>
      </c>
      <c r="P78">
        <v>4510</v>
      </c>
      <c r="Q78">
        <v>1.96375273677233</v>
      </c>
      <c r="R78">
        <v>1.5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2.117</v>
      </c>
      <c r="AT78">
        <v>3.198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2.6575000000000002</v>
      </c>
      <c r="CG78" t="s">
        <v>450</v>
      </c>
      <c r="CI78">
        <v>1.96375273677233</v>
      </c>
      <c r="CJ78">
        <v>1.5</v>
      </c>
      <c r="CK78">
        <v>1.7318763683861651</v>
      </c>
      <c r="CL78">
        <v>-0.18</v>
      </c>
      <c r="CM78">
        <v>1.5518763683861649</v>
      </c>
    </row>
    <row r="79" spans="1:91" x14ac:dyDescent="0.25">
      <c r="A79">
        <v>689</v>
      </c>
      <c r="B79" t="s">
        <v>176</v>
      </c>
      <c r="C79" t="s">
        <v>276</v>
      </c>
      <c r="D79" t="s">
        <v>376</v>
      </c>
      <c r="E79" t="s">
        <v>408</v>
      </c>
      <c r="F79">
        <v>629293220</v>
      </c>
      <c r="G79">
        <v>19.98</v>
      </c>
      <c r="H79" t="s">
        <v>409</v>
      </c>
      <c r="I79">
        <v>12573278535.6</v>
      </c>
      <c r="J79" t="s">
        <v>415</v>
      </c>
      <c r="K79">
        <v>10766081.2461905</v>
      </c>
      <c r="L79">
        <v>0.45</v>
      </c>
      <c r="M79">
        <v>5657975341.0200005</v>
      </c>
      <c r="N79">
        <v>11123386956.719999</v>
      </c>
      <c r="O79">
        <v>45201010</v>
      </c>
      <c r="P79">
        <v>4520</v>
      </c>
      <c r="Q79">
        <v>1.7406384718850201</v>
      </c>
      <c r="R79">
        <v>1.5</v>
      </c>
      <c r="S79" t="s">
        <v>417</v>
      </c>
      <c r="T79" t="s">
        <v>422</v>
      </c>
      <c r="U79">
        <v>0</v>
      </c>
      <c r="V79">
        <v>0.05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2.72</v>
      </c>
      <c r="AT79">
        <v>2.5680000000000001</v>
      </c>
      <c r="AU79" t="s">
        <v>431</v>
      </c>
      <c r="AV79">
        <v>1</v>
      </c>
      <c r="AW79">
        <v>0</v>
      </c>
      <c r="AX79" t="s">
        <v>449</v>
      </c>
      <c r="AY79">
        <v>0</v>
      </c>
      <c r="AZ79">
        <v>0</v>
      </c>
      <c r="BA79">
        <v>0</v>
      </c>
      <c r="CE79">
        <v>2.6440000000000001</v>
      </c>
      <c r="CG79" t="s">
        <v>450</v>
      </c>
      <c r="CI79">
        <v>1.7406384718850201</v>
      </c>
      <c r="CJ79">
        <v>1.5</v>
      </c>
      <c r="CK79">
        <v>1.62031923594251</v>
      </c>
      <c r="CL79">
        <v>-0.3</v>
      </c>
      <c r="CM79">
        <v>1.32031923594251</v>
      </c>
    </row>
    <row r="80" spans="1:91" x14ac:dyDescent="0.25">
      <c r="A80">
        <v>186</v>
      </c>
      <c r="B80" t="s">
        <v>177</v>
      </c>
      <c r="C80" t="s">
        <v>277</v>
      </c>
      <c r="D80" t="s">
        <v>377</v>
      </c>
      <c r="E80" t="s">
        <v>398</v>
      </c>
      <c r="F80">
        <v>248000000</v>
      </c>
      <c r="G80">
        <v>128.15</v>
      </c>
      <c r="H80" t="s">
        <v>409</v>
      </c>
      <c r="I80">
        <v>31781200000</v>
      </c>
      <c r="J80" t="s">
        <v>415</v>
      </c>
      <c r="K80">
        <v>25987102.558196701</v>
      </c>
      <c r="L80">
        <v>0.4</v>
      </c>
      <c r="M80">
        <v>12712480000</v>
      </c>
      <c r="N80">
        <v>5561152000</v>
      </c>
      <c r="O80">
        <v>45201020</v>
      </c>
      <c r="P80">
        <v>4520</v>
      </c>
      <c r="Q80">
        <v>1.7450134819631999</v>
      </c>
      <c r="R80">
        <v>1.5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2.3719999999999999</v>
      </c>
      <c r="AT80">
        <v>2.4630000000000001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CE80">
        <v>2.4175</v>
      </c>
      <c r="CG80" t="s">
        <v>450</v>
      </c>
      <c r="CI80">
        <v>1.7450134819631999</v>
      </c>
      <c r="CJ80">
        <v>1.5</v>
      </c>
      <c r="CK80">
        <v>1.6225067409816001</v>
      </c>
      <c r="CL80">
        <v>-0.24</v>
      </c>
      <c r="CM80">
        <v>1.3825067409816001</v>
      </c>
    </row>
    <row r="81" spans="1:91" x14ac:dyDescent="0.25">
      <c r="A81">
        <v>466</v>
      </c>
      <c r="B81" t="s">
        <v>178</v>
      </c>
      <c r="C81" t="s">
        <v>278</v>
      </c>
      <c r="D81" t="s">
        <v>378</v>
      </c>
      <c r="E81" t="s">
        <v>395</v>
      </c>
      <c r="F81">
        <v>643368840</v>
      </c>
      <c r="G81">
        <v>25.860900000000001</v>
      </c>
      <c r="H81" t="s">
        <v>410</v>
      </c>
      <c r="I81">
        <v>16638097234.356001</v>
      </c>
      <c r="J81" t="s">
        <v>416</v>
      </c>
      <c r="K81">
        <v>36684374.367596902</v>
      </c>
      <c r="L81">
        <v>0.9</v>
      </c>
      <c r="M81">
        <v>14974287510.920401</v>
      </c>
      <c r="N81">
        <v>10518115480.74</v>
      </c>
      <c r="O81">
        <v>45201020</v>
      </c>
      <c r="P81">
        <v>4520</v>
      </c>
      <c r="Q81">
        <v>1.6524943400662999</v>
      </c>
      <c r="R81">
        <v>1.77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2.3239999999999998</v>
      </c>
      <c r="AT81">
        <v>2.919</v>
      </c>
      <c r="AU81" t="s">
        <v>420</v>
      </c>
      <c r="AV81">
        <v>1</v>
      </c>
      <c r="AW81">
        <v>0</v>
      </c>
      <c r="AX81" t="s">
        <v>434</v>
      </c>
      <c r="AY81">
        <v>0</v>
      </c>
      <c r="AZ81">
        <v>0</v>
      </c>
      <c r="BA81">
        <v>0</v>
      </c>
      <c r="CE81">
        <v>2.6215000000000002</v>
      </c>
      <c r="CG81" t="s">
        <v>450</v>
      </c>
      <c r="CI81">
        <v>1.6524943400662999</v>
      </c>
      <c r="CJ81">
        <v>1.77</v>
      </c>
      <c r="CK81">
        <v>1.71124717003315</v>
      </c>
      <c r="CL81">
        <v>-0.3</v>
      </c>
      <c r="CM81">
        <v>1.4112471700331499</v>
      </c>
    </row>
    <row r="82" spans="1:91" x14ac:dyDescent="0.25">
      <c r="A82">
        <v>123</v>
      </c>
      <c r="B82" t="s">
        <v>179</v>
      </c>
      <c r="C82" t="s">
        <v>279</v>
      </c>
      <c r="D82" t="s">
        <v>379</v>
      </c>
      <c r="E82" t="s">
        <v>395</v>
      </c>
      <c r="F82">
        <v>1055050400</v>
      </c>
      <c r="G82">
        <v>29.5566</v>
      </c>
      <c r="H82" t="s">
        <v>410</v>
      </c>
      <c r="I82">
        <v>31183702652.639999</v>
      </c>
      <c r="J82" t="s">
        <v>416</v>
      </c>
      <c r="K82">
        <v>42342444.337286301</v>
      </c>
      <c r="L82">
        <v>0.95</v>
      </c>
      <c r="M82">
        <v>29624517520.007999</v>
      </c>
      <c r="N82">
        <v>273827780816</v>
      </c>
      <c r="O82">
        <v>50101035</v>
      </c>
      <c r="P82">
        <v>5010</v>
      </c>
      <c r="Q82">
        <v>1.74887448110706</v>
      </c>
      <c r="R82">
        <v>1.5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1.956</v>
      </c>
      <c r="AT82">
        <v>3.0419999999999998</v>
      </c>
      <c r="AU82" t="s">
        <v>432</v>
      </c>
      <c r="AV82">
        <v>0</v>
      </c>
      <c r="AW82">
        <v>0</v>
      </c>
      <c r="AX82" t="s">
        <v>434</v>
      </c>
      <c r="AY82">
        <v>0</v>
      </c>
      <c r="AZ82">
        <v>0</v>
      </c>
      <c r="BA82">
        <v>0</v>
      </c>
      <c r="CE82">
        <v>2.4990000000000001</v>
      </c>
      <c r="CG82" t="s">
        <v>450</v>
      </c>
      <c r="CI82">
        <v>1.74887448110706</v>
      </c>
      <c r="CJ82">
        <v>1.5</v>
      </c>
      <c r="CK82">
        <v>1.6244372405535299</v>
      </c>
      <c r="CL82">
        <v>-0.18</v>
      </c>
      <c r="CM82">
        <v>1.44443724055353</v>
      </c>
    </row>
    <row r="83" spans="1:91" x14ac:dyDescent="0.25">
      <c r="A83">
        <v>1218</v>
      </c>
      <c r="B83" t="s">
        <v>180</v>
      </c>
      <c r="C83" t="s">
        <v>280</v>
      </c>
      <c r="D83" t="s">
        <v>380</v>
      </c>
      <c r="E83" t="s">
        <v>406</v>
      </c>
      <c r="F83">
        <v>160479300</v>
      </c>
      <c r="G83">
        <v>252.84970000000001</v>
      </c>
      <c r="H83" t="s">
        <v>414</v>
      </c>
      <c r="I83">
        <v>40577142861.209999</v>
      </c>
      <c r="J83" t="s">
        <v>416</v>
      </c>
      <c r="K83">
        <v>92114432.940758303</v>
      </c>
      <c r="L83">
        <v>1</v>
      </c>
      <c r="M83">
        <v>40577142861.209999</v>
      </c>
      <c r="N83">
        <v>31806997260</v>
      </c>
      <c r="O83">
        <v>50101035</v>
      </c>
      <c r="P83">
        <v>5010</v>
      </c>
      <c r="Q83">
        <v>1.74390558393971</v>
      </c>
      <c r="S83" t="s">
        <v>420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2.6779999999999999</v>
      </c>
      <c r="AT83">
        <v>2.95</v>
      </c>
      <c r="AU83" t="s">
        <v>420</v>
      </c>
      <c r="AV83">
        <v>1</v>
      </c>
      <c r="AW83">
        <v>0</v>
      </c>
      <c r="AX83" t="s">
        <v>446</v>
      </c>
      <c r="AY83">
        <v>0</v>
      </c>
      <c r="AZ83">
        <v>0</v>
      </c>
      <c r="BA83">
        <v>0</v>
      </c>
      <c r="CE83">
        <v>2.8140000000000001</v>
      </c>
      <c r="CG83" t="s">
        <v>450</v>
      </c>
      <c r="CI83">
        <v>1.74390558393971</v>
      </c>
      <c r="CJ83">
        <v>3.1</v>
      </c>
      <c r="CK83">
        <v>2.4219527919698551</v>
      </c>
      <c r="CL83">
        <v>0</v>
      </c>
      <c r="CM83">
        <v>2.4219527919698551</v>
      </c>
    </row>
    <row r="84" spans="1:91" x14ac:dyDescent="0.25">
      <c r="A84">
        <v>895</v>
      </c>
      <c r="B84" t="s">
        <v>181</v>
      </c>
      <c r="C84" t="s">
        <v>281</v>
      </c>
      <c r="D84" t="s">
        <v>381</v>
      </c>
      <c r="E84" t="s">
        <v>403</v>
      </c>
      <c r="F84">
        <v>441412540</v>
      </c>
      <c r="G84">
        <v>14.978809999999999</v>
      </c>
      <c r="H84" t="s">
        <v>413</v>
      </c>
      <c r="I84">
        <v>6611834568.2774</v>
      </c>
      <c r="J84" t="s">
        <v>416</v>
      </c>
      <c r="K84">
        <v>15552731.930010101</v>
      </c>
      <c r="L84">
        <v>1</v>
      </c>
      <c r="M84">
        <v>6611834568.2774</v>
      </c>
      <c r="N84">
        <v>17338684571.200001</v>
      </c>
      <c r="O84">
        <v>50203030</v>
      </c>
      <c r="P84">
        <v>5020</v>
      </c>
      <c r="Q84">
        <v>1.6338401605731001</v>
      </c>
      <c r="R84">
        <v>1.5</v>
      </c>
      <c r="S84" t="s">
        <v>417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2.3959999999999999</v>
      </c>
      <c r="AT84">
        <v>3.2839999999999998</v>
      </c>
      <c r="AU84" t="s">
        <v>420</v>
      </c>
      <c r="AV84">
        <v>1</v>
      </c>
      <c r="AW84">
        <v>0</v>
      </c>
      <c r="AX84" t="s">
        <v>442</v>
      </c>
      <c r="AY84">
        <v>0</v>
      </c>
      <c r="AZ84">
        <v>0</v>
      </c>
      <c r="BA84">
        <v>0</v>
      </c>
      <c r="CE84">
        <v>2.84</v>
      </c>
      <c r="CG84" t="s">
        <v>450</v>
      </c>
      <c r="CI84">
        <v>1.6338401605731001</v>
      </c>
      <c r="CJ84">
        <v>1.5</v>
      </c>
      <c r="CK84">
        <v>1.5669200802865499</v>
      </c>
      <c r="CL84">
        <v>-0.3</v>
      </c>
      <c r="CM84">
        <v>1.2669200802865499</v>
      </c>
    </row>
    <row r="85" spans="1:91" x14ac:dyDescent="0.25">
      <c r="A85">
        <v>787</v>
      </c>
      <c r="B85" t="s">
        <v>182</v>
      </c>
      <c r="C85" t="s">
        <v>282</v>
      </c>
      <c r="D85" t="s">
        <v>382</v>
      </c>
      <c r="E85" t="s">
        <v>394</v>
      </c>
      <c r="F85">
        <v>262245733</v>
      </c>
      <c r="G85">
        <v>110.3</v>
      </c>
      <c r="H85" t="s">
        <v>409</v>
      </c>
      <c r="I85">
        <v>28925704349.900002</v>
      </c>
      <c r="J85" t="s">
        <v>415</v>
      </c>
      <c r="K85">
        <v>56619307.900158703</v>
      </c>
      <c r="L85">
        <v>1</v>
      </c>
      <c r="M85">
        <v>28925704349.900002</v>
      </c>
      <c r="N85">
        <v>10301012392.24</v>
      </c>
      <c r="O85">
        <v>50202010</v>
      </c>
      <c r="P85">
        <v>5020</v>
      </c>
      <c r="Q85">
        <v>1.7418068415287999</v>
      </c>
      <c r="R85">
        <v>1.5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2.5249999999999999</v>
      </c>
      <c r="AT85">
        <v>3.0049999999999999</v>
      </c>
      <c r="AU85" t="s">
        <v>420</v>
      </c>
      <c r="AV85">
        <v>1</v>
      </c>
      <c r="AW85">
        <v>0</v>
      </c>
      <c r="AX85" t="s">
        <v>433</v>
      </c>
      <c r="AY85">
        <v>0</v>
      </c>
      <c r="AZ85">
        <v>0</v>
      </c>
      <c r="BA85">
        <v>0</v>
      </c>
      <c r="CE85">
        <v>2.7650000000000001</v>
      </c>
      <c r="CG85" t="s">
        <v>450</v>
      </c>
      <c r="CI85">
        <v>1.7418068415287999</v>
      </c>
      <c r="CJ85">
        <v>1.5</v>
      </c>
      <c r="CK85">
        <v>1.6209034207644</v>
      </c>
      <c r="CL85">
        <v>-0.3</v>
      </c>
      <c r="CM85">
        <v>1.3209034207643999</v>
      </c>
    </row>
    <row r="86" spans="1:91" x14ac:dyDescent="0.25">
      <c r="A86">
        <v>480</v>
      </c>
      <c r="B86" t="s">
        <v>183</v>
      </c>
      <c r="C86" t="s">
        <v>283</v>
      </c>
      <c r="D86" t="s">
        <v>383</v>
      </c>
      <c r="E86" t="s">
        <v>403</v>
      </c>
      <c r="F86">
        <v>919566160</v>
      </c>
      <c r="G86">
        <v>46.387149999999998</v>
      </c>
      <c r="H86" t="s">
        <v>413</v>
      </c>
      <c r="I86">
        <v>42656053398.844002</v>
      </c>
      <c r="J86" t="s">
        <v>416</v>
      </c>
      <c r="K86">
        <v>53659580.624927901</v>
      </c>
      <c r="L86">
        <v>1</v>
      </c>
      <c r="M86">
        <v>42656053398.844002</v>
      </c>
      <c r="N86">
        <v>16703919296.4</v>
      </c>
      <c r="O86">
        <v>50205020</v>
      </c>
      <c r="P86">
        <v>5020</v>
      </c>
      <c r="Q86">
        <v>1.96785746746361</v>
      </c>
      <c r="R86">
        <v>1.5</v>
      </c>
      <c r="S86" t="s">
        <v>419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2.4129999999999998</v>
      </c>
      <c r="AT86">
        <v>3.26</v>
      </c>
      <c r="AU86" t="s">
        <v>426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2.8365</v>
      </c>
      <c r="CG86" t="s">
        <v>450</v>
      </c>
      <c r="CI86">
        <v>1.96785746746361</v>
      </c>
      <c r="CJ86">
        <v>1.5</v>
      </c>
      <c r="CK86">
        <v>1.733928733731805</v>
      </c>
      <c r="CL86">
        <v>-0.24</v>
      </c>
      <c r="CM86">
        <v>1.493928733731805</v>
      </c>
    </row>
    <row r="87" spans="1:91" x14ac:dyDescent="0.25">
      <c r="A87">
        <v>624</v>
      </c>
      <c r="B87" t="s">
        <v>184</v>
      </c>
      <c r="C87" t="s">
        <v>284</v>
      </c>
      <c r="D87" t="s">
        <v>384</v>
      </c>
      <c r="E87" t="s">
        <v>399</v>
      </c>
      <c r="F87">
        <v>107760380</v>
      </c>
      <c r="G87">
        <v>37.44</v>
      </c>
      <c r="H87" t="s">
        <v>409</v>
      </c>
      <c r="I87">
        <v>4034548627.1999998</v>
      </c>
      <c r="J87" t="s">
        <v>415</v>
      </c>
      <c r="K87">
        <v>5079226.97288136</v>
      </c>
      <c r="L87">
        <v>0.9</v>
      </c>
      <c r="M87">
        <v>3631093764.48</v>
      </c>
      <c r="N87">
        <v>3989935829.8800001</v>
      </c>
      <c r="O87">
        <v>50203030</v>
      </c>
      <c r="P87">
        <v>5020</v>
      </c>
      <c r="Q87">
        <v>1.9600431112566099</v>
      </c>
      <c r="R87">
        <v>1.77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2.7010000000000001</v>
      </c>
      <c r="AT87">
        <v>2.9630000000000001</v>
      </c>
      <c r="AU87" t="s">
        <v>420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2.8319999999999999</v>
      </c>
      <c r="CG87" t="s">
        <v>450</v>
      </c>
      <c r="CI87">
        <v>1.9600431112566099</v>
      </c>
      <c r="CJ87">
        <v>1.77</v>
      </c>
      <c r="CK87">
        <v>1.865021555628305</v>
      </c>
      <c r="CL87">
        <v>-0.24</v>
      </c>
      <c r="CM87">
        <v>1.625021555628305</v>
      </c>
    </row>
    <row r="88" spans="1:91" x14ac:dyDescent="0.25">
      <c r="A88">
        <v>762</v>
      </c>
      <c r="B88" t="s">
        <v>185</v>
      </c>
      <c r="C88" t="s">
        <v>285</v>
      </c>
      <c r="D88" t="s">
        <v>385</v>
      </c>
      <c r="E88" t="s">
        <v>399</v>
      </c>
      <c r="F88">
        <v>453187130</v>
      </c>
      <c r="G88">
        <v>55.22</v>
      </c>
      <c r="H88" t="s">
        <v>409</v>
      </c>
      <c r="I88">
        <v>25024993318.599998</v>
      </c>
      <c r="J88" t="s">
        <v>415</v>
      </c>
      <c r="K88">
        <v>26322525.057796601</v>
      </c>
      <c r="L88">
        <v>0.85</v>
      </c>
      <c r="M88">
        <v>21271244320.810001</v>
      </c>
      <c r="N88">
        <v>15131011896.440001</v>
      </c>
      <c r="O88">
        <v>50204000</v>
      </c>
      <c r="P88">
        <v>5020</v>
      </c>
      <c r="Q88">
        <v>1.9953067049789499</v>
      </c>
      <c r="R88">
        <v>2.08</v>
      </c>
      <c r="S88" t="s">
        <v>417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2.6</v>
      </c>
      <c r="AT88">
        <v>2.8839999999999999</v>
      </c>
      <c r="AU88" t="s">
        <v>420</v>
      </c>
      <c r="AV88">
        <v>1</v>
      </c>
      <c r="AW88">
        <v>0</v>
      </c>
      <c r="AX88" t="s">
        <v>438</v>
      </c>
      <c r="AY88">
        <v>0</v>
      </c>
      <c r="AZ88">
        <v>0</v>
      </c>
      <c r="BA88">
        <v>0</v>
      </c>
      <c r="CE88">
        <v>2.742</v>
      </c>
      <c r="CG88" t="s">
        <v>450</v>
      </c>
      <c r="CI88">
        <v>1.9953067049789499</v>
      </c>
      <c r="CJ88">
        <v>2.08</v>
      </c>
      <c r="CK88">
        <v>2.0376533524894751</v>
      </c>
      <c r="CL88">
        <v>-0.3</v>
      </c>
      <c r="CM88">
        <v>1.7376533524894751</v>
      </c>
    </row>
    <row r="89" spans="1:91" x14ac:dyDescent="0.25">
      <c r="A89">
        <v>1108</v>
      </c>
      <c r="B89" t="s">
        <v>186</v>
      </c>
      <c r="C89" t="s">
        <v>286</v>
      </c>
      <c r="D89" t="s">
        <v>386</v>
      </c>
      <c r="E89" t="s">
        <v>394</v>
      </c>
      <c r="F89">
        <v>298233069</v>
      </c>
      <c r="G89">
        <v>26.56</v>
      </c>
      <c r="H89" t="s">
        <v>409</v>
      </c>
      <c r="I89">
        <v>7921070312.6399994</v>
      </c>
      <c r="J89" t="s">
        <v>415</v>
      </c>
      <c r="K89">
        <v>13654330.0976191</v>
      </c>
      <c r="L89">
        <v>0.70000000000000007</v>
      </c>
      <c r="M89">
        <v>5544749218.8480005</v>
      </c>
      <c r="N89">
        <v>63463997083.199997</v>
      </c>
      <c r="O89">
        <v>50202010</v>
      </c>
      <c r="P89">
        <v>5020</v>
      </c>
      <c r="Q89">
        <v>1.7493489955167301</v>
      </c>
      <c r="R89">
        <v>2.39</v>
      </c>
      <c r="S89" t="s">
        <v>417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2.1520000000000001</v>
      </c>
      <c r="AT89">
        <v>3.1819999999999999</v>
      </c>
      <c r="AU89" t="s">
        <v>431</v>
      </c>
      <c r="AV89">
        <v>1</v>
      </c>
      <c r="AW89">
        <v>0</v>
      </c>
      <c r="AX89" t="s">
        <v>433</v>
      </c>
      <c r="AY89">
        <v>0</v>
      </c>
      <c r="AZ89">
        <v>0</v>
      </c>
      <c r="BA89">
        <v>0</v>
      </c>
      <c r="CE89">
        <v>2.6669999999999998</v>
      </c>
      <c r="CG89" t="s">
        <v>450</v>
      </c>
      <c r="CI89">
        <v>1.7493489955167301</v>
      </c>
      <c r="CJ89">
        <v>2.39</v>
      </c>
      <c r="CK89">
        <v>2.0696744977583652</v>
      </c>
      <c r="CL89">
        <v>-0.3</v>
      </c>
      <c r="CM89">
        <v>1.7696744977583649</v>
      </c>
    </row>
    <row r="90" spans="1:91" x14ac:dyDescent="0.25">
      <c r="A90">
        <v>436</v>
      </c>
      <c r="B90" t="s">
        <v>187</v>
      </c>
      <c r="C90" t="s">
        <v>287</v>
      </c>
      <c r="D90" t="s">
        <v>387</v>
      </c>
      <c r="E90" t="s">
        <v>394</v>
      </c>
      <c r="F90">
        <v>236664445</v>
      </c>
      <c r="G90">
        <v>19.149999999999999</v>
      </c>
      <c r="H90" t="s">
        <v>409</v>
      </c>
      <c r="I90">
        <v>4532124121.75</v>
      </c>
      <c r="J90" t="s">
        <v>415</v>
      </c>
      <c r="K90">
        <v>6519939.4418254001</v>
      </c>
      <c r="L90">
        <v>0.70000000000000007</v>
      </c>
      <c r="M90">
        <v>3172486885.2249999</v>
      </c>
      <c r="N90">
        <v>6919831707.3550014</v>
      </c>
      <c r="O90">
        <v>50205010</v>
      </c>
      <c r="P90">
        <v>5020</v>
      </c>
      <c r="Q90">
        <v>1.8621326355854599</v>
      </c>
      <c r="R90">
        <v>2.39</v>
      </c>
      <c r="S90" t="s">
        <v>417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2.2839999999999998</v>
      </c>
      <c r="AT90">
        <v>2.8149999999999999</v>
      </c>
      <c r="AU90" t="s">
        <v>432</v>
      </c>
      <c r="AV90">
        <v>0</v>
      </c>
      <c r="AW90">
        <v>0</v>
      </c>
      <c r="AX90" t="s">
        <v>433</v>
      </c>
      <c r="AY90">
        <v>0</v>
      </c>
      <c r="AZ90">
        <v>0</v>
      </c>
      <c r="BA90">
        <v>0</v>
      </c>
      <c r="CE90">
        <v>2.5495000000000001</v>
      </c>
      <c r="CG90" t="s">
        <v>450</v>
      </c>
      <c r="CI90">
        <v>1.8621326355854599</v>
      </c>
      <c r="CJ90">
        <v>2.39</v>
      </c>
      <c r="CK90">
        <v>2.1260663177927301</v>
      </c>
      <c r="CL90">
        <v>-0.3</v>
      </c>
      <c r="CM90">
        <v>1.8260663177927301</v>
      </c>
    </row>
    <row r="91" spans="1:91" x14ac:dyDescent="0.25">
      <c r="A91">
        <v>228</v>
      </c>
      <c r="B91" t="s">
        <v>188</v>
      </c>
      <c r="C91" t="s">
        <v>288</v>
      </c>
      <c r="D91" t="s">
        <v>388</v>
      </c>
      <c r="E91" t="s">
        <v>403</v>
      </c>
      <c r="F91">
        <v>329765630</v>
      </c>
      <c r="G91">
        <v>40.693019999999997</v>
      </c>
      <c r="H91" t="s">
        <v>413</v>
      </c>
      <c r="I91">
        <v>13419159376.902599</v>
      </c>
      <c r="J91" t="s">
        <v>416</v>
      </c>
      <c r="K91">
        <v>20420662.454890098</v>
      </c>
      <c r="L91">
        <v>1</v>
      </c>
      <c r="M91">
        <v>13419159376.902599</v>
      </c>
      <c r="N91">
        <v>18486661217.799999</v>
      </c>
      <c r="O91">
        <v>50203000</v>
      </c>
      <c r="P91">
        <v>5020</v>
      </c>
      <c r="Q91">
        <v>1.74632403309423</v>
      </c>
      <c r="R91">
        <v>2.39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2.0009999999999999</v>
      </c>
      <c r="AT91">
        <v>2.996</v>
      </c>
      <c r="AU91" t="s">
        <v>431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2.4984999999999999</v>
      </c>
      <c r="CG91" t="s">
        <v>450</v>
      </c>
      <c r="CI91">
        <v>1.74632403309423</v>
      </c>
      <c r="CJ91">
        <v>2.39</v>
      </c>
      <c r="CK91">
        <v>2.0681620165471148</v>
      </c>
      <c r="CL91">
        <v>-0.18</v>
      </c>
      <c r="CM91">
        <v>1.8881620165471149</v>
      </c>
    </row>
    <row r="92" spans="1:91" x14ac:dyDescent="0.25">
      <c r="A92">
        <v>679</v>
      </c>
      <c r="B92" t="s">
        <v>660</v>
      </c>
      <c r="C92" t="s">
        <v>1059</v>
      </c>
      <c r="D92" t="s">
        <v>1458</v>
      </c>
      <c r="E92" t="s">
        <v>402</v>
      </c>
      <c r="F92">
        <v>185668230</v>
      </c>
      <c r="G92">
        <v>22.72052</v>
      </c>
      <c r="H92" t="s">
        <v>412</v>
      </c>
      <c r="I92">
        <v>4218478733.0795999</v>
      </c>
      <c r="J92" t="s">
        <v>416</v>
      </c>
      <c r="K92">
        <v>10254797.4187051</v>
      </c>
      <c r="L92">
        <v>0.75</v>
      </c>
      <c r="M92">
        <v>3163859049.8097</v>
      </c>
      <c r="N92">
        <v>5469786055.8000002</v>
      </c>
      <c r="O92">
        <v>50205040</v>
      </c>
      <c r="P92">
        <v>5020</v>
      </c>
      <c r="Q92">
        <v>1.9739305453825799</v>
      </c>
      <c r="R92">
        <v>1.5</v>
      </c>
      <c r="S92" t="s">
        <v>1648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2.1389999999999998</v>
      </c>
      <c r="AT92">
        <v>3.25</v>
      </c>
      <c r="AU92" t="s">
        <v>432</v>
      </c>
      <c r="AV92">
        <v>0</v>
      </c>
      <c r="AW92">
        <v>0</v>
      </c>
      <c r="AX92" t="s">
        <v>441</v>
      </c>
      <c r="AY92">
        <v>0</v>
      </c>
      <c r="AZ92">
        <v>0</v>
      </c>
      <c r="BA92">
        <v>0</v>
      </c>
      <c r="CE92">
        <v>2.6945000000000001</v>
      </c>
      <c r="CG92" t="s">
        <v>450</v>
      </c>
      <c r="CI92">
        <v>1.9739305453825799</v>
      </c>
      <c r="CJ92">
        <v>1.5</v>
      </c>
      <c r="CK92">
        <v>1.7369652726912901</v>
      </c>
      <c r="CL92">
        <v>0.3</v>
      </c>
      <c r="CM92">
        <v>2.0369652726912899</v>
      </c>
    </row>
    <row r="93" spans="1:91" x14ac:dyDescent="0.25">
      <c r="A93">
        <v>1276</v>
      </c>
      <c r="B93" t="s">
        <v>189</v>
      </c>
      <c r="C93" t="s">
        <v>289</v>
      </c>
      <c r="D93" t="s">
        <v>389</v>
      </c>
      <c r="E93" t="s">
        <v>399</v>
      </c>
      <c r="F93">
        <v>613066600</v>
      </c>
      <c r="G93">
        <v>10.71</v>
      </c>
      <c r="H93" t="s">
        <v>409</v>
      </c>
      <c r="I93">
        <v>6565943286.000001</v>
      </c>
      <c r="J93" t="s">
        <v>415</v>
      </c>
      <c r="K93">
        <v>19128821.576101702</v>
      </c>
      <c r="L93">
        <v>1</v>
      </c>
      <c r="M93">
        <v>6565943286.000001</v>
      </c>
      <c r="N93">
        <v>121509800120</v>
      </c>
      <c r="O93">
        <v>55101015</v>
      </c>
      <c r="P93">
        <v>5510</v>
      </c>
      <c r="Q93">
        <v>1.8865311555342901</v>
      </c>
      <c r="R93">
        <v>1.5</v>
      </c>
      <c r="S93" t="s">
        <v>417</v>
      </c>
      <c r="T93" t="s">
        <v>423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2.58</v>
      </c>
      <c r="AT93">
        <v>3.1419999999999999</v>
      </c>
      <c r="AU93" t="s">
        <v>420</v>
      </c>
      <c r="AV93">
        <v>1</v>
      </c>
      <c r="AW93">
        <v>0</v>
      </c>
      <c r="AX93" t="s">
        <v>438</v>
      </c>
      <c r="AY93">
        <v>0</v>
      </c>
      <c r="AZ93">
        <v>0</v>
      </c>
      <c r="BA93">
        <v>0</v>
      </c>
      <c r="CE93">
        <v>2.8610000000000002</v>
      </c>
      <c r="CG93" t="s">
        <v>450</v>
      </c>
      <c r="CI93">
        <v>1.8865311555342901</v>
      </c>
      <c r="CJ93">
        <v>1.5</v>
      </c>
      <c r="CK93">
        <v>1.693265577767145</v>
      </c>
      <c r="CL93">
        <v>-0.3</v>
      </c>
      <c r="CM93">
        <v>1.393265577767145</v>
      </c>
    </row>
    <row r="94" spans="1:91" x14ac:dyDescent="0.25">
      <c r="A94">
        <v>1302</v>
      </c>
      <c r="B94" t="s">
        <v>190</v>
      </c>
      <c r="C94" t="s">
        <v>290</v>
      </c>
      <c r="D94" t="s">
        <v>390</v>
      </c>
      <c r="E94" t="s">
        <v>395</v>
      </c>
      <c r="F94">
        <v>638676100</v>
      </c>
      <c r="G94">
        <v>13.483459999999999</v>
      </c>
      <c r="H94" t="s">
        <v>410</v>
      </c>
      <c r="I94">
        <v>8611563647.3059998</v>
      </c>
      <c r="J94" t="s">
        <v>416</v>
      </c>
      <c r="K94">
        <v>18512719.7292796</v>
      </c>
      <c r="L94">
        <v>0.85</v>
      </c>
      <c r="M94">
        <v>7319829100.2100992</v>
      </c>
      <c r="N94">
        <v>107597762567</v>
      </c>
      <c r="O94">
        <v>55101010</v>
      </c>
      <c r="P94">
        <v>5510</v>
      </c>
      <c r="Q94">
        <v>1.51093325943585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2.3260000000000001</v>
      </c>
      <c r="AT94">
        <v>2.9609999999999999</v>
      </c>
      <c r="AU94" t="s">
        <v>420</v>
      </c>
      <c r="AV94">
        <v>1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2.6435</v>
      </c>
      <c r="CG94" t="s">
        <v>450</v>
      </c>
      <c r="CI94">
        <v>1.51093325943585</v>
      </c>
      <c r="CJ94">
        <v>3.1</v>
      </c>
      <c r="CK94">
        <v>2.3054666297179249</v>
      </c>
      <c r="CL94">
        <v>-0.24</v>
      </c>
      <c r="CM94">
        <v>2.0654666297179252</v>
      </c>
    </row>
    <row r="95" spans="1:91" x14ac:dyDescent="0.25">
      <c r="A95">
        <v>553</v>
      </c>
      <c r="B95" t="s">
        <v>191</v>
      </c>
      <c r="C95" t="s">
        <v>291</v>
      </c>
      <c r="D95" t="s">
        <v>391</v>
      </c>
      <c r="E95" t="s">
        <v>406</v>
      </c>
      <c r="F95">
        <v>9233586</v>
      </c>
      <c r="G95">
        <v>4175.5290000000005</v>
      </c>
      <c r="H95" t="s">
        <v>414</v>
      </c>
      <c r="I95">
        <v>38555106116.994003</v>
      </c>
      <c r="J95" t="s">
        <v>416</v>
      </c>
      <c r="K95">
        <v>73350479.450200602</v>
      </c>
      <c r="L95">
        <v>0.9</v>
      </c>
      <c r="M95">
        <v>34699595505.294601</v>
      </c>
      <c r="N95">
        <v>150955280.72099999</v>
      </c>
      <c r="O95">
        <v>55201020</v>
      </c>
      <c r="P95">
        <v>5520</v>
      </c>
      <c r="Q95">
        <v>1.73711451726054</v>
      </c>
      <c r="R95">
        <v>2.08</v>
      </c>
      <c r="S95" t="s">
        <v>417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2.1269999999999998</v>
      </c>
      <c r="AT95">
        <v>2.8340000000000001</v>
      </c>
      <c r="AU95" t="s">
        <v>420</v>
      </c>
      <c r="AV95">
        <v>1</v>
      </c>
      <c r="AW95">
        <v>0</v>
      </c>
      <c r="AX95" t="s">
        <v>446</v>
      </c>
      <c r="AY95">
        <v>0</v>
      </c>
      <c r="AZ95">
        <v>0</v>
      </c>
      <c r="BA95">
        <v>0</v>
      </c>
      <c r="CE95">
        <v>2.4805000000000001</v>
      </c>
      <c r="CG95" t="s">
        <v>450</v>
      </c>
      <c r="CI95">
        <v>1.73711451726054</v>
      </c>
      <c r="CJ95">
        <v>2.08</v>
      </c>
      <c r="CK95">
        <v>1.9085572586302699</v>
      </c>
      <c r="CL95">
        <v>-0.3</v>
      </c>
      <c r="CM95">
        <v>1.6085572586302701</v>
      </c>
    </row>
    <row r="96" spans="1:91" x14ac:dyDescent="0.25">
      <c r="A96">
        <v>1316</v>
      </c>
      <c r="B96" t="s">
        <v>192</v>
      </c>
      <c r="C96" t="s">
        <v>292</v>
      </c>
      <c r="D96" t="s">
        <v>392</v>
      </c>
      <c r="E96" t="s">
        <v>398</v>
      </c>
      <c r="F96">
        <v>139772050</v>
      </c>
      <c r="G96">
        <v>98.02</v>
      </c>
      <c r="H96" t="s">
        <v>409</v>
      </c>
      <c r="I96">
        <v>13700456341</v>
      </c>
      <c r="J96" t="s">
        <v>415</v>
      </c>
      <c r="K96">
        <v>28548769.3108197</v>
      </c>
      <c r="L96">
        <v>0.9</v>
      </c>
      <c r="M96">
        <v>12330410706.9</v>
      </c>
      <c r="N96">
        <v>400027607100</v>
      </c>
      <c r="O96">
        <v>55201000</v>
      </c>
      <c r="P96">
        <v>5520</v>
      </c>
      <c r="Q96">
        <v>1.92369051873579</v>
      </c>
      <c r="R96">
        <v>3.1</v>
      </c>
      <c r="S96" t="s">
        <v>417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2.6389999999999998</v>
      </c>
      <c r="AT96">
        <v>3.008</v>
      </c>
      <c r="AU96" t="s">
        <v>420</v>
      </c>
      <c r="AV96">
        <v>1</v>
      </c>
      <c r="AW96">
        <v>0</v>
      </c>
      <c r="AX96" t="s">
        <v>437</v>
      </c>
      <c r="AY96">
        <v>0</v>
      </c>
      <c r="AZ96">
        <v>0</v>
      </c>
      <c r="BA96">
        <v>0</v>
      </c>
      <c r="CE96">
        <v>2.8235000000000001</v>
      </c>
      <c r="CG96" t="s">
        <v>450</v>
      </c>
      <c r="CI96">
        <v>1.92369051873579</v>
      </c>
      <c r="CJ96">
        <v>3.1</v>
      </c>
      <c r="CK96">
        <v>2.5118452593678948</v>
      </c>
      <c r="CL96">
        <v>-0.3</v>
      </c>
      <c r="CM96">
        <v>2.211845259367895</v>
      </c>
    </row>
    <row r="97" spans="1:91" x14ac:dyDescent="0.25">
      <c r="A97">
        <v>1442</v>
      </c>
      <c r="B97" t="s">
        <v>193</v>
      </c>
      <c r="C97" t="s">
        <v>293</v>
      </c>
      <c r="D97" t="s">
        <v>393</v>
      </c>
      <c r="E97" t="s">
        <v>403</v>
      </c>
      <c r="F97">
        <v>681888400</v>
      </c>
      <c r="G97">
        <v>11.622780000000001</v>
      </c>
      <c r="H97" t="s">
        <v>413</v>
      </c>
      <c r="I97">
        <v>7925438857.7520008</v>
      </c>
      <c r="J97" t="s">
        <v>416</v>
      </c>
      <c r="K97">
        <v>15580051.4032885</v>
      </c>
      <c r="L97">
        <v>1</v>
      </c>
      <c r="M97">
        <v>7925438857.7520008</v>
      </c>
      <c r="N97">
        <v>69143483760</v>
      </c>
      <c r="O97">
        <v>65102030</v>
      </c>
      <c r="P97">
        <v>6510</v>
      </c>
      <c r="Q97">
        <v>1.6963650110689901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2.96</v>
      </c>
      <c r="AT97">
        <v>2.3919999999999999</v>
      </c>
      <c r="AU97" t="s">
        <v>428</v>
      </c>
      <c r="AV97">
        <v>1</v>
      </c>
      <c r="AW97">
        <v>0</v>
      </c>
      <c r="AX97" t="s">
        <v>442</v>
      </c>
      <c r="AY97">
        <v>0</v>
      </c>
      <c r="AZ97">
        <v>0</v>
      </c>
      <c r="BA97">
        <v>0</v>
      </c>
      <c r="CE97">
        <v>2.6760000000000002</v>
      </c>
      <c r="CG97" t="s">
        <v>450</v>
      </c>
      <c r="CI97">
        <v>1.6963650110689901</v>
      </c>
      <c r="CJ97">
        <v>3.1</v>
      </c>
      <c r="CK97">
        <v>2.398182505534495</v>
      </c>
      <c r="CL97">
        <v>-0.3</v>
      </c>
      <c r="CM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8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15.692080000000001</v>
      </c>
      <c r="H2" t="s">
        <v>413</v>
      </c>
      <c r="I2">
        <v>15625495993.8272</v>
      </c>
      <c r="J2" t="s">
        <v>416</v>
      </c>
      <c r="K2">
        <v>29289351.006745402</v>
      </c>
      <c r="L2">
        <v>1</v>
      </c>
      <c r="M2">
        <v>15625495993.8272</v>
      </c>
      <c r="N2">
        <v>22145632121.599998</v>
      </c>
      <c r="O2">
        <v>10101015</v>
      </c>
      <c r="P2">
        <v>1010</v>
      </c>
      <c r="Q2">
        <v>1.7465783472899099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2.8580000000000001</v>
      </c>
      <c r="CG2" t="s">
        <v>450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90128173427.819992</v>
      </c>
      <c r="J3" t="s">
        <v>415</v>
      </c>
      <c r="K3">
        <v>34161920.378412701</v>
      </c>
      <c r="L3">
        <v>1</v>
      </c>
      <c r="M3">
        <v>90128173427.819992</v>
      </c>
      <c r="N3">
        <v>579749570928</v>
      </c>
      <c r="O3">
        <v>10101010</v>
      </c>
      <c r="P3">
        <v>1010</v>
      </c>
      <c r="Q3">
        <v>1.9831746989669301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2.4740000000000002</v>
      </c>
      <c r="AT3">
        <v>3.2949999999999999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2.8845000000000001</v>
      </c>
      <c r="CG3" t="s">
        <v>450</v>
      </c>
      <c r="CI3">
        <v>1.9831746989669301</v>
      </c>
      <c r="CJ3">
        <v>1.5</v>
      </c>
      <c r="CK3">
        <v>1.7415873494834651</v>
      </c>
      <c r="CL3">
        <v>-0.18</v>
      </c>
      <c r="CM3">
        <v>1.5615873494834649</v>
      </c>
    </row>
    <row r="4" spans="1:91" x14ac:dyDescent="0.25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569.79999999999995</v>
      </c>
      <c r="H4" t="s">
        <v>409</v>
      </c>
      <c r="I4">
        <v>28107406650.400002</v>
      </c>
      <c r="J4" t="s">
        <v>415</v>
      </c>
      <c r="K4">
        <v>78679459.003174603</v>
      </c>
      <c r="L4">
        <v>0.95000000000000007</v>
      </c>
      <c r="M4">
        <v>26702036317.880001</v>
      </c>
      <c r="N4">
        <v>12802731347.92</v>
      </c>
      <c r="O4">
        <v>10102020</v>
      </c>
      <c r="P4">
        <v>1010</v>
      </c>
      <c r="Q4">
        <v>1.7486641100579701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2.4460000000000002</v>
      </c>
      <c r="AT4">
        <v>3.2189999999999999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1.7486641100579701</v>
      </c>
      <c r="CJ4">
        <v>3.1</v>
      </c>
      <c r="CK4">
        <v>2.4243320550289851</v>
      </c>
      <c r="CL4">
        <v>-0.3</v>
      </c>
      <c r="CM4">
        <v>2.1243320550289848</v>
      </c>
    </row>
    <row r="5" spans="1:91" x14ac:dyDescent="0.25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99.481160000000003</v>
      </c>
      <c r="H5" t="s">
        <v>414</v>
      </c>
      <c r="I5">
        <v>16811733080.402399</v>
      </c>
      <c r="J5" t="s">
        <v>416</v>
      </c>
      <c r="K5">
        <v>53427462.634575203</v>
      </c>
      <c r="L5">
        <v>0.9</v>
      </c>
      <c r="M5">
        <v>15130559772.36216</v>
      </c>
      <c r="N5">
        <v>5974280837.2799997</v>
      </c>
      <c r="O5">
        <v>10102030</v>
      </c>
      <c r="P5">
        <v>1010</v>
      </c>
      <c r="Q5">
        <v>1.7497523085933799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2.5649999999999999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2.9824999999999999</v>
      </c>
      <c r="CG5" t="s">
        <v>450</v>
      </c>
      <c r="CI5">
        <v>1.7497523085933799</v>
      </c>
      <c r="CJ5">
        <v>3.1</v>
      </c>
      <c r="CK5">
        <v>2.4248761542966899</v>
      </c>
      <c r="CL5">
        <v>-0.3</v>
      </c>
      <c r="CM5">
        <v>2.1248761542966901</v>
      </c>
    </row>
    <row r="6" spans="1:91" x14ac:dyDescent="0.25">
      <c r="A6">
        <v>1348</v>
      </c>
      <c r="B6" t="s">
        <v>112</v>
      </c>
      <c r="C6" t="s">
        <v>212</v>
      </c>
      <c r="D6" t="s">
        <v>312</v>
      </c>
      <c r="E6" t="s">
        <v>401</v>
      </c>
      <c r="F6">
        <v>5670161600</v>
      </c>
      <c r="G6">
        <v>4.1740000000000004</v>
      </c>
      <c r="H6" t="s">
        <v>409</v>
      </c>
      <c r="I6">
        <v>23667254518.400002</v>
      </c>
      <c r="J6" t="s">
        <v>415</v>
      </c>
      <c r="K6">
        <v>53268601.0030111</v>
      </c>
      <c r="L6">
        <v>0.7</v>
      </c>
      <c r="M6">
        <v>16567078162.879999</v>
      </c>
      <c r="N6">
        <v>12621779721600</v>
      </c>
      <c r="O6">
        <v>15102015</v>
      </c>
      <c r="P6">
        <v>1510</v>
      </c>
      <c r="Q6">
        <v>1.7233600828722999</v>
      </c>
      <c r="R6">
        <v>1.5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3.1030000000000002</v>
      </c>
      <c r="AT6">
        <v>2.8849999999999998</v>
      </c>
      <c r="AU6" t="s">
        <v>426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2.9940000000000002</v>
      </c>
      <c r="CG6" t="s">
        <v>450</v>
      </c>
      <c r="CI6">
        <v>1.7233600828722999</v>
      </c>
      <c r="CJ6">
        <v>1.5</v>
      </c>
      <c r="CK6">
        <v>1.6116800414361501</v>
      </c>
      <c r="CL6">
        <v>-0.3</v>
      </c>
      <c r="CM6">
        <v>1.31168004143615</v>
      </c>
    </row>
    <row r="7" spans="1:91" x14ac:dyDescent="0.25">
      <c r="A7">
        <v>1471</v>
      </c>
      <c r="B7" t="s">
        <v>113</v>
      </c>
      <c r="C7" t="s">
        <v>213</v>
      </c>
      <c r="D7" t="s">
        <v>313</v>
      </c>
      <c r="E7" t="s">
        <v>403</v>
      </c>
      <c r="F7">
        <v>25081295000</v>
      </c>
      <c r="G7">
        <v>0.80032029999999998</v>
      </c>
      <c r="H7" t="s">
        <v>413</v>
      </c>
      <c r="I7">
        <v>20073069538.788502</v>
      </c>
      <c r="J7" t="s">
        <v>416</v>
      </c>
      <c r="K7">
        <v>51438057.273945697</v>
      </c>
      <c r="L7">
        <v>0.8</v>
      </c>
      <c r="M7">
        <v>16058455631.0308</v>
      </c>
      <c r="N7">
        <v>2034594650400</v>
      </c>
      <c r="O7">
        <v>15102015</v>
      </c>
      <c r="P7">
        <v>1510</v>
      </c>
      <c r="Q7">
        <v>1.72809052700944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2.7650000000000001</v>
      </c>
      <c r="AT7">
        <v>3.141</v>
      </c>
      <c r="AU7" t="s">
        <v>426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2.9529999999999998</v>
      </c>
      <c r="CG7" t="s">
        <v>450</v>
      </c>
      <c r="CI7">
        <v>1.72809052700944</v>
      </c>
      <c r="CJ7">
        <v>1.5</v>
      </c>
      <c r="CK7">
        <v>1.61404526350472</v>
      </c>
      <c r="CL7">
        <v>-0.3</v>
      </c>
      <c r="CM7">
        <v>1.31404526350472</v>
      </c>
    </row>
    <row r="8" spans="1:91" x14ac:dyDescent="0.25">
      <c r="A8">
        <v>1002</v>
      </c>
      <c r="B8" t="s">
        <v>114</v>
      </c>
      <c r="C8" t="s">
        <v>214</v>
      </c>
      <c r="D8" t="s">
        <v>314</v>
      </c>
      <c r="E8" t="s">
        <v>394</v>
      </c>
      <c r="F8">
        <v>2660056599</v>
      </c>
      <c r="G8">
        <v>11.074999999999999</v>
      </c>
      <c r="H8" t="s">
        <v>409</v>
      </c>
      <c r="I8">
        <v>29460126833.924999</v>
      </c>
      <c r="J8" t="s">
        <v>415</v>
      </c>
      <c r="K8">
        <v>71522746.378896803</v>
      </c>
      <c r="L8">
        <v>0.65</v>
      </c>
      <c r="M8">
        <v>19149082442.05125</v>
      </c>
      <c r="N8">
        <v>344597032117.45502</v>
      </c>
      <c r="O8">
        <v>15102015</v>
      </c>
      <c r="P8">
        <v>1510</v>
      </c>
      <c r="Q8">
        <v>1.7104133479050101</v>
      </c>
      <c r="R8">
        <v>2.39</v>
      </c>
      <c r="S8" t="s">
        <v>418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2.7160000000000002</v>
      </c>
      <c r="AT8">
        <v>2.7469999999999999</v>
      </c>
      <c r="AU8" t="s">
        <v>426</v>
      </c>
      <c r="AV8">
        <v>0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2.7315</v>
      </c>
      <c r="CG8" t="s">
        <v>450</v>
      </c>
      <c r="CI8">
        <v>1.7104133479050101</v>
      </c>
      <c r="CJ8">
        <v>2.39</v>
      </c>
      <c r="CK8">
        <v>2.0502066739525051</v>
      </c>
      <c r="CL8">
        <v>-0.18</v>
      </c>
      <c r="CM8">
        <v>1.8702066739525049</v>
      </c>
    </row>
    <row r="9" spans="1:91" x14ac:dyDescent="0.25">
      <c r="A9">
        <v>1350</v>
      </c>
      <c r="B9" t="s">
        <v>115</v>
      </c>
      <c r="C9" t="s">
        <v>215</v>
      </c>
      <c r="D9" t="s">
        <v>315</v>
      </c>
      <c r="E9" t="s">
        <v>400</v>
      </c>
      <c r="F9">
        <v>1368349989</v>
      </c>
      <c r="G9">
        <v>12.142609999999999</v>
      </c>
      <c r="H9" t="s">
        <v>411</v>
      </c>
      <c r="I9">
        <v>16615340259.93129</v>
      </c>
      <c r="J9" t="s">
        <v>416</v>
      </c>
      <c r="K9">
        <v>14604406.268437199</v>
      </c>
      <c r="L9">
        <v>0.45</v>
      </c>
      <c r="M9">
        <v>7476903116.9690809</v>
      </c>
      <c r="N9">
        <v>1958108834259</v>
      </c>
      <c r="O9">
        <v>15102015</v>
      </c>
      <c r="P9">
        <v>1510</v>
      </c>
      <c r="Q9">
        <v>1.692422773381</v>
      </c>
      <c r="R9">
        <v>2.7</v>
      </c>
      <c r="S9" t="s">
        <v>419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2.3370000000000002</v>
      </c>
      <c r="AT9">
        <v>2.9340000000000002</v>
      </c>
      <c r="AU9" t="s">
        <v>426</v>
      </c>
      <c r="AV9">
        <v>0</v>
      </c>
      <c r="AW9">
        <v>0</v>
      </c>
      <c r="AX9" t="s">
        <v>439</v>
      </c>
      <c r="AY9">
        <v>0</v>
      </c>
      <c r="AZ9">
        <v>0</v>
      </c>
      <c r="BA9">
        <v>0</v>
      </c>
      <c r="CE9">
        <v>2.6355</v>
      </c>
      <c r="CG9" t="s">
        <v>450</v>
      </c>
      <c r="CI9">
        <v>1.692422773381</v>
      </c>
      <c r="CJ9">
        <v>2.7</v>
      </c>
      <c r="CK9">
        <v>2.1962113866905</v>
      </c>
      <c r="CL9">
        <v>-0.24</v>
      </c>
      <c r="CM9">
        <v>1.9562113866905</v>
      </c>
    </row>
    <row r="10" spans="1:91" x14ac:dyDescent="0.25">
      <c r="A10">
        <v>976</v>
      </c>
      <c r="B10" t="s">
        <v>116</v>
      </c>
      <c r="C10" t="s">
        <v>216</v>
      </c>
      <c r="D10" t="s">
        <v>316</v>
      </c>
      <c r="E10" t="s">
        <v>402</v>
      </c>
      <c r="F10">
        <v>414555050</v>
      </c>
      <c r="G10">
        <v>53.644550000000002</v>
      </c>
      <c r="H10" t="s">
        <v>412</v>
      </c>
      <c r="I10">
        <v>22238619107.477501</v>
      </c>
      <c r="J10" t="s">
        <v>416</v>
      </c>
      <c r="K10">
        <v>28551144.8592216</v>
      </c>
      <c r="L10">
        <v>0.85</v>
      </c>
      <c r="M10">
        <v>18902826241.355881</v>
      </c>
      <c r="N10">
        <v>70227698245.25</v>
      </c>
      <c r="O10">
        <v>20103010</v>
      </c>
      <c r="P10">
        <v>2010</v>
      </c>
      <c r="Q10">
        <v>1.7046060481660801</v>
      </c>
      <c r="R10">
        <v>1.5</v>
      </c>
      <c r="S10" t="s">
        <v>417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2.5750000000000002</v>
      </c>
      <c r="AT10">
        <v>2.8759999999999999</v>
      </c>
      <c r="AU10" t="s">
        <v>420</v>
      </c>
      <c r="AV10">
        <v>1</v>
      </c>
      <c r="AW10">
        <v>0</v>
      </c>
      <c r="AX10" t="s">
        <v>441</v>
      </c>
      <c r="AY10">
        <v>0</v>
      </c>
      <c r="AZ10">
        <v>0</v>
      </c>
      <c r="BA10">
        <v>0</v>
      </c>
      <c r="CE10">
        <v>2.7254999999999998</v>
      </c>
      <c r="CG10" t="s">
        <v>450</v>
      </c>
      <c r="CI10">
        <v>1.7046060481660801</v>
      </c>
      <c r="CJ10">
        <v>1.5</v>
      </c>
      <c r="CK10">
        <v>1.60230302408304</v>
      </c>
      <c r="CL10">
        <v>-0.3</v>
      </c>
      <c r="CM10">
        <v>1.30230302408304</v>
      </c>
    </row>
    <row r="11" spans="1:91" x14ac:dyDescent="0.25">
      <c r="A11">
        <v>566</v>
      </c>
      <c r="B11" t="s">
        <v>117</v>
      </c>
      <c r="C11" t="s">
        <v>217</v>
      </c>
      <c r="D11" t="s">
        <v>317</v>
      </c>
      <c r="E11" t="s">
        <v>403</v>
      </c>
      <c r="F11">
        <v>4145945300</v>
      </c>
      <c r="G11">
        <v>17.2758</v>
      </c>
      <c r="H11" t="s">
        <v>413</v>
      </c>
      <c r="I11">
        <v>71624521813.740005</v>
      </c>
      <c r="J11" t="s">
        <v>416</v>
      </c>
      <c r="K11">
        <v>94231734.899956703</v>
      </c>
      <c r="L11">
        <v>1</v>
      </c>
      <c r="M11">
        <v>71624521813.740005</v>
      </c>
      <c r="N11">
        <v>75311096374.5</v>
      </c>
      <c r="O11">
        <v>20103015</v>
      </c>
      <c r="P11">
        <v>2010</v>
      </c>
      <c r="Q11">
        <v>1.73069234760163</v>
      </c>
      <c r="R11">
        <v>1.5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3.198</v>
      </c>
      <c r="AT11">
        <v>2.7879999999999998</v>
      </c>
      <c r="AU11" t="s">
        <v>420</v>
      </c>
      <c r="AV11">
        <v>1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2.9929999999999999</v>
      </c>
      <c r="CG11" t="s">
        <v>450</v>
      </c>
      <c r="CI11">
        <v>1.73069234760163</v>
      </c>
      <c r="CJ11">
        <v>1.5</v>
      </c>
      <c r="CK11">
        <v>1.615346173800815</v>
      </c>
      <c r="CL11">
        <v>-0.3</v>
      </c>
      <c r="CM11">
        <v>1.315346173800815</v>
      </c>
    </row>
    <row r="12" spans="1:91" x14ac:dyDescent="0.25">
      <c r="A12">
        <v>974</v>
      </c>
      <c r="B12" t="s">
        <v>118</v>
      </c>
      <c r="C12" t="s">
        <v>218</v>
      </c>
      <c r="D12" t="s">
        <v>318</v>
      </c>
      <c r="E12" t="s">
        <v>406</v>
      </c>
      <c r="F12">
        <v>2189930400</v>
      </c>
      <c r="G12">
        <v>104.3617</v>
      </c>
      <c r="H12" t="s">
        <v>414</v>
      </c>
      <c r="I12">
        <v>228544859425.67999</v>
      </c>
      <c r="J12" t="s">
        <v>416</v>
      </c>
      <c r="K12">
        <v>348052438.84857303</v>
      </c>
      <c r="L12">
        <v>0.95</v>
      </c>
      <c r="M12">
        <v>217117616454.396</v>
      </c>
      <c r="N12">
        <v>414630472284</v>
      </c>
      <c r="O12">
        <v>20103015</v>
      </c>
      <c r="P12">
        <v>2010</v>
      </c>
      <c r="Q12">
        <v>1.7351435772655099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2.9780000000000002</v>
      </c>
      <c r="AT12">
        <v>2.9729999999999999</v>
      </c>
      <c r="AU12" t="s">
        <v>420</v>
      </c>
      <c r="AV12">
        <v>1</v>
      </c>
      <c r="AW12">
        <v>0</v>
      </c>
      <c r="AX12" t="s">
        <v>446</v>
      </c>
      <c r="AY12">
        <v>0</v>
      </c>
      <c r="AZ12">
        <v>0</v>
      </c>
      <c r="BA12">
        <v>0</v>
      </c>
      <c r="CE12">
        <v>2.9754999999999998</v>
      </c>
      <c r="CG12" t="s">
        <v>450</v>
      </c>
      <c r="CI12">
        <v>1.7351435772655099</v>
      </c>
      <c r="CJ12">
        <v>1.5</v>
      </c>
      <c r="CK12">
        <v>1.617571788632755</v>
      </c>
      <c r="CL12">
        <v>-0.3</v>
      </c>
      <c r="CM12">
        <v>1.3175717886327549</v>
      </c>
    </row>
    <row r="13" spans="1:91" x14ac:dyDescent="0.25">
      <c r="A13">
        <v>126</v>
      </c>
      <c r="B13" t="s">
        <v>119</v>
      </c>
      <c r="C13" t="s">
        <v>219</v>
      </c>
      <c r="D13" t="s">
        <v>319</v>
      </c>
      <c r="E13" t="s">
        <v>403</v>
      </c>
      <c r="F13">
        <v>1550581200</v>
      </c>
      <c r="G13">
        <v>141.54310000000001</v>
      </c>
      <c r="H13" t="s">
        <v>413</v>
      </c>
      <c r="I13">
        <v>219474069849.72</v>
      </c>
      <c r="J13" t="s">
        <v>416</v>
      </c>
      <c r="K13">
        <v>175769656.35404101</v>
      </c>
      <c r="L13">
        <v>1</v>
      </c>
      <c r="M13">
        <v>219474069849.72</v>
      </c>
      <c r="N13">
        <v>423618783840</v>
      </c>
      <c r="O13">
        <v>20103015</v>
      </c>
      <c r="P13">
        <v>2010</v>
      </c>
      <c r="Q13">
        <v>1.74009250374075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2.7770000000000001</v>
      </c>
      <c r="AT13">
        <v>2.399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2.5880000000000001</v>
      </c>
      <c r="CG13" t="s">
        <v>450</v>
      </c>
      <c r="CI13">
        <v>1.74009250374075</v>
      </c>
      <c r="CJ13">
        <v>1.5</v>
      </c>
      <c r="CK13">
        <v>1.6200462518703751</v>
      </c>
      <c r="CL13">
        <v>-0.3</v>
      </c>
      <c r="CM13">
        <v>1.3200462518703751</v>
      </c>
    </row>
    <row r="14" spans="1:91" x14ac:dyDescent="0.25">
      <c r="A14">
        <v>1151</v>
      </c>
      <c r="B14" t="s">
        <v>120</v>
      </c>
      <c r="C14" t="s">
        <v>220</v>
      </c>
      <c r="D14" t="s">
        <v>320</v>
      </c>
      <c r="E14" t="s">
        <v>394</v>
      </c>
      <c r="F14">
        <v>1263122721</v>
      </c>
      <c r="G14">
        <v>104.12</v>
      </c>
      <c r="H14" t="s">
        <v>409</v>
      </c>
      <c r="I14">
        <v>131516337710.52</v>
      </c>
      <c r="J14" t="s">
        <v>415</v>
      </c>
      <c r="K14">
        <v>154796225.17039701</v>
      </c>
      <c r="L14">
        <v>0.95000000000000007</v>
      </c>
      <c r="M14">
        <v>124940520824.994</v>
      </c>
      <c r="N14">
        <v>26687256849.287998</v>
      </c>
      <c r="O14">
        <v>20103015</v>
      </c>
      <c r="P14">
        <v>2010</v>
      </c>
      <c r="Q14">
        <v>1.72319966282151</v>
      </c>
      <c r="R14">
        <v>1.5</v>
      </c>
      <c r="S14" t="s">
        <v>419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2.98</v>
      </c>
      <c r="AT14">
        <v>2.774</v>
      </c>
      <c r="AU14" t="s">
        <v>420</v>
      </c>
      <c r="AV14">
        <v>1</v>
      </c>
      <c r="AW14">
        <v>0</v>
      </c>
      <c r="AX14" t="s">
        <v>433</v>
      </c>
      <c r="AY14">
        <v>0</v>
      </c>
      <c r="AZ14">
        <v>0</v>
      </c>
      <c r="BA14">
        <v>0</v>
      </c>
      <c r="CE14">
        <v>2.8769999999999998</v>
      </c>
      <c r="CG14" t="s">
        <v>450</v>
      </c>
      <c r="CI14">
        <v>1.72319966282151</v>
      </c>
      <c r="CJ14">
        <v>1.5</v>
      </c>
      <c r="CK14">
        <v>1.6115998314107549</v>
      </c>
      <c r="CL14">
        <v>-0.24</v>
      </c>
      <c r="CM14">
        <v>1.3715998314107549</v>
      </c>
    </row>
    <row r="15" spans="1:91" x14ac:dyDescent="0.25">
      <c r="A15">
        <v>1426</v>
      </c>
      <c r="B15" t="s">
        <v>121</v>
      </c>
      <c r="C15" t="s">
        <v>221</v>
      </c>
      <c r="D15" t="s">
        <v>321</v>
      </c>
      <c r="E15" t="s">
        <v>407</v>
      </c>
      <c r="F15">
        <v>194505658</v>
      </c>
      <c r="G15">
        <v>181.8</v>
      </c>
      <c r="H15" t="s">
        <v>409</v>
      </c>
      <c r="I15">
        <v>35361128624.400002</v>
      </c>
      <c r="J15" t="s">
        <v>415</v>
      </c>
      <c r="K15">
        <v>36834331.3722222</v>
      </c>
      <c r="L15">
        <v>0.65</v>
      </c>
      <c r="M15">
        <v>22984733605.860001</v>
      </c>
      <c r="N15">
        <v>12819867918.780001</v>
      </c>
      <c r="O15">
        <v>20103015</v>
      </c>
      <c r="P15">
        <v>2010</v>
      </c>
      <c r="Q15">
        <v>1.74156423615151</v>
      </c>
      <c r="R15">
        <v>1.77</v>
      </c>
      <c r="S15" t="s">
        <v>419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2.661</v>
      </c>
      <c r="AT15">
        <v>2.8610000000000002</v>
      </c>
      <c r="AU15" t="s">
        <v>429</v>
      </c>
      <c r="AV15">
        <v>0</v>
      </c>
      <c r="AW15">
        <v>0</v>
      </c>
      <c r="AX15" t="s">
        <v>447</v>
      </c>
      <c r="AY15">
        <v>0</v>
      </c>
      <c r="AZ15">
        <v>0</v>
      </c>
      <c r="BA15">
        <v>0</v>
      </c>
      <c r="CE15">
        <v>2.7610000000000001</v>
      </c>
      <c r="CG15" t="s">
        <v>450</v>
      </c>
      <c r="CI15">
        <v>1.74156423615151</v>
      </c>
      <c r="CJ15">
        <v>1.77</v>
      </c>
      <c r="CK15">
        <v>1.7557821180757549</v>
      </c>
      <c r="CL15">
        <v>-0.24</v>
      </c>
      <c r="CM15">
        <v>1.5157821180757549</v>
      </c>
    </row>
    <row r="16" spans="1:91" x14ac:dyDescent="0.25">
      <c r="A16">
        <v>322</v>
      </c>
      <c r="B16" t="s">
        <v>122</v>
      </c>
      <c r="C16" t="s">
        <v>222</v>
      </c>
      <c r="D16" t="s">
        <v>322</v>
      </c>
      <c r="E16" t="s">
        <v>403</v>
      </c>
      <c r="F16">
        <v>2049789600</v>
      </c>
      <c r="G16">
        <v>2.9909249999999998</v>
      </c>
      <c r="H16" t="s">
        <v>413</v>
      </c>
      <c r="I16">
        <v>6130766959.3800001</v>
      </c>
      <c r="J16" t="s">
        <v>416</v>
      </c>
      <c r="K16">
        <v>9155054.9499982595</v>
      </c>
      <c r="L16">
        <v>0.8</v>
      </c>
      <c r="M16">
        <v>4904613567.5040007</v>
      </c>
      <c r="N16">
        <v>345020585472</v>
      </c>
      <c r="O16">
        <v>20102015</v>
      </c>
      <c r="P16">
        <v>2010</v>
      </c>
      <c r="Q16">
        <v>1.97423180401412</v>
      </c>
      <c r="R16">
        <v>1.5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2.786</v>
      </c>
      <c r="AT16">
        <v>3.0009999999999999</v>
      </c>
      <c r="AU16" t="s">
        <v>420</v>
      </c>
      <c r="AV16">
        <v>1</v>
      </c>
      <c r="AW16">
        <v>0</v>
      </c>
      <c r="AX16" t="s">
        <v>442</v>
      </c>
      <c r="AY16">
        <v>0</v>
      </c>
      <c r="AZ16">
        <v>0</v>
      </c>
      <c r="BA16">
        <v>0</v>
      </c>
      <c r="CE16">
        <v>2.8935</v>
      </c>
      <c r="CG16" t="s">
        <v>450</v>
      </c>
      <c r="CI16">
        <v>1.97423180401412</v>
      </c>
      <c r="CJ16">
        <v>1.5</v>
      </c>
      <c r="CK16">
        <v>1.7371159020070599</v>
      </c>
      <c r="CL16">
        <v>-0.18</v>
      </c>
      <c r="CM16">
        <v>1.55711590200706</v>
      </c>
    </row>
    <row r="17" spans="1:91" x14ac:dyDescent="0.25">
      <c r="A17">
        <v>73</v>
      </c>
      <c r="B17" t="s">
        <v>123</v>
      </c>
      <c r="C17" t="s">
        <v>223</v>
      </c>
      <c r="D17" t="s">
        <v>323</v>
      </c>
      <c r="E17" t="s">
        <v>402</v>
      </c>
      <c r="F17">
        <v>234974400</v>
      </c>
      <c r="G17">
        <v>18.719290000000001</v>
      </c>
      <c r="H17" t="s">
        <v>412</v>
      </c>
      <c r="I17">
        <v>4398553936.1760006</v>
      </c>
      <c r="J17" t="s">
        <v>416</v>
      </c>
      <c r="K17">
        <v>7606684.1957903598</v>
      </c>
      <c r="L17">
        <v>0.85</v>
      </c>
      <c r="M17">
        <v>3738770845.7495999</v>
      </c>
      <c r="N17">
        <v>415434739.19999999</v>
      </c>
      <c r="O17">
        <v>20102010</v>
      </c>
      <c r="P17">
        <v>2010</v>
      </c>
      <c r="Q17">
        <v>1.91599093280441</v>
      </c>
      <c r="R17">
        <v>1.5</v>
      </c>
      <c r="S17" t="s">
        <v>421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2.6269999999999998</v>
      </c>
      <c r="AT17">
        <v>2.7530000000000001</v>
      </c>
      <c r="AU17" t="s">
        <v>420</v>
      </c>
      <c r="AV17">
        <v>1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2.69</v>
      </c>
      <c r="CG17" t="s">
        <v>450</v>
      </c>
      <c r="CI17">
        <v>1.91599093280441</v>
      </c>
      <c r="CJ17">
        <v>1.5</v>
      </c>
      <c r="CK17">
        <v>1.707995466402205</v>
      </c>
      <c r="CL17">
        <v>0.18</v>
      </c>
      <c r="CM17">
        <v>1.8879954664022049</v>
      </c>
    </row>
    <row r="18" spans="1:91" x14ac:dyDescent="0.25">
      <c r="A18">
        <v>1250</v>
      </c>
      <c r="B18" t="s">
        <v>124</v>
      </c>
      <c r="C18" t="s">
        <v>224</v>
      </c>
      <c r="D18" t="s">
        <v>324</v>
      </c>
      <c r="E18" t="s">
        <v>406</v>
      </c>
      <c r="F18">
        <v>59626810</v>
      </c>
      <c r="G18">
        <v>310.37360000000001</v>
      </c>
      <c r="H18" t="s">
        <v>414</v>
      </c>
      <c r="I18">
        <v>18506587676.216</v>
      </c>
      <c r="J18" t="s">
        <v>416</v>
      </c>
      <c r="K18">
        <v>37253581.499226198</v>
      </c>
      <c r="L18">
        <v>0.85</v>
      </c>
      <c r="M18">
        <v>15730599524.7836</v>
      </c>
      <c r="N18">
        <v>10045328680.700001</v>
      </c>
      <c r="O18">
        <v>20102010</v>
      </c>
      <c r="P18">
        <v>2010</v>
      </c>
      <c r="Q18">
        <v>1.9776400456237699</v>
      </c>
      <c r="R18">
        <v>2.39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3.0779999999999998</v>
      </c>
      <c r="AT18">
        <v>3.0640000000000001</v>
      </c>
      <c r="AU18" t="s">
        <v>420</v>
      </c>
      <c r="AV18">
        <v>1</v>
      </c>
      <c r="AW18">
        <v>0</v>
      </c>
      <c r="AX18" t="s">
        <v>446</v>
      </c>
      <c r="AY18">
        <v>0</v>
      </c>
      <c r="AZ18">
        <v>0</v>
      </c>
      <c r="BA18">
        <v>0</v>
      </c>
      <c r="CE18">
        <v>3.0710000000000002</v>
      </c>
      <c r="CG18" t="s">
        <v>450</v>
      </c>
      <c r="CI18">
        <v>1.9776400456237699</v>
      </c>
      <c r="CJ18">
        <v>2.39</v>
      </c>
      <c r="CK18">
        <v>2.1838200228118851</v>
      </c>
      <c r="CL18">
        <v>-0.18</v>
      </c>
      <c r="CM18">
        <v>2.003820022811885</v>
      </c>
    </row>
    <row r="19" spans="1:91" x14ac:dyDescent="0.25">
      <c r="A19">
        <v>1007</v>
      </c>
      <c r="B19" t="s">
        <v>125</v>
      </c>
      <c r="C19" t="s">
        <v>225</v>
      </c>
      <c r="D19" t="s">
        <v>325</v>
      </c>
      <c r="E19" t="s">
        <v>399</v>
      </c>
      <c r="F19">
        <v>108382010</v>
      </c>
      <c r="G19">
        <v>52.44</v>
      </c>
      <c r="H19" t="s">
        <v>409</v>
      </c>
      <c r="I19">
        <v>5683552604.3999996</v>
      </c>
      <c r="J19" t="s">
        <v>415</v>
      </c>
      <c r="K19">
        <v>9590018.5647457596</v>
      </c>
      <c r="L19">
        <v>1</v>
      </c>
      <c r="M19">
        <v>5683552604.3999996</v>
      </c>
      <c r="N19">
        <v>21600534593</v>
      </c>
      <c r="O19">
        <v>20103015</v>
      </c>
      <c r="P19">
        <v>2010</v>
      </c>
      <c r="Q19">
        <v>1.9707580162642699</v>
      </c>
      <c r="R19">
        <v>2.7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2.4689999999999999</v>
      </c>
      <c r="AT19">
        <v>2.8260000000000001</v>
      </c>
      <c r="AU19" t="s">
        <v>420</v>
      </c>
      <c r="AV19">
        <v>1</v>
      </c>
      <c r="AW19">
        <v>0</v>
      </c>
      <c r="AX19" t="s">
        <v>438</v>
      </c>
      <c r="AY19">
        <v>0</v>
      </c>
      <c r="AZ19">
        <v>0</v>
      </c>
      <c r="BA19">
        <v>0</v>
      </c>
      <c r="CE19">
        <v>2.6475</v>
      </c>
      <c r="CG19" t="s">
        <v>450</v>
      </c>
      <c r="CI19">
        <v>1.9707580162642699</v>
      </c>
      <c r="CJ19">
        <v>2.7</v>
      </c>
      <c r="CK19">
        <v>2.3353790081321351</v>
      </c>
      <c r="CL19">
        <v>-0.18</v>
      </c>
      <c r="CM19">
        <v>2.1553790081321349</v>
      </c>
    </row>
    <row r="20" spans="1:91" x14ac:dyDescent="0.25">
      <c r="A20">
        <v>1279</v>
      </c>
      <c r="B20" t="s">
        <v>126</v>
      </c>
      <c r="C20" t="s">
        <v>226</v>
      </c>
      <c r="D20" t="s">
        <v>326</v>
      </c>
      <c r="E20" t="s">
        <v>406</v>
      </c>
      <c r="F20">
        <v>159455250</v>
      </c>
      <c r="G20">
        <v>138.75899999999999</v>
      </c>
      <c r="H20" t="s">
        <v>414</v>
      </c>
      <c r="I20">
        <v>22125851034.75</v>
      </c>
      <c r="J20" t="s">
        <v>416</v>
      </c>
      <c r="K20">
        <v>38963232.823840298</v>
      </c>
      <c r="L20">
        <v>0.75</v>
      </c>
      <c r="M20">
        <v>16594388276.0625</v>
      </c>
      <c r="N20">
        <v>23703022912.5</v>
      </c>
      <c r="O20">
        <v>20102015</v>
      </c>
      <c r="P20">
        <v>2010</v>
      </c>
      <c r="Q20">
        <v>1.74431611527946</v>
      </c>
      <c r="R20">
        <v>3.01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2.85</v>
      </c>
      <c r="AT20">
        <v>2.2160000000000002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2.5329999999999999</v>
      </c>
      <c r="CG20" t="s">
        <v>450</v>
      </c>
      <c r="CI20">
        <v>1.74431611527946</v>
      </c>
      <c r="CJ20">
        <v>3.01</v>
      </c>
      <c r="CK20">
        <v>2.37715805763973</v>
      </c>
      <c r="CL20">
        <v>-0.18</v>
      </c>
      <c r="CM20">
        <v>2.1971580576397298</v>
      </c>
    </row>
    <row r="21" spans="1:91" x14ac:dyDescent="0.25">
      <c r="A21">
        <v>309</v>
      </c>
      <c r="B21" t="s">
        <v>127</v>
      </c>
      <c r="C21" t="s">
        <v>227</v>
      </c>
      <c r="D21" t="s">
        <v>327</v>
      </c>
      <c r="E21" t="s">
        <v>398</v>
      </c>
      <c r="F21">
        <v>1184669100</v>
      </c>
      <c r="G21">
        <v>19.524999999999999</v>
      </c>
      <c r="H21" t="s">
        <v>409</v>
      </c>
      <c r="I21">
        <v>23130664177.5</v>
      </c>
      <c r="J21" t="s">
        <v>415</v>
      </c>
      <c r="K21">
        <v>92864872.3770082</v>
      </c>
      <c r="L21">
        <v>0.8</v>
      </c>
      <c r="M21">
        <v>18504531342</v>
      </c>
      <c r="N21">
        <v>53130039796.800003</v>
      </c>
      <c r="O21">
        <v>30101010</v>
      </c>
      <c r="P21">
        <v>3010</v>
      </c>
      <c r="Q21">
        <v>1.9118214423098601</v>
      </c>
      <c r="R21">
        <v>1.5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2.3889999999999998</v>
      </c>
      <c r="AT21">
        <v>2.794</v>
      </c>
      <c r="AU21" t="s">
        <v>430</v>
      </c>
      <c r="AV21">
        <v>0</v>
      </c>
      <c r="AW21">
        <v>0</v>
      </c>
      <c r="AX21" t="s">
        <v>437</v>
      </c>
      <c r="AY21">
        <v>0</v>
      </c>
      <c r="AZ21">
        <v>0</v>
      </c>
      <c r="BA21">
        <v>0</v>
      </c>
      <c r="CE21">
        <v>2.5914999999999999</v>
      </c>
      <c r="CG21" t="s">
        <v>450</v>
      </c>
      <c r="CI21">
        <v>1.9118214423098601</v>
      </c>
      <c r="CJ21">
        <v>1.5</v>
      </c>
      <c r="CK21">
        <v>1.70591072115493</v>
      </c>
      <c r="CL21">
        <v>-0.18</v>
      </c>
      <c r="CM21">
        <v>1.5259107211549301</v>
      </c>
    </row>
    <row r="22" spans="1:91" x14ac:dyDescent="0.25">
      <c r="A22">
        <v>45</v>
      </c>
      <c r="B22" t="s">
        <v>128</v>
      </c>
      <c r="C22" t="s">
        <v>228</v>
      </c>
      <c r="D22" t="s">
        <v>328</v>
      </c>
      <c r="E22" t="s">
        <v>397</v>
      </c>
      <c r="F22">
        <v>2328438575</v>
      </c>
      <c r="G22">
        <v>6.34</v>
      </c>
      <c r="H22" t="s">
        <v>409</v>
      </c>
      <c r="I22">
        <v>14762300565.5</v>
      </c>
      <c r="J22" t="s">
        <v>415</v>
      </c>
      <c r="K22">
        <v>28502146.137509499</v>
      </c>
      <c r="L22">
        <v>0.9</v>
      </c>
      <c r="M22">
        <v>13286070508.950001</v>
      </c>
      <c r="N22">
        <v>4358837012.4000006</v>
      </c>
      <c r="O22">
        <v>30101010</v>
      </c>
      <c r="P22">
        <v>3010</v>
      </c>
      <c r="Q22">
        <v>1.99934707512142</v>
      </c>
      <c r="R22">
        <v>1.5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2.4860000000000002</v>
      </c>
      <c r="AT22">
        <v>3.169</v>
      </c>
      <c r="AU22" t="s">
        <v>430</v>
      </c>
      <c r="AV22">
        <v>0</v>
      </c>
      <c r="AW22">
        <v>0</v>
      </c>
      <c r="AX22" t="s">
        <v>436</v>
      </c>
      <c r="AY22">
        <v>0</v>
      </c>
      <c r="AZ22">
        <v>0</v>
      </c>
      <c r="BA22">
        <v>0</v>
      </c>
      <c r="CE22">
        <v>2.8275000000000001</v>
      </c>
      <c r="CG22" t="s">
        <v>450</v>
      </c>
      <c r="CI22">
        <v>1.99934707512142</v>
      </c>
      <c r="CJ22">
        <v>1.5</v>
      </c>
      <c r="CK22">
        <v>1.74967353756071</v>
      </c>
      <c r="CL22">
        <v>-0.18</v>
      </c>
      <c r="CM22">
        <v>1.56967353756071</v>
      </c>
    </row>
    <row r="23" spans="1:91" x14ac:dyDescent="0.25">
      <c r="A23">
        <v>665</v>
      </c>
      <c r="B23" t="s">
        <v>129</v>
      </c>
      <c r="C23" t="s">
        <v>229</v>
      </c>
      <c r="D23" t="s">
        <v>329</v>
      </c>
      <c r="E23" t="s">
        <v>404</v>
      </c>
      <c r="F23">
        <v>17803670501</v>
      </c>
      <c r="G23">
        <v>4.5205000000000002</v>
      </c>
      <c r="H23" t="s">
        <v>409</v>
      </c>
      <c r="I23">
        <v>80481492499.770508</v>
      </c>
      <c r="J23" t="s">
        <v>415</v>
      </c>
      <c r="K23">
        <v>260212884.25246701</v>
      </c>
      <c r="L23">
        <v>0.9</v>
      </c>
      <c r="M23">
        <v>72433343249.793457</v>
      </c>
      <c r="N23">
        <v>629395359551.35205</v>
      </c>
      <c r="O23">
        <v>30101010</v>
      </c>
      <c r="P23">
        <v>3010</v>
      </c>
      <c r="Q23">
        <v>1.99846386909479</v>
      </c>
      <c r="R23">
        <v>2.39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2.444</v>
      </c>
      <c r="AT23">
        <v>3.077</v>
      </c>
      <c r="AU23" t="s">
        <v>430</v>
      </c>
      <c r="AV23">
        <v>0</v>
      </c>
      <c r="AW23">
        <v>0</v>
      </c>
      <c r="AX23" t="s">
        <v>443</v>
      </c>
      <c r="AY23">
        <v>0</v>
      </c>
      <c r="AZ23">
        <v>0</v>
      </c>
      <c r="BA23">
        <v>0</v>
      </c>
      <c r="CE23">
        <v>2.7605</v>
      </c>
      <c r="CG23" t="s">
        <v>450</v>
      </c>
      <c r="CI23">
        <v>1.99846386909479</v>
      </c>
      <c r="CJ23">
        <v>2.39</v>
      </c>
      <c r="CK23">
        <v>2.1942319345473948</v>
      </c>
      <c r="CL23">
        <v>-0.3</v>
      </c>
      <c r="CM23">
        <v>1.894231934547395</v>
      </c>
    </row>
    <row r="24" spans="1:91" x14ac:dyDescent="0.25">
      <c r="A24">
        <v>723</v>
      </c>
      <c r="B24" t="s">
        <v>130</v>
      </c>
      <c r="C24" t="s">
        <v>230</v>
      </c>
      <c r="D24" t="s">
        <v>330</v>
      </c>
      <c r="E24" t="s">
        <v>407</v>
      </c>
      <c r="F24">
        <v>417544151</v>
      </c>
      <c r="G24">
        <v>81.3</v>
      </c>
      <c r="H24" t="s">
        <v>409</v>
      </c>
      <c r="I24">
        <v>33946339476.299999</v>
      </c>
      <c r="J24" t="s">
        <v>415</v>
      </c>
      <c r="K24">
        <v>34500356.415872999</v>
      </c>
      <c r="L24">
        <v>0.55000000000000004</v>
      </c>
      <c r="M24">
        <v>18670486711.965</v>
      </c>
      <c r="N24">
        <v>9020623838.2040005</v>
      </c>
      <c r="O24">
        <v>30101010</v>
      </c>
      <c r="P24">
        <v>3010</v>
      </c>
      <c r="Q24">
        <v>2.89333333333333</v>
      </c>
      <c r="R24">
        <v>1.5</v>
      </c>
      <c r="S24" t="s">
        <v>417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2.3780000000000001</v>
      </c>
      <c r="AT24">
        <v>2.879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2.6284999999999998</v>
      </c>
      <c r="CG24" t="s">
        <v>450</v>
      </c>
      <c r="CI24">
        <v>2.89333333333333</v>
      </c>
      <c r="CJ24">
        <v>1.5</v>
      </c>
      <c r="CK24">
        <v>2.196666666666665</v>
      </c>
      <c r="CL24">
        <v>-0.3</v>
      </c>
      <c r="CM24">
        <v>1.8966666666666649</v>
      </c>
    </row>
    <row r="25" spans="1:91" x14ac:dyDescent="0.25">
      <c r="A25">
        <v>1239</v>
      </c>
      <c r="B25" t="s">
        <v>131</v>
      </c>
      <c r="C25" t="s">
        <v>231</v>
      </c>
      <c r="D25" t="s">
        <v>331</v>
      </c>
      <c r="E25" t="s">
        <v>394</v>
      </c>
      <c r="F25">
        <v>800316777</v>
      </c>
      <c r="G25">
        <v>37.835000000000001</v>
      </c>
      <c r="H25" t="s">
        <v>409</v>
      </c>
      <c r="I25">
        <v>30279985257.794998</v>
      </c>
      <c r="J25" t="s">
        <v>415</v>
      </c>
      <c r="K25">
        <v>97163081.891071394</v>
      </c>
      <c r="L25">
        <v>0.9</v>
      </c>
      <c r="M25">
        <v>27251986732.015499</v>
      </c>
      <c r="N25">
        <v>142760506681.26001</v>
      </c>
      <c r="O25">
        <v>30101010</v>
      </c>
      <c r="P25">
        <v>3010</v>
      </c>
      <c r="Q25">
        <v>2.89333333333333</v>
      </c>
      <c r="R25">
        <v>1.5</v>
      </c>
      <c r="S25" t="s">
        <v>419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2.452</v>
      </c>
      <c r="AT25">
        <v>3.1869999999999998</v>
      </c>
      <c r="AU25" t="s">
        <v>430</v>
      </c>
      <c r="AV25">
        <v>0</v>
      </c>
      <c r="AW25">
        <v>0</v>
      </c>
      <c r="AX25" t="s">
        <v>433</v>
      </c>
      <c r="AY25">
        <v>0</v>
      </c>
      <c r="AZ25">
        <v>0</v>
      </c>
      <c r="BA25">
        <v>0</v>
      </c>
      <c r="CE25">
        <v>2.8195000000000001</v>
      </c>
      <c r="CG25" t="s">
        <v>450</v>
      </c>
      <c r="CI25">
        <v>2.89333333333333</v>
      </c>
      <c r="CJ25">
        <v>1.5</v>
      </c>
      <c r="CK25">
        <v>2.196666666666665</v>
      </c>
      <c r="CL25">
        <v>-0.24</v>
      </c>
      <c r="CM25">
        <v>1.956666666666665</v>
      </c>
    </row>
    <row r="26" spans="1:91" x14ac:dyDescent="0.25">
      <c r="A26">
        <v>161</v>
      </c>
      <c r="B26" t="s">
        <v>132</v>
      </c>
      <c r="C26" t="s">
        <v>232</v>
      </c>
      <c r="D26" t="s">
        <v>332</v>
      </c>
      <c r="E26" t="s">
        <v>401</v>
      </c>
      <c r="F26">
        <v>15152492000</v>
      </c>
      <c r="G26">
        <v>5.8840000000000003</v>
      </c>
      <c r="H26" t="s">
        <v>409</v>
      </c>
      <c r="I26">
        <v>89157262928</v>
      </c>
      <c r="J26" t="s">
        <v>415</v>
      </c>
      <c r="K26">
        <v>149229392.385506</v>
      </c>
      <c r="L26">
        <v>1</v>
      </c>
      <c r="M26">
        <v>89157262928</v>
      </c>
      <c r="N26">
        <v>412450832240</v>
      </c>
      <c r="O26">
        <v>30101010</v>
      </c>
      <c r="P26">
        <v>3010</v>
      </c>
      <c r="Q26">
        <v>3.1466666666666598</v>
      </c>
      <c r="R26">
        <v>1.5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2.3980000000000001</v>
      </c>
      <c r="AT26">
        <v>3.1459999999999999</v>
      </c>
      <c r="AU26" t="s">
        <v>430</v>
      </c>
      <c r="AV26">
        <v>0</v>
      </c>
      <c r="AW26">
        <v>0</v>
      </c>
      <c r="AX26" t="s">
        <v>440</v>
      </c>
      <c r="AY26">
        <v>0</v>
      </c>
      <c r="AZ26">
        <v>0</v>
      </c>
      <c r="BA26">
        <v>0</v>
      </c>
      <c r="CE26">
        <v>2.7719999999999998</v>
      </c>
      <c r="CG26" t="s">
        <v>450</v>
      </c>
      <c r="CI26">
        <v>3.1466666666666598</v>
      </c>
      <c r="CJ26">
        <v>1.5</v>
      </c>
      <c r="CK26">
        <v>2.3233333333333301</v>
      </c>
      <c r="CL26">
        <v>-0.3</v>
      </c>
      <c r="CM26">
        <v>2.0233333333333299</v>
      </c>
    </row>
    <row r="27" spans="1:91" x14ac:dyDescent="0.25">
      <c r="A27">
        <v>338</v>
      </c>
      <c r="B27" t="s">
        <v>133</v>
      </c>
      <c r="C27" t="s">
        <v>233</v>
      </c>
      <c r="D27" t="s">
        <v>333</v>
      </c>
      <c r="E27" t="s">
        <v>394</v>
      </c>
      <c r="F27">
        <v>3025902350</v>
      </c>
      <c r="G27">
        <v>15.64</v>
      </c>
      <c r="H27" t="s">
        <v>409</v>
      </c>
      <c r="I27">
        <v>47325112754</v>
      </c>
      <c r="J27" t="s">
        <v>415</v>
      </c>
      <c r="K27">
        <v>92791251.722857103</v>
      </c>
      <c r="L27">
        <v>0.3</v>
      </c>
      <c r="M27">
        <v>14197533826.200001</v>
      </c>
      <c r="N27">
        <v>190994956332</v>
      </c>
      <c r="O27">
        <v>30101010</v>
      </c>
      <c r="P27">
        <v>3010</v>
      </c>
      <c r="Q27">
        <v>3.2733333333333299</v>
      </c>
      <c r="R27">
        <v>1.5</v>
      </c>
      <c r="S27" t="s">
        <v>419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2.1840000000000002</v>
      </c>
      <c r="AT27">
        <v>2.8410000000000002</v>
      </c>
      <c r="AU27" t="s">
        <v>430</v>
      </c>
      <c r="AV27">
        <v>0</v>
      </c>
      <c r="AW27">
        <v>0</v>
      </c>
      <c r="AX27" t="s">
        <v>433</v>
      </c>
      <c r="AY27">
        <v>0</v>
      </c>
      <c r="AZ27">
        <v>0</v>
      </c>
      <c r="BA27">
        <v>0</v>
      </c>
      <c r="CE27">
        <v>2.5125000000000002</v>
      </c>
      <c r="CG27" t="s">
        <v>450</v>
      </c>
      <c r="CI27">
        <v>3.2733333333333299</v>
      </c>
      <c r="CJ27">
        <v>1.5</v>
      </c>
      <c r="CK27">
        <v>2.3866666666666649</v>
      </c>
      <c r="CL27">
        <v>-0.24</v>
      </c>
      <c r="CM27">
        <v>2.1466666666666652</v>
      </c>
    </row>
    <row r="28" spans="1:91" x14ac:dyDescent="0.25">
      <c r="A28">
        <v>203</v>
      </c>
      <c r="B28" t="s">
        <v>134</v>
      </c>
      <c r="C28" t="s">
        <v>234</v>
      </c>
      <c r="D28" t="s">
        <v>334</v>
      </c>
      <c r="E28" t="s">
        <v>394</v>
      </c>
      <c r="F28">
        <v>1130810671</v>
      </c>
      <c r="G28">
        <v>71.12</v>
      </c>
      <c r="H28" t="s">
        <v>409</v>
      </c>
      <c r="I28">
        <v>80423254921.520004</v>
      </c>
      <c r="J28" t="s">
        <v>415</v>
      </c>
      <c r="K28">
        <v>181499028.285079</v>
      </c>
      <c r="L28">
        <v>0.95000000000000007</v>
      </c>
      <c r="M28">
        <v>76402092175.444016</v>
      </c>
      <c r="N28">
        <v>60223583905.447006</v>
      </c>
      <c r="O28">
        <v>30101010</v>
      </c>
      <c r="P28">
        <v>3010</v>
      </c>
      <c r="Q28">
        <v>3.3054605885148698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2.3250000000000002</v>
      </c>
      <c r="AT28">
        <v>3.2959999999999998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2.8105000000000002</v>
      </c>
      <c r="CG28" t="s">
        <v>450</v>
      </c>
      <c r="CI28">
        <v>3.3054605885148698</v>
      </c>
      <c r="CJ28">
        <v>1.5</v>
      </c>
      <c r="CK28">
        <v>2.4027302942574349</v>
      </c>
      <c r="CL28">
        <v>-0.24</v>
      </c>
      <c r="CM28">
        <v>2.1627302942574351</v>
      </c>
    </row>
    <row r="29" spans="1:91" x14ac:dyDescent="0.25">
      <c r="A29">
        <v>212</v>
      </c>
      <c r="B29" t="s">
        <v>135</v>
      </c>
      <c r="C29" t="s">
        <v>235</v>
      </c>
      <c r="D29" t="s">
        <v>335</v>
      </c>
      <c r="E29" t="s">
        <v>406</v>
      </c>
      <c r="F29">
        <v>86061900</v>
      </c>
      <c r="G29">
        <v>100.7996</v>
      </c>
      <c r="H29" t="s">
        <v>414</v>
      </c>
      <c r="I29">
        <v>8675005095.2399998</v>
      </c>
      <c r="J29" t="s">
        <v>416</v>
      </c>
      <c r="K29">
        <v>7565856.8700409401</v>
      </c>
      <c r="L29">
        <v>0.35</v>
      </c>
      <c r="M29">
        <v>3036251783.3340001</v>
      </c>
      <c r="N29">
        <v>1688620539.9000001</v>
      </c>
      <c r="O29">
        <v>30101010</v>
      </c>
      <c r="P29">
        <v>3010</v>
      </c>
      <c r="Q29">
        <v>2.7183589714236498</v>
      </c>
      <c r="R29">
        <v>2.08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2.3719999999999999</v>
      </c>
      <c r="AT29">
        <v>2.5950000000000002</v>
      </c>
      <c r="AU29" t="s">
        <v>430</v>
      </c>
      <c r="AV29">
        <v>0</v>
      </c>
      <c r="AW29">
        <v>0</v>
      </c>
      <c r="AX29" t="s">
        <v>446</v>
      </c>
      <c r="AY29">
        <v>0</v>
      </c>
      <c r="AZ29">
        <v>0</v>
      </c>
      <c r="BA29">
        <v>0</v>
      </c>
      <c r="CE29">
        <v>2.4834999999999998</v>
      </c>
      <c r="CG29" t="s">
        <v>450</v>
      </c>
      <c r="CI29">
        <v>2.7183589714236498</v>
      </c>
      <c r="CJ29">
        <v>2.08</v>
      </c>
      <c r="CK29">
        <v>2.3991794857118252</v>
      </c>
      <c r="CL29">
        <v>-0.18</v>
      </c>
      <c r="CM29">
        <v>2.219179485711825</v>
      </c>
    </row>
    <row r="30" spans="1:91" x14ac:dyDescent="0.25">
      <c r="A30">
        <v>1431</v>
      </c>
      <c r="B30" t="s">
        <v>136</v>
      </c>
      <c r="C30" t="s">
        <v>236</v>
      </c>
      <c r="D30" t="s">
        <v>336</v>
      </c>
      <c r="E30" t="s">
        <v>404</v>
      </c>
      <c r="F30">
        <v>1557675176</v>
      </c>
      <c r="G30">
        <v>47.784999999999997</v>
      </c>
      <c r="H30" t="s">
        <v>409</v>
      </c>
      <c r="I30">
        <v>74433508285.159988</v>
      </c>
      <c r="J30" t="s">
        <v>415</v>
      </c>
      <c r="K30">
        <v>328954382.36553299</v>
      </c>
      <c r="L30">
        <v>1</v>
      </c>
      <c r="M30">
        <v>74433508285.159988</v>
      </c>
      <c r="N30">
        <v>157948262846.39999</v>
      </c>
      <c r="O30">
        <v>30101010</v>
      </c>
      <c r="P30">
        <v>3010</v>
      </c>
      <c r="Q30">
        <v>3.4</v>
      </c>
      <c r="R30">
        <v>1.5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2.355</v>
      </c>
      <c r="AT30">
        <v>3.0659999999999998</v>
      </c>
      <c r="AU30" t="s">
        <v>430</v>
      </c>
      <c r="AV30">
        <v>0</v>
      </c>
      <c r="AW30">
        <v>0</v>
      </c>
      <c r="AX30" t="s">
        <v>443</v>
      </c>
      <c r="AY30">
        <v>0</v>
      </c>
      <c r="AZ30">
        <v>0</v>
      </c>
      <c r="BA30">
        <v>0</v>
      </c>
      <c r="CE30">
        <v>2.7105000000000001</v>
      </c>
      <c r="CG30" t="s">
        <v>450</v>
      </c>
      <c r="CI30">
        <v>3.4</v>
      </c>
      <c r="CJ30">
        <v>1.5</v>
      </c>
      <c r="CK30">
        <v>2.4500000000000002</v>
      </c>
      <c r="CL30">
        <v>-0.18</v>
      </c>
      <c r="CM30">
        <v>2.27</v>
      </c>
    </row>
    <row r="31" spans="1:91" x14ac:dyDescent="0.25">
      <c r="A31">
        <v>919</v>
      </c>
      <c r="B31" t="s">
        <v>137</v>
      </c>
      <c r="C31" t="s">
        <v>237</v>
      </c>
      <c r="D31" t="s">
        <v>337</v>
      </c>
      <c r="E31" t="s">
        <v>403</v>
      </c>
      <c r="F31">
        <v>8058562000</v>
      </c>
      <c r="G31">
        <v>5.4620050000000004</v>
      </c>
      <c r="H31" t="s">
        <v>413</v>
      </c>
      <c r="I31">
        <v>44015905936.810013</v>
      </c>
      <c r="J31" t="s">
        <v>416</v>
      </c>
      <c r="K31">
        <v>81343299.2132736</v>
      </c>
      <c r="L31">
        <v>0.9</v>
      </c>
      <c r="M31">
        <v>39614315343.129013</v>
      </c>
      <c r="N31">
        <v>1445464265940</v>
      </c>
      <c r="O31">
        <v>30101010</v>
      </c>
      <c r="P31">
        <v>3010</v>
      </c>
      <c r="Q31">
        <v>1.9993421653535901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2.4140000000000001</v>
      </c>
      <c r="AT31">
        <v>2.734</v>
      </c>
      <c r="AU31" t="s">
        <v>430</v>
      </c>
      <c r="AV31">
        <v>0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2.5739999999999998</v>
      </c>
      <c r="CG31" t="s">
        <v>450</v>
      </c>
      <c r="CI31">
        <v>1.9993421653535901</v>
      </c>
      <c r="CJ31">
        <v>3.1</v>
      </c>
      <c r="CK31">
        <v>2.5496710826767952</v>
      </c>
      <c r="CL31">
        <v>-0.24</v>
      </c>
      <c r="CM31">
        <v>2.309671082676795</v>
      </c>
    </row>
    <row r="32" spans="1:91" x14ac:dyDescent="0.25">
      <c r="A32">
        <v>165</v>
      </c>
      <c r="B32" t="s">
        <v>138</v>
      </c>
      <c r="C32" t="s">
        <v>238</v>
      </c>
      <c r="D32" t="s">
        <v>338</v>
      </c>
      <c r="E32" t="s">
        <v>397</v>
      </c>
      <c r="F32">
        <v>1003409101</v>
      </c>
      <c r="G32">
        <v>10.44</v>
      </c>
      <c r="H32" t="s">
        <v>409</v>
      </c>
      <c r="I32">
        <v>10475591014.440001</v>
      </c>
      <c r="J32" t="s">
        <v>415</v>
      </c>
      <c r="K32">
        <v>17800026.3292921</v>
      </c>
      <c r="L32">
        <v>1</v>
      </c>
      <c r="M32">
        <v>10475591014.440001</v>
      </c>
      <c r="N32">
        <v>27312795729.220001</v>
      </c>
      <c r="O32">
        <v>30101010</v>
      </c>
      <c r="P32">
        <v>3010</v>
      </c>
      <c r="Q32">
        <v>1.9796332440151201</v>
      </c>
      <c r="S32" t="s">
        <v>420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2.3170000000000002</v>
      </c>
      <c r="AT32">
        <v>2.5430000000000001</v>
      </c>
      <c r="AU32" t="s">
        <v>430</v>
      </c>
      <c r="AV32">
        <v>0</v>
      </c>
      <c r="AW32">
        <v>0</v>
      </c>
      <c r="AX32" t="s">
        <v>436</v>
      </c>
      <c r="AY32">
        <v>0</v>
      </c>
      <c r="AZ32">
        <v>0</v>
      </c>
      <c r="BA32">
        <v>0</v>
      </c>
      <c r="CE32">
        <v>2.4300000000000002</v>
      </c>
      <c r="CG32" t="s">
        <v>450</v>
      </c>
      <c r="CI32">
        <v>1.9796332440151201</v>
      </c>
      <c r="CJ32">
        <v>3.1</v>
      </c>
      <c r="CK32">
        <v>2.5398166220075602</v>
      </c>
      <c r="CL32">
        <v>0</v>
      </c>
      <c r="CM32">
        <v>2.5398166220075602</v>
      </c>
    </row>
    <row r="33" spans="1:91" x14ac:dyDescent="0.25">
      <c r="A33">
        <v>712</v>
      </c>
      <c r="B33" t="s">
        <v>139</v>
      </c>
      <c r="C33" t="s">
        <v>239</v>
      </c>
      <c r="D33" t="s">
        <v>339</v>
      </c>
      <c r="E33" t="s">
        <v>406</v>
      </c>
      <c r="F33">
        <v>206001790</v>
      </c>
      <c r="G33">
        <v>62.627630000000003</v>
      </c>
      <c r="H33" t="s">
        <v>414</v>
      </c>
      <c r="I33">
        <v>12901403883.457701</v>
      </c>
      <c r="J33" t="s">
        <v>416</v>
      </c>
      <c r="K33">
        <v>34741508.719351202</v>
      </c>
      <c r="L33">
        <v>1</v>
      </c>
      <c r="M33">
        <v>12901403883.457701</v>
      </c>
      <c r="N33">
        <v>8091750311.1999998</v>
      </c>
      <c r="O33">
        <v>30202010</v>
      </c>
      <c r="P33">
        <v>3020</v>
      </c>
      <c r="Q33">
        <v>1.9981674720073901</v>
      </c>
      <c r="R33">
        <v>2.7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2.1840000000000002</v>
      </c>
      <c r="AT33">
        <v>2.6669999999999998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2.4255</v>
      </c>
      <c r="CG33" t="s">
        <v>450</v>
      </c>
      <c r="CI33">
        <v>1.9981674720073901</v>
      </c>
      <c r="CJ33">
        <v>2.7</v>
      </c>
      <c r="CK33">
        <v>2.3490837360036951</v>
      </c>
      <c r="CL33">
        <v>-0.18</v>
      </c>
      <c r="CM33">
        <v>2.169083736003695</v>
      </c>
    </row>
    <row r="34" spans="1:91" x14ac:dyDescent="0.25">
      <c r="A34">
        <v>533</v>
      </c>
      <c r="B34" t="s">
        <v>140</v>
      </c>
      <c r="C34" t="s">
        <v>240</v>
      </c>
      <c r="D34" t="s">
        <v>340</v>
      </c>
      <c r="E34" t="s">
        <v>407</v>
      </c>
      <c r="F34">
        <v>138400000</v>
      </c>
      <c r="G34">
        <v>68.55</v>
      </c>
      <c r="H34" t="s">
        <v>409</v>
      </c>
      <c r="I34">
        <v>9487320000</v>
      </c>
      <c r="J34" t="s">
        <v>415</v>
      </c>
      <c r="K34">
        <v>6900889.3166666701</v>
      </c>
      <c r="L34">
        <v>0.55000000000000004</v>
      </c>
      <c r="M34">
        <v>5218026000</v>
      </c>
      <c r="N34">
        <v>1382719800</v>
      </c>
      <c r="O34">
        <v>30202000</v>
      </c>
      <c r="P34">
        <v>3020</v>
      </c>
      <c r="Q34">
        <v>1.8920544675342099</v>
      </c>
      <c r="S34" t="s">
        <v>417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2.2050000000000001</v>
      </c>
      <c r="AT34">
        <v>2.8639999999999999</v>
      </c>
      <c r="AU34" t="s">
        <v>430</v>
      </c>
      <c r="AV34">
        <v>0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2.5345</v>
      </c>
      <c r="CG34" t="s">
        <v>450</v>
      </c>
      <c r="CI34">
        <v>1.8920544675342099</v>
      </c>
      <c r="CJ34">
        <v>3.1</v>
      </c>
      <c r="CK34">
        <v>2.496027233767105</v>
      </c>
      <c r="CL34">
        <v>-0.3</v>
      </c>
      <c r="CM34">
        <v>2.1960272337671052</v>
      </c>
    </row>
    <row r="35" spans="1:91" x14ac:dyDescent="0.25">
      <c r="A35">
        <v>384</v>
      </c>
      <c r="B35" t="s">
        <v>141</v>
      </c>
      <c r="C35" t="s">
        <v>241</v>
      </c>
      <c r="D35" t="s">
        <v>341</v>
      </c>
      <c r="E35" t="s">
        <v>398</v>
      </c>
      <c r="F35">
        <v>188300000</v>
      </c>
      <c r="G35">
        <v>246.4</v>
      </c>
      <c r="H35" t="s">
        <v>409</v>
      </c>
      <c r="I35">
        <v>46397120000</v>
      </c>
      <c r="J35" t="s">
        <v>415</v>
      </c>
      <c r="K35">
        <v>64953417.481147498</v>
      </c>
      <c r="L35">
        <v>1</v>
      </c>
      <c r="M35">
        <v>46397120000</v>
      </c>
      <c r="N35">
        <v>7865291000.000001</v>
      </c>
      <c r="O35">
        <v>30202015</v>
      </c>
      <c r="P35">
        <v>3020</v>
      </c>
      <c r="Q35">
        <v>1.73908167025175</v>
      </c>
      <c r="S35" t="s">
        <v>418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2.3820000000000001</v>
      </c>
      <c r="AT35">
        <v>3.2309999999999999</v>
      </c>
      <c r="AU35" t="s">
        <v>430</v>
      </c>
      <c r="AV35">
        <v>0</v>
      </c>
      <c r="AW35">
        <v>0</v>
      </c>
      <c r="AX35" t="s">
        <v>437</v>
      </c>
      <c r="AY35">
        <v>0</v>
      </c>
      <c r="AZ35">
        <v>0</v>
      </c>
      <c r="BA35">
        <v>0</v>
      </c>
      <c r="CE35">
        <v>2.8065000000000002</v>
      </c>
      <c r="CG35" t="s">
        <v>450</v>
      </c>
      <c r="CI35">
        <v>1.73908167025175</v>
      </c>
      <c r="CJ35">
        <v>3.1</v>
      </c>
      <c r="CK35">
        <v>2.4195408351258751</v>
      </c>
      <c r="CL35">
        <v>-0.18</v>
      </c>
      <c r="CM35">
        <v>2.239540835125875</v>
      </c>
    </row>
    <row r="36" spans="1:91" x14ac:dyDescent="0.25">
      <c r="A36">
        <v>806</v>
      </c>
      <c r="B36" t="s">
        <v>142</v>
      </c>
      <c r="C36" t="s">
        <v>242</v>
      </c>
      <c r="D36" t="s">
        <v>342</v>
      </c>
      <c r="E36" t="s">
        <v>403</v>
      </c>
      <c r="F36">
        <v>531451840</v>
      </c>
      <c r="G36">
        <v>140.05609999999999</v>
      </c>
      <c r="H36" t="s">
        <v>413</v>
      </c>
      <c r="I36">
        <v>74433072048.223999</v>
      </c>
      <c r="J36" t="s">
        <v>416</v>
      </c>
      <c r="K36">
        <v>76651155.451063305</v>
      </c>
      <c r="L36">
        <v>0.95</v>
      </c>
      <c r="M36">
        <v>70711418445.81279</v>
      </c>
      <c r="N36">
        <v>19831656861.439999</v>
      </c>
      <c r="O36">
        <v>30201030</v>
      </c>
      <c r="P36">
        <v>3020</v>
      </c>
      <c r="Q36">
        <v>1.9964408278924499</v>
      </c>
      <c r="S36" t="s">
        <v>419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2.3010000000000002</v>
      </c>
      <c r="AT36">
        <v>3.03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2.6655000000000002</v>
      </c>
      <c r="CG36" t="s">
        <v>450</v>
      </c>
      <c r="CI36">
        <v>1.9964408278924499</v>
      </c>
      <c r="CJ36">
        <v>3.1</v>
      </c>
      <c r="CK36">
        <v>2.548220413946225</v>
      </c>
      <c r="CL36">
        <v>-0.24</v>
      </c>
      <c r="CM36">
        <v>2.3082204139462248</v>
      </c>
    </row>
    <row r="37" spans="1:91" x14ac:dyDescent="0.25">
      <c r="A37">
        <v>660</v>
      </c>
      <c r="B37" t="s">
        <v>143</v>
      </c>
      <c r="C37" t="s">
        <v>243</v>
      </c>
      <c r="D37" t="s">
        <v>343</v>
      </c>
      <c r="E37" t="s">
        <v>403</v>
      </c>
      <c r="F37">
        <v>290636470</v>
      </c>
      <c r="G37">
        <v>28.9421</v>
      </c>
      <c r="H37" t="s">
        <v>413</v>
      </c>
      <c r="I37">
        <v>8411629778.3870001</v>
      </c>
      <c r="J37" t="s">
        <v>416</v>
      </c>
      <c r="K37">
        <v>15022768.651234301</v>
      </c>
      <c r="L37">
        <v>1</v>
      </c>
      <c r="M37">
        <v>8411629778.3870001</v>
      </c>
      <c r="N37">
        <v>11416200541.6</v>
      </c>
      <c r="O37">
        <v>30202010</v>
      </c>
      <c r="P37">
        <v>3020</v>
      </c>
      <c r="Q37">
        <v>1.9965141737727501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2.117</v>
      </c>
      <c r="AT37">
        <v>2.9159999999999999</v>
      </c>
      <c r="AU37" t="s">
        <v>430</v>
      </c>
      <c r="AV37">
        <v>0</v>
      </c>
      <c r="AW37">
        <v>0</v>
      </c>
      <c r="AX37" t="s">
        <v>442</v>
      </c>
      <c r="AY37">
        <v>0</v>
      </c>
      <c r="AZ37">
        <v>0</v>
      </c>
      <c r="BA37">
        <v>0</v>
      </c>
      <c r="CE37">
        <v>2.5165000000000002</v>
      </c>
      <c r="CG37" t="s">
        <v>450</v>
      </c>
      <c r="CI37">
        <v>1.9965141737727501</v>
      </c>
      <c r="CJ37">
        <v>3.1</v>
      </c>
      <c r="CK37">
        <v>2.548257086886375</v>
      </c>
      <c r="CL37">
        <v>-0.24</v>
      </c>
      <c r="CM37">
        <v>2.3082570868863752</v>
      </c>
    </row>
    <row r="38" spans="1:91" x14ac:dyDescent="0.25">
      <c r="A38">
        <v>470</v>
      </c>
      <c r="B38" t="s">
        <v>144</v>
      </c>
      <c r="C38" t="s">
        <v>244</v>
      </c>
      <c r="D38" t="s">
        <v>344</v>
      </c>
      <c r="E38" t="s">
        <v>394</v>
      </c>
      <c r="F38">
        <v>104235507</v>
      </c>
      <c r="G38">
        <v>119</v>
      </c>
      <c r="H38" t="s">
        <v>409</v>
      </c>
      <c r="I38">
        <v>12404025333</v>
      </c>
      <c r="J38" t="s">
        <v>415</v>
      </c>
      <c r="K38">
        <v>23304182.974603198</v>
      </c>
      <c r="L38">
        <v>0.75</v>
      </c>
      <c r="M38">
        <v>9303018999.75</v>
      </c>
      <c r="N38">
        <v>1420078488.49125</v>
      </c>
      <c r="O38">
        <v>30202015</v>
      </c>
      <c r="P38">
        <v>3020</v>
      </c>
      <c r="Q38">
        <v>1.97838083490229</v>
      </c>
      <c r="R38">
        <v>3.1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2.37</v>
      </c>
      <c r="AT38">
        <v>3.1080000000000001</v>
      </c>
      <c r="AU38" t="s">
        <v>430</v>
      </c>
      <c r="AV38">
        <v>0</v>
      </c>
      <c r="AW38">
        <v>0</v>
      </c>
      <c r="AX38" t="s">
        <v>445</v>
      </c>
      <c r="AY38">
        <v>0</v>
      </c>
      <c r="AZ38">
        <v>0</v>
      </c>
      <c r="BA38">
        <v>0</v>
      </c>
      <c r="CE38">
        <v>2.7389999999999999</v>
      </c>
      <c r="CG38" t="s">
        <v>450</v>
      </c>
      <c r="CI38">
        <v>1.97838083490229</v>
      </c>
      <c r="CJ38">
        <v>3.1</v>
      </c>
      <c r="CK38">
        <v>2.5391904174511448</v>
      </c>
      <c r="CL38">
        <v>-0.18</v>
      </c>
      <c r="CM38">
        <v>2.3591904174511451</v>
      </c>
    </row>
    <row r="39" spans="1:91" x14ac:dyDescent="0.25">
      <c r="A39">
        <v>786</v>
      </c>
      <c r="B39" t="s">
        <v>145</v>
      </c>
      <c r="C39" t="s">
        <v>245</v>
      </c>
      <c r="D39" t="s">
        <v>345</v>
      </c>
      <c r="E39" t="s">
        <v>403</v>
      </c>
      <c r="F39">
        <v>5893244000</v>
      </c>
      <c r="G39">
        <v>2.8784939999999999</v>
      </c>
      <c r="H39" t="s">
        <v>413</v>
      </c>
      <c r="I39">
        <v>16963667494.535999</v>
      </c>
      <c r="J39" t="s">
        <v>416</v>
      </c>
      <c r="K39">
        <v>32798433.932136402</v>
      </c>
      <c r="L39">
        <v>1</v>
      </c>
      <c r="M39">
        <v>16963667494.535999</v>
      </c>
      <c r="N39">
        <v>231486624320</v>
      </c>
      <c r="O39">
        <v>30301010</v>
      </c>
      <c r="P39">
        <v>3030</v>
      </c>
      <c r="Q39">
        <v>1.98835042585939</v>
      </c>
      <c r="R39">
        <v>1.5</v>
      </c>
      <c r="S39" t="s">
        <v>417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2.2440000000000002</v>
      </c>
      <c r="AT39">
        <v>2.6379999999999999</v>
      </c>
      <c r="AU39" t="s">
        <v>430</v>
      </c>
      <c r="AV39">
        <v>0</v>
      </c>
      <c r="AW39">
        <v>0</v>
      </c>
      <c r="AX39" t="s">
        <v>442</v>
      </c>
      <c r="AY39">
        <v>0</v>
      </c>
      <c r="AZ39">
        <v>0</v>
      </c>
      <c r="BA39">
        <v>0</v>
      </c>
      <c r="CE39">
        <v>2.4409999999999998</v>
      </c>
      <c r="CG39" t="s">
        <v>450</v>
      </c>
      <c r="CI39">
        <v>1.98835042585939</v>
      </c>
      <c r="CJ39">
        <v>1.5</v>
      </c>
      <c r="CK39">
        <v>1.744175212929695</v>
      </c>
      <c r="CL39">
        <v>-0.3</v>
      </c>
      <c r="CM39">
        <v>1.444175212929695</v>
      </c>
    </row>
    <row r="40" spans="1:91" x14ac:dyDescent="0.25">
      <c r="A40">
        <v>543</v>
      </c>
      <c r="B40" t="s">
        <v>146</v>
      </c>
      <c r="C40" t="s">
        <v>246</v>
      </c>
      <c r="D40" t="s">
        <v>346</v>
      </c>
      <c r="E40" t="s">
        <v>404</v>
      </c>
      <c r="F40">
        <v>1569420004</v>
      </c>
      <c r="G40">
        <v>31.33</v>
      </c>
      <c r="H40" t="s">
        <v>409</v>
      </c>
      <c r="I40">
        <v>49169928725.32</v>
      </c>
      <c r="J40" t="s">
        <v>415</v>
      </c>
      <c r="K40">
        <v>104407090.472541</v>
      </c>
      <c r="L40">
        <v>0.70000000000000007</v>
      </c>
      <c r="M40">
        <v>34418950107.724007</v>
      </c>
      <c r="N40">
        <v>19955960060.862</v>
      </c>
      <c r="O40">
        <v>30302010</v>
      </c>
      <c r="P40">
        <v>3030</v>
      </c>
      <c r="Q40">
        <v>2.9259268183552698</v>
      </c>
      <c r="R40">
        <v>1.5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2.379</v>
      </c>
      <c r="AT40">
        <v>3.2090000000000001</v>
      </c>
      <c r="AU40" t="s">
        <v>430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2.794</v>
      </c>
      <c r="CG40" t="s">
        <v>450</v>
      </c>
      <c r="CI40">
        <v>2.9259268183552698</v>
      </c>
      <c r="CJ40">
        <v>1.5</v>
      </c>
      <c r="CK40">
        <v>2.2129634091776351</v>
      </c>
      <c r="CL40">
        <v>-0.18</v>
      </c>
      <c r="CM40">
        <v>2.032963409177635</v>
      </c>
    </row>
    <row r="41" spans="1:91" x14ac:dyDescent="0.25">
      <c r="A41">
        <v>1277</v>
      </c>
      <c r="B41" t="s">
        <v>147</v>
      </c>
      <c r="C41" t="s">
        <v>247</v>
      </c>
      <c r="D41" t="s">
        <v>347</v>
      </c>
      <c r="E41" t="s">
        <v>400</v>
      </c>
      <c r="F41">
        <v>447972681</v>
      </c>
      <c r="G41">
        <v>10.611890000000001</v>
      </c>
      <c r="H41" t="s">
        <v>411</v>
      </c>
      <c r="I41">
        <v>4753836813.7770901</v>
      </c>
      <c r="J41" t="s">
        <v>416</v>
      </c>
      <c r="K41">
        <v>7342922.1966118803</v>
      </c>
      <c r="L41">
        <v>1</v>
      </c>
      <c r="M41">
        <v>4753836813.7770901</v>
      </c>
      <c r="N41">
        <v>88788185374.199997</v>
      </c>
      <c r="O41">
        <v>30301010</v>
      </c>
      <c r="P41">
        <v>3030</v>
      </c>
      <c r="Q41">
        <v>1.9999941425684999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2.2010000000000001</v>
      </c>
      <c r="AT41">
        <v>3.4180000000000001</v>
      </c>
      <c r="AU41" t="s">
        <v>430</v>
      </c>
      <c r="AV41">
        <v>0</v>
      </c>
      <c r="AW41">
        <v>0</v>
      </c>
      <c r="AX41" t="s">
        <v>439</v>
      </c>
      <c r="AY41">
        <v>0</v>
      </c>
      <c r="AZ41">
        <v>0</v>
      </c>
      <c r="BA41">
        <v>0</v>
      </c>
      <c r="CE41">
        <v>2.8094999999999999</v>
      </c>
      <c r="CG41" t="s">
        <v>450</v>
      </c>
      <c r="CI41">
        <v>1.9999941425684999</v>
      </c>
      <c r="CJ41">
        <v>3.1</v>
      </c>
      <c r="CK41">
        <v>2.5499970712842499</v>
      </c>
      <c r="CL41">
        <v>-0.24</v>
      </c>
      <c r="CM41">
        <v>2.3099970712842501</v>
      </c>
    </row>
    <row r="42" spans="1:91" x14ac:dyDescent="0.25">
      <c r="A42">
        <v>25</v>
      </c>
      <c r="B42" t="s">
        <v>148</v>
      </c>
      <c r="C42" t="s">
        <v>248</v>
      </c>
      <c r="D42" t="s">
        <v>348</v>
      </c>
      <c r="E42" t="s">
        <v>403</v>
      </c>
      <c r="F42">
        <v>306304700</v>
      </c>
      <c r="G42">
        <v>33.850409999999997</v>
      </c>
      <c r="H42" t="s">
        <v>413</v>
      </c>
      <c r="I42">
        <v>10368539679.927</v>
      </c>
      <c r="J42" t="s">
        <v>416</v>
      </c>
      <c r="K42">
        <v>10015139.725619299</v>
      </c>
      <c r="L42">
        <v>0.7</v>
      </c>
      <c r="M42">
        <v>7257977775.9488983</v>
      </c>
      <c r="N42">
        <v>885526887700</v>
      </c>
      <c r="O42">
        <v>30302025</v>
      </c>
      <c r="P42">
        <v>3030</v>
      </c>
      <c r="Q42">
        <v>1.99880903325661</v>
      </c>
      <c r="R42">
        <v>2.7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1.88</v>
      </c>
      <c r="AT42">
        <v>2.7</v>
      </c>
      <c r="AU42" t="s">
        <v>430</v>
      </c>
      <c r="AV42">
        <v>0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2.29</v>
      </c>
      <c r="CG42" t="s">
        <v>450</v>
      </c>
      <c r="CI42">
        <v>1.99880903325661</v>
      </c>
      <c r="CJ42">
        <v>2.7</v>
      </c>
      <c r="CK42">
        <v>2.3494045166283049</v>
      </c>
      <c r="CL42">
        <v>0</v>
      </c>
      <c r="CM42">
        <v>2.3494045166283049</v>
      </c>
    </row>
    <row r="43" spans="1:91" x14ac:dyDescent="0.25">
      <c r="A43">
        <v>397</v>
      </c>
      <c r="B43" t="s">
        <v>149</v>
      </c>
      <c r="C43" t="s">
        <v>249</v>
      </c>
      <c r="D43" t="s">
        <v>349</v>
      </c>
      <c r="E43" t="s">
        <v>403</v>
      </c>
      <c r="F43">
        <v>1311388200</v>
      </c>
      <c r="G43">
        <v>3.1891919999999998</v>
      </c>
      <c r="H43" t="s">
        <v>413</v>
      </c>
      <c r="I43">
        <v>4182268756.3344002</v>
      </c>
      <c r="J43" t="s">
        <v>416</v>
      </c>
      <c r="K43">
        <v>12673712.369872499</v>
      </c>
      <c r="L43">
        <v>1</v>
      </c>
      <c r="M43">
        <v>4182268756.3344002</v>
      </c>
      <c r="N43">
        <v>54776685114.000008</v>
      </c>
      <c r="O43">
        <v>30302025</v>
      </c>
      <c r="P43">
        <v>3030</v>
      </c>
      <c r="Q43">
        <v>1.99264326473623</v>
      </c>
      <c r="S43" t="s">
        <v>418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1.8839999999999999</v>
      </c>
      <c r="AT43">
        <v>2.6429999999999998</v>
      </c>
      <c r="AU43" t="s">
        <v>430</v>
      </c>
      <c r="AV43">
        <v>0</v>
      </c>
      <c r="AW43">
        <v>0</v>
      </c>
      <c r="AX43" t="s">
        <v>442</v>
      </c>
      <c r="AY43">
        <v>0</v>
      </c>
      <c r="AZ43">
        <v>0</v>
      </c>
      <c r="BA43">
        <v>0</v>
      </c>
      <c r="CE43">
        <v>2.2635000000000001</v>
      </c>
      <c r="CG43" t="s">
        <v>450</v>
      </c>
      <c r="CI43">
        <v>1.99264326473623</v>
      </c>
      <c r="CJ43">
        <v>3.1</v>
      </c>
      <c r="CK43">
        <v>2.546321632368115</v>
      </c>
      <c r="CL43">
        <v>-0.18</v>
      </c>
      <c r="CM43">
        <v>2.3663216323681149</v>
      </c>
    </row>
    <row r="44" spans="1:91" x14ac:dyDescent="0.25">
      <c r="A44">
        <v>143</v>
      </c>
      <c r="B44" t="s">
        <v>150</v>
      </c>
      <c r="C44" t="s">
        <v>250</v>
      </c>
      <c r="D44" t="s">
        <v>350</v>
      </c>
      <c r="E44" t="s">
        <v>403</v>
      </c>
      <c r="F44">
        <v>2677649400</v>
      </c>
      <c r="G44">
        <v>6.0277909999999997</v>
      </c>
      <c r="H44" t="s">
        <v>413</v>
      </c>
      <c r="I44">
        <v>16140310954.475401</v>
      </c>
      <c r="J44" t="s">
        <v>416</v>
      </c>
      <c r="K44">
        <v>29758651.104662601</v>
      </c>
      <c r="L44">
        <v>1</v>
      </c>
      <c r="M44">
        <v>16140310954.475401</v>
      </c>
      <c r="N44">
        <v>72885616668</v>
      </c>
      <c r="O44">
        <v>30301010</v>
      </c>
      <c r="P44">
        <v>3030</v>
      </c>
      <c r="Q44">
        <v>1.9994209635284099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2.2200000000000002</v>
      </c>
      <c r="AT44">
        <v>3.3250000000000002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2.7725</v>
      </c>
      <c r="CG44" t="s">
        <v>450</v>
      </c>
      <c r="CI44">
        <v>1.9994209635284099</v>
      </c>
      <c r="CJ44">
        <v>3.1</v>
      </c>
      <c r="CK44">
        <v>2.5497104817642051</v>
      </c>
      <c r="CL44">
        <v>-0.18</v>
      </c>
      <c r="CM44">
        <v>2.369710481764205</v>
      </c>
    </row>
    <row r="45" spans="1:91" x14ac:dyDescent="0.25">
      <c r="A45">
        <v>145</v>
      </c>
      <c r="B45" t="s">
        <v>151</v>
      </c>
      <c r="C45" t="s">
        <v>251</v>
      </c>
      <c r="D45" t="s">
        <v>351</v>
      </c>
      <c r="E45" t="s">
        <v>394</v>
      </c>
      <c r="F45">
        <v>2214797873</v>
      </c>
      <c r="G45">
        <v>36.979999999999997</v>
      </c>
      <c r="H45" t="s">
        <v>409</v>
      </c>
      <c r="I45">
        <v>81903225343.539993</v>
      </c>
      <c r="J45" t="s">
        <v>415</v>
      </c>
      <c r="K45">
        <v>141293081.09468201</v>
      </c>
      <c r="L45">
        <v>0.85000000000000009</v>
      </c>
      <c r="M45">
        <v>69617741542.009003</v>
      </c>
      <c r="N45">
        <v>51243778387.601013</v>
      </c>
      <c r="O45">
        <v>30302010</v>
      </c>
      <c r="P45">
        <v>3030</v>
      </c>
      <c r="Q45">
        <v>3.2733333333333299</v>
      </c>
      <c r="R45">
        <v>1.5</v>
      </c>
      <c r="S45" t="s">
        <v>420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2.3420000000000001</v>
      </c>
      <c r="AT45">
        <v>2.6240000000000001</v>
      </c>
      <c r="AU45" t="s">
        <v>430</v>
      </c>
      <c r="AV45">
        <v>0</v>
      </c>
      <c r="AW45">
        <v>0</v>
      </c>
      <c r="AX45" t="s">
        <v>433</v>
      </c>
      <c r="AY45">
        <v>0</v>
      </c>
      <c r="AZ45">
        <v>0</v>
      </c>
      <c r="BA45">
        <v>0</v>
      </c>
      <c r="CE45">
        <v>2.4830000000000001</v>
      </c>
      <c r="CG45" t="s">
        <v>450</v>
      </c>
      <c r="CI45">
        <v>3.2733333333333299</v>
      </c>
      <c r="CJ45">
        <v>1.5</v>
      </c>
      <c r="CK45">
        <v>2.3866666666666649</v>
      </c>
      <c r="CL45">
        <v>0</v>
      </c>
      <c r="CM45">
        <v>2.3866666666666649</v>
      </c>
    </row>
    <row r="46" spans="1:91" x14ac:dyDescent="0.25">
      <c r="A46">
        <v>781</v>
      </c>
      <c r="B46" t="s">
        <v>152</v>
      </c>
      <c r="C46" t="s">
        <v>252</v>
      </c>
      <c r="D46" t="s">
        <v>352</v>
      </c>
      <c r="E46" t="s">
        <v>403</v>
      </c>
      <c r="F46">
        <v>744937900</v>
      </c>
      <c r="G46">
        <v>6.8970200000000004</v>
      </c>
      <c r="H46" t="s">
        <v>413</v>
      </c>
      <c r="I46">
        <v>5137851595.0580006</v>
      </c>
      <c r="J46" t="s">
        <v>416</v>
      </c>
      <c r="K46">
        <v>14821728.319426199</v>
      </c>
      <c r="L46">
        <v>1</v>
      </c>
      <c r="M46">
        <v>5137851595.0580006</v>
      </c>
      <c r="N46">
        <v>29261160712</v>
      </c>
      <c r="O46">
        <v>35102000</v>
      </c>
      <c r="P46">
        <v>3510</v>
      </c>
      <c r="Q46">
        <v>1.7395630247731899</v>
      </c>
      <c r="R46">
        <v>1.5</v>
      </c>
      <c r="S46" t="s">
        <v>417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2.242</v>
      </c>
      <c r="AT46">
        <v>2.879</v>
      </c>
      <c r="AU46" t="s">
        <v>425</v>
      </c>
      <c r="AV46">
        <v>1</v>
      </c>
      <c r="AW46">
        <v>0</v>
      </c>
      <c r="AX46" t="s">
        <v>442</v>
      </c>
      <c r="AY46">
        <v>0</v>
      </c>
      <c r="AZ46">
        <v>0</v>
      </c>
      <c r="BA46">
        <v>0</v>
      </c>
      <c r="CE46">
        <v>2.5605000000000002</v>
      </c>
      <c r="CG46" t="s">
        <v>450</v>
      </c>
      <c r="CI46">
        <v>1.7395630247731899</v>
      </c>
      <c r="CJ46">
        <v>1.5</v>
      </c>
      <c r="CK46">
        <v>1.6197815123865951</v>
      </c>
      <c r="CL46">
        <v>-0.3</v>
      </c>
      <c r="CM46">
        <v>1.319781512386595</v>
      </c>
    </row>
    <row r="47" spans="1:91" x14ac:dyDescent="0.25">
      <c r="A47">
        <v>1429</v>
      </c>
      <c r="B47" t="s">
        <v>153</v>
      </c>
      <c r="C47" t="s">
        <v>253</v>
      </c>
      <c r="D47" t="s">
        <v>353</v>
      </c>
      <c r="E47" t="s">
        <v>394</v>
      </c>
      <c r="F47">
        <v>142625428</v>
      </c>
      <c r="G47">
        <v>82.02</v>
      </c>
      <c r="H47" t="s">
        <v>409</v>
      </c>
      <c r="I47">
        <v>11698137604.559999</v>
      </c>
      <c r="J47" t="s">
        <v>415</v>
      </c>
      <c r="K47">
        <v>24417917.903809499</v>
      </c>
      <c r="L47">
        <v>0.85000000000000009</v>
      </c>
      <c r="M47">
        <v>9943416963.8760014</v>
      </c>
      <c r="N47">
        <v>12292885639.32</v>
      </c>
      <c r="O47">
        <v>35102045</v>
      </c>
      <c r="P47">
        <v>3510</v>
      </c>
      <c r="Q47">
        <v>1.7463750143176899</v>
      </c>
      <c r="R47">
        <v>2.7</v>
      </c>
      <c r="S47" t="s">
        <v>417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2.6110000000000002</v>
      </c>
      <c r="AT47">
        <v>3.1669999999999998</v>
      </c>
      <c r="AU47" t="s">
        <v>425</v>
      </c>
      <c r="AV47">
        <v>1</v>
      </c>
      <c r="AW47">
        <v>0</v>
      </c>
      <c r="AX47" t="s">
        <v>433</v>
      </c>
      <c r="AY47">
        <v>0</v>
      </c>
      <c r="AZ47">
        <v>0</v>
      </c>
      <c r="BA47">
        <v>0</v>
      </c>
      <c r="CE47">
        <v>2.8889999999999998</v>
      </c>
      <c r="CG47" t="s">
        <v>450</v>
      </c>
      <c r="CI47">
        <v>1.7463750143176899</v>
      </c>
      <c r="CJ47">
        <v>2.7</v>
      </c>
      <c r="CK47">
        <v>2.2231875071588449</v>
      </c>
      <c r="CL47">
        <v>-0.3</v>
      </c>
      <c r="CM47">
        <v>1.9231875071588449</v>
      </c>
    </row>
    <row r="48" spans="1:91" x14ac:dyDescent="0.25">
      <c r="A48">
        <v>539</v>
      </c>
      <c r="B48" t="s">
        <v>154</v>
      </c>
      <c r="C48" t="s">
        <v>254</v>
      </c>
      <c r="D48" t="s">
        <v>354</v>
      </c>
      <c r="E48" t="s">
        <v>394</v>
      </c>
      <c r="F48">
        <v>76738691</v>
      </c>
      <c r="G48">
        <v>91.9</v>
      </c>
      <c r="H48" t="s">
        <v>409</v>
      </c>
      <c r="I48">
        <v>7052285702.9000006</v>
      </c>
      <c r="J48" t="s">
        <v>415</v>
      </c>
      <c r="K48">
        <v>10616904.702777799</v>
      </c>
      <c r="L48">
        <v>0.60000000000000009</v>
      </c>
      <c r="M48">
        <v>4231371421.7400012</v>
      </c>
      <c r="N48">
        <v>836374993.20899999</v>
      </c>
      <c r="O48">
        <v>35102030</v>
      </c>
      <c r="P48">
        <v>3510</v>
      </c>
      <c r="Q48">
        <v>2.2375872094998699</v>
      </c>
      <c r="R48">
        <v>2.08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2.1800000000000002</v>
      </c>
      <c r="AT48">
        <v>3.1019999999999999</v>
      </c>
      <c r="AU48" t="s">
        <v>425</v>
      </c>
      <c r="AV48">
        <v>1</v>
      </c>
      <c r="AW48">
        <v>0</v>
      </c>
      <c r="AX48" t="s">
        <v>433</v>
      </c>
      <c r="AY48">
        <v>0</v>
      </c>
      <c r="AZ48">
        <v>0</v>
      </c>
      <c r="BA48">
        <v>0</v>
      </c>
      <c r="CE48">
        <v>2.641</v>
      </c>
      <c r="CG48" t="s">
        <v>450</v>
      </c>
      <c r="CI48">
        <v>2.2375872094998699</v>
      </c>
      <c r="CJ48">
        <v>2.08</v>
      </c>
      <c r="CK48">
        <v>2.1587936047499352</v>
      </c>
      <c r="CL48">
        <v>-0.18</v>
      </c>
      <c r="CM48">
        <v>1.978793604749935</v>
      </c>
    </row>
    <row r="49" spans="1:91" x14ac:dyDescent="0.25">
      <c r="A49">
        <v>862</v>
      </c>
      <c r="B49" t="s">
        <v>155</v>
      </c>
      <c r="C49" t="s">
        <v>255</v>
      </c>
      <c r="D49" t="s">
        <v>355</v>
      </c>
      <c r="E49" t="s">
        <v>401</v>
      </c>
      <c r="F49">
        <v>563724900</v>
      </c>
      <c r="G49">
        <v>10.87</v>
      </c>
      <c r="H49" t="s">
        <v>409</v>
      </c>
      <c r="I49">
        <v>6127689663</v>
      </c>
      <c r="J49" t="s">
        <v>415</v>
      </c>
      <c r="K49">
        <v>8755069.4216968194</v>
      </c>
      <c r="L49">
        <v>0.65</v>
      </c>
      <c r="M49">
        <v>3982998280.9499998</v>
      </c>
      <c r="N49">
        <v>14393024146.799999</v>
      </c>
      <c r="O49">
        <v>35102000</v>
      </c>
      <c r="P49">
        <v>3510</v>
      </c>
      <c r="Q49">
        <v>1.7450067698613001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2.177</v>
      </c>
      <c r="AT49">
        <v>2.6259999999999999</v>
      </c>
      <c r="AU49" t="s">
        <v>425</v>
      </c>
      <c r="AV49">
        <v>1</v>
      </c>
      <c r="AW49">
        <v>0</v>
      </c>
      <c r="AX49" t="s">
        <v>440</v>
      </c>
      <c r="AY49">
        <v>0</v>
      </c>
      <c r="AZ49">
        <v>0</v>
      </c>
      <c r="BA49">
        <v>0</v>
      </c>
      <c r="CE49">
        <v>2.4015</v>
      </c>
      <c r="CG49" t="s">
        <v>450</v>
      </c>
      <c r="CI49">
        <v>1.7450067698613001</v>
      </c>
      <c r="CJ49">
        <v>3.1</v>
      </c>
      <c r="CK49">
        <v>2.4225033849306499</v>
      </c>
      <c r="CL49">
        <v>-0.18</v>
      </c>
      <c r="CM49">
        <v>2.2425033849306502</v>
      </c>
    </row>
    <row r="50" spans="1:91" x14ac:dyDescent="0.25">
      <c r="A50">
        <v>202</v>
      </c>
      <c r="B50" t="s">
        <v>156</v>
      </c>
      <c r="C50" t="s">
        <v>256</v>
      </c>
      <c r="D50" t="s">
        <v>356</v>
      </c>
      <c r="E50" t="s">
        <v>398</v>
      </c>
      <c r="F50">
        <v>579795650</v>
      </c>
      <c r="G50">
        <v>82.58</v>
      </c>
      <c r="H50" t="s">
        <v>409</v>
      </c>
      <c r="I50">
        <v>47879524777</v>
      </c>
      <c r="J50" t="s">
        <v>415</v>
      </c>
      <c r="K50">
        <v>97231108.921311393</v>
      </c>
      <c r="L50">
        <v>0.5</v>
      </c>
      <c r="M50">
        <v>23939762388.5</v>
      </c>
      <c r="N50">
        <v>16251672069.5</v>
      </c>
      <c r="O50">
        <v>40101020</v>
      </c>
      <c r="P50">
        <v>4010</v>
      </c>
      <c r="Q50">
        <v>1.7483805263697001</v>
      </c>
      <c r="R50">
        <v>1.5</v>
      </c>
      <c r="S50" t="s">
        <v>419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2.3959999999999999</v>
      </c>
      <c r="AT50">
        <v>2.3119999999999998</v>
      </c>
      <c r="AU50" t="s">
        <v>420</v>
      </c>
      <c r="AV50">
        <v>1</v>
      </c>
      <c r="AW50">
        <v>0</v>
      </c>
      <c r="AX50" t="s">
        <v>437</v>
      </c>
      <c r="AY50">
        <v>0</v>
      </c>
      <c r="AZ50">
        <v>0</v>
      </c>
      <c r="BA50">
        <v>0</v>
      </c>
      <c r="CE50">
        <v>2.3540000000000001</v>
      </c>
      <c r="CG50" t="s">
        <v>450</v>
      </c>
      <c r="CI50">
        <v>1.7483805263697001</v>
      </c>
      <c r="CJ50">
        <v>1.5</v>
      </c>
      <c r="CK50">
        <v>1.6241902631848499</v>
      </c>
      <c r="CL50">
        <v>-0.24</v>
      </c>
      <c r="CM50">
        <v>1.3841902631848499</v>
      </c>
    </row>
    <row r="51" spans="1:91" x14ac:dyDescent="0.25">
      <c r="A51">
        <v>321</v>
      </c>
      <c r="B51" t="s">
        <v>157</v>
      </c>
      <c r="C51" t="s">
        <v>257</v>
      </c>
      <c r="D51" t="s">
        <v>357</v>
      </c>
      <c r="E51" t="s">
        <v>398</v>
      </c>
      <c r="F51">
        <v>200005980</v>
      </c>
      <c r="G51">
        <v>69</v>
      </c>
      <c r="H51" t="s">
        <v>409</v>
      </c>
      <c r="I51">
        <v>13800412620</v>
      </c>
      <c r="J51" t="s">
        <v>415</v>
      </c>
      <c r="K51">
        <v>24556942.140819699</v>
      </c>
      <c r="L51">
        <v>0.55000000000000004</v>
      </c>
      <c r="M51">
        <v>7590226941.000001</v>
      </c>
      <c r="N51">
        <v>23144692005.599998</v>
      </c>
      <c r="O51">
        <v>40101025</v>
      </c>
      <c r="P51">
        <v>4010</v>
      </c>
      <c r="Q51">
        <v>1.99537761888822</v>
      </c>
      <c r="R51">
        <v>1.5</v>
      </c>
      <c r="S51" t="s">
        <v>419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2.4060000000000001</v>
      </c>
      <c r="AT51">
        <v>2.6320000000000001</v>
      </c>
      <c r="AU51" t="s">
        <v>420</v>
      </c>
      <c r="AV51">
        <v>1</v>
      </c>
      <c r="AW51">
        <v>0</v>
      </c>
      <c r="AX51" t="s">
        <v>437</v>
      </c>
      <c r="AY51">
        <v>0</v>
      </c>
      <c r="AZ51">
        <v>0</v>
      </c>
      <c r="BA51">
        <v>0</v>
      </c>
      <c r="CE51">
        <v>2.5190000000000001</v>
      </c>
      <c r="CG51" t="s">
        <v>450</v>
      </c>
      <c r="CI51">
        <v>1.99537761888822</v>
      </c>
      <c r="CJ51">
        <v>1.5</v>
      </c>
      <c r="CK51">
        <v>1.7476888094441101</v>
      </c>
      <c r="CL51">
        <v>-0.24</v>
      </c>
      <c r="CM51">
        <v>1.5076888094441101</v>
      </c>
    </row>
    <row r="52" spans="1:91" x14ac:dyDescent="0.25">
      <c r="A52">
        <v>809</v>
      </c>
      <c r="B52" t="s">
        <v>158</v>
      </c>
      <c r="C52" t="s">
        <v>258</v>
      </c>
      <c r="D52" t="s">
        <v>358</v>
      </c>
      <c r="E52" t="s">
        <v>394</v>
      </c>
      <c r="F52">
        <v>534311946</v>
      </c>
      <c r="G52">
        <v>346.1</v>
      </c>
      <c r="H52" t="s">
        <v>409</v>
      </c>
      <c r="I52">
        <v>184925364510.60001</v>
      </c>
      <c r="J52" t="s">
        <v>415</v>
      </c>
      <c r="K52">
        <v>150007719.04285699</v>
      </c>
      <c r="L52">
        <v>0.45</v>
      </c>
      <c r="M52">
        <v>83216414029.770004</v>
      </c>
      <c r="N52">
        <v>9444497957.4960003</v>
      </c>
      <c r="O52">
        <v>40204035</v>
      </c>
      <c r="P52">
        <v>4020</v>
      </c>
      <c r="Q52">
        <v>1.74938320831028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2.4470000000000001</v>
      </c>
      <c r="AT52">
        <v>2.8420000000000001</v>
      </c>
      <c r="AU52" t="s">
        <v>420</v>
      </c>
      <c r="AV52">
        <v>1</v>
      </c>
      <c r="AW52">
        <v>0</v>
      </c>
      <c r="AX52" t="s">
        <v>433</v>
      </c>
      <c r="AY52">
        <v>0</v>
      </c>
      <c r="AZ52">
        <v>0</v>
      </c>
      <c r="BA52">
        <v>0</v>
      </c>
      <c r="CE52">
        <v>2.6444999999999999</v>
      </c>
      <c r="CG52" t="s">
        <v>450</v>
      </c>
      <c r="CI52">
        <v>1.74938320831028</v>
      </c>
      <c r="CJ52">
        <v>1.5</v>
      </c>
      <c r="CK52">
        <v>1.62469160415514</v>
      </c>
      <c r="CL52">
        <v>-0.3</v>
      </c>
      <c r="CM52">
        <v>1.32469160415514</v>
      </c>
    </row>
    <row r="53" spans="1:91" x14ac:dyDescent="0.25">
      <c r="A53">
        <v>1336</v>
      </c>
      <c r="B53" t="s">
        <v>159</v>
      </c>
      <c r="C53" t="s">
        <v>259</v>
      </c>
      <c r="D53" t="s">
        <v>359</v>
      </c>
      <c r="E53" t="s">
        <v>403</v>
      </c>
      <c r="F53">
        <v>3540041300</v>
      </c>
      <c r="G53">
        <v>1.3824259999999999</v>
      </c>
      <c r="H53" t="s">
        <v>413</v>
      </c>
      <c r="I53">
        <v>4893845134.1938</v>
      </c>
      <c r="J53" t="s">
        <v>416</v>
      </c>
      <c r="K53">
        <v>19580322.357266299</v>
      </c>
      <c r="L53">
        <v>1</v>
      </c>
      <c r="M53">
        <v>4893845134.1938</v>
      </c>
      <c r="N53">
        <v>11257331334000</v>
      </c>
      <c r="O53">
        <v>40202010</v>
      </c>
      <c r="P53">
        <v>4020</v>
      </c>
      <c r="Q53">
        <v>1.7480510479370199</v>
      </c>
      <c r="R53">
        <v>1.5</v>
      </c>
      <c r="S53" t="s">
        <v>419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2.4900000000000002</v>
      </c>
      <c r="AT53">
        <v>2.7679999999999998</v>
      </c>
      <c r="AU53" t="s">
        <v>424</v>
      </c>
      <c r="AV53">
        <v>1</v>
      </c>
      <c r="AW53">
        <v>0</v>
      </c>
      <c r="AX53" t="s">
        <v>442</v>
      </c>
      <c r="AY53">
        <v>0</v>
      </c>
      <c r="AZ53">
        <v>0</v>
      </c>
      <c r="BA53">
        <v>0</v>
      </c>
      <c r="CE53">
        <v>2.629</v>
      </c>
      <c r="CG53" t="s">
        <v>450</v>
      </c>
      <c r="CI53">
        <v>1.7480510479370199</v>
      </c>
      <c r="CJ53">
        <v>1.5</v>
      </c>
      <c r="CK53">
        <v>1.62402552396851</v>
      </c>
      <c r="CL53">
        <v>-0.24</v>
      </c>
      <c r="CM53">
        <v>1.38402552396851</v>
      </c>
    </row>
    <row r="54" spans="1:91" x14ac:dyDescent="0.25">
      <c r="A54">
        <v>171</v>
      </c>
      <c r="B54" t="s">
        <v>160</v>
      </c>
      <c r="C54" t="s">
        <v>260</v>
      </c>
      <c r="D54" t="s">
        <v>360</v>
      </c>
      <c r="E54" t="s">
        <v>403</v>
      </c>
      <c r="F54">
        <v>1450318700</v>
      </c>
      <c r="G54">
        <v>5.1331730000000002</v>
      </c>
      <c r="H54" t="s">
        <v>413</v>
      </c>
      <c r="I54">
        <v>7444736792.2351007</v>
      </c>
      <c r="J54" t="s">
        <v>416</v>
      </c>
      <c r="K54">
        <v>20081175.638739999</v>
      </c>
      <c r="L54">
        <v>1</v>
      </c>
      <c r="M54">
        <v>7444736792.2351007</v>
      </c>
      <c r="N54">
        <v>39477675014</v>
      </c>
      <c r="O54">
        <v>40202010</v>
      </c>
      <c r="P54">
        <v>4020</v>
      </c>
      <c r="Q54">
        <v>1.7482663894438499</v>
      </c>
      <c r="R54">
        <v>1.77</v>
      </c>
      <c r="S54" t="s">
        <v>417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2.4900000000000002</v>
      </c>
      <c r="AT54">
        <v>3.2989999999999999</v>
      </c>
      <c r="AU54" t="s">
        <v>424</v>
      </c>
      <c r="AV54">
        <v>1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2.8944999999999999</v>
      </c>
      <c r="CG54" t="s">
        <v>450</v>
      </c>
      <c r="CI54">
        <v>1.7482663894438499</v>
      </c>
      <c r="CJ54">
        <v>1.77</v>
      </c>
      <c r="CK54">
        <v>1.7591331947219251</v>
      </c>
      <c r="CL54">
        <v>-0.3</v>
      </c>
      <c r="CM54">
        <v>1.459133194721925</v>
      </c>
    </row>
    <row r="55" spans="1:91" x14ac:dyDescent="0.25">
      <c r="A55">
        <v>1033</v>
      </c>
      <c r="B55" t="s">
        <v>161</v>
      </c>
      <c r="C55" t="s">
        <v>261</v>
      </c>
      <c r="D55" t="s">
        <v>361</v>
      </c>
      <c r="E55" t="s">
        <v>403</v>
      </c>
      <c r="F55">
        <v>319915900</v>
      </c>
      <c r="G55">
        <v>14.61008</v>
      </c>
      <c r="H55" t="s">
        <v>413</v>
      </c>
      <c r="I55">
        <v>4673996892.2720003</v>
      </c>
      <c r="J55" t="s">
        <v>416</v>
      </c>
      <c r="K55">
        <v>15670413.556200899</v>
      </c>
      <c r="L55">
        <v>1</v>
      </c>
      <c r="M55">
        <v>4673996892.2720003</v>
      </c>
      <c r="N55">
        <v>16427681465</v>
      </c>
      <c r="O55">
        <v>40202010</v>
      </c>
      <c r="P55">
        <v>4020</v>
      </c>
      <c r="Q55">
        <v>1.9955323498800199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2.157</v>
      </c>
      <c r="AT55">
        <v>2.8759999999999999</v>
      </c>
      <c r="AU55" t="s">
        <v>424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2.5165000000000002</v>
      </c>
      <c r="CG55" t="s">
        <v>450</v>
      </c>
      <c r="CI55">
        <v>1.9955323498800199</v>
      </c>
      <c r="CJ55">
        <v>1.5</v>
      </c>
      <c r="CK55">
        <v>1.74776617494001</v>
      </c>
      <c r="CL55">
        <v>-0.24</v>
      </c>
      <c r="CM55">
        <v>1.50776617494001</v>
      </c>
    </row>
    <row r="56" spans="1:91" x14ac:dyDescent="0.25">
      <c r="A56">
        <v>189</v>
      </c>
      <c r="B56" t="s">
        <v>162</v>
      </c>
      <c r="C56" t="s">
        <v>262</v>
      </c>
      <c r="D56" t="s">
        <v>362</v>
      </c>
      <c r="E56" t="s">
        <v>403</v>
      </c>
      <c r="F56">
        <v>118657364</v>
      </c>
      <c r="G56">
        <v>28.04748</v>
      </c>
      <c r="H56" t="s">
        <v>413</v>
      </c>
      <c r="I56">
        <v>3328040043.6427202</v>
      </c>
      <c r="J56" t="s">
        <v>416</v>
      </c>
      <c r="K56">
        <v>10092470.100475</v>
      </c>
      <c r="L56">
        <v>1</v>
      </c>
      <c r="M56">
        <v>3328040043.6427202</v>
      </c>
      <c r="N56">
        <v>6651931825.8400002</v>
      </c>
      <c r="O56">
        <v>40202010</v>
      </c>
      <c r="P56">
        <v>4020</v>
      </c>
      <c r="Q56">
        <v>1.9966860020732899</v>
      </c>
      <c r="R56">
        <v>2.08</v>
      </c>
      <c r="S56" t="s">
        <v>418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1.786</v>
      </c>
      <c r="AT56">
        <v>2.78</v>
      </c>
      <c r="AU56" t="s">
        <v>424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2.2829999999999999</v>
      </c>
      <c r="CG56" t="s">
        <v>450</v>
      </c>
      <c r="CI56">
        <v>1.9966860020732899</v>
      </c>
      <c r="CJ56">
        <v>2.08</v>
      </c>
      <c r="CK56">
        <v>2.0383430010366448</v>
      </c>
      <c r="CL56">
        <v>-0.18</v>
      </c>
      <c r="CM56">
        <v>1.8583430010366451</v>
      </c>
    </row>
    <row r="57" spans="1:91" x14ac:dyDescent="0.25">
      <c r="A57">
        <v>1512</v>
      </c>
      <c r="B57" t="s">
        <v>163</v>
      </c>
      <c r="C57" t="s">
        <v>263</v>
      </c>
      <c r="D57" t="s">
        <v>363</v>
      </c>
      <c r="E57" t="s">
        <v>396</v>
      </c>
      <c r="F57">
        <v>238516153</v>
      </c>
      <c r="G57">
        <v>172.6</v>
      </c>
      <c r="H57" t="s">
        <v>409</v>
      </c>
      <c r="I57">
        <v>41167888007.800003</v>
      </c>
      <c r="J57" t="s">
        <v>415</v>
      </c>
      <c r="K57">
        <v>74863714.427777797</v>
      </c>
      <c r="L57">
        <v>1</v>
      </c>
      <c r="M57">
        <v>41167888007.800003</v>
      </c>
      <c r="N57">
        <v>24185537914.200001</v>
      </c>
      <c r="O57">
        <v>40301030</v>
      </c>
      <c r="P57">
        <v>4030</v>
      </c>
      <c r="Q57">
        <v>1.5670644957319</v>
      </c>
      <c r="R57">
        <v>1.5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2.13</v>
      </c>
      <c r="AT57">
        <v>3.66</v>
      </c>
      <c r="AU57" t="s">
        <v>429</v>
      </c>
      <c r="AV57">
        <v>0</v>
      </c>
      <c r="AW57">
        <v>0</v>
      </c>
      <c r="AX57" t="s">
        <v>445</v>
      </c>
      <c r="AY57">
        <v>0</v>
      </c>
      <c r="AZ57">
        <v>0</v>
      </c>
      <c r="BA57">
        <v>0</v>
      </c>
      <c r="CE57">
        <v>2.895</v>
      </c>
      <c r="CG57" t="s">
        <v>450</v>
      </c>
      <c r="CI57">
        <v>1.5670644957319</v>
      </c>
      <c r="CJ57">
        <v>1.5</v>
      </c>
      <c r="CK57">
        <v>1.5335322478659501</v>
      </c>
      <c r="CL57">
        <v>-0.18</v>
      </c>
      <c r="CM57">
        <v>1.3535322478659499</v>
      </c>
    </row>
    <row r="58" spans="1:91" x14ac:dyDescent="0.25">
      <c r="A58">
        <v>1517</v>
      </c>
      <c r="B58" t="s">
        <v>164</v>
      </c>
      <c r="C58" t="s">
        <v>264</v>
      </c>
      <c r="D58" t="s">
        <v>364</v>
      </c>
      <c r="E58" t="s">
        <v>403</v>
      </c>
      <c r="F58">
        <v>1078802400</v>
      </c>
      <c r="G58">
        <v>9.1105959999999993</v>
      </c>
      <c r="H58" t="s">
        <v>413</v>
      </c>
      <c r="I58">
        <v>9828532830.2304001</v>
      </c>
      <c r="J58" t="s">
        <v>416</v>
      </c>
      <c r="K58">
        <v>20881891.102371901</v>
      </c>
      <c r="L58">
        <v>0.95</v>
      </c>
      <c r="M58">
        <v>9337106188.7188797</v>
      </c>
      <c r="N58">
        <v>103921035192</v>
      </c>
      <c r="O58">
        <v>40301020</v>
      </c>
      <c r="P58">
        <v>4030</v>
      </c>
      <c r="Q58">
        <v>1.9934117984292601</v>
      </c>
      <c r="R58">
        <v>1.5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2.2429999999999999</v>
      </c>
      <c r="AT58">
        <v>3.0659999999999998</v>
      </c>
      <c r="AU58" t="s">
        <v>429</v>
      </c>
      <c r="AV58">
        <v>0</v>
      </c>
      <c r="AW58">
        <v>0</v>
      </c>
      <c r="AX58" t="s">
        <v>448</v>
      </c>
      <c r="AY58">
        <v>0</v>
      </c>
      <c r="AZ58">
        <v>0</v>
      </c>
      <c r="BA58">
        <v>0</v>
      </c>
      <c r="CE58">
        <v>2.6545000000000001</v>
      </c>
      <c r="CG58" t="s">
        <v>450</v>
      </c>
      <c r="CI58">
        <v>1.9934117984292601</v>
      </c>
      <c r="CJ58">
        <v>1.5</v>
      </c>
      <c r="CK58">
        <v>1.74670589921463</v>
      </c>
      <c r="CL58">
        <v>-0.18</v>
      </c>
      <c r="CM58">
        <v>1.5667058992146301</v>
      </c>
    </row>
    <row r="59" spans="1:91" x14ac:dyDescent="0.25">
      <c r="A59">
        <v>747</v>
      </c>
      <c r="B59" t="s">
        <v>165</v>
      </c>
      <c r="C59" t="s">
        <v>265</v>
      </c>
      <c r="D59" t="s">
        <v>365</v>
      </c>
      <c r="E59" t="s">
        <v>403</v>
      </c>
      <c r="F59">
        <v>1788668100</v>
      </c>
      <c r="G59">
        <v>2.9667460000000001</v>
      </c>
      <c r="H59" t="s">
        <v>413</v>
      </c>
      <c r="I59">
        <v>5306523931.0025997</v>
      </c>
      <c r="J59" t="s">
        <v>416</v>
      </c>
      <c r="K59">
        <v>14671962.5543341</v>
      </c>
      <c r="L59">
        <v>0.85</v>
      </c>
      <c r="M59">
        <v>4510545341.35221</v>
      </c>
      <c r="N59">
        <v>59720050522.800003</v>
      </c>
      <c r="O59">
        <v>40401025</v>
      </c>
      <c r="P59">
        <v>4040</v>
      </c>
      <c r="Q59">
        <v>1.99679915892727</v>
      </c>
      <c r="R59">
        <v>1.5</v>
      </c>
      <c r="S59" t="s">
        <v>419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2.3319999999999999</v>
      </c>
      <c r="AT59">
        <v>3.3580000000000001</v>
      </c>
      <c r="AU59" t="s">
        <v>431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2.8450000000000002</v>
      </c>
      <c r="CG59" t="s">
        <v>450</v>
      </c>
      <c r="CI59">
        <v>1.99679915892727</v>
      </c>
      <c r="CJ59">
        <v>1.5</v>
      </c>
      <c r="CK59">
        <v>1.7483995794636349</v>
      </c>
      <c r="CL59">
        <v>-0.24</v>
      </c>
      <c r="CM59">
        <v>1.5083995794636349</v>
      </c>
    </row>
    <row r="60" spans="1:91" x14ac:dyDescent="0.25">
      <c r="A60">
        <v>931</v>
      </c>
      <c r="B60" t="s">
        <v>166</v>
      </c>
      <c r="C60" t="s">
        <v>266</v>
      </c>
      <c r="D60" t="s">
        <v>366</v>
      </c>
      <c r="E60" t="s">
        <v>403</v>
      </c>
      <c r="F60">
        <v>123443540</v>
      </c>
      <c r="G60">
        <v>121.0757</v>
      </c>
      <c r="H60" t="s">
        <v>413</v>
      </c>
      <c r="I60">
        <v>14946013015.978001</v>
      </c>
      <c r="J60" t="s">
        <v>416</v>
      </c>
      <c r="K60">
        <v>22701103.9734562</v>
      </c>
      <c r="L60">
        <v>0.9</v>
      </c>
      <c r="M60">
        <v>13451411714.380199</v>
      </c>
      <c r="N60">
        <v>22142067769.799999</v>
      </c>
      <c r="O60">
        <v>40401010</v>
      </c>
      <c r="P60">
        <v>4040</v>
      </c>
      <c r="Q60">
        <v>1.98869886550994</v>
      </c>
      <c r="R60">
        <v>1.5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2.3570000000000002</v>
      </c>
      <c r="AT60">
        <v>2.1</v>
      </c>
      <c r="AU60" t="s">
        <v>431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2.2284999999999999</v>
      </c>
      <c r="CG60" t="s">
        <v>450</v>
      </c>
      <c r="CI60">
        <v>1.98869886550994</v>
      </c>
      <c r="CJ60">
        <v>1.5</v>
      </c>
      <c r="CK60">
        <v>1.74434943275497</v>
      </c>
      <c r="CL60">
        <v>-0.18</v>
      </c>
      <c r="CM60">
        <v>1.5643494327549701</v>
      </c>
    </row>
    <row r="61" spans="1:91" x14ac:dyDescent="0.25">
      <c r="A61">
        <v>1419</v>
      </c>
      <c r="B61" t="s">
        <v>167</v>
      </c>
      <c r="C61" t="s">
        <v>267</v>
      </c>
      <c r="D61" t="s">
        <v>367</v>
      </c>
      <c r="E61" t="s">
        <v>398</v>
      </c>
      <c r="F61">
        <v>507431030</v>
      </c>
      <c r="G61">
        <v>6.5759999999999996</v>
      </c>
      <c r="H61" t="s">
        <v>409</v>
      </c>
      <c r="I61">
        <v>3336866453.2800002</v>
      </c>
      <c r="J61" t="s">
        <v>415</v>
      </c>
      <c r="K61">
        <v>30812669.2248688</v>
      </c>
      <c r="L61">
        <v>0.9</v>
      </c>
      <c r="M61">
        <v>3003179807.9520001</v>
      </c>
      <c r="N61">
        <v>46308155797.800003</v>
      </c>
      <c r="O61">
        <v>40501015</v>
      </c>
      <c r="P61">
        <v>4050</v>
      </c>
      <c r="Q61">
        <v>1.76815424438663</v>
      </c>
      <c r="R61">
        <v>1.5</v>
      </c>
      <c r="S61" t="s">
        <v>417</v>
      </c>
      <c r="T61" t="s">
        <v>422</v>
      </c>
      <c r="U61">
        <v>0</v>
      </c>
      <c r="V61">
        <v>0.01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2.5910000000000002</v>
      </c>
      <c r="AT61">
        <v>2.93</v>
      </c>
      <c r="AU61" t="s">
        <v>432</v>
      </c>
      <c r="AV61">
        <v>0</v>
      </c>
      <c r="AW61">
        <v>0</v>
      </c>
      <c r="AX61" t="s">
        <v>437</v>
      </c>
      <c r="AY61">
        <v>0</v>
      </c>
      <c r="AZ61">
        <v>0</v>
      </c>
      <c r="BA61">
        <v>0</v>
      </c>
      <c r="CE61">
        <v>2.7605</v>
      </c>
      <c r="CG61" t="s">
        <v>450</v>
      </c>
      <c r="CI61">
        <v>1.76815424438663</v>
      </c>
      <c r="CJ61">
        <v>1.5</v>
      </c>
      <c r="CK61">
        <v>1.634077122193315</v>
      </c>
      <c r="CL61">
        <v>-0.3</v>
      </c>
      <c r="CM61">
        <v>1.334077122193315</v>
      </c>
    </row>
    <row r="62" spans="1:91" x14ac:dyDescent="0.25">
      <c r="A62">
        <v>815</v>
      </c>
      <c r="B62" t="s">
        <v>168</v>
      </c>
      <c r="C62" t="s">
        <v>268</v>
      </c>
      <c r="D62" t="s">
        <v>368</v>
      </c>
      <c r="E62" t="s">
        <v>398</v>
      </c>
      <c r="F62">
        <v>1200015000</v>
      </c>
      <c r="G62">
        <v>6.3940000000000001</v>
      </c>
      <c r="H62" t="s">
        <v>409</v>
      </c>
      <c r="I62">
        <v>7672895910</v>
      </c>
      <c r="J62" t="s">
        <v>415</v>
      </c>
      <c r="K62">
        <v>40455426.200245902</v>
      </c>
      <c r="L62">
        <v>0.85</v>
      </c>
      <c r="M62">
        <v>6521961523.5</v>
      </c>
      <c r="N62">
        <v>40066100820</v>
      </c>
      <c r="O62">
        <v>40501010</v>
      </c>
      <c r="P62">
        <v>4050</v>
      </c>
      <c r="Q62">
        <v>1.83638692207139</v>
      </c>
      <c r="R62">
        <v>1.5</v>
      </c>
      <c r="S62" t="s">
        <v>418</v>
      </c>
      <c r="T62" t="s">
        <v>422</v>
      </c>
      <c r="U62">
        <v>0</v>
      </c>
      <c r="V62">
        <v>0.01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2.17</v>
      </c>
      <c r="AT62">
        <v>2.78</v>
      </c>
      <c r="AU62" t="s">
        <v>427</v>
      </c>
      <c r="AV62">
        <v>1</v>
      </c>
      <c r="AW62">
        <v>0</v>
      </c>
      <c r="AX62" t="s">
        <v>437</v>
      </c>
      <c r="AY62">
        <v>0</v>
      </c>
      <c r="AZ62">
        <v>0</v>
      </c>
      <c r="BA62">
        <v>0</v>
      </c>
      <c r="CE62">
        <v>2.4750000000000001</v>
      </c>
      <c r="CG62" t="s">
        <v>450</v>
      </c>
      <c r="CI62">
        <v>1.83638692207139</v>
      </c>
      <c r="CJ62">
        <v>1.5</v>
      </c>
      <c r="CK62">
        <v>1.668193461035695</v>
      </c>
      <c r="CL62">
        <v>-0.18</v>
      </c>
      <c r="CM62">
        <v>1.4881934610356951</v>
      </c>
    </row>
    <row r="63" spans="1:91" x14ac:dyDescent="0.25">
      <c r="A63">
        <v>1133</v>
      </c>
      <c r="B63" t="s">
        <v>169</v>
      </c>
      <c r="C63" t="s">
        <v>269</v>
      </c>
      <c r="D63" t="s">
        <v>369</v>
      </c>
      <c r="E63" t="s">
        <v>397</v>
      </c>
      <c r="F63">
        <v>1074613824</v>
      </c>
      <c r="G63">
        <v>20.260000000000002</v>
      </c>
      <c r="H63" t="s">
        <v>409</v>
      </c>
      <c r="I63">
        <v>21771676074.240002</v>
      </c>
      <c r="J63" t="s">
        <v>415</v>
      </c>
      <c r="K63">
        <v>37482966.910301603</v>
      </c>
      <c r="L63">
        <v>1</v>
      </c>
      <c r="M63">
        <v>21771676074.240002</v>
      </c>
      <c r="N63">
        <v>23899411445.759998</v>
      </c>
      <c r="O63">
        <v>40501010</v>
      </c>
      <c r="P63">
        <v>4050</v>
      </c>
      <c r="Q63">
        <v>1.6201795191173001</v>
      </c>
      <c r="R63">
        <v>2.7</v>
      </c>
      <c r="S63" t="s">
        <v>419</v>
      </c>
      <c r="T63" t="s">
        <v>423</v>
      </c>
      <c r="U63">
        <v>0</v>
      </c>
      <c r="V63">
        <v>0.01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1.82</v>
      </c>
      <c r="AT63">
        <v>3.0049999999999999</v>
      </c>
      <c r="AU63" t="s">
        <v>427</v>
      </c>
      <c r="AV63">
        <v>1</v>
      </c>
      <c r="AW63">
        <v>0</v>
      </c>
      <c r="AX63" t="s">
        <v>436</v>
      </c>
      <c r="AY63">
        <v>0</v>
      </c>
      <c r="AZ63">
        <v>0</v>
      </c>
      <c r="BA63">
        <v>0</v>
      </c>
      <c r="CE63">
        <v>2.4125000000000001</v>
      </c>
      <c r="CG63" t="s">
        <v>450</v>
      </c>
      <c r="CI63">
        <v>1.6201795191173001</v>
      </c>
      <c r="CJ63">
        <v>2.7</v>
      </c>
      <c r="CK63">
        <v>2.1600897595586499</v>
      </c>
      <c r="CL63">
        <v>-0.24</v>
      </c>
      <c r="CM63">
        <v>1.9200897595586499</v>
      </c>
    </row>
    <row r="64" spans="1:91" x14ac:dyDescent="0.25">
      <c r="A64">
        <v>299</v>
      </c>
      <c r="B64" t="s">
        <v>170</v>
      </c>
      <c r="C64" t="s">
        <v>270</v>
      </c>
      <c r="D64" t="s">
        <v>370</v>
      </c>
      <c r="E64" t="s">
        <v>403</v>
      </c>
      <c r="F64">
        <v>362188870</v>
      </c>
      <c r="G64">
        <v>39.991840000000003</v>
      </c>
      <c r="H64" t="s">
        <v>413</v>
      </c>
      <c r="I64">
        <v>14484599338.820801</v>
      </c>
      <c r="J64" t="s">
        <v>416</v>
      </c>
      <c r="K64">
        <v>14412050.783097999</v>
      </c>
      <c r="L64">
        <v>0.55000000000000004</v>
      </c>
      <c r="M64">
        <v>7966529636.3514414</v>
      </c>
      <c r="N64">
        <v>11167369428.709999</v>
      </c>
      <c r="O64">
        <v>45101020</v>
      </c>
      <c r="P64">
        <v>4510</v>
      </c>
      <c r="Q64">
        <v>1.7271705380618301</v>
      </c>
      <c r="R64">
        <v>1.5</v>
      </c>
      <c r="S64" t="s">
        <v>417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2.3450000000000002</v>
      </c>
      <c r="AT64">
        <v>2.57</v>
      </c>
      <c r="AU64" t="s">
        <v>420</v>
      </c>
      <c r="AV64">
        <v>1</v>
      </c>
      <c r="AW64">
        <v>0</v>
      </c>
      <c r="AX64" t="s">
        <v>446</v>
      </c>
      <c r="AY64">
        <v>0</v>
      </c>
      <c r="AZ64">
        <v>0</v>
      </c>
      <c r="BA64">
        <v>0</v>
      </c>
      <c r="CE64">
        <v>2.4575</v>
      </c>
      <c r="CG64" t="s">
        <v>450</v>
      </c>
      <c r="CI64">
        <v>1.7271705380618301</v>
      </c>
      <c r="CJ64">
        <v>1.5</v>
      </c>
      <c r="CK64">
        <v>1.6135852690309149</v>
      </c>
      <c r="CL64">
        <v>-0.3</v>
      </c>
      <c r="CM64">
        <v>1.3135852690309151</v>
      </c>
    </row>
    <row r="65" spans="1:91" x14ac:dyDescent="0.25">
      <c r="A65">
        <v>364</v>
      </c>
      <c r="B65" t="s">
        <v>171</v>
      </c>
      <c r="C65" t="s">
        <v>271</v>
      </c>
      <c r="D65" t="s">
        <v>371</v>
      </c>
      <c r="E65" t="s">
        <v>394</v>
      </c>
      <c r="F65">
        <v>679553991</v>
      </c>
      <c r="G65">
        <v>68.48</v>
      </c>
      <c r="H65" t="s">
        <v>409</v>
      </c>
      <c r="I65">
        <v>46535857303.68</v>
      </c>
      <c r="J65" t="s">
        <v>415</v>
      </c>
      <c r="K65">
        <v>73768688.648571402</v>
      </c>
      <c r="L65">
        <v>0.95000000000000007</v>
      </c>
      <c r="M65">
        <v>44209064438.496002</v>
      </c>
      <c r="N65">
        <v>135829251721.08</v>
      </c>
      <c r="O65">
        <v>45102020</v>
      </c>
      <c r="P65">
        <v>4510</v>
      </c>
      <c r="Q65">
        <v>1.7387876622748</v>
      </c>
      <c r="R65">
        <v>1.5</v>
      </c>
      <c r="S65" t="s">
        <v>417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2.4980000000000002</v>
      </c>
      <c r="AT65">
        <v>2.8370000000000002</v>
      </c>
      <c r="AU65" t="s">
        <v>420</v>
      </c>
      <c r="AV65">
        <v>1</v>
      </c>
      <c r="AW65">
        <v>0</v>
      </c>
      <c r="AX65" t="s">
        <v>433</v>
      </c>
      <c r="AY65">
        <v>0</v>
      </c>
      <c r="AZ65">
        <v>0</v>
      </c>
      <c r="BA65">
        <v>0</v>
      </c>
      <c r="CE65">
        <v>2.6675</v>
      </c>
      <c r="CG65" t="s">
        <v>450</v>
      </c>
      <c r="CI65">
        <v>1.7387876622748</v>
      </c>
      <c r="CJ65">
        <v>1.5</v>
      </c>
      <c r="CK65">
        <v>1.6193938311374001</v>
      </c>
      <c r="CL65">
        <v>-0.3</v>
      </c>
      <c r="CM65">
        <v>1.3193938311374001</v>
      </c>
    </row>
    <row r="66" spans="1:91" x14ac:dyDescent="0.25">
      <c r="A66">
        <v>173</v>
      </c>
      <c r="B66" t="s">
        <v>172</v>
      </c>
      <c r="C66" t="s">
        <v>272</v>
      </c>
      <c r="D66" t="s">
        <v>372</v>
      </c>
      <c r="E66" t="s">
        <v>406</v>
      </c>
      <c r="F66">
        <v>5488858</v>
      </c>
      <c r="G66">
        <v>1126.021</v>
      </c>
      <c r="H66" t="s">
        <v>414</v>
      </c>
      <c r="I66">
        <v>6180569374.0179996</v>
      </c>
      <c r="J66" t="s">
        <v>416</v>
      </c>
      <c r="K66">
        <v>21337047.627355602</v>
      </c>
      <c r="L66">
        <v>0.7</v>
      </c>
      <c r="M66">
        <v>4326398561.8125992</v>
      </c>
      <c r="N66">
        <v>104584700.332</v>
      </c>
      <c r="O66">
        <v>45102020</v>
      </c>
      <c r="P66">
        <v>4510</v>
      </c>
      <c r="Q66">
        <v>1.7426036975708401</v>
      </c>
      <c r="R66">
        <v>1.5</v>
      </c>
      <c r="S66" t="s">
        <v>417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1.829</v>
      </c>
      <c r="AT66">
        <v>2.5819999999999999</v>
      </c>
      <c r="AU66" t="s">
        <v>420</v>
      </c>
      <c r="AV66">
        <v>1</v>
      </c>
      <c r="AW66">
        <v>0</v>
      </c>
      <c r="AX66" t="s">
        <v>446</v>
      </c>
      <c r="AY66">
        <v>0</v>
      </c>
      <c r="AZ66">
        <v>0</v>
      </c>
      <c r="BA66">
        <v>0</v>
      </c>
      <c r="CE66">
        <v>2.2054999999999998</v>
      </c>
      <c r="CG66" t="s">
        <v>450</v>
      </c>
      <c r="CI66">
        <v>1.7426036975708401</v>
      </c>
      <c r="CJ66">
        <v>1.5</v>
      </c>
      <c r="CK66">
        <v>1.6213018487854201</v>
      </c>
      <c r="CL66">
        <v>-0.3</v>
      </c>
      <c r="CM66">
        <v>1.32130184878542</v>
      </c>
    </row>
    <row r="67" spans="1:91" x14ac:dyDescent="0.25">
      <c r="A67">
        <v>923</v>
      </c>
      <c r="B67" t="s">
        <v>173</v>
      </c>
      <c r="C67" t="s">
        <v>273</v>
      </c>
      <c r="D67" t="s">
        <v>373</v>
      </c>
      <c r="E67" t="s">
        <v>406</v>
      </c>
      <c r="F67">
        <v>2620000000</v>
      </c>
      <c r="G67">
        <v>90.485759999999999</v>
      </c>
      <c r="H67" t="s">
        <v>414</v>
      </c>
      <c r="I67">
        <v>237072691200</v>
      </c>
      <c r="J67" t="s">
        <v>416</v>
      </c>
      <c r="K67">
        <v>395799404.31295902</v>
      </c>
      <c r="L67">
        <v>1</v>
      </c>
      <c r="M67">
        <v>237072691200</v>
      </c>
      <c r="N67">
        <v>522166000000</v>
      </c>
      <c r="O67">
        <v>45102020</v>
      </c>
      <c r="P67">
        <v>4510</v>
      </c>
      <c r="Q67">
        <v>1.74112504395241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2.2480000000000002</v>
      </c>
      <c r="AT67">
        <v>2.8980000000000001</v>
      </c>
      <c r="AU67" t="s">
        <v>420</v>
      </c>
      <c r="AV67">
        <v>1</v>
      </c>
      <c r="AW67">
        <v>0</v>
      </c>
      <c r="AX67" t="s">
        <v>446</v>
      </c>
      <c r="AY67">
        <v>0</v>
      </c>
      <c r="AZ67">
        <v>0</v>
      </c>
      <c r="BA67">
        <v>0</v>
      </c>
      <c r="CE67">
        <v>2.573</v>
      </c>
      <c r="CG67" t="s">
        <v>450</v>
      </c>
      <c r="CI67">
        <v>1.74112504395241</v>
      </c>
      <c r="CJ67">
        <v>1.5</v>
      </c>
      <c r="CK67">
        <v>1.620562521976205</v>
      </c>
      <c r="CL67">
        <v>-0.24</v>
      </c>
      <c r="CM67">
        <v>1.380562521976205</v>
      </c>
    </row>
    <row r="68" spans="1:91" x14ac:dyDescent="0.25">
      <c r="A68">
        <v>1010</v>
      </c>
      <c r="B68" t="s">
        <v>174</v>
      </c>
      <c r="C68" t="s">
        <v>274</v>
      </c>
      <c r="D68" t="s">
        <v>374</v>
      </c>
      <c r="E68" t="s">
        <v>400</v>
      </c>
      <c r="F68">
        <v>1001430970</v>
      </c>
      <c r="G68">
        <v>9.1671560000000003</v>
      </c>
      <c r="H68" t="s">
        <v>411</v>
      </c>
      <c r="I68">
        <v>9180273925.2213211</v>
      </c>
      <c r="J68" t="s">
        <v>416</v>
      </c>
      <c r="K68">
        <v>9237785.1270873696</v>
      </c>
      <c r="L68">
        <v>0.75</v>
      </c>
      <c r="M68">
        <v>6885205443.9159908</v>
      </c>
      <c r="N68">
        <v>149688894240.75</v>
      </c>
      <c r="O68">
        <v>45102020</v>
      </c>
      <c r="P68">
        <v>4510</v>
      </c>
      <c r="Q68">
        <v>1.7387081680102601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2.3149999999999999</v>
      </c>
      <c r="AT68">
        <v>3.2949999999999999</v>
      </c>
      <c r="AU68" t="s">
        <v>420</v>
      </c>
      <c r="AV68">
        <v>1</v>
      </c>
      <c r="AW68">
        <v>0</v>
      </c>
      <c r="AX68" t="s">
        <v>439</v>
      </c>
      <c r="AY68">
        <v>0</v>
      </c>
      <c r="AZ68">
        <v>0</v>
      </c>
      <c r="BA68">
        <v>0</v>
      </c>
      <c r="CE68">
        <v>2.8050000000000002</v>
      </c>
      <c r="CG68" t="s">
        <v>450</v>
      </c>
      <c r="CI68">
        <v>1.7387081680102601</v>
      </c>
      <c r="CJ68">
        <v>1.5</v>
      </c>
      <c r="CK68">
        <v>1.6193540840051299</v>
      </c>
      <c r="CL68">
        <v>-0.18</v>
      </c>
      <c r="CM68">
        <v>1.43935408400513</v>
      </c>
    </row>
    <row r="69" spans="1:91" x14ac:dyDescent="0.25">
      <c r="A69">
        <v>391</v>
      </c>
      <c r="B69" t="s">
        <v>175</v>
      </c>
      <c r="C69" t="s">
        <v>275</v>
      </c>
      <c r="D69" t="s">
        <v>375</v>
      </c>
      <c r="E69" t="s">
        <v>403</v>
      </c>
      <c r="F69">
        <v>2225173800</v>
      </c>
      <c r="G69">
        <v>26.475850000000001</v>
      </c>
      <c r="H69" t="s">
        <v>413</v>
      </c>
      <c r="I69">
        <v>58913367752.730003</v>
      </c>
      <c r="J69" t="s">
        <v>416</v>
      </c>
      <c r="K69">
        <v>91262542.967915595</v>
      </c>
      <c r="L69">
        <v>1</v>
      </c>
      <c r="M69">
        <v>58913367752.730003</v>
      </c>
      <c r="N69">
        <v>92945509626</v>
      </c>
      <c r="O69">
        <v>45101015</v>
      </c>
      <c r="P69">
        <v>4510</v>
      </c>
      <c r="Q69">
        <v>1.96375273677233</v>
      </c>
      <c r="R69">
        <v>1.5</v>
      </c>
      <c r="S69" t="s">
        <v>418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2.117</v>
      </c>
      <c r="AT69">
        <v>3.198</v>
      </c>
      <c r="AU69" t="s">
        <v>420</v>
      </c>
      <c r="AV69">
        <v>1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2.6575000000000002</v>
      </c>
      <c r="CG69" t="s">
        <v>450</v>
      </c>
      <c r="CI69">
        <v>1.96375273677233</v>
      </c>
      <c r="CJ69">
        <v>1.5</v>
      </c>
      <c r="CK69">
        <v>1.7318763683861651</v>
      </c>
      <c r="CL69">
        <v>-0.18</v>
      </c>
      <c r="CM69">
        <v>1.5518763683861649</v>
      </c>
    </row>
    <row r="70" spans="1:91" x14ac:dyDescent="0.25">
      <c r="A70">
        <v>689</v>
      </c>
      <c r="B70" t="s">
        <v>176</v>
      </c>
      <c r="C70" t="s">
        <v>276</v>
      </c>
      <c r="D70" t="s">
        <v>376</v>
      </c>
      <c r="E70" t="s">
        <v>408</v>
      </c>
      <c r="F70">
        <v>629293220</v>
      </c>
      <c r="G70">
        <v>19.98</v>
      </c>
      <c r="H70" t="s">
        <v>409</v>
      </c>
      <c r="I70">
        <v>12573278535.6</v>
      </c>
      <c r="J70" t="s">
        <v>415</v>
      </c>
      <c r="K70">
        <v>10766081.2461905</v>
      </c>
      <c r="L70">
        <v>0.45</v>
      </c>
      <c r="M70">
        <v>5657975341.0200005</v>
      </c>
      <c r="N70">
        <v>11123386956.719999</v>
      </c>
      <c r="O70">
        <v>45201010</v>
      </c>
      <c r="P70">
        <v>4520</v>
      </c>
      <c r="Q70">
        <v>1.7406384718850201</v>
      </c>
      <c r="R70">
        <v>1.5</v>
      </c>
      <c r="S70" t="s">
        <v>417</v>
      </c>
      <c r="T70" t="s">
        <v>422</v>
      </c>
      <c r="U70">
        <v>0</v>
      </c>
      <c r="V70">
        <v>0.05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2.72</v>
      </c>
      <c r="AT70">
        <v>2.5680000000000001</v>
      </c>
      <c r="AU70" t="s">
        <v>431</v>
      </c>
      <c r="AV70">
        <v>1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2.6440000000000001</v>
      </c>
      <c r="CG70" t="s">
        <v>450</v>
      </c>
      <c r="CI70">
        <v>1.7406384718850201</v>
      </c>
      <c r="CJ70">
        <v>1.5</v>
      </c>
      <c r="CK70">
        <v>1.62031923594251</v>
      </c>
      <c r="CL70">
        <v>-0.3</v>
      </c>
      <c r="CM70">
        <v>1.32031923594251</v>
      </c>
    </row>
    <row r="71" spans="1:91" x14ac:dyDescent="0.25">
      <c r="A71">
        <v>186</v>
      </c>
      <c r="B71" t="s">
        <v>177</v>
      </c>
      <c r="C71" t="s">
        <v>277</v>
      </c>
      <c r="D71" t="s">
        <v>377</v>
      </c>
      <c r="E71" t="s">
        <v>398</v>
      </c>
      <c r="F71">
        <v>248000000</v>
      </c>
      <c r="G71">
        <v>128.15</v>
      </c>
      <c r="H71" t="s">
        <v>409</v>
      </c>
      <c r="I71">
        <v>31781200000</v>
      </c>
      <c r="J71" t="s">
        <v>415</v>
      </c>
      <c r="K71">
        <v>25987102.558196701</v>
      </c>
      <c r="L71">
        <v>0.4</v>
      </c>
      <c r="M71">
        <v>12712480000</v>
      </c>
      <c r="N71">
        <v>5561152000</v>
      </c>
      <c r="O71">
        <v>45201020</v>
      </c>
      <c r="P71">
        <v>4520</v>
      </c>
      <c r="Q71">
        <v>1.7450134819631999</v>
      </c>
      <c r="R71">
        <v>1.5</v>
      </c>
      <c r="S71" t="s">
        <v>419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2.3719999999999999</v>
      </c>
      <c r="AT71">
        <v>2.4630000000000001</v>
      </c>
      <c r="AU71" t="s">
        <v>420</v>
      </c>
      <c r="AV71">
        <v>1</v>
      </c>
      <c r="AW71">
        <v>0</v>
      </c>
      <c r="AX71" t="s">
        <v>437</v>
      </c>
      <c r="AY71">
        <v>0</v>
      </c>
      <c r="AZ71">
        <v>0</v>
      </c>
      <c r="BA71">
        <v>0</v>
      </c>
      <c r="CE71">
        <v>2.4175</v>
      </c>
      <c r="CG71" t="s">
        <v>450</v>
      </c>
      <c r="CI71">
        <v>1.7450134819631999</v>
      </c>
      <c r="CJ71">
        <v>1.5</v>
      </c>
      <c r="CK71">
        <v>1.6225067409816001</v>
      </c>
      <c r="CL71">
        <v>-0.24</v>
      </c>
      <c r="CM71">
        <v>1.3825067409816001</v>
      </c>
    </row>
    <row r="72" spans="1:91" x14ac:dyDescent="0.25">
      <c r="A72">
        <v>466</v>
      </c>
      <c r="B72" t="s">
        <v>178</v>
      </c>
      <c r="C72" t="s">
        <v>278</v>
      </c>
      <c r="D72" t="s">
        <v>378</v>
      </c>
      <c r="E72" t="s">
        <v>395</v>
      </c>
      <c r="F72">
        <v>643368840</v>
      </c>
      <c r="G72">
        <v>25.860900000000001</v>
      </c>
      <c r="H72" t="s">
        <v>410</v>
      </c>
      <c r="I72">
        <v>16638097234.356001</v>
      </c>
      <c r="J72" t="s">
        <v>416</v>
      </c>
      <c r="K72">
        <v>36684374.367596902</v>
      </c>
      <c r="L72">
        <v>0.9</v>
      </c>
      <c r="M72">
        <v>14974287510.920401</v>
      </c>
      <c r="N72">
        <v>10518115480.74</v>
      </c>
      <c r="O72">
        <v>45201020</v>
      </c>
      <c r="P72">
        <v>4520</v>
      </c>
      <c r="Q72">
        <v>1.6524943400662999</v>
      </c>
      <c r="R72">
        <v>1.77</v>
      </c>
      <c r="S72" t="s">
        <v>417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2.3239999999999998</v>
      </c>
      <c r="AT72">
        <v>2.919</v>
      </c>
      <c r="AU72" t="s">
        <v>420</v>
      </c>
      <c r="AV72">
        <v>1</v>
      </c>
      <c r="AW72">
        <v>0</v>
      </c>
      <c r="AX72" t="s">
        <v>434</v>
      </c>
      <c r="AY72">
        <v>0</v>
      </c>
      <c r="AZ72">
        <v>0</v>
      </c>
      <c r="BA72">
        <v>0</v>
      </c>
      <c r="CE72">
        <v>2.6215000000000002</v>
      </c>
      <c r="CG72" t="s">
        <v>450</v>
      </c>
      <c r="CI72">
        <v>1.6524943400662999</v>
      </c>
      <c r="CJ72">
        <v>1.77</v>
      </c>
      <c r="CK72">
        <v>1.71124717003315</v>
      </c>
      <c r="CL72">
        <v>-0.3</v>
      </c>
      <c r="CM72">
        <v>1.4112471700331499</v>
      </c>
    </row>
    <row r="73" spans="1:91" x14ac:dyDescent="0.25">
      <c r="A73">
        <v>123</v>
      </c>
      <c r="B73" t="s">
        <v>179</v>
      </c>
      <c r="C73" t="s">
        <v>279</v>
      </c>
      <c r="D73" t="s">
        <v>379</v>
      </c>
      <c r="E73" t="s">
        <v>395</v>
      </c>
      <c r="F73">
        <v>1055050400</v>
      </c>
      <c r="G73">
        <v>29.5566</v>
      </c>
      <c r="H73" t="s">
        <v>410</v>
      </c>
      <c r="I73">
        <v>31183702652.639999</v>
      </c>
      <c r="J73" t="s">
        <v>416</v>
      </c>
      <c r="K73">
        <v>42342444.337286301</v>
      </c>
      <c r="L73">
        <v>0.95</v>
      </c>
      <c r="M73">
        <v>29624517520.007999</v>
      </c>
      <c r="N73">
        <v>273827780816</v>
      </c>
      <c r="O73">
        <v>50101035</v>
      </c>
      <c r="P73">
        <v>5010</v>
      </c>
      <c r="Q73">
        <v>1.74887448110706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1.956</v>
      </c>
      <c r="AT73">
        <v>3.0419999999999998</v>
      </c>
      <c r="AU73" t="s">
        <v>432</v>
      </c>
      <c r="AV73">
        <v>0</v>
      </c>
      <c r="AW73">
        <v>0</v>
      </c>
      <c r="AX73" t="s">
        <v>434</v>
      </c>
      <c r="AY73">
        <v>0</v>
      </c>
      <c r="AZ73">
        <v>0</v>
      </c>
      <c r="BA73">
        <v>0</v>
      </c>
      <c r="CE73">
        <v>2.4990000000000001</v>
      </c>
      <c r="CG73" t="s">
        <v>450</v>
      </c>
      <c r="CI73">
        <v>1.74887448110706</v>
      </c>
      <c r="CJ73">
        <v>1.5</v>
      </c>
      <c r="CK73">
        <v>1.6244372405535299</v>
      </c>
      <c r="CL73">
        <v>-0.18</v>
      </c>
      <c r="CM73">
        <v>1.44443724055353</v>
      </c>
    </row>
    <row r="74" spans="1:91" x14ac:dyDescent="0.25">
      <c r="A74">
        <v>1218</v>
      </c>
      <c r="B74" t="s">
        <v>180</v>
      </c>
      <c r="C74" t="s">
        <v>280</v>
      </c>
      <c r="D74" t="s">
        <v>380</v>
      </c>
      <c r="E74" t="s">
        <v>406</v>
      </c>
      <c r="F74">
        <v>160479300</v>
      </c>
      <c r="G74">
        <v>252.84970000000001</v>
      </c>
      <c r="H74" t="s">
        <v>414</v>
      </c>
      <c r="I74">
        <v>40577142861.209999</v>
      </c>
      <c r="J74" t="s">
        <v>416</v>
      </c>
      <c r="K74">
        <v>92114432.940758303</v>
      </c>
      <c r="L74">
        <v>1</v>
      </c>
      <c r="M74">
        <v>40577142861.209999</v>
      </c>
      <c r="N74">
        <v>31806997260</v>
      </c>
      <c r="O74">
        <v>50101035</v>
      </c>
      <c r="P74">
        <v>5010</v>
      </c>
      <c r="Q74">
        <v>1.74390558393971</v>
      </c>
      <c r="S74" t="s">
        <v>420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2.6779999999999999</v>
      </c>
      <c r="AT74">
        <v>2.95</v>
      </c>
      <c r="AU74" t="s">
        <v>420</v>
      </c>
      <c r="AV74">
        <v>1</v>
      </c>
      <c r="AW74">
        <v>0</v>
      </c>
      <c r="AX74" t="s">
        <v>446</v>
      </c>
      <c r="AY74">
        <v>0</v>
      </c>
      <c r="AZ74">
        <v>0</v>
      </c>
      <c r="BA74">
        <v>0</v>
      </c>
      <c r="CE74">
        <v>2.8140000000000001</v>
      </c>
      <c r="CG74" t="s">
        <v>450</v>
      </c>
      <c r="CI74">
        <v>1.74390558393971</v>
      </c>
      <c r="CJ74">
        <v>3.1</v>
      </c>
      <c r="CK74">
        <v>2.4219527919698551</v>
      </c>
      <c r="CL74">
        <v>0</v>
      </c>
      <c r="CM74">
        <v>2.4219527919698551</v>
      </c>
    </row>
    <row r="75" spans="1:91" x14ac:dyDescent="0.25">
      <c r="A75">
        <v>895</v>
      </c>
      <c r="B75" t="s">
        <v>181</v>
      </c>
      <c r="C75" t="s">
        <v>281</v>
      </c>
      <c r="D75" t="s">
        <v>381</v>
      </c>
      <c r="E75" t="s">
        <v>403</v>
      </c>
      <c r="F75">
        <v>441412540</v>
      </c>
      <c r="G75">
        <v>14.978809999999999</v>
      </c>
      <c r="H75" t="s">
        <v>413</v>
      </c>
      <c r="I75">
        <v>6611834568.2774</v>
      </c>
      <c r="J75" t="s">
        <v>416</v>
      </c>
      <c r="K75">
        <v>15552731.930010101</v>
      </c>
      <c r="L75">
        <v>1</v>
      </c>
      <c r="M75">
        <v>6611834568.2774</v>
      </c>
      <c r="N75">
        <v>17338684571.200001</v>
      </c>
      <c r="O75">
        <v>50203030</v>
      </c>
      <c r="P75">
        <v>5020</v>
      </c>
      <c r="Q75">
        <v>1.6338401605731001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2.3959999999999999</v>
      </c>
      <c r="AT75">
        <v>3.2839999999999998</v>
      </c>
      <c r="AU75" t="s">
        <v>420</v>
      </c>
      <c r="AV75">
        <v>1</v>
      </c>
      <c r="AW75">
        <v>0</v>
      </c>
      <c r="AX75" t="s">
        <v>442</v>
      </c>
      <c r="AY75">
        <v>0</v>
      </c>
      <c r="AZ75">
        <v>0</v>
      </c>
      <c r="BA75">
        <v>0</v>
      </c>
      <c r="CE75">
        <v>2.84</v>
      </c>
      <c r="CG75" t="s">
        <v>450</v>
      </c>
      <c r="CI75">
        <v>1.6338401605731001</v>
      </c>
      <c r="CJ75">
        <v>1.5</v>
      </c>
      <c r="CK75">
        <v>1.5669200802865499</v>
      </c>
      <c r="CL75">
        <v>-0.3</v>
      </c>
      <c r="CM75">
        <v>1.2669200802865499</v>
      </c>
    </row>
    <row r="76" spans="1:91" x14ac:dyDescent="0.25">
      <c r="A76">
        <v>787</v>
      </c>
      <c r="B76" t="s">
        <v>182</v>
      </c>
      <c r="C76" t="s">
        <v>282</v>
      </c>
      <c r="D76" t="s">
        <v>382</v>
      </c>
      <c r="E76" t="s">
        <v>394</v>
      </c>
      <c r="F76">
        <v>262245733</v>
      </c>
      <c r="G76">
        <v>110.3</v>
      </c>
      <c r="H76" t="s">
        <v>409</v>
      </c>
      <c r="I76">
        <v>28925704349.900002</v>
      </c>
      <c r="J76" t="s">
        <v>415</v>
      </c>
      <c r="K76">
        <v>56619307.900158703</v>
      </c>
      <c r="L76">
        <v>1</v>
      </c>
      <c r="M76">
        <v>28925704349.900002</v>
      </c>
      <c r="N76">
        <v>10301012392.24</v>
      </c>
      <c r="O76">
        <v>50202010</v>
      </c>
      <c r="P76">
        <v>5020</v>
      </c>
      <c r="Q76">
        <v>1.7418068415287999</v>
      </c>
      <c r="R76">
        <v>1.5</v>
      </c>
      <c r="S76" t="s">
        <v>417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2.5249999999999999</v>
      </c>
      <c r="AT76">
        <v>3.0049999999999999</v>
      </c>
      <c r="AU76" t="s">
        <v>420</v>
      </c>
      <c r="AV76">
        <v>1</v>
      </c>
      <c r="AW76">
        <v>0</v>
      </c>
      <c r="AX76" t="s">
        <v>433</v>
      </c>
      <c r="AY76">
        <v>0</v>
      </c>
      <c r="AZ76">
        <v>0</v>
      </c>
      <c r="BA76">
        <v>0</v>
      </c>
      <c r="CE76">
        <v>2.7650000000000001</v>
      </c>
      <c r="CG76" t="s">
        <v>450</v>
      </c>
      <c r="CI76">
        <v>1.7418068415287999</v>
      </c>
      <c r="CJ76">
        <v>1.5</v>
      </c>
      <c r="CK76">
        <v>1.6209034207644</v>
      </c>
      <c r="CL76">
        <v>-0.3</v>
      </c>
      <c r="CM76">
        <v>1.3209034207643999</v>
      </c>
    </row>
    <row r="77" spans="1:91" x14ac:dyDescent="0.25">
      <c r="A77">
        <v>480</v>
      </c>
      <c r="B77" t="s">
        <v>183</v>
      </c>
      <c r="C77" t="s">
        <v>283</v>
      </c>
      <c r="D77" t="s">
        <v>383</v>
      </c>
      <c r="E77" t="s">
        <v>403</v>
      </c>
      <c r="F77">
        <v>919566160</v>
      </c>
      <c r="G77">
        <v>46.387149999999998</v>
      </c>
      <c r="H77" t="s">
        <v>413</v>
      </c>
      <c r="I77">
        <v>42656053398.844002</v>
      </c>
      <c r="J77" t="s">
        <v>416</v>
      </c>
      <c r="K77">
        <v>53659580.624927901</v>
      </c>
      <c r="L77">
        <v>1</v>
      </c>
      <c r="M77">
        <v>42656053398.844002</v>
      </c>
      <c r="N77">
        <v>16703919296.4</v>
      </c>
      <c r="O77">
        <v>50205020</v>
      </c>
      <c r="P77">
        <v>5020</v>
      </c>
      <c r="Q77">
        <v>1.96785746746361</v>
      </c>
      <c r="R77">
        <v>1.5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2.4129999999999998</v>
      </c>
      <c r="AT77">
        <v>3.26</v>
      </c>
      <c r="AU77" t="s">
        <v>426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2.8365</v>
      </c>
      <c r="CG77" t="s">
        <v>450</v>
      </c>
      <c r="CI77">
        <v>1.96785746746361</v>
      </c>
      <c r="CJ77">
        <v>1.5</v>
      </c>
      <c r="CK77">
        <v>1.733928733731805</v>
      </c>
      <c r="CL77">
        <v>-0.24</v>
      </c>
      <c r="CM77">
        <v>1.493928733731805</v>
      </c>
    </row>
    <row r="78" spans="1:91" x14ac:dyDescent="0.25">
      <c r="A78">
        <v>624</v>
      </c>
      <c r="B78" t="s">
        <v>184</v>
      </c>
      <c r="C78" t="s">
        <v>284</v>
      </c>
      <c r="D78" t="s">
        <v>384</v>
      </c>
      <c r="E78" t="s">
        <v>399</v>
      </c>
      <c r="F78">
        <v>107760380</v>
      </c>
      <c r="G78">
        <v>37.44</v>
      </c>
      <c r="H78" t="s">
        <v>409</v>
      </c>
      <c r="I78">
        <v>4034548627.1999998</v>
      </c>
      <c r="J78" t="s">
        <v>415</v>
      </c>
      <c r="K78">
        <v>5079226.97288136</v>
      </c>
      <c r="L78">
        <v>0.9</v>
      </c>
      <c r="M78">
        <v>3631093764.48</v>
      </c>
      <c r="N78">
        <v>3989935829.8800001</v>
      </c>
      <c r="O78">
        <v>50203030</v>
      </c>
      <c r="P78">
        <v>5020</v>
      </c>
      <c r="Q78">
        <v>1.9600431112566099</v>
      </c>
      <c r="R78">
        <v>1.77</v>
      </c>
      <c r="S78" t="s">
        <v>419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2.7010000000000001</v>
      </c>
      <c r="AT78">
        <v>2.9630000000000001</v>
      </c>
      <c r="AU78" t="s">
        <v>420</v>
      </c>
      <c r="AV78">
        <v>1</v>
      </c>
      <c r="AW78">
        <v>0</v>
      </c>
      <c r="AX78" t="s">
        <v>438</v>
      </c>
      <c r="AY78">
        <v>0</v>
      </c>
      <c r="AZ78">
        <v>0</v>
      </c>
      <c r="BA78">
        <v>0</v>
      </c>
      <c r="CE78">
        <v>2.8319999999999999</v>
      </c>
      <c r="CG78" t="s">
        <v>450</v>
      </c>
      <c r="CI78">
        <v>1.9600431112566099</v>
      </c>
      <c r="CJ78">
        <v>1.77</v>
      </c>
      <c r="CK78">
        <v>1.865021555628305</v>
      </c>
      <c r="CL78">
        <v>-0.24</v>
      </c>
      <c r="CM78">
        <v>1.625021555628305</v>
      </c>
    </row>
    <row r="79" spans="1:91" x14ac:dyDescent="0.25">
      <c r="A79">
        <v>762</v>
      </c>
      <c r="B79" t="s">
        <v>185</v>
      </c>
      <c r="C79" t="s">
        <v>285</v>
      </c>
      <c r="D79" t="s">
        <v>385</v>
      </c>
      <c r="E79" t="s">
        <v>399</v>
      </c>
      <c r="F79">
        <v>453187130</v>
      </c>
      <c r="G79">
        <v>55.22</v>
      </c>
      <c r="H79" t="s">
        <v>409</v>
      </c>
      <c r="I79">
        <v>25024993318.599998</v>
      </c>
      <c r="J79" t="s">
        <v>415</v>
      </c>
      <c r="K79">
        <v>26322525.057796601</v>
      </c>
      <c r="L79">
        <v>0.85</v>
      </c>
      <c r="M79">
        <v>21271244320.810001</v>
      </c>
      <c r="N79">
        <v>15131011896.440001</v>
      </c>
      <c r="O79">
        <v>50204000</v>
      </c>
      <c r="P79">
        <v>5020</v>
      </c>
      <c r="Q79">
        <v>1.9953067049789499</v>
      </c>
      <c r="R79">
        <v>2.08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2.6</v>
      </c>
      <c r="AT79">
        <v>2.8839999999999999</v>
      </c>
      <c r="AU79" t="s">
        <v>420</v>
      </c>
      <c r="AV79">
        <v>1</v>
      </c>
      <c r="AW79">
        <v>0</v>
      </c>
      <c r="AX79" t="s">
        <v>438</v>
      </c>
      <c r="AY79">
        <v>0</v>
      </c>
      <c r="AZ79">
        <v>0</v>
      </c>
      <c r="BA79">
        <v>0</v>
      </c>
      <c r="CE79">
        <v>2.742</v>
      </c>
      <c r="CG79" t="s">
        <v>450</v>
      </c>
      <c r="CI79">
        <v>1.9953067049789499</v>
      </c>
      <c r="CJ79">
        <v>2.08</v>
      </c>
      <c r="CK79">
        <v>2.0376533524894751</v>
      </c>
      <c r="CL79">
        <v>-0.3</v>
      </c>
      <c r="CM79">
        <v>1.7376533524894751</v>
      </c>
    </row>
    <row r="80" spans="1:91" x14ac:dyDescent="0.25">
      <c r="A80">
        <v>1108</v>
      </c>
      <c r="B80" t="s">
        <v>186</v>
      </c>
      <c r="C80" t="s">
        <v>286</v>
      </c>
      <c r="D80" t="s">
        <v>386</v>
      </c>
      <c r="E80" t="s">
        <v>394</v>
      </c>
      <c r="F80">
        <v>298233069</v>
      </c>
      <c r="G80">
        <v>26.56</v>
      </c>
      <c r="H80" t="s">
        <v>409</v>
      </c>
      <c r="I80">
        <v>7921070312.6399994</v>
      </c>
      <c r="J80" t="s">
        <v>415</v>
      </c>
      <c r="K80">
        <v>13654330.0976191</v>
      </c>
      <c r="L80">
        <v>0.70000000000000007</v>
      </c>
      <c r="M80">
        <v>5544749218.8480005</v>
      </c>
      <c r="N80">
        <v>63463997083.199997</v>
      </c>
      <c r="O80">
        <v>50202010</v>
      </c>
      <c r="P80">
        <v>5020</v>
      </c>
      <c r="Q80">
        <v>1.7493489955167301</v>
      </c>
      <c r="R80">
        <v>2.39</v>
      </c>
      <c r="S80" t="s">
        <v>417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2.1520000000000001</v>
      </c>
      <c r="AT80">
        <v>3.1819999999999999</v>
      </c>
      <c r="AU80" t="s">
        <v>431</v>
      </c>
      <c r="AV80">
        <v>1</v>
      </c>
      <c r="AW80">
        <v>0</v>
      </c>
      <c r="AX80" t="s">
        <v>433</v>
      </c>
      <c r="AY80">
        <v>0</v>
      </c>
      <c r="AZ80">
        <v>0</v>
      </c>
      <c r="BA80">
        <v>0</v>
      </c>
      <c r="CE80">
        <v>2.6669999999999998</v>
      </c>
      <c r="CG80" t="s">
        <v>450</v>
      </c>
      <c r="CI80">
        <v>1.7493489955167301</v>
      </c>
      <c r="CJ80">
        <v>2.39</v>
      </c>
      <c r="CK80">
        <v>2.0696744977583652</v>
      </c>
      <c r="CL80">
        <v>-0.3</v>
      </c>
      <c r="CM80">
        <v>1.7696744977583649</v>
      </c>
    </row>
    <row r="81" spans="1:91" x14ac:dyDescent="0.25">
      <c r="A81">
        <v>436</v>
      </c>
      <c r="B81" t="s">
        <v>187</v>
      </c>
      <c r="C81" t="s">
        <v>287</v>
      </c>
      <c r="D81" t="s">
        <v>387</v>
      </c>
      <c r="E81" t="s">
        <v>394</v>
      </c>
      <c r="F81">
        <v>236664445</v>
      </c>
      <c r="G81">
        <v>19.149999999999999</v>
      </c>
      <c r="H81" t="s">
        <v>409</v>
      </c>
      <c r="I81">
        <v>4532124121.75</v>
      </c>
      <c r="J81" t="s">
        <v>415</v>
      </c>
      <c r="K81">
        <v>6519939.4418254001</v>
      </c>
      <c r="L81">
        <v>0.70000000000000007</v>
      </c>
      <c r="M81">
        <v>3172486885.2249999</v>
      </c>
      <c r="N81">
        <v>6919831707.3550014</v>
      </c>
      <c r="O81">
        <v>50205010</v>
      </c>
      <c r="P81">
        <v>5020</v>
      </c>
      <c r="Q81">
        <v>1.8621326355854599</v>
      </c>
      <c r="R81">
        <v>2.39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2.2839999999999998</v>
      </c>
      <c r="AT81">
        <v>2.8149999999999999</v>
      </c>
      <c r="AU81" t="s">
        <v>432</v>
      </c>
      <c r="AV81">
        <v>0</v>
      </c>
      <c r="AW81">
        <v>0</v>
      </c>
      <c r="AX81" t="s">
        <v>433</v>
      </c>
      <c r="AY81">
        <v>0</v>
      </c>
      <c r="AZ81">
        <v>0</v>
      </c>
      <c r="BA81">
        <v>0</v>
      </c>
      <c r="CE81">
        <v>2.5495000000000001</v>
      </c>
      <c r="CG81" t="s">
        <v>450</v>
      </c>
      <c r="CI81">
        <v>1.8621326355854599</v>
      </c>
      <c r="CJ81">
        <v>2.39</v>
      </c>
      <c r="CK81">
        <v>2.1260663177927301</v>
      </c>
      <c r="CL81">
        <v>-0.3</v>
      </c>
      <c r="CM81">
        <v>1.8260663177927301</v>
      </c>
    </row>
    <row r="82" spans="1:91" x14ac:dyDescent="0.25">
      <c r="A82">
        <v>228</v>
      </c>
      <c r="B82" t="s">
        <v>188</v>
      </c>
      <c r="C82" t="s">
        <v>288</v>
      </c>
      <c r="D82" t="s">
        <v>388</v>
      </c>
      <c r="E82" t="s">
        <v>403</v>
      </c>
      <c r="F82">
        <v>329765630</v>
      </c>
      <c r="G82">
        <v>40.693019999999997</v>
      </c>
      <c r="H82" t="s">
        <v>413</v>
      </c>
      <c r="I82">
        <v>13419159376.902599</v>
      </c>
      <c r="J82" t="s">
        <v>416</v>
      </c>
      <c r="K82">
        <v>20420662.454890098</v>
      </c>
      <c r="L82">
        <v>1</v>
      </c>
      <c r="M82">
        <v>13419159376.902599</v>
      </c>
      <c r="N82">
        <v>18486661217.799999</v>
      </c>
      <c r="O82">
        <v>50203000</v>
      </c>
      <c r="P82">
        <v>5020</v>
      </c>
      <c r="Q82">
        <v>1.74632403309423</v>
      </c>
      <c r="R82">
        <v>2.39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2.0009999999999999</v>
      </c>
      <c r="AT82">
        <v>2.996</v>
      </c>
      <c r="AU82" t="s">
        <v>431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2.4984999999999999</v>
      </c>
      <c r="CG82" t="s">
        <v>450</v>
      </c>
      <c r="CI82">
        <v>1.74632403309423</v>
      </c>
      <c r="CJ82">
        <v>2.39</v>
      </c>
      <c r="CK82">
        <v>2.0681620165471148</v>
      </c>
      <c r="CL82">
        <v>-0.18</v>
      </c>
      <c r="CM82">
        <v>1.8881620165471149</v>
      </c>
    </row>
    <row r="83" spans="1:91" x14ac:dyDescent="0.25">
      <c r="A83">
        <v>1276</v>
      </c>
      <c r="B83" t="s">
        <v>189</v>
      </c>
      <c r="C83" t="s">
        <v>289</v>
      </c>
      <c r="D83" t="s">
        <v>389</v>
      </c>
      <c r="E83" t="s">
        <v>399</v>
      </c>
      <c r="F83">
        <v>613066600</v>
      </c>
      <c r="G83">
        <v>10.71</v>
      </c>
      <c r="H83" t="s">
        <v>409</v>
      </c>
      <c r="I83">
        <v>6565943286.000001</v>
      </c>
      <c r="J83" t="s">
        <v>415</v>
      </c>
      <c r="K83">
        <v>19128821.576101702</v>
      </c>
      <c r="L83">
        <v>1</v>
      </c>
      <c r="M83">
        <v>6565943286.000001</v>
      </c>
      <c r="N83">
        <v>121509800120</v>
      </c>
      <c r="O83">
        <v>55101015</v>
      </c>
      <c r="P83">
        <v>5510</v>
      </c>
      <c r="Q83">
        <v>1.8865311555342901</v>
      </c>
      <c r="R83">
        <v>1.5</v>
      </c>
      <c r="S83" t="s">
        <v>417</v>
      </c>
      <c r="T83" t="s">
        <v>423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2.58</v>
      </c>
      <c r="AT83">
        <v>3.1419999999999999</v>
      </c>
      <c r="AU83" t="s">
        <v>420</v>
      </c>
      <c r="AV83">
        <v>1</v>
      </c>
      <c r="AW83">
        <v>0</v>
      </c>
      <c r="AX83" t="s">
        <v>438</v>
      </c>
      <c r="AY83">
        <v>0</v>
      </c>
      <c r="AZ83">
        <v>0</v>
      </c>
      <c r="BA83">
        <v>0</v>
      </c>
      <c r="CE83">
        <v>2.8610000000000002</v>
      </c>
      <c r="CG83" t="s">
        <v>450</v>
      </c>
      <c r="CI83">
        <v>1.8865311555342901</v>
      </c>
      <c r="CJ83">
        <v>1.5</v>
      </c>
      <c r="CK83">
        <v>1.693265577767145</v>
      </c>
      <c r="CL83">
        <v>-0.3</v>
      </c>
      <c r="CM83">
        <v>1.393265577767145</v>
      </c>
    </row>
    <row r="84" spans="1:91" x14ac:dyDescent="0.25">
      <c r="A84">
        <v>1302</v>
      </c>
      <c r="B84" t="s">
        <v>190</v>
      </c>
      <c r="C84" t="s">
        <v>290</v>
      </c>
      <c r="D84" t="s">
        <v>390</v>
      </c>
      <c r="E84" t="s">
        <v>395</v>
      </c>
      <c r="F84">
        <v>638676100</v>
      </c>
      <c r="G84">
        <v>13.483459999999999</v>
      </c>
      <c r="H84" t="s">
        <v>410</v>
      </c>
      <c r="I84">
        <v>8611563647.3059998</v>
      </c>
      <c r="J84" t="s">
        <v>416</v>
      </c>
      <c r="K84">
        <v>18512719.7292796</v>
      </c>
      <c r="L84">
        <v>0.85</v>
      </c>
      <c r="M84">
        <v>7319829100.2100992</v>
      </c>
      <c r="N84">
        <v>107597762567</v>
      </c>
      <c r="O84">
        <v>55101010</v>
      </c>
      <c r="P84">
        <v>5510</v>
      </c>
      <c r="Q84">
        <v>1.51093325943585</v>
      </c>
      <c r="S84" t="s">
        <v>419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2.3260000000000001</v>
      </c>
      <c r="AT84">
        <v>2.9609999999999999</v>
      </c>
      <c r="AU84" t="s">
        <v>420</v>
      </c>
      <c r="AV84">
        <v>1</v>
      </c>
      <c r="AW84">
        <v>0</v>
      </c>
      <c r="AX84" t="s">
        <v>434</v>
      </c>
      <c r="AY84">
        <v>0</v>
      </c>
      <c r="AZ84">
        <v>0</v>
      </c>
      <c r="BA84">
        <v>0</v>
      </c>
      <c r="CE84">
        <v>2.6435</v>
      </c>
      <c r="CG84" t="s">
        <v>450</v>
      </c>
      <c r="CI84">
        <v>1.51093325943585</v>
      </c>
      <c r="CJ84">
        <v>3.1</v>
      </c>
      <c r="CK84">
        <v>2.3054666297179249</v>
      </c>
      <c r="CL84">
        <v>-0.24</v>
      </c>
      <c r="CM84">
        <v>2.0654666297179252</v>
      </c>
    </row>
    <row r="85" spans="1:91" x14ac:dyDescent="0.25">
      <c r="A85">
        <v>553</v>
      </c>
      <c r="B85" t="s">
        <v>191</v>
      </c>
      <c r="C85" t="s">
        <v>291</v>
      </c>
      <c r="D85" t="s">
        <v>391</v>
      </c>
      <c r="E85" t="s">
        <v>406</v>
      </c>
      <c r="F85">
        <v>9233586</v>
      </c>
      <c r="G85">
        <v>4175.5290000000005</v>
      </c>
      <c r="H85" t="s">
        <v>414</v>
      </c>
      <c r="I85">
        <v>38555106116.994003</v>
      </c>
      <c r="J85" t="s">
        <v>416</v>
      </c>
      <c r="K85">
        <v>73350479.450200602</v>
      </c>
      <c r="L85">
        <v>0.9</v>
      </c>
      <c r="M85">
        <v>34699595505.294601</v>
      </c>
      <c r="N85">
        <v>150955280.72099999</v>
      </c>
      <c r="O85">
        <v>55201020</v>
      </c>
      <c r="P85">
        <v>5520</v>
      </c>
      <c r="Q85">
        <v>1.73711451726054</v>
      </c>
      <c r="R85">
        <v>2.08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2.1269999999999998</v>
      </c>
      <c r="AT85">
        <v>2.8340000000000001</v>
      </c>
      <c r="AU85" t="s">
        <v>420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2.4805000000000001</v>
      </c>
      <c r="CG85" t="s">
        <v>450</v>
      </c>
      <c r="CI85">
        <v>1.73711451726054</v>
      </c>
      <c r="CJ85">
        <v>2.08</v>
      </c>
      <c r="CK85">
        <v>1.9085572586302699</v>
      </c>
      <c r="CL85">
        <v>-0.3</v>
      </c>
      <c r="CM85">
        <v>1.6085572586302701</v>
      </c>
    </row>
    <row r="86" spans="1:91" x14ac:dyDescent="0.25">
      <c r="A86">
        <v>1316</v>
      </c>
      <c r="B86" t="s">
        <v>192</v>
      </c>
      <c r="C86" t="s">
        <v>292</v>
      </c>
      <c r="D86" t="s">
        <v>392</v>
      </c>
      <c r="E86" t="s">
        <v>398</v>
      </c>
      <c r="F86">
        <v>139772050</v>
      </c>
      <c r="G86">
        <v>98.02</v>
      </c>
      <c r="H86" t="s">
        <v>409</v>
      </c>
      <c r="I86">
        <v>13700456341</v>
      </c>
      <c r="J86" t="s">
        <v>415</v>
      </c>
      <c r="K86">
        <v>28548769.3108197</v>
      </c>
      <c r="L86">
        <v>0.9</v>
      </c>
      <c r="M86">
        <v>12330410706.9</v>
      </c>
      <c r="N86">
        <v>400027607100</v>
      </c>
      <c r="O86">
        <v>55201000</v>
      </c>
      <c r="P86">
        <v>5520</v>
      </c>
      <c r="Q86">
        <v>1.92369051873579</v>
      </c>
      <c r="R86">
        <v>3.1</v>
      </c>
      <c r="S86" t="s">
        <v>417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2.6389999999999998</v>
      </c>
      <c r="AT86">
        <v>3.008</v>
      </c>
      <c r="AU86" t="s">
        <v>420</v>
      </c>
      <c r="AV86">
        <v>1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2.8235000000000001</v>
      </c>
      <c r="CG86" t="s">
        <v>450</v>
      </c>
      <c r="CI86">
        <v>1.92369051873579</v>
      </c>
      <c r="CJ86">
        <v>3.1</v>
      </c>
      <c r="CK86">
        <v>2.5118452593678948</v>
      </c>
      <c r="CL86">
        <v>-0.3</v>
      </c>
      <c r="CM86">
        <v>2.211845259367895</v>
      </c>
    </row>
    <row r="87" spans="1:91" x14ac:dyDescent="0.25">
      <c r="A87">
        <v>1442</v>
      </c>
      <c r="B87" t="s">
        <v>193</v>
      </c>
      <c r="C87" t="s">
        <v>293</v>
      </c>
      <c r="D87" t="s">
        <v>393</v>
      </c>
      <c r="E87" t="s">
        <v>403</v>
      </c>
      <c r="F87">
        <v>681888400</v>
      </c>
      <c r="G87">
        <v>11.622780000000001</v>
      </c>
      <c r="H87" t="s">
        <v>413</v>
      </c>
      <c r="I87">
        <v>7925438857.7520008</v>
      </c>
      <c r="J87" t="s">
        <v>416</v>
      </c>
      <c r="K87">
        <v>15580051.4032885</v>
      </c>
      <c r="L87">
        <v>1</v>
      </c>
      <c r="M87">
        <v>7925438857.7520008</v>
      </c>
      <c r="N87">
        <v>69143483760</v>
      </c>
      <c r="O87">
        <v>65102030</v>
      </c>
      <c r="P87">
        <v>6510</v>
      </c>
      <c r="Q87">
        <v>1.6963650110689901</v>
      </c>
      <c r="S87" t="s">
        <v>417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2.96</v>
      </c>
      <c r="AT87">
        <v>2.3919999999999999</v>
      </c>
      <c r="AU87" t="s">
        <v>428</v>
      </c>
      <c r="AV87">
        <v>1</v>
      </c>
      <c r="AW87">
        <v>0</v>
      </c>
      <c r="AX87" t="s">
        <v>442</v>
      </c>
      <c r="AY87">
        <v>0</v>
      </c>
      <c r="AZ87">
        <v>0</v>
      </c>
      <c r="BA87">
        <v>0</v>
      </c>
      <c r="CE87">
        <v>2.6760000000000002</v>
      </c>
      <c r="CG87" t="s">
        <v>450</v>
      </c>
      <c r="CI87">
        <v>1.6963650110689901</v>
      </c>
      <c r="CJ87">
        <v>3.1</v>
      </c>
      <c r="CK87">
        <v>2.398182505534495</v>
      </c>
      <c r="CL87">
        <v>-0.3</v>
      </c>
      <c r="CM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1747</v>
      </c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12</v>
      </c>
      <c r="G1" s="1" t="s">
        <v>1752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1589</v>
      </c>
      <c r="C3" t="s">
        <v>1190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1647</v>
      </c>
      <c r="C4" t="s">
        <v>1248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1467</v>
      </c>
      <c r="C5" t="s">
        <v>1068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1316</v>
      </c>
      <c r="C6" t="s">
        <v>917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1282</v>
      </c>
      <c r="C7" t="s">
        <v>883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1336</v>
      </c>
      <c r="C8" t="s">
        <v>937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1458</v>
      </c>
      <c r="C9" t="s">
        <v>1059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1426</v>
      </c>
      <c r="C11" t="s">
        <v>1027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2025-04-16T11:08:44Z</dcterms:created>
  <dcterms:modified xsi:type="dcterms:W3CDTF">2025-04-16T12:16:53Z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2025-04-16T11:09:23Z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cbb47eb1-b020-4b8b-81e4-fc2332dd0a7b</vt:lpwstr>
  </property>
  <property fmtid="{D5CDD505-2E9C-101B-9397-08002B2CF9AE}" pid="8" name="MSIP_Label_ac0b9ce6-6e99-42a1-af95-429494370cbc_ContentBits">
    <vt:lpwstr>2</vt:lpwstr>
  </property>
</Properties>
</file>