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7" documentId="11_16E605F84C2BBD4CEFDF159B0F33AF05D246F5F9" xr6:coauthVersionLast="47" xr6:coauthVersionMax="47" xr10:uidLastSave="{E11E0C90-CAFE-4CDD-B805-0C22E5D555C3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externalReferences>
    <externalReference r:id="rId7"/>
  </externalReferences>
  <definedNames>
    <definedName name="_xlnm._FilterDatabase" localSheetId="4" hidden="1">Selection!$A$1:$BI$41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7" i="5" l="1"/>
  <c r="BF36" i="5"/>
  <c r="BC21" i="5"/>
  <c r="BD21" i="5" s="1"/>
  <c r="BC20" i="5"/>
  <c r="BD20" i="5" s="1"/>
  <c r="BC41" i="5"/>
  <c r="BD41" i="5" s="1"/>
  <c r="BC40" i="5"/>
  <c r="BD40" i="5" s="1"/>
  <c r="BC19" i="5"/>
  <c r="BD19" i="5" s="1"/>
  <c r="BC18" i="5"/>
  <c r="BD18" i="5" s="1"/>
  <c r="BC17" i="5"/>
  <c r="BD17" i="5" s="1"/>
  <c r="BC16" i="5"/>
  <c r="BD16" i="5" s="1"/>
  <c r="BC15" i="5"/>
  <c r="BD15" i="5" s="1"/>
  <c r="BC39" i="5"/>
  <c r="BD39" i="5" s="1"/>
  <c r="BC38" i="5"/>
  <c r="BD38" i="5" s="1"/>
  <c r="BC14" i="5"/>
  <c r="BD14" i="5" s="1"/>
  <c r="BC37" i="5"/>
  <c r="BD37" i="5" s="1"/>
  <c r="BC36" i="5"/>
  <c r="BD36" i="5" s="1"/>
  <c r="BC13" i="5"/>
  <c r="BD13" i="5" s="1"/>
  <c r="BC35" i="5"/>
  <c r="BD35" i="5" s="1"/>
  <c r="BC34" i="5"/>
  <c r="BD34" i="5" s="1"/>
  <c r="BC33" i="5"/>
  <c r="BD33" i="5" s="1"/>
  <c r="BC12" i="5"/>
  <c r="BD12" i="5" s="1"/>
  <c r="BC11" i="5"/>
  <c r="BD11" i="5" s="1"/>
  <c r="BC10" i="5"/>
  <c r="BD10" i="5" s="1"/>
  <c r="BC9" i="5"/>
  <c r="BD9" i="5" s="1"/>
  <c r="BC32" i="5"/>
  <c r="BD32" i="5" s="1"/>
  <c r="BC8" i="5"/>
  <c r="BD8" i="5" s="1"/>
  <c r="BC31" i="5"/>
  <c r="BD31" i="5" s="1"/>
  <c r="BC30" i="5"/>
  <c r="BD30" i="5" s="1"/>
  <c r="BC7" i="5"/>
  <c r="BD7" i="5" s="1"/>
  <c r="BC29" i="5"/>
  <c r="BD29" i="5" s="1"/>
  <c r="BC28" i="5"/>
  <c r="BD28" i="5" s="1"/>
  <c r="BC6" i="5"/>
  <c r="BD6" i="5" s="1"/>
  <c r="BC5" i="5"/>
  <c r="BD5" i="5" s="1"/>
  <c r="BC27" i="5"/>
  <c r="BD27" i="5" s="1"/>
  <c r="BC4" i="5"/>
  <c r="BD4" i="5" s="1"/>
  <c r="BC26" i="5"/>
  <c r="BD26" i="5" s="1"/>
  <c r="BC25" i="5"/>
  <c r="BD25" i="5" s="1"/>
  <c r="BC3" i="5"/>
  <c r="BD3" i="5" s="1"/>
  <c r="BC24" i="5"/>
  <c r="BD24" i="5" s="1"/>
  <c r="BC2" i="5"/>
  <c r="BD2" i="5" s="1"/>
  <c r="BC23" i="5"/>
  <c r="BD23" i="5" s="1"/>
  <c r="BC22" i="5"/>
  <c r="BD22" i="5" s="1"/>
  <c r="T23" i="5"/>
  <c r="T2" i="5"/>
  <c r="T24" i="5"/>
  <c r="T3" i="5"/>
  <c r="T25" i="5"/>
  <c r="T26" i="5"/>
  <c r="T4" i="5"/>
  <c r="T27" i="5"/>
  <c r="T5" i="5"/>
  <c r="T6" i="5"/>
  <c r="T28" i="5"/>
  <c r="T29" i="5"/>
  <c r="T7" i="5"/>
  <c r="T30" i="5"/>
  <c r="T31" i="5"/>
  <c r="T8" i="5"/>
  <c r="T32" i="5"/>
  <c r="T9" i="5"/>
  <c r="T10" i="5"/>
  <c r="T11" i="5"/>
  <c r="T12" i="5"/>
  <c r="T33" i="5"/>
  <c r="T34" i="5"/>
  <c r="T35" i="5"/>
  <c r="T13" i="5"/>
  <c r="T36" i="5"/>
  <c r="T37" i="5"/>
  <c r="T14" i="5"/>
  <c r="T38" i="5"/>
  <c r="T39" i="5"/>
  <c r="T15" i="5"/>
  <c r="T16" i="5"/>
  <c r="T17" i="5"/>
  <c r="T18" i="5"/>
  <c r="T19" i="5"/>
  <c r="T40" i="5"/>
  <c r="T41" i="5"/>
  <c r="T20" i="5"/>
  <c r="T21" i="5"/>
  <c r="T22" i="5"/>
  <c r="I22" i="5"/>
  <c r="G21" i="5"/>
  <c r="G20" i="5"/>
  <c r="G41" i="5"/>
  <c r="G40" i="5"/>
  <c r="G19" i="5"/>
  <c r="G18" i="5"/>
  <c r="G17" i="5"/>
  <c r="G16" i="5"/>
  <c r="G15" i="5"/>
  <c r="G39" i="5"/>
  <c r="G38" i="5"/>
  <c r="G14" i="5"/>
  <c r="G37" i="5"/>
  <c r="G36" i="5"/>
  <c r="G13" i="5"/>
  <c r="G35" i="5"/>
  <c r="G34" i="5"/>
  <c r="G33" i="5"/>
  <c r="G12" i="5"/>
  <c r="G11" i="5"/>
  <c r="G10" i="5"/>
  <c r="G9" i="5"/>
  <c r="G32" i="5"/>
  <c r="G8" i="5"/>
  <c r="G31" i="5"/>
  <c r="G30" i="5"/>
  <c r="G7" i="5"/>
  <c r="G29" i="5"/>
  <c r="G28" i="5"/>
  <c r="G6" i="5"/>
  <c r="G5" i="5"/>
  <c r="G27" i="5"/>
  <c r="G4" i="5"/>
  <c r="G26" i="5"/>
  <c r="G25" i="5"/>
  <c r="G3" i="5"/>
  <c r="G24" i="5"/>
  <c r="G2" i="5"/>
  <c r="G23" i="5"/>
  <c r="G22" i="5"/>
  <c r="BF22" i="5" l="1"/>
  <c r="BF23" i="5"/>
  <c r="BF28" i="5"/>
  <c r="BF29" i="5"/>
  <c r="BF30" i="5"/>
  <c r="BF24" i="5"/>
  <c r="BF25" i="5"/>
  <c r="BF26" i="5"/>
  <c r="BF27" i="5"/>
  <c r="BF31" i="5"/>
  <c r="BF32" i="5"/>
  <c r="BF33" i="5"/>
  <c r="BF34" i="5"/>
  <c r="BF35" i="5"/>
  <c r="BF38" i="5"/>
  <c r="BF39" i="5"/>
  <c r="BF40" i="5"/>
  <c r="BF41" i="5"/>
</calcChain>
</file>

<file path=xl/sharedStrings.xml><?xml version="1.0" encoding="utf-8"?>
<sst xmlns="http://schemas.openxmlformats.org/spreadsheetml/2006/main" count="15208" uniqueCount="6276">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</sst>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details_FRD4P_EMS_2025-09-12%2023_59_59_2025-09-14-15-54-58.xlsx" TargetMode="External"/><Relationship Id="rId1" Type="http://schemas.openxmlformats.org/officeDocument/2006/relationships/externalLinkPath" Target="file:///V:\PM-Indices-IndexOperations\Review%20Files\202509\Preliminary%20Checks\Dataiku%20Outputs%20-%20Prices%2012%20Sept\details_FRD4P_EMS_2025-09-12%2023_59_59_2025-09-14-15-54-5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GB00B1YW4409</v>
          </cell>
          <cell r="F2">
            <v>973412660</v>
          </cell>
          <cell r="BN2">
            <v>44.037220240000003</v>
          </cell>
          <cell r="BO2">
            <v>42866387692.824226</v>
          </cell>
        </row>
        <row r="3">
          <cell r="C3" t="str">
            <v>IE00B4BNMY34</v>
          </cell>
          <cell r="F3">
            <v>622852700</v>
          </cell>
          <cell r="BN3">
            <v>203.4109322054</v>
          </cell>
          <cell r="BO3">
            <v>126695048333.6503</v>
          </cell>
        </row>
        <row r="4">
          <cell r="C4" t="str">
            <v>FR0000120404</v>
          </cell>
          <cell r="F4">
            <v>244966893</v>
          </cell>
          <cell r="BN4">
            <v>41.21</v>
          </cell>
          <cell r="BO4">
            <v>8580822811.4504995</v>
          </cell>
        </row>
        <row r="5">
          <cell r="C5" t="str">
            <v>JP3112000009</v>
          </cell>
          <cell r="F5">
            <v>217434680</v>
          </cell>
          <cell r="BN5">
            <v>27.318639090000001</v>
          </cell>
          <cell r="BO5">
            <v>5940019548.5696411</v>
          </cell>
        </row>
        <row r="6">
          <cell r="C6" t="str">
            <v>JP3119600009</v>
          </cell>
          <cell r="F6">
            <v>1005637630</v>
          </cell>
          <cell r="BN6">
            <v>24.610450180000001</v>
          </cell>
          <cell r="BO6">
            <v>23511735052.63586</v>
          </cell>
        </row>
        <row r="7">
          <cell r="C7" t="str">
            <v>FR0010220475</v>
          </cell>
          <cell r="F7">
            <v>462029966</v>
          </cell>
          <cell r="BN7">
            <v>20.94</v>
          </cell>
          <cell r="BO7">
            <v>7256180616.0300007</v>
          </cell>
        </row>
        <row r="8">
          <cell r="C8" t="str">
            <v>GB0009895292</v>
          </cell>
          <cell r="F8">
            <v>1550682600</v>
          </cell>
          <cell r="BN8">
            <v>136.35467983999999</v>
          </cell>
          <cell r="BO8">
            <v>211442829456.4588</v>
          </cell>
        </row>
        <row r="9">
          <cell r="C9" t="str">
            <v>FR0013280286</v>
          </cell>
          <cell r="F9">
            <v>118361220</v>
          </cell>
          <cell r="BN9">
            <v>115.1</v>
          </cell>
          <cell r="BO9">
            <v>5449350568.8000002</v>
          </cell>
        </row>
        <row r="10">
          <cell r="C10" t="str">
            <v>CA12532H1047</v>
          </cell>
          <cell r="F10">
            <v>198795360</v>
          </cell>
          <cell r="BN10">
            <v>79.613323959000013</v>
          </cell>
          <cell r="BO10">
            <v>14244083457.503429</v>
          </cell>
        </row>
        <row r="11">
          <cell r="C11" t="str">
            <v>FR0000120644</v>
          </cell>
          <cell r="F11">
            <v>681394483</v>
          </cell>
          <cell r="BN11">
            <v>74.64</v>
          </cell>
          <cell r="BO11">
            <v>48316320000.564003</v>
          </cell>
        </row>
        <row r="12">
          <cell r="C12" t="str">
            <v>FR0014003TT8</v>
          </cell>
          <cell r="F12">
            <v>1344379776</v>
          </cell>
          <cell r="BN12">
            <v>27.56</v>
          </cell>
          <cell r="BO12">
            <v>18525553313.279999</v>
          </cell>
        </row>
        <row r="13">
          <cell r="C13" t="str">
            <v>US2538681030</v>
          </cell>
          <cell r="F13">
            <v>341050450</v>
          </cell>
          <cell r="BN13">
            <v>147.94917723500001</v>
          </cell>
          <cell r="BO13">
            <v>47935226799.470177</v>
          </cell>
        </row>
        <row r="14">
          <cell r="C14" t="str">
            <v>US29444U7000</v>
          </cell>
          <cell r="F14">
            <v>97863980</v>
          </cell>
          <cell r="BN14">
            <v>672.47377901610002</v>
          </cell>
          <cell r="BO14">
            <v>65810960460.156029</v>
          </cell>
        </row>
        <row r="15">
          <cell r="C15" t="str">
            <v>NL0006294274</v>
          </cell>
          <cell r="F15">
            <v>101542528</v>
          </cell>
          <cell r="BN15">
            <v>138.4</v>
          </cell>
          <cell r="BO15">
            <v>10540114406.4</v>
          </cell>
        </row>
        <row r="16">
          <cell r="C16" t="str">
            <v>US3696043013</v>
          </cell>
          <cell r="F16">
            <v>1060439300</v>
          </cell>
          <cell r="BN16">
            <v>240.20636158689999</v>
          </cell>
          <cell r="BO16">
            <v>254724265936.75919</v>
          </cell>
        </row>
        <row r="17">
          <cell r="C17" t="str">
            <v>GB00BN7SWP63</v>
          </cell>
          <cell r="F17">
            <v>4072228000</v>
          </cell>
          <cell r="BN17">
            <v>17.38250476</v>
          </cell>
          <cell r="BO17">
            <v>70785522593.805283</v>
          </cell>
        </row>
        <row r="18">
          <cell r="C18" t="str">
            <v>FR0000052292</v>
          </cell>
          <cell r="F18">
            <v>105569412</v>
          </cell>
          <cell r="BN18">
            <v>2090</v>
          </cell>
          <cell r="BO18">
            <v>66192021323.999992</v>
          </cell>
        </row>
        <row r="19">
          <cell r="C19" t="str">
            <v>JP3496400007</v>
          </cell>
          <cell r="F19">
            <v>4187847700</v>
          </cell>
          <cell r="BN19">
            <v>14.409990244999999</v>
          </cell>
          <cell r="BO19">
            <v>42242791153.181976</v>
          </cell>
        </row>
        <row r="20">
          <cell r="C20" t="str">
            <v>FR0000121485</v>
          </cell>
          <cell r="F20">
            <v>123420778</v>
          </cell>
          <cell r="BN20">
            <v>241.3</v>
          </cell>
          <cell r="BO20">
            <v>17868860238.84</v>
          </cell>
        </row>
        <row r="21">
          <cell r="C21" t="str">
            <v>FR0000121964</v>
          </cell>
          <cell r="F21">
            <v>286861172</v>
          </cell>
          <cell r="BN21">
            <v>33.6</v>
          </cell>
          <cell r="BO21">
            <v>7228901534.4000006</v>
          </cell>
        </row>
        <row r="22">
          <cell r="C22" t="str">
            <v>FR0010307819</v>
          </cell>
          <cell r="F22">
            <v>262245733</v>
          </cell>
          <cell r="BN22">
            <v>139.1</v>
          </cell>
          <cell r="BO22">
            <v>36478381460.300003</v>
          </cell>
        </row>
        <row r="23">
          <cell r="C23" t="str">
            <v>FR0000120321</v>
          </cell>
          <cell r="F23">
            <v>533204913</v>
          </cell>
          <cell r="BN23">
            <v>381.05</v>
          </cell>
          <cell r="BO23">
            <v>91429979444.392502</v>
          </cell>
        </row>
        <row r="24">
          <cell r="C24" t="str">
            <v>FR0000121014</v>
          </cell>
          <cell r="F24">
            <v>500141700</v>
          </cell>
          <cell r="BN24">
            <v>490.65</v>
          </cell>
          <cell r="BO24">
            <v>122697262552.5</v>
          </cell>
        </row>
        <row r="25">
          <cell r="C25" t="str">
            <v>DE0007100000</v>
          </cell>
          <cell r="F25">
            <v>962903700</v>
          </cell>
          <cell r="BN25">
            <v>51.69</v>
          </cell>
          <cell r="BO25">
            <v>37329369189.75</v>
          </cell>
        </row>
        <row r="26">
          <cell r="C26" t="str">
            <v>DE0006599905</v>
          </cell>
          <cell r="F26">
            <v>129242250</v>
          </cell>
          <cell r="BN26">
            <v>106.75</v>
          </cell>
          <cell r="BO26">
            <v>13796610187.5</v>
          </cell>
        </row>
        <row r="27">
          <cell r="C27" t="str">
            <v>JP3914400001</v>
          </cell>
          <cell r="F27">
            <v>1963001800</v>
          </cell>
          <cell r="BN27">
            <v>14.603432310000001</v>
          </cell>
          <cell r="BO27">
            <v>27233235715.172749</v>
          </cell>
        </row>
        <row r="28">
          <cell r="C28" t="str">
            <v>FR0000044448</v>
          </cell>
          <cell r="F28">
            <v>43744779</v>
          </cell>
          <cell r="BN28">
            <v>133.69999999999999</v>
          </cell>
          <cell r="BO28">
            <v>4678941561.8400002</v>
          </cell>
        </row>
        <row r="29">
          <cell r="C29" t="str">
            <v>JP3734800000</v>
          </cell>
          <cell r="F29">
            <v>1192569000</v>
          </cell>
          <cell r="BN29">
            <v>15.022075585</v>
          </cell>
          <cell r="BO29">
            <v>16123375492.495081</v>
          </cell>
        </row>
        <row r="30">
          <cell r="C30" t="str">
            <v>FI0009000681</v>
          </cell>
          <cell r="F30">
            <v>5455850600</v>
          </cell>
          <cell r="BN30">
            <v>3.8290000000000002</v>
          </cell>
          <cell r="BO30">
            <v>19845929350.029999</v>
          </cell>
        </row>
        <row r="31">
          <cell r="C31" t="str">
            <v>FR0000133308</v>
          </cell>
          <cell r="F31">
            <v>2660056599</v>
          </cell>
          <cell r="BN31">
            <v>13.9</v>
          </cell>
          <cell r="BO31">
            <v>24033611371.965</v>
          </cell>
        </row>
        <row r="32">
          <cell r="C32" t="str">
            <v>US74340W1036</v>
          </cell>
          <cell r="F32">
            <v>928063000</v>
          </cell>
          <cell r="BN32">
            <v>98.362752703499993</v>
          </cell>
          <cell r="BO32">
            <v>91286831362.268311</v>
          </cell>
        </row>
        <row r="33">
          <cell r="C33" t="str">
            <v>NL0000379121</v>
          </cell>
          <cell r="F33">
            <v>180869312</v>
          </cell>
          <cell r="BN33">
            <v>36.549999999999997</v>
          </cell>
          <cell r="BO33">
            <v>3635925344.48</v>
          </cell>
        </row>
        <row r="34">
          <cell r="C34" t="str">
            <v>FR0000131906</v>
          </cell>
          <cell r="F34">
            <v>295722284</v>
          </cell>
          <cell r="BN34">
            <v>34.369999999999997</v>
          </cell>
          <cell r="BO34">
            <v>6606583685.7019997</v>
          </cell>
        </row>
        <row r="35">
          <cell r="C35" t="str">
            <v>FR0010451203</v>
          </cell>
          <cell r="F35">
            <v>299036619</v>
          </cell>
          <cell r="BN35">
            <v>27.63</v>
          </cell>
          <cell r="BO35">
            <v>6196786337.2275</v>
          </cell>
        </row>
        <row r="36">
          <cell r="C36" t="str">
            <v>FR0000125007</v>
          </cell>
          <cell r="F36">
            <v>499063699</v>
          </cell>
          <cell r="BN36">
            <v>93.9</v>
          </cell>
          <cell r="BO36">
            <v>42175873202.490013</v>
          </cell>
        </row>
        <row r="37">
          <cell r="C37" t="str">
            <v>FR0000120578</v>
          </cell>
          <cell r="F37">
            <v>1227468973</v>
          </cell>
          <cell r="BN37">
            <v>80.7</v>
          </cell>
          <cell r="BO37">
            <v>94103908815.044998</v>
          </cell>
        </row>
        <row r="38">
          <cell r="C38" t="str">
            <v>FR0000121972</v>
          </cell>
          <cell r="F38">
            <v>577122512</v>
          </cell>
          <cell r="BN38">
            <v>232</v>
          </cell>
          <cell r="BO38">
            <v>133892422784</v>
          </cell>
        </row>
        <row r="39">
          <cell r="C39" t="str">
            <v>DE0007236101</v>
          </cell>
          <cell r="F39">
            <v>800000000</v>
          </cell>
          <cell r="BN39">
            <v>228.55</v>
          </cell>
          <cell r="BO39">
            <v>173698000000</v>
          </cell>
        </row>
        <row r="40">
          <cell r="C40" t="str">
            <v>DE000ENER6Y0</v>
          </cell>
          <cell r="F40">
            <v>799335450</v>
          </cell>
          <cell r="BN40">
            <v>93.16</v>
          </cell>
          <cell r="BO40">
            <v>63296176943.699997</v>
          </cell>
        </row>
        <row r="41">
          <cell r="C41" t="str">
            <v>NL0000226223</v>
          </cell>
          <cell r="F41">
            <v>911281920</v>
          </cell>
          <cell r="BN41">
            <v>22.184999999999999</v>
          </cell>
          <cell r="BO41">
            <v>14151752576.639999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0.57179912391561005</v>
      </c>
      <c r="G2" t="s">
        <v>95</v>
      </c>
      <c r="H2" t="s">
        <v>96</v>
      </c>
    </row>
    <row r="3" spans="1:8" x14ac:dyDescent="0.25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0.57179912391561005</v>
      </c>
      <c r="G3" t="s">
        <v>95</v>
      </c>
      <c r="H3" t="s">
        <v>97</v>
      </c>
    </row>
    <row r="4" spans="1:8" x14ac:dyDescent="0.25">
      <c r="A4" t="s">
        <v>10</v>
      </c>
      <c r="B4" t="s">
        <v>49</v>
      </c>
      <c r="C4" t="s">
        <v>88</v>
      </c>
      <c r="D4">
        <v>244966893</v>
      </c>
      <c r="E4">
        <v>0.85000000000000009</v>
      </c>
      <c r="F4">
        <v>1</v>
      </c>
      <c r="G4" t="s">
        <v>95</v>
      </c>
      <c r="H4" t="s">
        <v>98</v>
      </c>
    </row>
    <row r="5" spans="1:8" x14ac:dyDescent="0.25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0.57179912391561005</v>
      </c>
      <c r="G5" t="s">
        <v>95</v>
      </c>
      <c r="H5" t="s">
        <v>99</v>
      </c>
    </row>
    <row r="6" spans="1:8" x14ac:dyDescent="0.25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 x14ac:dyDescent="0.25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0.57179912391561005</v>
      </c>
      <c r="G7" t="s">
        <v>95</v>
      </c>
      <c r="H7" t="s">
        <v>99</v>
      </c>
    </row>
    <row r="8" spans="1:8" x14ac:dyDescent="0.25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0.57179912391561005</v>
      </c>
      <c r="G8" t="s">
        <v>95</v>
      </c>
      <c r="H8" t="s">
        <v>96</v>
      </c>
    </row>
    <row r="9" spans="1:8" x14ac:dyDescent="0.25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 x14ac:dyDescent="0.25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0.57179912391561005</v>
      </c>
      <c r="G10" t="s">
        <v>95</v>
      </c>
      <c r="H10" t="s">
        <v>100</v>
      </c>
    </row>
    <row r="11" spans="1:8" x14ac:dyDescent="0.25">
      <c r="A11" t="s">
        <v>17</v>
      </c>
      <c r="B11" t="s">
        <v>56</v>
      </c>
      <c r="C11" t="s">
        <v>88</v>
      </c>
      <c r="D11">
        <v>681394483</v>
      </c>
      <c r="E11">
        <v>0.95000000000000007</v>
      </c>
      <c r="F11">
        <v>1</v>
      </c>
      <c r="G11" t="s">
        <v>95</v>
      </c>
      <c r="H11" t="s">
        <v>98</v>
      </c>
    </row>
    <row r="12" spans="1:8" x14ac:dyDescent="0.25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 x14ac:dyDescent="0.25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0.57179912391561005</v>
      </c>
      <c r="G13" t="s">
        <v>95</v>
      </c>
      <c r="H13" t="s">
        <v>97</v>
      </c>
    </row>
    <row r="14" spans="1:8" x14ac:dyDescent="0.25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0.57179912391561005</v>
      </c>
      <c r="G14" t="s">
        <v>95</v>
      </c>
      <c r="H14" t="s">
        <v>97</v>
      </c>
    </row>
    <row r="15" spans="1:8" x14ac:dyDescent="0.25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 x14ac:dyDescent="0.25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0.57179912391561005</v>
      </c>
      <c r="G16" t="s">
        <v>95</v>
      </c>
      <c r="H16" t="s">
        <v>97</v>
      </c>
    </row>
    <row r="17" spans="1:8" x14ac:dyDescent="0.25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0.57179912391561005</v>
      </c>
      <c r="G17" t="s">
        <v>95</v>
      </c>
      <c r="H17" t="s">
        <v>96</v>
      </c>
    </row>
    <row r="18" spans="1:8" x14ac:dyDescent="0.25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 x14ac:dyDescent="0.25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0.57179912391561005</v>
      </c>
      <c r="G19" t="s">
        <v>95</v>
      </c>
      <c r="H19" t="s">
        <v>99</v>
      </c>
    </row>
    <row r="20" spans="1:8" x14ac:dyDescent="0.25">
      <c r="A20" t="s">
        <v>26</v>
      </c>
      <c r="B20" t="s">
        <v>65</v>
      </c>
      <c r="C20" t="s">
        <v>88</v>
      </c>
      <c r="D20">
        <v>123420778</v>
      </c>
      <c r="E20">
        <v>0.60000000000000009</v>
      </c>
      <c r="F20">
        <v>1</v>
      </c>
      <c r="G20" t="s">
        <v>95</v>
      </c>
      <c r="H20" t="s">
        <v>98</v>
      </c>
    </row>
    <row r="21" spans="1:8" x14ac:dyDescent="0.25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 x14ac:dyDescent="0.25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 x14ac:dyDescent="0.25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 x14ac:dyDescent="0.25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0.57179912391561005</v>
      </c>
      <c r="G24" t="s">
        <v>95</v>
      </c>
      <c r="H24" t="s">
        <v>98</v>
      </c>
    </row>
    <row r="25" spans="1:8" x14ac:dyDescent="0.25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0.57179912391561005</v>
      </c>
      <c r="G25" t="s">
        <v>95</v>
      </c>
      <c r="H25" t="s">
        <v>98</v>
      </c>
    </row>
    <row r="26" spans="1:8" x14ac:dyDescent="0.25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0.57179912391561005</v>
      </c>
      <c r="G26" t="s">
        <v>95</v>
      </c>
      <c r="H26" t="s">
        <v>99</v>
      </c>
    </row>
    <row r="27" spans="1:8" x14ac:dyDescent="0.25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 x14ac:dyDescent="0.25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0.57179912391561005</v>
      </c>
      <c r="G28" t="s">
        <v>95</v>
      </c>
      <c r="H28" t="s">
        <v>99</v>
      </c>
    </row>
    <row r="29" spans="1:8" x14ac:dyDescent="0.25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0.57179912391561005</v>
      </c>
      <c r="G29" t="s">
        <v>95</v>
      </c>
      <c r="H29" t="s">
        <v>98</v>
      </c>
    </row>
    <row r="30" spans="1:8" x14ac:dyDescent="0.25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 x14ac:dyDescent="0.25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0.57179912391561005</v>
      </c>
      <c r="G31" t="s">
        <v>95</v>
      </c>
      <c r="H31" t="s">
        <v>97</v>
      </c>
    </row>
    <row r="32" spans="1:8" x14ac:dyDescent="0.25">
      <c r="A32" t="s">
        <v>38</v>
      </c>
      <c r="B32" t="s">
        <v>77</v>
      </c>
      <c r="C32" t="s">
        <v>94</v>
      </c>
      <c r="D32">
        <v>180869312</v>
      </c>
      <c r="E32">
        <v>0.55000000000000004</v>
      </c>
      <c r="F32">
        <v>0.57179912391561005</v>
      </c>
      <c r="G32" t="s">
        <v>95</v>
      </c>
      <c r="H32" t="s">
        <v>98</v>
      </c>
    </row>
    <row r="33" spans="1:8" x14ac:dyDescent="0.25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 x14ac:dyDescent="0.25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 x14ac:dyDescent="0.25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 x14ac:dyDescent="0.25">
      <c r="A36" t="s">
        <v>42</v>
      </c>
      <c r="B36" t="s">
        <v>81</v>
      </c>
      <c r="C36" t="s">
        <v>88</v>
      </c>
      <c r="D36">
        <v>1227468973</v>
      </c>
      <c r="E36">
        <v>0.95000000000000007</v>
      </c>
      <c r="F36">
        <v>1</v>
      </c>
      <c r="G36" t="s">
        <v>95</v>
      </c>
      <c r="H36" t="s">
        <v>98</v>
      </c>
    </row>
    <row r="37" spans="1:8" x14ac:dyDescent="0.25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 x14ac:dyDescent="0.25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0.57179912391561005</v>
      </c>
      <c r="G38" t="s">
        <v>95</v>
      </c>
      <c r="H38" t="s">
        <v>98</v>
      </c>
    </row>
    <row r="39" spans="1:8" x14ac:dyDescent="0.25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0.57179912391561005</v>
      </c>
      <c r="G39" t="s">
        <v>95</v>
      </c>
      <c r="H39" t="s">
        <v>98</v>
      </c>
    </row>
    <row r="40" spans="1:8" x14ac:dyDescent="0.25">
      <c r="A40" t="s">
        <v>46</v>
      </c>
      <c r="B40" t="s">
        <v>85</v>
      </c>
      <c r="C40" t="s">
        <v>88</v>
      </c>
      <c r="D40">
        <v>911281920</v>
      </c>
      <c r="E40">
        <v>0.70000000000000007</v>
      </c>
      <c r="F40">
        <v>1</v>
      </c>
      <c r="G40" t="s">
        <v>95</v>
      </c>
      <c r="H40" t="s">
        <v>98</v>
      </c>
    </row>
    <row r="41" spans="1:8" x14ac:dyDescent="0.25">
      <c r="A41" t="s">
        <v>46</v>
      </c>
      <c r="B41" t="s">
        <v>85</v>
      </c>
      <c r="C41" t="s">
        <v>88</v>
      </c>
      <c r="D41">
        <v>911281920</v>
      </c>
      <c r="E41">
        <v>0.70000000000000007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57</v>
      </c>
      <c r="C2" t="s">
        <v>88</v>
      </c>
    </row>
    <row r="3" spans="1:3" x14ac:dyDescent="0.25">
      <c r="A3" t="s">
        <v>19</v>
      </c>
      <c r="B3" t="s">
        <v>58</v>
      </c>
      <c r="C3" t="s">
        <v>87</v>
      </c>
    </row>
    <row r="4" spans="1:3" x14ac:dyDescent="0.25">
      <c r="A4" t="s">
        <v>35</v>
      </c>
      <c r="B4" t="s">
        <v>74</v>
      </c>
      <c r="C4" t="s">
        <v>93</v>
      </c>
    </row>
    <row r="5" spans="1:3" x14ac:dyDescent="0.25">
      <c r="A5" t="s">
        <v>36</v>
      </c>
      <c r="B5" t="s">
        <v>75</v>
      </c>
      <c r="C5" t="s">
        <v>88</v>
      </c>
    </row>
    <row r="6" spans="1:3" x14ac:dyDescent="0.25">
      <c r="A6" t="s">
        <v>46</v>
      </c>
      <c r="B6" t="s">
        <v>85</v>
      </c>
      <c r="C6" t="s">
        <v>88</v>
      </c>
    </row>
    <row r="7" spans="1:3" x14ac:dyDescent="0.25">
      <c r="A7" t="s">
        <v>46</v>
      </c>
      <c r="B7" t="s">
        <v>85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108</v>
      </c>
      <c r="C2" t="s">
        <v>114</v>
      </c>
    </row>
    <row r="3" spans="1:3" x14ac:dyDescent="0.25">
      <c r="A3" t="s">
        <v>103</v>
      </c>
      <c r="B3" t="s">
        <v>109</v>
      </c>
      <c r="C3" t="s">
        <v>88</v>
      </c>
    </row>
    <row r="4" spans="1:3" x14ac:dyDescent="0.25">
      <c r="A4" t="s">
        <v>104</v>
      </c>
      <c r="B4" t="s">
        <v>110</v>
      </c>
      <c r="C4" t="s">
        <v>88</v>
      </c>
    </row>
    <row r="5" spans="1:3" x14ac:dyDescent="0.25">
      <c r="A5" t="s">
        <v>105</v>
      </c>
      <c r="B5" t="s">
        <v>111</v>
      </c>
      <c r="C5" t="s">
        <v>91</v>
      </c>
    </row>
    <row r="6" spans="1:3" x14ac:dyDescent="0.25">
      <c r="A6" t="s">
        <v>106</v>
      </c>
      <c r="B6" t="s">
        <v>112</v>
      </c>
      <c r="C6" t="s">
        <v>88</v>
      </c>
    </row>
    <row r="7" spans="1:3" x14ac:dyDescent="0.25">
      <c r="A7" t="s">
        <v>107</v>
      </c>
      <c r="B7" t="s">
        <v>113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539"/>
  <sheetViews>
    <sheetView workbookViewId="0"/>
  </sheetViews>
  <sheetFormatPr defaultRowHeight="15" x14ac:dyDescent="0.25"/>
  <sheetData>
    <row r="1" spans="1:40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 x14ac:dyDescent="0.25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47.436160000000001</v>
      </c>
      <c r="H2" t="s">
        <v>96</v>
      </c>
      <c r="I2">
        <v>46174958685.785599</v>
      </c>
      <c r="J2" t="s">
        <v>4699</v>
      </c>
      <c r="K2">
        <v>45905128.7150921</v>
      </c>
      <c r="L2">
        <v>1</v>
      </c>
      <c r="M2" t="s">
        <v>4704</v>
      </c>
      <c r="N2">
        <v>1.156136E-2</v>
      </c>
      <c r="O2">
        <v>3809</v>
      </c>
      <c r="P2">
        <v>4110</v>
      </c>
      <c r="Q2">
        <v>44.037220240000003</v>
      </c>
      <c r="R2">
        <v>42866387692.824226</v>
      </c>
      <c r="S2">
        <v>0</v>
      </c>
      <c r="T2" t="s">
        <v>6242</v>
      </c>
    </row>
    <row r="3" spans="1:40" x14ac:dyDescent="0.25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135.44970000000001</v>
      </c>
      <c r="H3" t="s">
        <v>97</v>
      </c>
      <c r="I3">
        <v>72144533076.089996</v>
      </c>
      <c r="J3" t="s">
        <v>4700</v>
      </c>
      <c r="K3">
        <v>440552490.31022698</v>
      </c>
      <c r="L3">
        <v>1</v>
      </c>
      <c r="M3" t="s">
        <v>4705</v>
      </c>
      <c r="N3">
        <v>0.85273301000000001</v>
      </c>
      <c r="O3">
        <v>157.87</v>
      </c>
      <c r="P3">
        <v>158.72</v>
      </c>
      <c r="Q3">
        <v>134.62096028869999</v>
      </c>
      <c r="R3">
        <v>71703121692.282211</v>
      </c>
      <c r="S3">
        <v>0</v>
      </c>
      <c r="T3" t="s">
        <v>6243</v>
      </c>
      <c r="AN3" t="s">
        <v>6262</v>
      </c>
    </row>
    <row r="4" spans="1:40" x14ac:dyDescent="0.25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33.425400000000003</v>
      </c>
      <c r="H4" t="s">
        <v>99</v>
      </c>
      <c r="I4">
        <v>2562249106.0500002</v>
      </c>
      <c r="J4" t="s">
        <v>4701</v>
      </c>
      <c r="K4">
        <v>5740233.0400559399</v>
      </c>
      <c r="L4">
        <v>1</v>
      </c>
      <c r="M4" t="s">
        <v>4706</v>
      </c>
      <c r="N4">
        <v>5.7743899999999999E-3</v>
      </c>
      <c r="O4">
        <v>5834</v>
      </c>
      <c r="P4">
        <v>5752</v>
      </c>
      <c r="Q4">
        <v>33.687791259999997</v>
      </c>
      <c r="R4">
        <v>2582362904.8787451</v>
      </c>
      <c r="S4">
        <v>0</v>
      </c>
      <c r="T4" t="s">
        <v>6244</v>
      </c>
      <c r="W4" t="s">
        <v>6247</v>
      </c>
      <c r="AJ4" t="s">
        <v>6258</v>
      </c>
      <c r="AN4" t="s">
        <v>6262</v>
      </c>
    </row>
    <row r="5" spans="1:40" x14ac:dyDescent="0.25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4.9315319999999998</v>
      </c>
      <c r="H5" t="s">
        <v>4691</v>
      </c>
      <c r="I5">
        <v>3570523360.2612</v>
      </c>
      <c r="J5" t="s">
        <v>4701</v>
      </c>
      <c r="K5">
        <v>10941875.220592299</v>
      </c>
      <c r="L5">
        <v>1</v>
      </c>
      <c r="M5" t="s">
        <v>4707</v>
      </c>
      <c r="N5">
        <v>0.56652409000000004</v>
      </c>
      <c r="O5">
        <v>9.15</v>
      </c>
      <c r="P5">
        <v>8.9</v>
      </c>
      <c r="Q5">
        <v>5.1836954235000006</v>
      </c>
      <c r="R5">
        <v>3753094495.196589</v>
      </c>
      <c r="S5">
        <v>0</v>
      </c>
      <c r="T5" t="s">
        <v>6244</v>
      </c>
      <c r="U5" t="s">
        <v>6245</v>
      </c>
      <c r="AJ5" t="s">
        <v>6258</v>
      </c>
    </row>
    <row r="6" spans="1:40" x14ac:dyDescent="0.25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2.1960000000000002</v>
      </c>
      <c r="H6" t="s">
        <v>98</v>
      </c>
      <c r="I6">
        <v>6879859988.2920008</v>
      </c>
      <c r="J6" t="s">
        <v>4702</v>
      </c>
      <c r="K6">
        <v>17589125.739715401</v>
      </c>
      <c r="L6">
        <v>0.5</v>
      </c>
      <c r="M6" t="s">
        <v>4708</v>
      </c>
      <c r="N6">
        <v>1</v>
      </c>
      <c r="O6">
        <v>2.1629999999999998</v>
      </c>
      <c r="P6">
        <v>2.1960000000000002</v>
      </c>
      <c r="Q6">
        <v>2.1629999999999998</v>
      </c>
      <c r="R6">
        <v>3388237057.0755</v>
      </c>
      <c r="S6">
        <v>0</v>
      </c>
      <c r="T6" t="s">
        <v>6242</v>
      </c>
      <c r="AH6" t="s">
        <v>6256</v>
      </c>
    </row>
    <row r="7" spans="1:40" x14ac:dyDescent="0.25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4.9540150000000001</v>
      </c>
      <c r="H7" t="s">
        <v>4692</v>
      </c>
      <c r="I7">
        <v>5937386977.5</v>
      </c>
      <c r="J7" t="s">
        <v>4701</v>
      </c>
      <c r="K7">
        <v>29344158.272296902</v>
      </c>
      <c r="L7">
        <v>0.7</v>
      </c>
      <c r="M7" t="s">
        <v>4709</v>
      </c>
      <c r="N7">
        <v>0.10956983000000001</v>
      </c>
      <c r="O7">
        <v>43.8</v>
      </c>
      <c r="P7">
        <v>45.36</v>
      </c>
      <c r="Q7">
        <v>4.799158553999999</v>
      </c>
      <c r="R7">
        <v>4026254068.8782992</v>
      </c>
      <c r="S7">
        <v>0</v>
      </c>
      <c r="T7" t="s">
        <v>6244</v>
      </c>
      <c r="U7" t="s">
        <v>6245</v>
      </c>
      <c r="AJ7" t="s">
        <v>6258</v>
      </c>
      <c r="AN7" t="s">
        <v>6262</v>
      </c>
    </row>
    <row r="8" spans="1:40" x14ac:dyDescent="0.25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6425795503.9440002</v>
      </c>
      <c r="J8" t="s">
        <v>4699</v>
      </c>
      <c r="K8">
        <v>9423944.1061097495</v>
      </c>
      <c r="L8">
        <v>0.7</v>
      </c>
      <c r="M8" t="s">
        <v>4710</v>
      </c>
      <c r="N8">
        <v>9.1395149999999994E-2</v>
      </c>
      <c r="O8">
        <v>258</v>
      </c>
      <c r="P8">
        <v>275.8</v>
      </c>
      <c r="Q8">
        <v>23.579948699999999</v>
      </c>
      <c r="R8">
        <v>4284274834.4291282</v>
      </c>
      <c r="S8">
        <v>0</v>
      </c>
      <c r="T8" t="s">
        <v>6242</v>
      </c>
      <c r="U8" t="s">
        <v>6245</v>
      </c>
      <c r="W8" t="s">
        <v>6247</v>
      </c>
    </row>
    <row r="9" spans="1:40" x14ac:dyDescent="0.25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3432406366.0799999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28.58</v>
      </c>
      <c r="P9">
        <v>31.04</v>
      </c>
      <c r="Q9">
        <v>28.58</v>
      </c>
      <c r="R9">
        <v>2844341383.6440001</v>
      </c>
      <c r="S9">
        <v>0</v>
      </c>
      <c r="T9" t="s">
        <v>6242</v>
      </c>
      <c r="W9" t="s">
        <v>6247</v>
      </c>
      <c r="AJ9" t="s">
        <v>6258</v>
      </c>
    </row>
    <row r="10" spans="1:40" x14ac:dyDescent="0.25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97480117585.919998</v>
      </c>
      <c r="J10" t="s">
        <v>4702</v>
      </c>
      <c r="K10">
        <v>96233412.459545493</v>
      </c>
      <c r="L10">
        <v>0.55000000000000004</v>
      </c>
      <c r="M10" t="s">
        <v>4712</v>
      </c>
      <c r="N10">
        <v>1</v>
      </c>
      <c r="O10">
        <v>50</v>
      </c>
      <c r="P10">
        <v>54.24</v>
      </c>
      <c r="Q10">
        <v>50</v>
      </c>
      <c r="R10">
        <v>49422994720.000008</v>
      </c>
      <c r="S10">
        <v>0</v>
      </c>
      <c r="T10" t="s">
        <v>6242</v>
      </c>
      <c r="AN10" t="s">
        <v>6262</v>
      </c>
    </row>
    <row r="11" spans="1:40" x14ac:dyDescent="0.25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19.191279999999999</v>
      </c>
      <c r="H11" t="s">
        <v>4693</v>
      </c>
      <c r="I11">
        <v>6025850815.9200001</v>
      </c>
      <c r="J11" t="s">
        <v>4699</v>
      </c>
      <c r="K11">
        <v>5453743.3668038901</v>
      </c>
      <c r="L11">
        <v>0.7</v>
      </c>
      <c r="M11" t="s">
        <v>4713</v>
      </c>
      <c r="N11">
        <v>9.1395149999999994E-2</v>
      </c>
      <c r="O11">
        <v>203.6</v>
      </c>
      <c r="P11">
        <v>213.8</v>
      </c>
      <c r="Q11">
        <v>18.608052539999999</v>
      </c>
      <c r="R11">
        <v>4089906666.2874408</v>
      </c>
      <c r="S11">
        <v>0</v>
      </c>
      <c r="T11" t="s">
        <v>6242</v>
      </c>
      <c r="U11" t="s">
        <v>6245</v>
      </c>
      <c r="W11" t="s">
        <v>6247</v>
      </c>
    </row>
    <row r="12" spans="1:40" x14ac:dyDescent="0.25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106363370818.84801</v>
      </c>
      <c r="J12" t="s">
        <v>4699</v>
      </c>
      <c r="K12">
        <v>121386093.625192</v>
      </c>
      <c r="L12">
        <v>0.85</v>
      </c>
      <c r="M12" t="s">
        <v>4714</v>
      </c>
      <c r="N12">
        <v>1.07032003</v>
      </c>
      <c r="O12">
        <v>56.8</v>
      </c>
      <c r="P12">
        <v>54.18</v>
      </c>
      <c r="Q12">
        <v>60.794177703999999</v>
      </c>
      <c r="R12">
        <v>95283585288.103912</v>
      </c>
      <c r="S12">
        <v>0</v>
      </c>
      <c r="T12" t="s">
        <v>6242</v>
      </c>
      <c r="U12" t="s">
        <v>6245</v>
      </c>
      <c r="AG12" t="s">
        <v>6255</v>
      </c>
    </row>
    <row r="13" spans="1:40" x14ac:dyDescent="0.25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196934154171.29999</v>
      </c>
      <c r="J13" t="s">
        <v>4700</v>
      </c>
      <c r="K13">
        <v>726411611.80495203</v>
      </c>
      <c r="L13">
        <v>1</v>
      </c>
      <c r="M13" t="s">
        <v>4715</v>
      </c>
      <c r="N13">
        <v>0.85273301000000001</v>
      </c>
      <c r="O13">
        <v>133.72999999999999</v>
      </c>
      <c r="P13">
        <v>132.59</v>
      </c>
      <c r="Q13">
        <v>114.03598542730001</v>
      </c>
      <c r="R13">
        <v>198474957160.81311</v>
      </c>
      <c r="S13">
        <v>0</v>
      </c>
      <c r="T13" t="s">
        <v>6243</v>
      </c>
    </row>
    <row r="14" spans="1:40" x14ac:dyDescent="0.25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317492022657.70001</v>
      </c>
      <c r="J14" t="s">
        <v>4700</v>
      </c>
      <c r="K14">
        <v>934236696.961797</v>
      </c>
      <c r="L14">
        <v>1</v>
      </c>
      <c r="M14" t="s">
        <v>4716</v>
      </c>
      <c r="N14">
        <v>0.85273301000000001</v>
      </c>
      <c r="O14">
        <v>218.34</v>
      </c>
      <c r="P14">
        <v>210.6</v>
      </c>
      <c r="Q14">
        <v>186.1857254034</v>
      </c>
      <c r="R14">
        <v>328907919934.32458</v>
      </c>
      <c r="S14">
        <v>0</v>
      </c>
      <c r="T14" t="s">
        <v>6243</v>
      </c>
    </row>
    <row r="15" spans="1:40" x14ac:dyDescent="0.25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2.3106369999999998</v>
      </c>
      <c r="H15" t="s">
        <v>96</v>
      </c>
      <c r="I15">
        <v>4253290500.7368999</v>
      </c>
      <c r="J15" t="s">
        <v>4699</v>
      </c>
      <c r="K15">
        <v>8707767.1618551705</v>
      </c>
      <c r="L15">
        <v>1</v>
      </c>
      <c r="M15" t="s">
        <v>4717</v>
      </c>
      <c r="N15">
        <v>1.156136E-2</v>
      </c>
      <c r="O15">
        <v>184.3</v>
      </c>
      <c r="P15">
        <v>200.2</v>
      </c>
      <c r="Q15">
        <v>2.130758648</v>
      </c>
      <c r="R15">
        <v>3922180557.5265179</v>
      </c>
      <c r="S15">
        <v>0</v>
      </c>
      <c r="T15" t="s">
        <v>6242</v>
      </c>
      <c r="W15" t="s">
        <v>6247</v>
      </c>
      <c r="AJ15" t="s">
        <v>6258</v>
      </c>
    </row>
    <row r="16" spans="1:40" x14ac:dyDescent="0.25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5574372.5581060601</v>
      </c>
      <c r="L16">
        <v>0.6</v>
      </c>
      <c r="M16" t="s">
        <v>4718</v>
      </c>
      <c r="N16">
        <v>1</v>
      </c>
      <c r="O16">
        <v>70.7</v>
      </c>
      <c r="P16">
        <v>66.5</v>
      </c>
      <c r="Q16">
        <v>70.7</v>
      </c>
      <c r="R16">
        <v>3205828209.3600001</v>
      </c>
      <c r="S16">
        <v>1</v>
      </c>
      <c r="T16" t="s">
        <v>6242</v>
      </c>
      <c r="W16" t="s">
        <v>6247</v>
      </c>
      <c r="AN16" t="s">
        <v>6262</v>
      </c>
    </row>
    <row r="17" spans="1:40" x14ac:dyDescent="0.25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14977921640.110001</v>
      </c>
      <c r="J17" t="s">
        <v>4702</v>
      </c>
      <c r="K17">
        <v>64420832.038712099</v>
      </c>
      <c r="L17">
        <v>1</v>
      </c>
      <c r="M17" t="s">
        <v>4719</v>
      </c>
      <c r="N17">
        <v>1</v>
      </c>
      <c r="O17">
        <v>25.76</v>
      </c>
      <c r="P17">
        <v>25.87</v>
      </c>
      <c r="Q17">
        <v>25.76</v>
      </c>
      <c r="R17">
        <v>14914235077.280001</v>
      </c>
      <c r="S17">
        <v>0</v>
      </c>
      <c r="T17" t="s">
        <v>6242</v>
      </c>
      <c r="AJ17" t="s">
        <v>6258</v>
      </c>
    </row>
    <row r="18" spans="1:40" x14ac:dyDescent="0.25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76.283770000000004</v>
      </c>
      <c r="H18" t="s">
        <v>4694</v>
      </c>
      <c r="I18">
        <v>7208816265</v>
      </c>
      <c r="J18" t="s">
        <v>4699</v>
      </c>
      <c r="K18">
        <v>13190923.358562101</v>
      </c>
      <c r="L18">
        <v>1</v>
      </c>
      <c r="M18" t="s">
        <v>4720</v>
      </c>
      <c r="N18">
        <v>1.07032003</v>
      </c>
      <c r="O18">
        <v>72.2</v>
      </c>
      <c r="P18">
        <v>71.650000000000006</v>
      </c>
      <c r="Q18">
        <v>77.277106165999996</v>
      </c>
      <c r="R18">
        <v>7302686532.6869993</v>
      </c>
      <c r="S18">
        <v>0</v>
      </c>
      <c r="T18" t="s">
        <v>6242</v>
      </c>
      <c r="U18" t="s">
        <v>6245</v>
      </c>
      <c r="AJ18" t="s">
        <v>6258</v>
      </c>
    </row>
    <row r="19" spans="1:40" x14ac:dyDescent="0.25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221.21520000000001</v>
      </c>
      <c r="H19" t="s">
        <v>97</v>
      </c>
      <c r="I19">
        <v>137784484601.04001</v>
      </c>
      <c r="J19" t="s">
        <v>4700</v>
      </c>
      <c r="K19">
        <v>956711431.80120504</v>
      </c>
      <c r="L19">
        <v>1</v>
      </c>
      <c r="M19" t="s">
        <v>4721</v>
      </c>
      <c r="N19">
        <v>0.85273301000000001</v>
      </c>
      <c r="O19">
        <v>238.54</v>
      </c>
      <c r="P19">
        <v>259.22000000000003</v>
      </c>
      <c r="Q19">
        <v>203.4109322054</v>
      </c>
      <c r="R19">
        <v>126695048333.6503</v>
      </c>
      <c r="S19">
        <v>0</v>
      </c>
      <c r="T19" t="s">
        <v>6243</v>
      </c>
    </row>
    <row r="20" spans="1:40" x14ac:dyDescent="0.25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17236416.800757602</v>
      </c>
      <c r="L20">
        <v>0.45</v>
      </c>
      <c r="M20" t="s">
        <v>4722</v>
      </c>
      <c r="N20">
        <v>1</v>
      </c>
      <c r="O20">
        <v>166.8</v>
      </c>
      <c r="P20">
        <v>178.6</v>
      </c>
      <c r="Q20">
        <v>166.8</v>
      </c>
      <c r="R20">
        <v>4117540149</v>
      </c>
      <c r="S20">
        <v>0</v>
      </c>
      <c r="T20" t="s">
        <v>6242</v>
      </c>
    </row>
    <row r="21" spans="1:40" x14ac:dyDescent="0.25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30697958.705833301</v>
      </c>
      <c r="L21">
        <v>0.85000000000000009</v>
      </c>
      <c r="M21" t="s">
        <v>4723</v>
      </c>
      <c r="N21">
        <v>1</v>
      </c>
      <c r="O21">
        <v>41.21</v>
      </c>
      <c r="P21">
        <v>44.76</v>
      </c>
      <c r="Q21">
        <v>41.21</v>
      </c>
      <c r="R21">
        <v>8580822811.4505014</v>
      </c>
      <c r="S21">
        <v>1</v>
      </c>
      <c r="T21" t="s">
        <v>6242</v>
      </c>
    </row>
    <row r="22" spans="1:40" x14ac:dyDescent="0.25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6177971.8257575799</v>
      </c>
      <c r="L22">
        <v>0.65</v>
      </c>
      <c r="M22" t="s">
        <v>4724</v>
      </c>
      <c r="N22">
        <v>1</v>
      </c>
      <c r="O22">
        <v>233.2</v>
      </c>
      <c r="P22">
        <v>229</v>
      </c>
      <c r="Q22">
        <v>233.2</v>
      </c>
      <c r="R22">
        <v>5026051745</v>
      </c>
      <c r="S22">
        <v>0</v>
      </c>
      <c r="T22" t="s">
        <v>6242</v>
      </c>
      <c r="W22" t="s">
        <v>6247</v>
      </c>
      <c r="AJ22" t="s">
        <v>6258</v>
      </c>
      <c r="AN22" t="s">
        <v>6262</v>
      </c>
    </row>
    <row r="23" spans="1:40" x14ac:dyDescent="0.25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18229936.924674202</v>
      </c>
      <c r="L23">
        <v>0.75</v>
      </c>
      <c r="M23" t="s">
        <v>4725</v>
      </c>
      <c r="N23">
        <v>1</v>
      </c>
      <c r="O23">
        <v>68.7</v>
      </c>
      <c r="P23">
        <v>66.55</v>
      </c>
      <c r="Q23">
        <v>68.7</v>
      </c>
      <c r="R23">
        <v>13997517484.5</v>
      </c>
      <c r="S23">
        <v>0</v>
      </c>
      <c r="T23" t="s">
        <v>6242</v>
      </c>
      <c r="AJ23" t="s">
        <v>6258</v>
      </c>
    </row>
    <row r="24" spans="1:40" x14ac:dyDescent="0.25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31.255389999999998</v>
      </c>
      <c r="H24" t="s">
        <v>4693</v>
      </c>
      <c r="I24">
        <v>8124201020.5439997</v>
      </c>
      <c r="J24" t="s">
        <v>4699</v>
      </c>
      <c r="K24">
        <v>11490930.6446236</v>
      </c>
      <c r="L24">
        <v>1</v>
      </c>
      <c r="M24" t="s">
        <v>4726</v>
      </c>
      <c r="N24">
        <v>9.1395149999999994E-2</v>
      </c>
      <c r="O24">
        <v>333.6</v>
      </c>
      <c r="P24">
        <v>348.2</v>
      </c>
      <c r="Q24">
        <v>30.489422040000001</v>
      </c>
      <c r="R24">
        <v>7925103275.0883846</v>
      </c>
      <c r="S24">
        <v>0</v>
      </c>
      <c r="T24" t="s">
        <v>6242</v>
      </c>
      <c r="U24" t="s">
        <v>6245</v>
      </c>
      <c r="AN24" t="s">
        <v>6262</v>
      </c>
    </row>
    <row r="25" spans="1:40" x14ac:dyDescent="0.25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28.639679999999998</v>
      </c>
      <c r="H25" t="s">
        <v>4694</v>
      </c>
      <c r="I25">
        <v>4823682781.9007998</v>
      </c>
      <c r="J25" t="s">
        <v>4699</v>
      </c>
      <c r="K25">
        <v>18017290.448211201</v>
      </c>
      <c r="L25">
        <v>0.85</v>
      </c>
      <c r="M25" t="s">
        <v>4727</v>
      </c>
      <c r="N25">
        <v>1.07032003</v>
      </c>
      <c r="O25">
        <v>22.64</v>
      </c>
      <c r="P25">
        <v>26.9</v>
      </c>
      <c r="Q25">
        <v>24.2320454792</v>
      </c>
      <c r="R25">
        <v>3469122052.5514259</v>
      </c>
      <c r="S25">
        <v>0</v>
      </c>
      <c r="T25" t="s">
        <v>6242</v>
      </c>
      <c r="U25" t="s">
        <v>6245</v>
      </c>
      <c r="AA25" t="s">
        <v>6249</v>
      </c>
      <c r="AN25" t="s">
        <v>6262</v>
      </c>
    </row>
    <row r="26" spans="1:40" x14ac:dyDescent="0.25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177</v>
      </c>
      <c r="P26">
        <v>171.45</v>
      </c>
      <c r="Q26">
        <v>177</v>
      </c>
      <c r="R26">
        <v>30267000000</v>
      </c>
      <c r="S26">
        <v>0</v>
      </c>
      <c r="T26" t="s">
        <v>6242</v>
      </c>
    </row>
    <row r="27" spans="1:40" x14ac:dyDescent="0.25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42.196249999999999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1.156136E-2</v>
      </c>
      <c r="O27">
        <v>3308</v>
      </c>
      <c r="P27">
        <v>3656</v>
      </c>
      <c r="Q27">
        <v>38.244978879999998</v>
      </c>
      <c r="R27">
        <v>9957424264.9930248</v>
      </c>
      <c r="S27">
        <v>0</v>
      </c>
      <c r="T27" t="s">
        <v>6242</v>
      </c>
      <c r="AN27" t="s">
        <v>6262</v>
      </c>
    </row>
    <row r="28" spans="1:40" x14ac:dyDescent="0.25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309.00319999999999</v>
      </c>
      <c r="H28" t="s">
        <v>97</v>
      </c>
      <c r="I28">
        <v>131079157440</v>
      </c>
      <c r="J28" t="s">
        <v>4700</v>
      </c>
      <c r="K28">
        <v>1238758521.5074601</v>
      </c>
      <c r="L28">
        <v>1</v>
      </c>
      <c r="M28" t="s">
        <v>4730</v>
      </c>
      <c r="N28">
        <v>0.85273301000000001</v>
      </c>
      <c r="O28">
        <v>349.36</v>
      </c>
      <c r="P28">
        <v>362.09</v>
      </c>
      <c r="Q28">
        <v>297.9108043736</v>
      </c>
      <c r="R28">
        <v>126373763215.2811</v>
      </c>
      <c r="S28">
        <v>0</v>
      </c>
      <c r="T28" t="s">
        <v>6243</v>
      </c>
    </row>
    <row r="29" spans="1:40" x14ac:dyDescent="0.25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12211738286.799999</v>
      </c>
      <c r="J29" t="s">
        <v>4702</v>
      </c>
      <c r="K29">
        <v>11059387.437878801</v>
      </c>
      <c r="L29">
        <v>0.3</v>
      </c>
      <c r="M29" t="s">
        <v>4731</v>
      </c>
      <c r="N29">
        <v>1</v>
      </c>
      <c r="O29">
        <v>113.7</v>
      </c>
      <c r="P29">
        <v>123.4</v>
      </c>
      <c r="Q29">
        <v>113.7</v>
      </c>
      <c r="R29">
        <v>3375546134.2199998</v>
      </c>
      <c r="S29">
        <v>1</v>
      </c>
      <c r="T29" t="s">
        <v>6242</v>
      </c>
    </row>
    <row r="30" spans="1:40" x14ac:dyDescent="0.25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955.34360000000004</v>
      </c>
      <c r="H30" t="s">
        <v>99</v>
      </c>
      <c r="I30">
        <v>2738014757.5999999</v>
      </c>
      <c r="J30" t="s">
        <v>4701</v>
      </c>
      <c r="K30">
        <v>5375570.2613642998</v>
      </c>
      <c r="L30">
        <v>1</v>
      </c>
      <c r="M30" t="s">
        <v>4732</v>
      </c>
      <c r="N30">
        <v>5.7743899999999999E-3</v>
      </c>
      <c r="O30">
        <v>166700</v>
      </c>
      <c r="P30">
        <v>164400</v>
      </c>
      <c r="Q30">
        <v>962.59081300000003</v>
      </c>
      <c r="R30">
        <v>2758785270.0580001</v>
      </c>
      <c r="S30">
        <v>0</v>
      </c>
      <c r="T30" t="s">
        <v>6244</v>
      </c>
      <c r="W30" t="s">
        <v>6247</v>
      </c>
    </row>
    <row r="31" spans="1:40" x14ac:dyDescent="0.25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7308068950.1087799</v>
      </c>
      <c r="L31">
        <v>1</v>
      </c>
      <c r="M31" t="s">
        <v>4733</v>
      </c>
      <c r="N31">
        <v>0.85273301000000001</v>
      </c>
      <c r="O31">
        <v>158.57</v>
      </c>
      <c r="P31">
        <v>167.76</v>
      </c>
      <c r="Q31">
        <v>135.2178733957</v>
      </c>
      <c r="R31">
        <v>219437487489.3967</v>
      </c>
      <c r="S31">
        <v>0</v>
      </c>
      <c r="T31" t="s">
        <v>6243</v>
      </c>
    </row>
    <row r="32" spans="1:40" x14ac:dyDescent="0.25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47927045527.348396</v>
      </c>
      <c r="J32" t="s">
        <v>4701</v>
      </c>
      <c r="K32">
        <v>965822175.70975006</v>
      </c>
      <c r="L32">
        <v>1</v>
      </c>
      <c r="M32" t="s">
        <v>4734</v>
      </c>
      <c r="N32">
        <v>5.7743899999999999E-3</v>
      </c>
      <c r="O32">
        <v>13950</v>
      </c>
      <c r="P32">
        <v>10765</v>
      </c>
      <c r="Q32">
        <v>80.552740499999999</v>
      </c>
      <c r="R32">
        <v>61714776492.068222</v>
      </c>
      <c r="S32">
        <v>0</v>
      </c>
      <c r="T32" t="s">
        <v>6244</v>
      </c>
    </row>
    <row r="33" spans="1:40" x14ac:dyDescent="0.25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46455610462.400002</v>
      </c>
      <c r="J33" t="s">
        <v>4702</v>
      </c>
      <c r="K33">
        <v>118323784.90302999</v>
      </c>
      <c r="L33">
        <v>1</v>
      </c>
      <c r="M33" t="s">
        <v>4735</v>
      </c>
      <c r="N33">
        <v>1</v>
      </c>
      <c r="O33">
        <v>1345.2</v>
      </c>
      <c r="P33">
        <v>1474.4</v>
      </c>
      <c r="Q33">
        <v>1345.2</v>
      </c>
      <c r="R33">
        <v>42384757999.199997</v>
      </c>
      <c r="S33">
        <v>0</v>
      </c>
      <c r="T33" t="s">
        <v>6242</v>
      </c>
      <c r="AJ33" t="s">
        <v>6258</v>
      </c>
      <c r="AN33" t="s">
        <v>6262</v>
      </c>
    </row>
    <row r="34" spans="1:40" x14ac:dyDescent="0.25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64.849999999999994</v>
      </c>
      <c r="H34" t="s">
        <v>98</v>
      </c>
      <c r="I34">
        <v>3083625217.1500001</v>
      </c>
      <c r="J34" t="s">
        <v>4702</v>
      </c>
      <c r="K34">
        <v>5696372.3583333297</v>
      </c>
      <c r="L34">
        <v>1</v>
      </c>
      <c r="M34" t="s">
        <v>4736</v>
      </c>
      <c r="N34">
        <v>1</v>
      </c>
      <c r="O34">
        <v>62.9</v>
      </c>
      <c r="P34">
        <v>64.849999999999994</v>
      </c>
      <c r="Q34">
        <v>62.9</v>
      </c>
      <c r="R34">
        <v>2990902485.0999999</v>
      </c>
      <c r="S34">
        <v>0</v>
      </c>
      <c r="T34" t="s">
        <v>6242</v>
      </c>
      <c r="W34" t="s">
        <v>6247</v>
      </c>
    </row>
    <row r="35" spans="1:40" x14ac:dyDescent="0.25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6.8559999999999999</v>
      </c>
      <c r="H35" t="s">
        <v>98</v>
      </c>
      <c r="I35">
        <v>11331579193.792</v>
      </c>
      <c r="J35" t="s">
        <v>4702</v>
      </c>
      <c r="K35">
        <v>31614344.567136399</v>
      </c>
      <c r="L35">
        <v>0.75</v>
      </c>
      <c r="M35" t="s">
        <v>4737</v>
      </c>
      <c r="N35">
        <v>1</v>
      </c>
      <c r="O35">
        <v>6.64</v>
      </c>
      <c r="P35">
        <v>6.8559999999999999</v>
      </c>
      <c r="Q35">
        <v>6.64</v>
      </c>
      <c r="R35">
        <v>8230931211.3599997</v>
      </c>
      <c r="S35">
        <v>0</v>
      </c>
      <c r="T35" t="s">
        <v>6242</v>
      </c>
      <c r="AJ35" t="s">
        <v>6258</v>
      </c>
    </row>
    <row r="36" spans="1:40" x14ac:dyDescent="0.25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42470145.183750004</v>
      </c>
      <c r="L36">
        <v>0.5</v>
      </c>
      <c r="M36" t="s">
        <v>4738</v>
      </c>
      <c r="N36">
        <v>1</v>
      </c>
      <c r="O36">
        <v>24.87</v>
      </c>
      <c r="P36">
        <v>25.5</v>
      </c>
      <c r="Q36">
        <v>24.87</v>
      </c>
      <c r="R36">
        <v>18652500000</v>
      </c>
      <c r="S36">
        <v>0</v>
      </c>
      <c r="T36" t="s">
        <v>6242</v>
      </c>
    </row>
    <row r="37" spans="1:40" x14ac:dyDescent="0.25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32.408459999999998</v>
      </c>
      <c r="H37" t="s">
        <v>99</v>
      </c>
      <c r="I37">
        <v>30069962751.779999</v>
      </c>
      <c r="J37" t="s">
        <v>4701</v>
      </c>
      <c r="K37">
        <v>79343605.646052197</v>
      </c>
      <c r="L37">
        <v>1</v>
      </c>
      <c r="M37" t="s">
        <v>4739</v>
      </c>
      <c r="N37">
        <v>5.7743899999999999E-3</v>
      </c>
      <c r="O37">
        <v>1806.5</v>
      </c>
      <c r="P37">
        <v>5577</v>
      </c>
      <c r="Q37">
        <v>10.431435535</v>
      </c>
      <c r="R37">
        <v>9678734441.1010056</v>
      </c>
      <c r="S37">
        <v>0</v>
      </c>
      <c r="T37" t="s">
        <v>6244</v>
      </c>
    </row>
    <row r="38" spans="1:40" x14ac:dyDescent="0.25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101.92870000000001</v>
      </c>
      <c r="H38" t="s">
        <v>97</v>
      </c>
      <c r="I38">
        <v>17997199924.271999</v>
      </c>
      <c r="J38" t="s">
        <v>4700</v>
      </c>
      <c r="K38">
        <v>128160522.888156</v>
      </c>
      <c r="L38">
        <v>1</v>
      </c>
      <c r="M38" t="s">
        <v>4740</v>
      </c>
      <c r="N38">
        <v>0.85273301000000001</v>
      </c>
      <c r="O38">
        <v>122.27</v>
      </c>
      <c r="P38">
        <v>119.44</v>
      </c>
      <c r="Q38">
        <v>104.2636651327</v>
      </c>
      <c r="R38">
        <v>18409476685.472778</v>
      </c>
      <c r="S38">
        <v>0</v>
      </c>
      <c r="T38" t="s">
        <v>6243</v>
      </c>
      <c r="AJ38" t="s">
        <v>6258</v>
      </c>
    </row>
    <row r="39" spans="1:40" x14ac:dyDescent="0.25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67.835809999999995</v>
      </c>
      <c r="H39" t="s">
        <v>97</v>
      </c>
      <c r="I39">
        <v>19117869211.452202</v>
      </c>
      <c r="J39" t="s">
        <v>4700</v>
      </c>
      <c r="K39">
        <v>313306580.96384001</v>
      </c>
      <c r="L39">
        <v>1</v>
      </c>
      <c r="M39" t="s">
        <v>4741</v>
      </c>
      <c r="N39">
        <v>0.85273301000000001</v>
      </c>
      <c r="O39">
        <v>83.08</v>
      </c>
      <c r="P39">
        <v>79.489999999999995</v>
      </c>
      <c r="Q39">
        <v>70.845058470799998</v>
      </c>
      <c r="R39">
        <v>19965952527.46946</v>
      </c>
      <c r="S39">
        <v>0</v>
      </c>
      <c r="T39" t="s">
        <v>6243</v>
      </c>
      <c r="AJ39" t="s">
        <v>6258</v>
      </c>
    </row>
    <row r="40" spans="1:40" x14ac:dyDescent="0.25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92.558459999999997</v>
      </c>
      <c r="H40" t="s">
        <v>97</v>
      </c>
      <c r="I40">
        <v>49503179999.489998</v>
      </c>
      <c r="J40" t="s">
        <v>4700</v>
      </c>
      <c r="K40">
        <v>218360578.673895</v>
      </c>
      <c r="L40">
        <v>0.9</v>
      </c>
      <c r="M40" t="s">
        <v>4742</v>
      </c>
      <c r="N40">
        <v>0.85273301000000001</v>
      </c>
      <c r="O40">
        <v>109.13</v>
      </c>
      <c r="P40">
        <v>108.46</v>
      </c>
      <c r="Q40">
        <v>93.058753381299994</v>
      </c>
      <c r="R40">
        <v>44793677393.145683</v>
      </c>
      <c r="S40">
        <v>0</v>
      </c>
      <c r="T40" t="s">
        <v>6243</v>
      </c>
      <c r="AJ40" t="s">
        <v>6258</v>
      </c>
    </row>
    <row r="41" spans="1:40" x14ac:dyDescent="0.25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59.2</v>
      </c>
      <c r="P41">
        <v>62.5</v>
      </c>
      <c r="Q41">
        <v>59.2</v>
      </c>
      <c r="R41">
        <v>9421717224.960001</v>
      </c>
      <c r="S41">
        <v>0</v>
      </c>
      <c r="T41" t="s">
        <v>6242</v>
      </c>
      <c r="AJ41" t="s">
        <v>6258</v>
      </c>
      <c r="AN41" t="s">
        <v>6262</v>
      </c>
    </row>
    <row r="42" spans="1:40" x14ac:dyDescent="0.25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29485237218.647999</v>
      </c>
      <c r="J42" t="s">
        <v>4700</v>
      </c>
      <c r="K42">
        <v>179717054.30937901</v>
      </c>
      <c r="L42">
        <v>1</v>
      </c>
      <c r="M42" t="s">
        <v>4744</v>
      </c>
      <c r="N42">
        <v>0.85273301000000001</v>
      </c>
      <c r="O42">
        <v>123.24</v>
      </c>
      <c r="P42">
        <v>121.63</v>
      </c>
      <c r="Q42">
        <v>105.0908161524</v>
      </c>
      <c r="R42">
        <v>29852594315.811138</v>
      </c>
      <c r="S42">
        <v>0</v>
      </c>
      <c r="T42" t="s">
        <v>6243</v>
      </c>
    </row>
    <row r="43" spans="1:40" x14ac:dyDescent="0.25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17420997.836507399</v>
      </c>
      <c r="L43">
        <v>1</v>
      </c>
      <c r="M43" t="s">
        <v>4745</v>
      </c>
      <c r="N43">
        <v>0.56652409000000004</v>
      </c>
      <c r="O43">
        <v>8.4700000000000006</v>
      </c>
      <c r="P43">
        <v>8.57</v>
      </c>
      <c r="Q43">
        <v>4.7984590423000011</v>
      </c>
      <c r="R43">
        <v>3228150124.9449601</v>
      </c>
      <c r="S43">
        <v>0</v>
      </c>
      <c r="T43" t="s">
        <v>6244</v>
      </c>
      <c r="U43" t="s">
        <v>6245</v>
      </c>
      <c r="AG43" t="s">
        <v>6255</v>
      </c>
      <c r="AH43" t="s">
        <v>6256</v>
      </c>
      <c r="AI43" t="s">
        <v>6257</v>
      </c>
      <c r="AJ43" t="s">
        <v>6258</v>
      </c>
    </row>
    <row r="44" spans="1:40" x14ac:dyDescent="0.25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58823040237.248001</v>
      </c>
      <c r="J44" t="s">
        <v>4700</v>
      </c>
      <c r="K44">
        <v>96630447.2524876</v>
      </c>
      <c r="L44">
        <v>1</v>
      </c>
      <c r="M44" t="s">
        <v>4746</v>
      </c>
      <c r="N44">
        <v>0.61572563000000002</v>
      </c>
      <c r="O44">
        <v>212.24</v>
      </c>
      <c r="P44">
        <v>189.83</v>
      </c>
      <c r="Q44">
        <v>130.6816077112</v>
      </c>
      <c r="R44">
        <v>65646857567.227478</v>
      </c>
      <c r="S44">
        <v>0</v>
      </c>
      <c r="T44" t="s">
        <v>6243</v>
      </c>
      <c r="AJ44" t="s">
        <v>6258</v>
      </c>
      <c r="AN44" t="s">
        <v>6262</v>
      </c>
    </row>
    <row r="45" spans="1:40" x14ac:dyDescent="0.25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35.049999999999997</v>
      </c>
      <c r="H45" t="s">
        <v>98</v>
      </c>
      <c r="I45">
        <v>31819498351.099998</v>
      </c>
      <c r="J45" t="s">
        <v>4702</v>
      </c>
      <c r="K45">
        <v>63402363.259545498</v>
      </c>
      <c r="L45">
        <v>1</v>
      </c>
      <c r="M45" t="s">
        <v>4747</v>
      </c>
      <c r="N45">
        <v>1</v>
      </c>
      <c r="O45">
        <v>34.32</v>
      </c>
      <c r="P45">
        <v>35.049999999999997</v>
      </c>
      <c r="Q45">
        <v>34.32</v>
      </c>
      <c r="R45">
        <v>31156781267.040001</v>
      </c>
      <c r="S45">
        <v>0</v>
      </c>
      <c r="T45" t="s">
        <v>6242</v>
      </c>
    </row>
    <row r="46" spans="1:40" x14ac:dyDescent="0.25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7.9563480000000002</v>
      </c>
      <c r="H46" t="s">
        <v>4692</v>
      </c>
      <c r="I46">
        <v>83576932447.031998</v>
      </c>
      <c r="J46" t="s">
        <v>4701</v>
      </c>
      <c r="K46">
        <v>263135583.285786</v>
      </c>
      <c r="L46">
        <v>1</v>
      </c>
      <c r="M46" t="s">
        <v>4748</v>
      </c>
      <c r="N46">
        <v>0.10956983000000001</v>
      </c>
      <c r="O46">
        <v>75.8</v>
      </c>
      <c r="P46">
        <v>72.849999999999994</v>
      </c>
      <c r="Q46">
        <v>8.3053931139999992</v>
      </c>
      <c r="R46">
        <v>87243453810.067474</v>
      </c>
      <c r="S46">
        <v>0</v>
      </c>
      <c r="T46" t="s">
        <v>6244</v>
      </c>
      <c r="U46" t="s">
        <v>6245</v>
      </c>
      <c r="AN46" t="s">
        <v>6262</v>
      </c>
    </row>
    <row r="47" spans="1:40" x14ac:dyDescent="0.25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28902960.638218202</v>
      </c>
      <c r="L47">
        <v>1</v>
      </c>
      <c r="M47" t="s">
        <v>4749</v>
      </c>
      <c r="N47">
        <v>1</v>
      </c>
      <c r="O47">
        <v>7.53</v>
      </c>
      <c r="P47">
        <v>7.18</v>
      </c>
      <c r="Q47">
        <v>7.53</v>
      </c>
      <c r="R47">
        <v>16089853386.540001</v>
      </c>
      <c r="S47">
        <v>0</v>
      </c>
      <c r="T47" t="s">
        <v>6242</v>
      </c>
    </row>
    <row r="48" spans="1:40" x14ac:dyDescent="0.25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3923154144.1700001</v>
      </c>
      <c r="J48" t="s">
        <v>4703</v>
      </c>
      <c r="K48">
        <v>16153207.1943409</v>
      </c>
      <c r="L48">
        <v>0.55000000000000004</v>
      </c>
      <c r="M48" t="s">
        <v>4750</v>
      </c>
      <c r="N48">
        <v>1</v>
      </c>
      <c r="O48">
        <v>12.97</v>
      </c>
      <c r="P48">
        <v>14.93</v>
      </c>
      <c r="Q48">
        <v>12.97</v>
      </c>
      <c r="R48">
        <v>1874468860.5114999</v>
      </c>
      <c r="S48">
        <v>1</v>
      </c>
      <c r="T48" t="s">
        <v>6242</v>
      </c>
    </row>
    <row r="49" spans="1:40" x14ac:dyDescent="0.25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107439269.27802999</v>
      </c>
      <c r="L49">
        <v>1</v>
      </c>
      <c r="M49" t="s">
        <v>4751</v>
      </c>
      <c r="N49">
        <v>1</v>
      </c>
      <c r="O49">
        <v>177.24</v>
      </c>
      <c r="P49">
        <v>183.12</v>
      </c>
      <c r="Q49">
        <v>177.24</v>
      </c>
      <c r="R49">
        <v>102529708175.16</v>
      </c>
      <c r="S49">
        <v>1</v>
      </c>
      <c r="T49" t="s">
        <v>6242</v>
      </c>
      <c r="AN49" t="s">
        <v>6262</v>
      </c>
    </row>
    <row r="50" spans="1:40" x14ac:dyDescent="0.25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255.41900000000001</v>
      </c>
      <c r="H50" t="s">
        <v>97</v>
      </c>
      <c r="I50">
        <v>56844425620.970001</v>
      </c>
      <c r="J50" t="s">
        <v>4700</v>
      </c>
      <c r="K50">
        <v>269042170.35786903</v>
      </c>
      <c r="L50">
        <v>1</v>
      </c>
      <c r="M50" t="s">
        <v>4752</v>
      </c>
      <c r="N50">
        <v>0.85273301000000001</v>
      </c>
      <c r="O50">
        <v>292.82</v>
      </c>
      <c r="P50">
        <v>299.3</v>
      </c>
      <c r="Q50">
        <v>249.69727998819999</v>
      </c>
      <c r="R50">
        <v>55571036062.500267</v>
      </c>
      <c r="S50">
        <v>0</v>
      </c>
      <c r="T50" t="s">
        <v>6243</v>
      </c>
      <c r="AJ50" t="s">
        <v>6258</v>
      </c>
    </row>
    <row r="51" spans="1:40" x14ac:dyDescent="0.25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14.693350000000001</v>
      </c>
      <c r="H51" t="s">
        <v>99</v>
      </c>
      <c r="I51">
        <v>3375871363.9175</v>
      </c>
      <c r="J51" t="s">
        <v>4701</v>
      </c>
      <c r="K51">
        <v>7631510.6144628301</v>
      </c>
      <c r="L51">
        <v>1</v>
      </c>
      <c r="M51" t="s">
        <v>4753</v>
      </c>
      <c r="N51">
        <v>5.7743899999999999E-3</v>
      </c>
      <c r="O51">
        <v>2610</v>
      </c>
      <c r="P51">
        <v>2528.5</v>
      </c>
      <c r="Q51">
        <v>15.071157899999999</v>
      </c>
      <c r="R51">
        <v>3462674636.872395</v>
      </c>
      <c r="S51">
        <v>0</v>
      </c>
      <c r="T51" t="s">
        <v>6244</v>
      </c>
      <c r="W51" t="s">
        <v>6247</v>
      </c>
      <c r="AJ51" t="s">
        <v>6258</v>
      </c>
      <c r="AN51" t="s">
        <v>6262</v>
      </c>
    </row>
    <row r="52" spans="1:40" x14ac:dyDescent="0.25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110.87220000000001</v>
      </c>
      <c r="H52" t="s">
        <v>97</v>
      </c>
      <c r="I52">
        <v>47572994792.232002</v>
      </c>
      <c r="J52" t="s">
        <v>4700</v>
      </c>
      <c r="K52">
        <v>546795164.92454398</v>
      </c>
      <c r="L52">
        <v>1</v>
      </c>
      <c r="M52" t="s">
        <v>4754</v>
      </c>
      <c r="N52">
        <v>0.85273301000000001</v>
      </c>
      <c r="O52">
        <v>122.55</v>
      </c>
      <c r="P52">
        <v>129.91999999999999</v>
      </c>
      <c r="Q52">
        <v>104.5024303755</v>
      </c>
      <c r="R52">
        <v>44839856844.450172</v>
      </c>
      <c r="S52">
        <v>0</v>
      </c>
      <c r="T52" t="s">
        <v>6243</v>
      </c>
    </row>
    <row r="53" spans="1:40" x14ac:dyDescent="0.25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143181507191.76001</v>
      </c>
      <c r="J53" t="s">
        <v>4702</v>
      </c>
      <c r="K53">
        <v>173111814.27954599</v>
      </c>
      <c r="L53">
        <v>0.75</v>
      </c>
      <c r="M53" t="s">
        <v>4755</v>
      </c>
      <c r="N53">
        <v>1</v>
      </c>
      <c r="O53">
        <v>193.22</v>
      </c>
      <c r="P53">
        <v>180.72</v>
      </c>
      <c r="Q53">
        <v>193.22</v>
      </c>
      <c r="R53">
        <v>114813789921.94501</v>
      </c>
      <c r="S53">
        <v>1</v>
      </c>
      <c r="T53" t="s">
        <v>6242</v>
      </c>
      <c r="AA53" t="s">
        <v>6249</v>
      </c>
      <c r="AM53" t="s">
        <v>6261</v>
      </c>
    </row>
    <row r="54" spans="1:40" x14ac:dyDescent="0.25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10416001487.070999</v>
      </c>
      <c r="J54" t="s">
        <v>4701</v>
      </c>
      <c r="K54">
        <v>29119457.343099602</v>
      </c>
      <c r="L54">
        <v>0.8</v>
      </c>
      <c r="M54" t="s">
        <v>4756</v>
      </c>
      <c r="N54">
        <v>5.7743899999999999E-3</v>
      </c>
      <c r="O54">
        <v>2559</v>
      </c>
      <c r="P54">
        <v>2361.5</v>
      </c>
      <c r="Q54">
        <v>14.776664009999999</v>
      </c>
      <c r="R54">
        <v>8972672916.6878719</v>
      </c>
      <c r="S54">
        <v>0</v>
      </c>
      <c r="T54" t="s">
        <v>6244</v>
      </c>
    </row>
    <row r="55" spans="1:40" x14ac:dyDescent="0.25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23.500060000000001</v>
      </c>
      <c r="H55" t="s">
        <v>99</v>
      </c>
      <c r="I55">
        <v>23632544643.257801</v>
      </c>
      <c r="J55" t="s">
        <v>4701</v>
      </c>
      <c r="K55">
        <v>54147630.977162398</v>
      </c>
      <c r="L55">
        <v>0.95</v>
      </c>
      <c r="M55" t="s">
        <v>4757</v>
      </c>
      <c r="N55">
        <v>5.7743899999999999E-3</v>
      </c>
      <c r="O55">
        <v>4262</v>
      </c>
      <c r="P55">
        <v>4044</v>
      </c>
      <c r="Q55">
        <v>24.610450180000001</v>
      </c>
      <c r="R55">
        <v>23511735052.63586</v>
      </c>
      <c r="S55">
        <v>0</v>
      </c>
      <c r="T55" t="s">
        <v>6244</v>
      </c>
    </row>
    <row r="56" spans="1:40" x14ac:dyDescent="0.25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21.545249999999999</v>
      </c>
      <c r="H56" t="s">
        <v>4695</v>
      </c>
      <c r="I56">
        <v>13617076520.002501</v>
      </c>
      <c r="J56" t="s">
        <v>4699</v>
      </c>
      <c r="K56">
        <v>24108456.4219358</v>
      </c>
      <c r="L56">
        <v>0.5</v>
      </c>
      <c r="M56" t="s">
        <v>4758</v>
      </c>
      <c r="N56">
        <v>8.6344599999999994E-2</v>
      </c>
      <c r="O56">
        <v>244.2</v>
      </c>
      <c r="P56">
        <v>253.9</v>
      </c>
      <c r="Q56">
        <v>21.085351320000001</v>
      </c>
      <c r="R56">
        <v>6663205169.9464073</v>
      </c>
      <c r="S56">
        <v>0</v>
      </c>
      <c r="T56" t="s">
        <v>6242</v>
      </c>
      <c r="U56" t="s">
        <v>6245</v>
      </c>
      <c r="AH56" t="s">
        <v>6256</v>
      </c>
      <c r="AJ56" t="s">
        <v>6258</v>
      </c>
    </row>
    <row r="57" spans="1:40" x14ac:dyDescent="0.25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24347633.944545399</v>
      </c>
      <c r="L57">
        <v>1</v>
      </c>
      <c r="M57" t="s">
        <v>4759</v>
      </c>
      <c r="N57">
        <v>1</v>
      </c>
      <c r="O57">
        <v>61.2</v>
      </c>
      <c r="P57">
        <v>60.92</v>
      </c>
      <c r="Q57">
        <v>61.2</v>
      </c>
      <c r="R57">
        <v>10467750510</v>
      </c>
      <c r="S57">
        <v>0</v>
      </c>
      <c r="T57" t="s">
        <v>6242</v>
      </c>
      <c r="AM57" t="s">
        <v>6261</v>
      </c>
    </row>
    <row r="58" spans="1:40" x14ac:dyDescent="0.25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70.055440000000004</v>
      </c>
      <c r="H58" t="s">
        <v>4694</v>
      </c>
      <c r="I58">
        <v>35006703368</v>
      </c>
      <c r="J58" t="s">
        <v>4699</v>
      </c>
      <c r="K58">
        <v>79844851.203822702</v>
      </c>
      <c r="L58">
        <v>1</v>
      </c>
      <c r="M58" t="s">
        <v>4760</v>
      </c>
      <c r="N58">
        <v>1.07032003</v>
      </c>
      <c r="O58">
        <v>62.66</v>
      </c>
      <c r="P58">
        <v>65.8</v>
      </c>
      <c r="Q58">
        <v>67.066253079799992</v>
      </c>
      <c r="R58">
        <v>33513006663.976059</v>
      </c>
      <c r="S58">
        <v>0</v>
      </c>
      <c r="T58" t="s">
        <v>6242</v>
      </c>
      <c r="U58" t="s">
        <v>6245</v>
      </c>
      <c r="AJ58" t="s">
        <v>6258</v>
      </c>
    </row>
    <row r="59" spans="1:40" x14ac:dyDescent="0.25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39.935450000000003</v>
      </c>
      <c r="H59" t="s">
        <v>4693</v>
      </c>
      <c r="I59">
        <v>16506372586.044001</v>
      </c>
      <c r="J59" t="s">
        <v>4699</v>
      </c>
      <c r="K59">
        <v>18538605.664594699</v>
      </c>
      <c r="L59">
        <v>0.7</v>
      </c>
      <c r="M59" t="s">
        <v>4761</v>
      </c>
      <c r="N59">
        <v>9.1395149999999994E-2</v>
      </c>
      <c r="O59">
        <v>439.2</v>
      </c>
      <c r="P59">
        <v>444.9</v>
      </c>
      <c r="Q59">
        <v>40.140749879999987</v>
      </c>
      <c r="R59">
        <v>11613859900.95859</v>
      </c>
      <c r="S59">
        <v>0</v>
      </c>
      <c r="T59" t="s">
        <v>6242</v>
      </c>
      <c r="U59" t="s">
        <v>6245</v>
      </c>
      <c r="AG59" t="s">
        <v>6255</v>
      </c>
      <c r="AN59" t="s">
        <v>6262</v>
      </c>
    </row>
    <row r="60" spans="1:40" x14ac:dyDescent="0.25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13.042999999999999</v>
      </c>
      <c r="H60" t="s">
        <v>99</v>
      </c>
      <c r="I60">
        <v>2495125900</v>
      </c>
      <c r="J60" t="s">
        <v>4701</v>
      </c>
      <c r="K60">
        <v>4884899.3422554499</v>
      </c>
      <c r="L60">
        <v>0.9</v>
      </c>
      <c r="M60" t="s">
        <v>4762</v>
      </c>
      <c r="N60">
        <v>5.7743899999999999E-3</v>
      </c>
      <c r="O60">
        <v>2288</v>
      </c>
      <c r="P60">
        <v>2244.5</v>
      </c>
      <c r="Q60">
        <v>13.211804320000001</v>
      </c>
      <c r="R60">
        <v>2274676349.7744002</v>
      </c>
      <c r="S60">
        <v>0</v>
      </c>
      <c r="T60" t="s">
        <v>6244</v>
      </c>
      <c r="W60" t="s">
        <v>6247</v>
      </c>
      <c r="AJ60" t="s">
        <v>6258</v>
      </c>
    </row>
    <row r="61" spans="1:40" x14ac:dyDescent="0.25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42.994790000000002</v>
      </c>
      <c r="H61" t="s">
        <v>100</v>
      </c>
      <c r="I61">
        <v>40761829784.476013</v>
      </c>
      <c r="J61" t="s">
        <v>4700</v>
      </c>
      <c r="K61">
        <v>68237135.559012607</v>
      </c>
      <c r="L61">
        <v>0.8</v>
      </c>
      <c r="M61" t="s">
        <v>4763</v>
      </c>
      <c r="N61">
        <v>0.61572563000000002</v>
      </c>
      <c r="O61">
        <v>73.64</v>
      </c>
      <c r="P61">
        <v>69.7</v>
      </c>
      <c r="Q61">
        <v>45.3420353932</v>
      </c>
      <c r="R61">
        <v>34389735663.866341</v>
      </c>
      <c r="S61">
        <v>0</v>
      </c>
      <c r="T61" t="s">
        <v>6243</v>
      </c>
      <c r="AH61" t="s">
        <v>6256</v>
      </c>
      <c r="AJ61" t="s">
        <v>6258</v>
      </c>
    </row>
    <row r="62" spans="1:40" x14ac:dyDescent="0.25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27.998159999999999</v>
      </c>
      <c r="H62" t="s">
        <v>4696</v>
      </c>
      <c r="I62">
        <v>5671508876.3519993</v>
      </c>
      <c r="J62" t="s">
        <v>4699</v>
      </c>
      <c r="K62">
        <v>4255037.4642865397</v>
      </c>
      <c r="L62">
        <v>0.6</v>
      </c>
      <c r="M62" t="s">
        <v>4764</v>
      </c>
      <c r="N62">
        <v>0.13397104000000001</v>
      </c>
      <c r="O62">
        <v>206.2</v>
      </c>
      <c r="P62">
        <v>209</v>
      </c>
      <c r="Q62">
        <v>27.624828447999999</v>
      </c>
      <c r="R62">
        <v>3357530489.5150232</v>
      </c>
      <c r="S62">
        <v>0</v>
      </c>
      <c r="T62" t="s">
        <v>6242</v>
      </c>
      <c r="U62" t="s">
        <v>6245</v>
      </c>
      <c r="W62" t="s">
        <v>6247</v>
      </c>
    </row>
    <row r="63" spans="1:40" x14ac:dyDescent="0.25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3837128594.6399999</v>
      </c>
      <c r="J63" t="s">
        <v>4703</v>
      </c>
      <c r="K63">
        <v>5986083.5931818197</v>
      </c>
      <c r="L63">
        <v>0.60000000000000009</v>
      </c>
      <c r="M63" t="s">
        <v>4765</v>
      </c>
      <c r="N63">
        <v>1</v>
      </c>
      <c r="O63">
        <v>5.79</v>
      </c>
      <c r="P63">
        <v>6.28</v>
      </c>
      <c r="Q63">
        <v>5.79</v>
      </c>
      <c r="R63">
        <v>2122640881.812</v>
      </c>
      <c r="S63">
        <v>0</v>
      </c>
      <c r="T63" t="s">
        <v>6242</v>
      </c>
      <c r="W63" t="s">
        <v>6247</v>
      </c>
    </row>
    <row r="64" spans="1:40" x14ac:dyDescent="0.25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214163211.61212099</v>
      </c>
      <c r="L64">
        <v>1</v>
      </c>
      <c r="M64" t="s">
        <v>4766</v>
      </c>
      <c r="N64">
        <v>1</v>
      </c>
      <c r="O64">
        <v>354.5</v>
      </c>
      <c r="P64">
        <v>373</v>
      </c>
      <c r="Q64">
        <v>354.5</v>
      </c>
      <c r="R64">
        <v>136896095150</v>
      </c>
      <c r="S64">
        <v>0</v>
      </c>
      <c r="T64" t="s">
        <v>6242</v>
      </c>
      <c r="AJ64" t="s">
        <v>6258</v>
      </c>
    </row>
    <row r="65" spans="1:40" x14ac:dyDescent="0.25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193.34450000000001</v>
      </c>
      <c r="H65" t="s">
        <v>4694</v>
      </c>
      <c r="I65">
        <v>3208130679.8344998</v>
      </c>
      <c r="J65" t="s">
        <v>4699</v>
      </c>
      <c r="K65">
        <v>4488267.65297685</v>
      </c>
      <c r="L65">
        <v>0.95</v>
      </c>
      <c r="M65" t="s">
        <v>4767</v>
      </c>
      <c r="N65">
        <v>1.07032003</v>
      </c>
      <c r="O65">
        <v>185.6</v>
      </c>
      <c r="P65">
        <v>181.6</v>
      </c>
      <c r="Q65">
        <v>198.65139756799999</v>
      </c>
      <c r="R65">
        <v>3131377727.1833758</v>
      </c>
      <c r="S65">
        <v>0</v>
      </c>
      <c r="T65" t="s">
        <v>6242</v>
      </c>
      <c r="U65" t="s">
        <v>6245</v>
      </c>
      <c r="W65" t="s">
        <v>6247</v>
      </c>
    </row>
    <row r="66" spans="1:40" x14ac:dyDescent="0.25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175.38829999999999</v>
      </c>
      <c r="H66" t="s">
        <v>97</v>
      </c>
      <c r="I66">
        <v>46215753623.522003</v>
      </c>
      <c r="J66" t="s">
        <v>4700</v>
      </c>
      <c r="K66">
        <v>272873053.25215203</v>
      </c>
      <c r="L66">
        <v>1</v>
      </c>
      <c r="M66" t="s">
        <v>4768</v>
      </c>
      <c r="N66">
        <v>0.85273301000000001</v>
      </c>
      <c r="O66">
        <v>200.39</v>
      </c>
      <c r="P66">
        <v>205.52</v>
      </c>
      <c r="Q66">
        <v>170.8791678739</v>
      </c>
      <c r="R66">
        <v>45027573229.529099</v>
      </c>
      <c r="S66">
        <v>0</v>
      </c>
      <c r="T66" t="s">
        <v>6243</v>
      </c>
      <c r="AJ66" t="s">
        <v>6258</v>
      </c>
    </row>
    <row r="67" spans="1:40" x14ac:dyDescent="0.25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387.76240000000001</v>
      </c>
      <c r="H67" t="s">
        <v>97</v>
      </c>
      <c r="I67">
        <v>50827511507.223999</v>
      </c>
      <c r="J67" t="s">
        <v>4700</v>
      </c>
      <c r="K67">
        <v>327448250.40604502</v>
      </c>
      <c r="L67">
        <v>1</v>
      </c>
      <c r="M67" t="s">
        <v>4769</v>
      </c>
      <c r="N67">
        <v>0.85273301000000001</v>
      </c>
      <c r="O67">
        <v>465.89</v>
      </c>
      <c r="P67">
        <v>454.38</v>
      </c>
      <c r="Q67">
        <v>397.2797820289</v>
      </c>
      <c r="R67">
        <v>52075040521.364014</v>
      </c>
      <c r="S67">
        <v>0</v>
      </c>
      <c r="T67" t="s">
        <v>6243</v>
      </c>
    </row>
    <row r="68" spans="1:40" x14ac:dyDescent="0.25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175.87469999999999</v>
      </c>
      <c r="H68" t="s">
        <v>97</v>
      </c>
      <c r="I68">
        <v>1023063129900</v>
      </c>
      <c r="J68" t="s">
        <v>4700</v>
      </c>
      <c r="K68">
        <v>5903367807.6370802</v>
      </c>
      <c r="L68">
        <v>1</v>
      </c>
      <c r="M68" t="s">
        <v>4770</v>
      </c>
      <c r="N68">
        <v>0.85273301000000001</v>
      </c>
      <c r="O68">
        <v>240.8</v>
      </c>
      <c r="P68">
        <v>206.09</v>
      </c>
      <c r="Q68">
        <v>205.33810880799999</v>
      </c>
      <c r="R68">
        <v>1194451778936.136</v>
      </c>
      <c r="S68">
        <v>0</v>
      </c>
      <c r="T68" t="s">
        <v>6243</v>
      </c>
      <c r="AN68" t="s">
        <v>6262</v>
      </c>
    </row>
    <row r="69" spans="1:40" x14ac:dyDescent="0.25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5328553298.9594994</v>
      </c>
      <c r="J69" t="s">
        <v>4701</v>
      </c>
      <c r="K69">
        <v>11053266.1270808</v>
      </c>
      <c r="L69">
        <v>1</v>
      </c>
      <c r="M69" t="s">
        <v>4771</v>
      </c>
      <c r="N69">
        <v>0.56652409000000004</v>
      </c>
      <c r="O69">
        <v>19.170000000000002</v>
      </c>
      <c r="P69">
        <v>18.96</v>
      </c>
      <c r="Q69">
        <v>10.8602668053</v>
      </c>
      <c r="R69">
        <v>5508323522.5547791</v>
      </c>
      <c r="S69">
        <v>0</v>
      </c>
      <c r="T69" t="s">
        <v>6244</v>
      </c>
      <c r="U69" t="s">
        <v>6245</v>
      </c>
      <c r="AG69" t="s">
        <v>6255</v>
      </c>
    </row>
    <row r="70" spans="1:40" x14ac:dyDescent="0.25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6.6478900000000003</v>
      </c>
      <c r="H70" t="s">
        <v>99</v>
      </c>
      <c r="I70">
        <v>3391754807.5780001</v>
      </c>
      <c r="J70" t="s">
        <v>4701</v>
      </c>
      <c r="K70">
        <v>8394435.0798432995</v>
      </c>
      <c r="L70">
        <v>0.8</v>
      </c>
      <c r="M70" t="s">
        <v>4772</v>
      </c>
      <c r="N70">
        <v>5.7743899999999999E-3</v>
      </c>
      <c r="O70">
        <v>1178.5</v>
      </c>
      <c r="P70">
        <v>1144</v>
      </c>
      <c r="Q70">
        <v>6.8051186149999996</v>
      </c>
      <c r="R70">
        <v>2777578302.7173791</v>
      </c>
      <c r="S70">
        <v>0</v>
      </c>
      <c r="T70" t="s">
        <v>6244</v>
      </c>
      <c r="W70" t="s">
        <v>6247</v>
      </c>
    </row>
    <row r="71" spans="1:40" x14ac:dyDescent="0.25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20.94</v>
      </c>
      <c r="P71">
        <v>21.89</v>
      </c>
      <c r="Q71">
        <v>20.94</v>
      </c>
      <c r="R71">
        <v>7256180616.0300007</v>
      </c>
      <c r="S71">
        <v>1</v>
      </c>
      <c r="T71" t="s">
        <v>6242</v>
      </c>
    </row>
    <row r="72" spans="1:40" x14ac:dyDescent="0.25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57.748759999999997</v>
      </c>
      <c r="H72" t="s">
        <v>97</v>
      </c>
      <c r="I72">
        <v>97011622185.159988</v>
      </c>
      <c r="J72" t="s">
        <v>4700</v>
      </c>
      <c r="K72">
        <v>455288859.80276603</v>
      </c>
      <c r="L72">
        <v>1</v>
      </c>
      <c r="M72" t="s">
        <v>4774</v>
      </c>
      <c r="N72">
        <v>0.85273301000000001</v>
      </c>
      <c r="O72">
        <v>66.650000000000006</v>
      </c>
      <c r="P72">
        <v>67.67</v>
      </c>
      <c r="Q72">
        <v>56.834655116500002</v>
      </c>
      <c r="R72">
        <v>95476025618.312302</v>
      </c>
      <c r="S72">
        <v>0</v>
      </c>
      <c r="T72" t="s">
        <v>6243</v>
      </c>
      <c r="AK72" t="s">
        <v>6259</v>
      </c>
    </row>
    <row r="73" spans="1:40" x14ac:dyDescent="0.25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3415516286.9099998</v>
      </c>
      <c r="J73" t="s">
        <v>4701</v>
      </c>
      <c r="K73">
        <v>13701344.360585799</v>
      </c>
      <c r="L73">
        <v>1</v>
      </c>
      <c r="M73" t="s">
        <v>4775</v>
      </c>
      <c r="N73">
        <v>5.7743899999999999E-3</v>
      </c>
      <c r="O73">
        <v>1882</v>
      </c>
      <c r="P73">
        <v>1791</v>
      </c>
      <c r="Q73">
        <v>10.86740198</v>
      </c>
      <c r="R73">
        <v>3566387909.9825401</v>
      </c>
      <c r="S73">
        <v>0</v>
      </c>
      <c r="T73" t="s">
        <v>6244</v>
      </c>
      <c r="AN73" t="s">
        <v>6262</v>
      </c>
    </row>
    <row r="74" spans="1:40" x14ac:dyDescent="0.25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43277191.634242401</v>
      </c>
      <c r="L74">
        <v>1</v>
      </c>
      <c r="M74" t="s">
        <v>4776</v>
      </c>
      <c r="N74">
        <v>1</v>
      </c>
      <c r="O74">
        <v>68</v>
      </c>
      <c r="P74">
        <v>72.5</v>
      </c>
      <c r="Q74">
        <v>68</v>
      </c>
      <c r="R74">
        <v>30633945600</v>
      </c>
      <c r="S74">
        <v>0</v>
      </c>
      <c r="T74" t="s">
        <v>6242</v>
      </c>
    </row>
    <row r="75" spans="1:40" x14ac:dyDescent="0.25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2082743199041.6001</v>
      </c>
      <c r="J75" t="s">
        <v>4700</v>
      </c>
      <c r="K75">
        <v>7991296283.0697298</v>
      </c>
      <c r="L75">
        <v>0.9</v>
      </c>
      <c r="M75" t="s">
        <v>4777</v>
      </c>
      <c r="N75">
        <v>0.85273301000000001</v>
      </c>
      <c r="O75">
        <v>228.15</v>
      </c>
      <c r="P75">
        <v>228.84</v>
      </c>
      <c r="Q75">
        <v>194.55103623150001</v>
      </c>
      <c r="R75">
        <v>1867382712825.9829</v>
      </c>
      <c r="S75">
        <v>0</v>
      </c>
      <c r="T75" t="s">
        <v>6243</v>
      </c>
      <c r="AJ75" t="s">
        <v>6258</v>
      </c>
    </row>
    <row r="76" spans="1:40" x14ac:dyDescent="0.25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7.4330090000000002</v>
      </c>
      <c r="H76" t="s">
        <v>97</v>
      </c>
      <c r="I76">
        <v>17135760884.9391</v>
      </c>
      <c r="J76" t="s">
        <v>4700</v>
      </c>
      <c r="K76">
        <v>208311578.17550501</v>
      </c>
      <c r="L76">
        <v>1</v>
      </c>
      <c r="M76" t="s">
        <v>4778</v>
      </c>
      <c r="N76">
        <v>0.85273301000000001</v>
      </c>
      <c r="O76">
        <v>8.2799999999999994</v>
      </c>
      <c r="P76">
        <v>8.7100000000000009</v>
      </c>
      <c r="Q76">
        <v>7.0606293227999997</v>
      </c>
      <c r="R76">
        <v>16277291709.547279</v>
      </c>
      <c r="S76">
        <v>0</v>
      </c>
      <c r="T76" t="s">
        <v>6243</v>
      </c>
    </row>
    <row r="77" spans="1:40" x14ac:dyDescent="0.25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87.002899999999997</v>
      </c>
      <c r="H77" t="s">
        <v>97</v>
      </c>
      <c r="I77">
        <v>23526445488.709999</v>
      </c>
      <c r="J77" t="s">
        <v>4700</v>
      </c>
      <c r="K77">
        <v>133617040.98077901</v>
      </c>
      <c r="L77">
        <v>1</v>
      </c>
      <c r="M77" t="s">
        <v>4779</v>
      </c>
      <c r="N77">
        <v>0.85273301000000001</v>
      </c>
      <c r="O77">
        <v>100.79</v>
      </c>
      <c r="P77">
        <v>101.95</v>
      </c>
      <c r="Q77">
        <v>85.946960077900002</v>
      </c>
      <c r="R77">
        <v>23240908879.968929</v>
      </c>
      <c r="S77">
        <v>0</v>
      </c>
      <c r="T77" t="s">
        <v>6243</v>
      </c>
      <c r="AG77" t="s">
        <v>6255</v>
      </c>
      <c r="AH77" t="s">
        <v>6256</v>
      </c>
      <c r="AJ77" t="s">
        <v>6258</v>
      </c>
    </row>
    <row r="78" spans="1:40" x14ac:dyDescent="0.25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97.303290000000004</v>
      </c>
      <c r="H78" t="s">
        <v>97</v>
      </c>
      <c r="I78">
        <v>52037287676.694603</v>
      </c>
      <c r="J78" t="s">
        <v>4700</v>
      </c>
      <c r="K78">
        <v>274783191.65512598</v>
      </c>
      <c r="L78">
        <v>1</v>
      </c>
      <c r="M78" t="s">
        <v>4780</v>
      </c>
      <c r="N78">
        <v>0.85273301000000001</v>
      </c>
      <c r="O78">
        <v>109.46</v>
      </c>
      <c r="P78">
        <v>114.02</v>
      </c>
      <c r="Q78">
        <v>93.340155274599994</v>
      </c>
      <c r="R78">
        <v>49917824071.639343</v>
      </c>
      <c r="S78">
        <v>0</v>
      </c>
      <c r="T78" t="s">
        <v>6243</v>
      </c>
      <c r="AG78" t="s">
        <v>6255</v>
      </c>
      <c r="AH78" t="s">
        <v>6256</v>
      </c>
      <c r="AJ78" t="s">
        <v>6258</v>
      </c>
    </row>
    <row r="79" spans="1:40" x14ac:dyDescent="0.25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688528716.82108998</v>
      </c>
      <c r="L79">
        <v>0.8</v>
      </c>
      <c r="M79" t="s">
        <v>4781</v>
      </c>
      <c r="N79">
        <v>0.85273301000000001</v>
      </c>
      <c r="O79">
        <v>325.31</v>
      </c>
      <c r="P79">
        <v>319.16000000000003</v>
      </c>
      <c r="Q79">
        <v>277.40257548310001</v>
      </c>
      <c r="R79">
        <v>154431611610.27661</v>
      </c>
      <c r="S79">
        <v>0</v>
      </c>
      <c r="T79" t="s">
        <v>6243</v>
      </c>
    </row>
    <row r="80" spans="1:40" x14ac:dyDescent="0.25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39420415408.636497</v>
      </c>
      <c r="J80" t="s">
        <v>4700</v>
      </c>
      <c r="K80">
        <v>295567465.98747998</v>
      </c>
      <c r="L80">
        <v>1</v>
      </c>
      <c r="M80" t="s">
        <v>4782</v>
      </c>
      <c r="N80">
        <v>0.85273301000000001</v>
      </c>
      <c r="O80">
        <v>78.930000000000007</v>
      </c>
      <c r="P80">
        <v>83.38</v>
      </c>
      <c r="Q80">
        <v>67.306216479300005</v>
      </c>
      <c r="R80">
        <v>37287903058.465637</v>
      </c>
      <c r="S80">
        <v>0</v>
      </c>
      <c r="T80" t="s">
        <v>6243</v>
      </c>
      <c r="AJ80" t="s">
        <v>6258</v>
      </c>
    </row>
    <row r="81" spans="1:40" x14ac:dyDescent="0.25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84667218945.276001</v>
      </c>
      <c r="J81" t="s">
        <v>4700</v>
      </c>
      <c r="K81">
        <v>399968843.60151899</v>
      </c>
      <c r="L81">
        <v>1</v>
      </c>
      <c r="M81" t="s">
        <v>4783</v>
      </c>
      <c r="N81">
        <v>0.85273301000000001</v>
      </c>
      <c r="O81">
        <v>195.08</v>
      </c>
      <c r="P81">
        <v>211.88</v>
      </c>
      <c r="Q81">
        <v>166.3511555908</v>
      </c>
      <c r="R81">
        <v>77894131553.801926</v>
      </c>
      <c r="S81">
        <v>0</v>
      </c>
      <c r="T81" t="s">
        <v>6243</v>
      </c>
    </row>
    <row r="82" spans="1:40" x14ac:dyDescent="0.25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25220160049.546001</v>
      </c>
      <c r="J82" t="s">
        <v>4700</v>
      </c>
      <c r="K82">
        <v>159087260.06987801</v>
      </c>
      <c r="L82">
        <v>1</v>
      </c>
      <c r="M82" t="s">
        <v>4784</v>
      </c>
      <c r="N82">
        <v>0.85273301000000001</v>
      </c>
      <c r="O82">
        <v>139.28</v>
      </c>
      <c r="P82">
        <v>146.19999999999999</v>
      </c>
      <c r="Q82">
        <v>118.7686536328</v>
      </c>
      <c r="R82">
        <v>24007993035.630169</v>
      </c>
      <c r="S82">
        <v>0</v>
      </c>
      <c r="T82" t="s">
        <v>6243</v>
      </c>
      <c r="AJ82" t="s">
        <v>6258</v>
      </c>
    </row>
    <row r="83" spans="1:40" x14ac:dyDescent="0.25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441.13330000000002</v>
      </c>
      <c r="H83" t="s">
        <v>97</v>
      </c>
      <c r="I83">
        <v>41586328770.280998</v>
      </c>
      <c r="J83" t="s">
        <v>4700</v>
      </c>
      <c r="K83">
        <v>200422981.33456501</v>
      </c>
      <c r="L83">
        <v>1</v>
      </c>
      <c r="M83" t="s">
        <v>4785</v>
      </c>
      <c r="N83">
        <v>0.85273301000000001</v>
      </c>
      <c r="O83">
        <v>497.08</v>
      </c>
      <c r="P83">
        <v>516.91999999999996</v>
      </c>
      <c r="Q83">
        <v>423.8765246108</v>
      </c>
      <c r="R83">
        <v>39959505461.203758</v>
      </c>
      <c r="S83">
        <v>0</v>
      </c>
      <c r="T83" t="s">
        <v>6243</v>
      </c>
      <c r="AJ83" t="s">
        <v>6258</v>
      </c>
    </row>
    <row r="84" spans="1:40" x14ac:dyDescent="0.25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159.54089999999999</v>
      </c>
      <c r="H84" t="s">
        <v>97</v>
      </c>
      <c r="I84">
        <v>36846602636.963997</v>
      </c>
      <c r="J84" t="s">
        <v>4700</v>
      </c>
      <c r="K84">
        <v>210959416.45812199</v>
      </c>
      <c r="L84">
        <v>1</v>
      </c>
      <c r="M84" t="s">
        <v>4786</v>
      </c>
      <c r="N84">
        <v>0.85273301000000001</v>
      </c>
      <c r="O84">
        <v>189.93</v>
      </c>
      <c r="P84">
        <v>186.95</v>
      </c>
      <c r="Q84">
        <v>161.9595805893</v>
      </c>
      <c r="R84">
        <v>37405206497.037971</v>
      </c>
      <c r="S84">
        <v>0</v>
      </c>
      <c r="T84" t="s">
        <v>6243</v>
      </c>
      <c r="AJ84" t="s">
        <v>6258</v>
      </c>
    </row>
    <row r="85" spans="1:40" x14ac:dyDescent="0.25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250.65710000000001</v>
      </c>
      <c r="H85" t="s">
        <v>97</v>
      </c>
      <c r="I85">
        <v>134944232604.49001</v>
      </c>
      <c r="J85" t="s">
        <v>4700</v>
      </c>
      <c r="K85">
        <v>599945087.19578803</v>
      </c>
      <c r="L85">
        <v>1</v>
      </c>
      <c r="M85" t="s">
        <v>4787</v>
      </c>
      <c r="N85">
        <v>0.85273301000000001</v>
      </c>
      <c r="O85">
        <v>276.39</v>
      </c>
      <c r="P85">
        <v>293.72000000000003</v>
      </c>
      <c r="Q85">
        <v>235.6868766339</v>
      </c>
      <c r="R85">
        <v>126884834709.692</v>
      </c>
      <c r="S85">
        <v>0</v>
      </c>
      <c r="T85" t="s">
        <v>6243</v>
      </c>
    </row>
    <row r="86" spans="1:40" x14ac:dyDescent="0.25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2433943152.5204601</v>
      </c>
      <c r="J86" t="s">
        <v>4701</v>
      </c>
      <c r="K86">
        <v>6730332.4302733401</v>
      </c>
      <c r="L86">
        <v>0.95</v>
      </c>
      <c r="M86" t="s">
        <v>4788</v>
      </c>
      <c r="N86">
        <v>0.56652409000000004</v>
      </c>
      <c r="O86">
        <v>1.69</v>
      </c>
      <c r="P86">
        <v>1.7350000000000001</v>
      </c>
      <c r="Q86">
        <v>0.95742571210000005</v>
      </c>
      <c r="R86">
        <v>2302755050.868124</v>
      </c>
      <c r="S86">
        <v>0</v>
      </c>
      <c r="T86" t="s">
        <v>6244</v>
      </c>
      <c r="U86" t="s">
        <v>6245</v>
      </c>
      <c r="W86" t="s">
        <v>6247</v>
      </c>
      <c r="AJ86" t="s">
        <v>6258</v>
      </c>
      <c r="AN86" t="s">
        <v>6262</v>
      </c>
    </row>
    <row r="87" spans="1:40" x14ac:dyDescent="0.25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93.326509999999999</v>
      </c>
      <c r="H87" t="s">
        <v>97</v>
      </c>
      <c r="I87">
        <v>113944305248.36099</v>
      </c>
      <c r="J87" t="s">
        <v>4700</v>
      </c>
      <c r="K87">
        <v>741463394.00386298</v>
      </c>
      <c r="L87">
        <v>1</v>
      </c>
      <c r="M87" t="s">
        <v>4789</v>
      </c>
      <c r="N87">
        <v>0.85273301000000001</v>
      </c>
      <c r="O87">
        <v>118.68</v>
      </c>
      <c r="P87">
        <v>109.36</v>
      </c>
      <c r="Q87">
        <v>101.2023536268</v>
      </c>
      <c r="R87">
        <v>123560088912.6217</v>
      </c>
      <c r="S87">
        <v>0</v>
      </c>
      <c r="T87" t="s">
        <v>6243</v>
      </c>
      <c r="AA87" t="s">
        <v>6249</v>
      </c>
      <c r="AJ87" t="s">
        <v>6258</v>
      </c>
    </row>
    <row r="88" spans="1:40" x14ac:dyDescent="0.25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3519211097.9000001</v>
      </c>
      <c r="J88" t="s">
        <v>4703</v>
      </c>
      <c r="K88">
        <v>34016967.720846198</v>
      </c>
      <c r="L88">
        <v>0.60000000000000009</v>
      </c>
      <c r="M88" t="s">
        <v>4790</v>
      </c>
      <c r="N88">
        <v>1</v>
      </c>
      <c r="O88">
        <v>15.19</v>
      </c>
      <c r="P88">
        <v>15.545</v>
      </c>
      <c r="Q88">
        <v>15.19</v>
      </c>
      <c r="R88">
        <v>2063305882.6800001</v>
      </c>
      <c r="S88">
        <v>0</v>
      </c>
      <c r="T88" t="s">
        <v>6242</v>
      </c>
      <c r="AJ88" t="s">
        <v>6258</v>
      </c>
    </row>
    <row r="89" spans="1:40" x14ac:dyDescent="0.25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16.407039999999999</v>
      </c>
      <c r="H89" t="s">
        <v>4691</v>
      </c>
      <c r="I89">
        <v>3909832086.783999</v>
      </c>
      <c r="J89" t="s">
        <v>4701</v>
      </c>
      <c r="K89">
        <v>12797028.510445001</v>
      </c>
      <c r="L89">
        <v>1</v>
      </c>
      <c r="M89" t="s">
        <v>4791</v>
      </c>
      <c r="N89">
        <v>0.56652409000000004</v>
      </c>
      <c r="O89">
        <v>29.8</v>
      </c>
      <c r="P89">
        <v>29.61</v>
      </c>
      <c r="Q89">
        <v>16.882417881999999</v>
      </c>
      <c r="R89">
        <v>4023115634.3581529</v>
      </c>
      <c r="S89">
        <v>0</v>
      </c>
      <c r="T89" t="s">
        <v>6244</v>
      </c>
      <c r="U89" t="s">
        <v>6245</v>
      </c>
      <c r="AH89" t="s">
        <v>6256</v>
      </c>
      <c r="AJ89" t="s">
        <v>6258</v>
      </c>
    </row>
    <row r="90" spans="1:40" x14ac:dyDescent="0.25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43.727600000000002</v>
      </c>
      <c r="H90" t="s">
        <v>97</v>
      </c>
      <c r="I90">
        <v>24169816964.495998</v>
      </c>
      <c r="J90" t="s">
        <v>4700</v>
      </c>
      <c r="K90">
        <v>140787128.181503</v>
      </c>
      <c r="L90">
        <v>0.95</v>
      </c>
      <c r="M90" t="s">
        <v>4792</v>
      </c>
      <c r="N90">
        <v>1.07032003</v>
      </c>
      <c r="O90">
        <v>44.06</v>
      </c>
      <c r="P90">
        <v>40.9</v>
      </c>
      <c r="Q90">
        <v>47.158300521800001</v>
      </c>
      <c r="R90">
        <v>24762784085.341339</v>
      </c>
      <c r="S90">
        <v>0</v>
      </c>
      <c r="T90" t="s">
        <v>6243</v>
      </c>
      <c r="AJ90" t="s">
        <v>6258</v>
      </c>
    </row>
    <row r="91" spans="1:40" x14ac:dyDescent="0.25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66.400000000000006</v>
      </c>
      <c r="H91" t="s">
        <v>98</v>
      </c>
      <c r="I91">
        <v>13639838996.799999</v>
      </c>
      <c r="J91" t="s">
        <v>4702</v>
      </c>
      <c r="K91">
        <v>9497064.5469697006</v>
      </c>
      <c r="L91">
        <v>0.3</v>
      </c>
      <c r="M91" t="s">
        <v>4793</v>
      </c>
      <c r="N91">
        <v>1</v>
      </c>
      <c r="O91">
        <v>63.7</v>
      </c>
      <c r="P91">
        <v>66.400000000000006</v>
      </c>
      <c r="Q91">
        <v>63.7</v>
      </c>
      <c r="R91">
        <v>3925562096.8200011</v>
      </c>
      <c r="S91">
        <v>1</v>
      </c>
      <c r="T91" t="s">
        <v>6242</v>
      </c>
      <c r="W91" t="s">
        <v>6247</v>
      </c>
      <c r="AJ91" t="s">
        <v>6258</v>
      </c>
    </row>
    <row r="92" spans="1:40" x14ac:dyDescent="0.25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32754955.968276501</v>
      </c>
      <c r="L92">
        <v>1</v>
      </c>
      <c r="M92" t="s">
        <v>4794</v>
      </c>
      <c r="N92">
        <v>5.7743899999999999E-3</v>
      </c>
      <c r="O92">
        <v>2961</v>
      </c>
      <c r="P92">
        <v>2988.5</v>
      </c>
      <c r="Q92">
        <v>17.097968789999999</v>
      </c>
      <c r="R92">
        <v>8280436003.0983038</v>
      </c>
      <c r="S92">
        <v>0</v>
      </c>
      <c r="T92" t="s">
        <v>6244</v>
      </c>
    </row>
    <row r="93" spans="1:40" x14ac:dyDescent="0.25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105880814400.73599</v>
      </c>
      <c r="J93" t="s">
        <v>4700</v>
      </c>
      <c r="K93">
        <v>739655375.34691</v>
      </c>
      <c r="L93">
        <v>1</v>
      </c>
      <c r="M93" t="s">
        <v>4795</v>
      </c>
      <c r="N93">
        <v>0.85273301000000001</v>
      </c>
      <c r="O93">
        <v>245.21</v>
      </c>
      <c r="P93">
        <v>252.2</v>
      </c>
      <c r="Q93">
        <v>209.0986613821</v>
      </c>
      <c r="R93">
        <v>102867223963.642</v>
      </c>
      <c r="S93">
        <v>0</v>
      </c>
      <c r="T93" t="s">
        <v>6243</v>
      </c>
    </row>
    <row r="94" spans="1:40" x14ac:dyDescent="0.25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4541598.1742424201</v>
      </c>
      <c r="L94">
        <v>0.6</v>
      </c>
      <c r="M94" t="s">
        <v>4796</v>
      </c>
      <c r="N94">
        <v>1</v>
      </c>
      <c r="O94">
        <v>61.35</v>
      </c>
      <c r="P94">
        <v>62.6</v>
      </c>
      <c r="Q94">
        <v>61.35</v>
      </c>
      <c r="R94">
        <v>3828240000</v>
      </c>
      <c r="S94">
        <v>0</v>
      </c>
      <c r="T94" t="s">
        <v>6242</v>
      </c>
      <c r="W94" t="s">
        <v>6247</v>
      </c>
      <c r="AG94" t="s">
        <v>6255</v>
      </c>
      <c r="AJ94" t="s">
        <v>6258</v>
      </c>
    </row>
    <row r="95" spans="1:40" x14ac:dyDescent="0.25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29926200258.948002</v>
      </c>
      <c r="J95" t="s">
        <v>4699</v>
      </c>
      <c r="K95">
        <v>49282009.924982898</v>
      </c>
      <c r="L95">
        <v>1</v>
      </c>
      <c r="M95" t="s">
        <v>4797</v>
      </c>
      <c r="N95">
        <v>1.156136E-2</v>
      </c>
      <c r="O95">
        <v>2555</v>
      </c>
      <c r="P95">
        <v>2201</v>
      </c>
      <c r="Q95">
        <v>29.539274800000001</v>
      </c>
      <c r="R95">
        <v>34798751539.92244</v>
      </c>
      <c r="S95">
        <v>0</v>
      </c>
      <c r="T95" t="s">
        <v>6242</v>
      </c>
      <c r="AG95" t="s">
        <v>6255</v>
      </c>
      <c r="AH95" t="s">
        <v>6256</v>
      </c>
      <c r="AJ95" t="s">
        <v>6258</v>
      </c>
    </row>
    <row r="96" spans="1:40" x14ac:dyDescent="0.25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46.603520000000003</v>
      </c>
      <c r="H96" t="s">
        <v>97</v>
      </c>
      <c r="I96">
        <v>23466132479.180801</v>
      </c>
      <c r="J96" t="s">
        <v>4700</v>
      </c>
      <c r="K96">
        <v>140079549.08656099</v>
      </c>
      <c r="L96">
        <v>1</v>
      </c>
      <c r="M96" t="s">
        <v>4798</v>
      </c>
      <c r="N96">
        <v>0.85273301000000001</v>
      </c>
      <c r="O96">
        <v>66.31</v>
      </c>
      <c r="P96">
        <v>54.61</v>
      </c>
      <c r="Q96">
        <v>56.544725893100001</v>
      </c>
      <c r="R96">
        <v>28471798456.563999</v>
      </c>
      <c r="S96">
        <v>0</v>
      </c>
      <c r="T96" t="s">
        <v>6243</v>
      </c>
      <c r="AJ96" t="s">
        <v>6258</v>
      </c>
    </row>
    <row r="97" spans="1:40" x14ac:dyDescent="0.25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2531192280.8172002</v>
      </c>
      <c r="J97" t="s">
        <v>4701</v>
      </c>
      <c r="K97">
        <v>4602399.8558563702</v>
      </c>
      <c r="L97">
        <v>0.95</v>
      </c>
      <c r="M97" t="s">
        <v>4799</v>
      </c>
      <c r="N97">
        <v>0.56652409000000004</v>
      </c>
      <c r="O97">
        <v>33.83</v>
      </c>
      <c r="P97">
        <v>31.3</v>
      </c>
      <c r="Q97">
        <v>19.1655099647</v>
      </c>
      <c r="R97">
        <v>2657252831.4124432</v>
      </c>
      <c r="S97">
        <v>0</v>
      </c>
      <c r="T97" t="s">
        <v>6244</v>
      </c>
      <c r="U97" t="s">
        <v>6245</v>
      </c>
      <c r="W97" t="s">
        <v>6247</v>
      </c>
      <c r="AJ97" t="s">
        <v>6258</v>
      </c>
      <c r="AN97" t="s">
        <v>6262</v>
      </c>
    </row>
    <row r="98" spans="1:40" x14ac:dyDescent="0.25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25.010739999999998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1.156136E-2</v>
      </c>
      <c r="O98">
        <v>2230</v>
      </c>
      <c r="P98">
        <v>2167</v>
      </c>
      <c r="Q98">
        <v>25.7818328</v>
      </c>
      <c r="R98">
        <v>10166877041.6639</v>
      </c>
      <c r="S98">
        <v>0</v>
      </c>
      <c r="T98" t="s">
        <v>6242</v>
      </c>
      <c r="AJ98" t="s">
        <v>6258</v>
      </c>
    </row>
    <row r="99" spans="1:40" x14ac:dyDescent="0.25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18.767530000000001</v>
      </c>
      <c r="H99" t="s">
        <v>4691</v>
      </c>
      <c r="I99">
        <v>55993306735.859001</v>
      </c>
      <c r="J99" t="s">
        <v>4701</v>
      </c>
      <c r="K99">
        <v>93808013.499324799</v>
      </c>
      <c r="L99">
        <v>1</v>
      </c>
      <c r="M99" t="s">
        <v>4801</v>
      </c>
      <c r="N99">
        <v>0.56652409000000004</v>
      </c>
      <c r="O99">
        <v>33.19</v>
      </c>
      <c r="P99">
        <v>33.869999999999997</v>
      </c>
      <c r="Q99">
        <v>18.802934547100001</v>
      </c>
      <c r="R99">
        <v>56098936920.844162</v>
      </c>
      <c r="S99">
        <v>0</v>
      </c>
      <c r="T99" t="s">
        <v>6244</v>
      </c>
      <c r="U99" t="s">
        <v>6245</v>
      </c>
      <c r="AJ99" t="s">
        <v>6258</v>
      </c>
    </row>
    <row r="100" spans="1:40" x14ac:dyDescent="0.25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320.10579999999999</v>
      </c>
      <c r="H100" t="s">
        <v>97</v>
      </c>
      <c r="I100">
        <v>69023325294.279999</v>
      </c>
      <c r="J100" t="s">
        <v>4700</v>
      </c>
      <c r="K100">
        <v>421890275.09203702</v>
      </c>
      <c r="L100">
        <v>1</v>
      </c>
      <c r="M100" t="s">
        <v>4802</v>
      </c>
      <c r="N100">
        <v>0.85273301000000001</v>
      </c>
      <c r="O100">
        <v>371.95</v>
      </c>
      <c r="P100">
        <v>375.1</v>
      </c>
      <c r="Q100">
        <v>317.17404306949999</v>
      </c>
      <c r="R100">
        <v>68391160515.329849</v>
      </c>
      <c r="S100">
        <v>0</v>
      </c>
      <c r="T100" t="s">
        <v>6243</v>
      </c>
      <c r="AN100" t="s">
        <v>6262</v>
      </c>
    </row>
    <row r="101" spans="1:40" x14ac:dyDescent="0.25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1855.3810000000001</v>
      </c>
      <c r="H101" t="s">
        <v>4696</v>
      </c>
      <c r="I101">
        <v>11266597030.59</v>
      </c>
      <c r="J101" t="s">
        <v>4699</v>
      </c>
      <c r="K101">
        <v>33887396.887992397</v>
      </c>
      <c r="L101">
        <v>0.65</v>
      </c>
      <c r="M101" t="s">
        <v>4803</v>
      </c>
      <c r="N101">
        <v>0.13397104000000001</v>
      </c>
      <c r="O101">
        <v>13380</v>
      </c>
      <c r="P101">
        <v>13850</v>
      </c>
      <c r="Q101">
        <v>1792.5325152</v>
      </c>
      <c r="R101">
        <v>7075221737.9839649</v>
      </c>
      <c r="S101">
        <v>0</v>
      </c>
      <c r="T101" t="s">
        <v>6242</v>
      </c>
      <c r="U101" t="s">
        <v>6245</v>
      </c>
      <c r="AN101" t="s">
        <v>6262</v>
      </c>
    </row>
    <row r="102" spans="1:40" x14ac:dyDescent="0.25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4.8594989999999996</v>
      </c>
      <c r="H102" t="s">
        <v>4691</v>
      </c>
      <c r="I102">
        <v>6339155701.7624998</v>
      </c>
      <c r="J102" t="s">
        <v>4701</v>
      </c>
      <c r="K102">
        <v>13169475.517779499</v>
      </c>
      <c r="L102">
        <v>1</v>
      </c>
      <c r="M102" t="s">
        <v>4804</v>
      </c>
      <c r="N102">
        <v>0.56652409000000004</v>
      </c>
      <c r="O102">
        <v>8.9600000000000009</v>
      </c>
      <c r="P102">
        <v>8.77</v>
      </c>
      <c r="Q102">
        <v>5.076055846400001</v>
      </c>
      <c r="R102">
        <v>6621651400.9307213</v>
      </c>
      <c r="S102">
        <v>0</v>
      </c>
      <c r="T102" t="s">
        <v>6244</v>
      </c>
      <c r="U102" t="s">
        <v>6245</v>
      </c>
      <c r="AH102" t="s">
        <v>6256</v>
      </c>
      <c r="AJ102" t="s">
        <v>6258</v>
      </c>
    </row>
    <row r="103" spans="1:40" x14ac:dyDescent="0.25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65511189645.231003</v>
      </c>
      <c r="J103" t="s">
        <v>4700</v>
      </c>
      <c r="K103">
        <v>352843160.41247398</v>
      </c>
      <c r="L103">
        <v>0.7</v>
      </c>
      <c r="M103" t="s">
        <v>4805</v>
      </c>
      <c r="N103">
        <v>0.85273301000000001</v>
      </c>
      <c r="O103">
        <v>138.03</v>
      </c>
      <c r="P103">
        <v>134.19999999999999</v>
      </c>
      <c r="Q103">
        <v>117.7027373703</v>
      </c>
      <c r="R103">
        <v>47130378378.987053</v>
      </c>
      <c r="S103">
        <v>0</v>
      </c>
      <c r="T103" t="s">
        <v>6243</v>
      </c>
      <c r="AJ103" t="s">
        <v>6258</v>
      </c>
    </row>
    <row r="104" spans="1:40" x14ac:dyDescent="0.25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194.36760000000001</v>
      </c>
      <c r="H104" t="s">
        <v>97</v>
      </c>
      <c r="I104">
        <v>2884490987364</v>
      </c>
      <c r="J104" t="s">
        <v>4700</v>
      </c>
      <c r="K104">
        <v>10078043926.932301</v>
      </c>
      <c r="L104">
        <v>1</v>
      </c>
      <c r="M104" t="s">
        <v>4806</v>
      </c>
      <c r="N104">
        <v>0.85273301000000001</v>
      </c>
      <c r="O104">
        <v>234.07</v>
      </c>
      <c r="P104">
        <v>227.76</v>
      </c>
      <c r="Q104">
        <v>199.59921565069999</v>
      </c>
      <c r="R104">
        <v>2962130203950.4922</v>
      </c>
      <c r="S104">
        <v>0</v>
      </c>
      <c r="T104" t="s">
        <v>6243</v>
      </c>
      <c r="AN104" t="s">
        <v>6262</v>
      </c>
    </row>
    <row r="105" spans="1:40" x14ac:dyDescent="0.25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110468020000.82001</v>
      </c>
      <c r="J105" t="s">
        <v>4700</v>
      </c>
      <c r="K105">
        <v>1111016368.2326801</v>
      </c>
      <c r="L105">
        <v>1</v>
      </c>
      <c r="M105" t="s">
        <v>4807</v>
      </c>
      <c r="N105">
        <v>0.85273301000000001</v>
      </c>
      <c r="O105">
        <v>167.8</v>
      </c>
      <c r="P105">
        <v>162.49</v>
      </c>
      <c r="Q105">
        <v>143.08859907799999</v>
      </c>
      <c r="R105">
        <v>113990453567.45171</v>
      </c>
      <c r="S105">
        <v>0</v>
      </c>
      <c r="T105" t="s">
        <v>6243</v>
      </c>
    </row>
    <row r="106" spans="1:40" x14ac:dyDescent="0.25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376.92439999999999</v>
      </c>
      <c r="H106" t="s">
        <v>97</v>
      </c>
      <c r="I106">
        <v>115955657949.672</v>
      </c>
      <c r="J106" t="s">
        <v>4700</v>
      </c>
      <c r="K106">
        <v>1871493761.8843501</v>
      </c>
      <c r="L106">
        <v>0.75</v>
      </c>
      <c r="M106" t="s">
        <v>4808</v>
      </c>
      <c r="N106">
        <v>0.85273301000000001</v>
      </c>
      <c r="O106">
        <v>582</v>
      </c>
      <c r="P106">
        <v>441.68</v>
      </c>
      <c r="Q106">
        <v>496.29061181999998</v>
      </c>
      <c r="R106">
        <v>114507785436.2175</v>
      </c>
      <c r="S106">
        <v>0</v>
      </c>
      <c r="T106" t="s">
        <v>6243</v>
      </c>
      <c r="AN106" t="s">
        <v>6262</v>
      </c>
    </row>
    <row r="107" spans="1:40" x14ac:dyDescent="0.25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5436545.9978787899</v>
      </c>
      <c r="L107">
        <v>0.8</v>
      </c>
      <c r="M107" t="s">
        <v>4809</v>
      </c>
      <c r="N107">
        <v>1</v>
      </c>
      <c r="O107">
        <v>42.3</v>
      </c>
      <c r="P107">
        <v>41.34</v>
      </c>
      <c r="Q107">
        <v>42.3</v>
      </c>
      <c r="R107">
        <v>3060560359.4400001</v>
      </c>
      <c r="S107">
        <v>0</v>
      </c>
      <c r="T107" t="s">
        <v>6242</v>
      </c>
      <c r="W107" t="s">
        <v>6247</v>
      </c>
    </row>
    <row r="108" spans="1:40" x14ac:dyDescent="0.25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47173787.066893898</v>
      </c>
      <c r="L108">
        <v>0.5</v>
      </c>
      <c r="M108" t="s">
        <v>4810</v>
      </c>
      <c r="N108">
        <v>1</v>
      </c>
      <c r="O108">
        <v>29.59</v>
      </c>
      <c r="P108">
        <v>29.16</v>
      </c>
      <c r="Q108">
        <v>29.59</v>
      </c>
      <c r="R108">
        <v>12617320576.74</v>
      </c>
      <c r="S108">
        <v>0</v>
      </c>
      <c r="T108" t="s">
        <v>6242</v>
      </c>
      <c r="AA108" t="s">
        <v>6249</v>
      </c>
      <c r="AG108" t="s">
        <v>6255</v>
      </c>
      <c r="AJ108" t="s">
        <v>6258</v>
      </c>
      <c r="AM108" t="s">
        <v>6261</v>
      </c>
      <c r="AN108" t="s">
        <v>6262</v>
      </c>
    </row>
    <row r="109" spans="1:40" x14ac:dyDescent="0.25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79.714969999999994</v>
      </c>
      <c r="H109" t="s">
        <v>97</v>
      </c>
      <c r="I109">
        <v>29751245017.890999</v>
      </c>
      <c r="J109" t="s">
        <v>4700</v>
      </c>
      <c r="K109">
        <v>168975029.08680099</v>
      </c>
      <c r="L109">
        <v>1</v>
      </c>
      <c r="M109" t="s">
        <v>4811</v>
      </c>
      <c r="N109">
        <v>0.85273301000000001</v>
      </c>
      <c r="O109">
        <v>92.26</v>
      </c>
      <c r="P109">
        <v>93.41</v>
      </c>
      <c r="Q109">
        <v>78.673147502600003</v>
      </c>
      <c r="R109">
        <v>29362415712.86462</v>
      </c>
      <c r="S109">
        <v>0</v>
      </c>
      <c r="T109" t="s">
        <v>6243</v>
      </c>
      <c r="AJ109" t="s">
        <v>6258</v>
      </c>
    </row>
    <row r="110" spans="1:40" x14ac:dyDescent="0.25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53.695169999999997</v>
      </c>
      <c r="H110" t="s">
        <v>97</v>
      </c>
      <c r="I110">
        <v>25798621932.5616</v>
      </c>
      <c r="J110" t="s">
        <v>4700</v>
      </c>
      <c r="K110">
        <v>168414301.31849799</v>
      </c>
      <c r="L110">
        <v>1</v>
      </c>
      <c r="M110" t="s">
        <v>4812</v>
      </c>
      <c r="N110">
        <v>0.85273301000000001</v>
      </c>
      <c r="O110">
        <v>61.57</v>
      </c>
      <c r="P110">
        <v>62.92</v>
      </c>
      <c r="Q110">
        <v>52.502771425699997</v>
      </c>
      <c r="R110">
        <v>25225716771.607811</v>
      </c>
      <c r="S110">
        <v>0</v>
      </c>
      <c r="T110" t="s">
        <v>6243</v>
      </c>
      <c r="AJ110" t="s">
        <v>6258</v>
      </c>
    </row>
    <row r="111" spans="1:40" x14ac:dyDescent="0.25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33366877648.099998</v>
      </c>
      <c r="J111" t="s">
        <v>4700</v>
      </c>
      <c r="K111">
        <v>215088017.78389901</v>
      </c>
      <c r="L111">
        <v>0.9</v>
      </c>
      <c r="M111" t="s">
        <v>4813</v>
      </c>
      <c r="N111">
        <v>0.85273301000000001</v>
      </c>
      <c r="O111">
        <v>182.79</v>
      </c>
      <c r="P111">
        <v>181.07</v>
      </c>
      <c r="Q111">
        <v>155.87106689789999</v>
      </c>
      <c r="R111">
        <v>30292174862.35017</v>
      </c>
      <c r="S111">
        <v>0</v>
      </c>
      <c r="T111" t="s">
        <v>6243</v>
      </c>
      <c r="AJ111" t="s">
        <v>6258</v>
      </c>
    </row>
    <row r="112" spans="1:40" x14ac:dyDescent="0.25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34614664571.199997</v>
      </c>
      <c r="J112" t="s">
        <v>4702</v>
      </c>
      <c r="K112">
        <v>41371397.561363697</v>
      </c>
      <c r="L112">
        <v>1</v>
      </c>
      <c r="M112" t="s">
        <v>4814</v>
      </c>
      <c r="N112">
        <v>1</v>
      </c>
      <c r="O112">
        <v>644.4</v>
      </c>
      <c r="P112">
        <v>565.6</v>
      </c>
      <c r="Q112">
        <v>644.4</v>
      </c>
      <c r="R112">
        <v>39437216848.800003</v>
      </c>
      <c r="S112">
        <v>0</v>
      </c>
      <c r="T112" t="s">
        <v>6242</v>
      </c>
    </row>
    <row r="113" spans="1:39" x14ac:dyDescent="0.25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905887743.32720602</v>
      </c>
      <c r="L113">
        <v>0.8</v>
      </c>
      <c r="M113" t="s">
        <v>4815</v>
      </c>
      <c r="N113">
        <v>0.85273301000000001</v>
      </c>
      <c r="O113">
        <v>139.38999999999999</v>
      </c>
      <c r="P113">
        <v>133.25</v>
      </c>
      <c r="Q113">
        <v>118.86245426390001</v>
      </c>
      <c r="R113">
        <v>119515284898.7027</v>
      </c>
      <c r="S113">
        <v>0</v>
      </c>
      <c r="T113" t="s">
        <v>6243</v>
      </c>
    </row>
    <row r="114" spans="1:39" x14ac:dyDescent="0.25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39.258319999999998</v>
      </c>
      <c r="H114" t="s">
        <v>4691</v>
      </c>
      <c r="I114">
        <v>24377465581.495998</v>
      </c>
      <c r="J114" t="s">
        <v>4701</v>
      </c>
      <c r="K114">
        <v>51326898.752201699</v>
      </c>
      <c r="L114">
        <v>1</v>
      </c>
      <c r="M114" t="s">
        <v>4816</v>
      </c>
      <c r="N114">
        <v>0.56652409000000004</v>
      </c>
      <c r="O114">
        <v>67.47</v>
      </c>
      <c r="P114">
        <v>70.849999999999994</v>
      </c>
      <c r="Q114">
        <v>38.223380352299998</v>
      </c>
      <c r="R114">
        <v>23734819496.774799</v>
      </c>
      <c r="S114">
        <v>0</v>
      </c>
      <c r="T114" t="s">
        <v>6244</v>
      </c>
      <c r="U114" t="s">
        <v>6245</v>
      </c>
    </row>
    <row r="115" spans="1:39" x14ac:dyDescent="0.25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4883105350.1999998</v>
      </c>
      <c r="J115" t="s">
        <v>4702</v>
      </c>
      <c r="K115">
        <v>13222524.796969701</v>
      </c>
      <c r="L115">
        <v>0.75</v>
      </c>
      <c r="M115" t="s">
        <v>4817</v>
      </c>
      <c r="N115">
        <v>1</v>
      </c>
      <c r="O115">
        <v>59.05</v>
      </c>
      <c r="P115">
        <v>64.2</v>
      </c>
      <c r="Q115">
        <v>59.05</v>
      </c>
      <c r="R115">
        <v>3368544052.9124999</v>
      </c>
      <c r="S115">
        <v>1</v>
      </c>
      <c r="T115" t="s">
        <v>6242</v>
      </c>
      <c r="AM115" t="s">
        <v>6261</v>
      </c>
    </row>
    <row r="116" spans="1:39" x14ac:dyDescent="0.25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5361145292.8000002</v>
      </c>
      <c r="J116" t="s">
        <v>4703</v>
      </c>
      <c r="K116">
        <v>4867541.5307121202</v>
      </c>
      <c r="L116">
        <v>0.45</v>
      </c>
      <c r="M116" t="s">
        <v>4818</v>
      </c>
      <c r="N116">
        <v>1</v>
      </c>
      <c r="O116">
        <v>3.32</v>
      </c>
      <c r="P116">
        <v>3.488</v>
      </c>
      <c r="Q116">
        <v>3.32</v>
      </c>
      <c r="R116">
        <v>2296316246.4000001</v>
      </c>
      <c r="S116">
        <v>0</v>
      </c>
      <c r="T116" t="s">
        <v>6242</v>
      </c>
      <c r="W116" t="s">
        <v>6247</v>
      </c>
    </row>
    <row r="117" spans="1:39" x14ac:dyDescent="0.25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258.72160000000002</v>
      </c>
      <c r="H117" t="s">
        <v>97</v>
      </c>
      <c r="I117">
        <v>66336218240.000008</v>
      </c>
      <c r="J117" t="s">
        <v>4700</v>
      </c>
      <c r="K117">
        <v>392511869.30245101</v>
      </c>
      <c r="L117">
        <v>1</v>
      </c>
      <c r="M117" t="s">
        <v>4819</v>
      </c>
      <c r="N117">
        <v>0.85273301000000001</v>
      </c>
      <c r="O117">
        <v>297.27999999999997</v>
      </c>
      <c r="P117">
        <v>303.17</v>
      </c>
      <c r="Q117">
        <v>253.5004692128</v>
      </c>
      <c r="R117">
        <v>64997520306.161911</v>
      </c>
      <c r="S117">
        <v>0</v>
      </c>
      <c r="T117" t="s">
        <v>6243</v>
      </c>
      <c r="AJ117" t="s">
        <v>6258</v>
      </c>
    </row>
    <row r="118" spans="1:39" x14ac:dyDescent="0.25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27.120370000000001</v>
      </c>
      <c r="H118" t="s">
        <v>99</v>
      </c>
      <c r="I118">
        <v>5896908972.4316006</v>
      </c>
      <c r="J118" t="s">
        <v>4701</v>
      </c>
      <c r="K118">
        <v>29212825.3630413</v>
      </c>
      <c r="L118">
        <v>1</v>
      </c>
      <c r="M118" t="s">
        <v>4820</v>
      </c>
      <c r="N118">
        <v>5.7743899999999999E-3</v>
      </c>
      <c r="O118">
        <v>4731</v>
      </c>
      <c r="P118">
        <v>4667</v>
      </c>
      <c r="Q118">
        <v>27.318639090000001</v>
      </c>
      <c r="R118">
        <v>5940019548.5696411</v>
      </c>
      <c r="S118">
        <v>0</v>
      </c>
      <c r="T118" t="s">
        <v>6244</v>
      </c>
    </row>
    <row r="119" spans="1:39" x14ac:dyDescent="0.25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16935002503.905001</v>
      </c>
      <c r="J119" t="s">
        <v>4701</v>
      </c>
      <c r="K119">
        <v>50428190.188696399</v>
      </c>
      <c r="L119">
        <v>1</v>
      </c>
      <c r="M119" t="s">
        <v>4821</v>
      </c>
      <c r="N119">
        <v>5.7743899999999999E-3</v>
      </c>
      <c r="O119">
        <v>1819</v>
      </c>
      <c r="P119">
        <v>1916</v>
      </c>
      <c r="Q119">
        <v>10.50361541</v>
      </c>
      <c r="R119">
        <v>15976105125.125641</v>
      </c>
      <c r="S119">
        <v>0</v>
      </c>
      <c r="T119" t="s">
        <v>6244</v>
      </c>
    </row>
    <row r="120" spans="1:39" x14ac:dyDescent="0.25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15.155329999999999</v>
      </c>
      <c r="H120" t="s">
        <v>99</v>
      </c>
      <c r="I120">
        <v>4116696847.0879998</v>
      </c>
      <c r="J120" t="s">
        <v>4701</v>
      </c>
      <c r="K120">
        <v>12402695.248297701</v>
      </c>
      <c r="L120">
        <v>0.9</v>
      </c>
      <c r="M120" t="s">
        <v>4822</v>
      </c>
      <c r="N120">
        <v>5.7743899999999999E-3</v>
      </c>
      <c r="O120">
        <v>2690</v>
      </c>
      <c r="P120">
        <v>2608</v>
      </c>
      <c r="Q120">
        <v>15.533109100000001</v>
      </c>
      <c r="R120">
        <v>3797382909.6231842</v>
      </c>
      <c r="S120">
        <v>0</v>
      </c>
      <c r="T120" t="s">
        <v>6244</v>
      </c>
      <c r="AJ120" t="s">
        <v>6258</v>
      </c>
    </row>
    <row r="121" spans="1:39" x14ac:dyDescent="0.25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7.2231880000000004</v>
      </c>
      <c r="H121" t="s">
        <v>99</v>
      </c>
      <c r="I121">
        <v>9865083457.3760014</v>
      </c>
      <c r="J121" t="s">
        <v>4701</v>
      </c>
      <c r="K121">
        <v>28673227.6363208</v>
      </c>
      <c r="L121">
        <v>1</v>
      </c>
      <c r="M121" t="s">
        <v>4823</v>
      </c>
      <c r="N121">
        <v>5.7743899999999999E-3</v>
      </c>
      <c r="O121">
        <v>1198.5</v>
      </c>
      <c r="P121">
        <v>1243</v>
      </c>
      <c r="Q121">
        <v>6.920606415</v>
      </c>
      <c r="R121">
        <v>9451832052.4990807</v>
      </c>
      <c r="S121">
        <v>0</v>
      </c>
      <c r="T121" t="s">
        <v>6244</v>
      </c>
      <c r="AJ121" t="s">
        <v>6258</v>
      </c>
    </row>
    <row r="122" spans="1:39" x14ac:dyDescent="0.25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63.040460000000003</v>
      </c>
      <c r="H122" t="s">
        <v>96</v>
      </c>
      <c r="I122">
        <v>26760003889.101002</v>
      </c>
      <c r="J122" t="s">
        <v>4699</v>
      </c>
      <c r="K122">
        <v>36377267.129687697</v>
      </c>
      <c r="L122">
        <v>1</v>
      </c>
      <c r="M122" t="s">
        <v>4824</v>
      </c>
      <c r="N122">
        <v>1.156136E-2</v>
      </c>
      <c r="O122">
        <v>5314</v>
      </c>
      <c r="P122">
        <v>5462</v>
      </c>
      <c r="Q122">
        <v>61.437067040000002</v>
      </c>
      <c r="R122">
        <v>26079380653.716019</v>
      </c>
      <c r="S122">
        <v>0</v>
      </c>
      <c r="T122" t="s">
        <v>6242</v>
      </c>
    </row>
    <row r="123" spans="1:39" x14ac:dyDescent="0.25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99400260.543048501</v>
      </c>
      <c r="L123">
        <v>1</v>
      </c>
      <c r="M123" t="s">
        <v>4825</v>
      </c>
      <c r="N123">
        <v>5.7743899999999999E-3</v>
      </c>
      <c r="O123">
        <v>4161</v>
      </c>
      <c r="P123">
        <v>4182</v>
      </c>
      <c r="Q123">
        <v>24.02723679</v>
      </c>
      <c r="R123">
        <v>17647578698.52961</v>
      </c>
      <c r="S123">
        <v>0</v>
      </c>
      <c r="T123" t="s">
        <v>6244</v>
      </c>
    </row>
    <row r="124" spans="1:39" x14ac:dyDescent="0.25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20209906115.599998</v>
      </c>
      <c r="J124" t="s">
        <v>4702</v>
      </c>
      <c r="K124">
        <v>70832792.148484796</v>
      </c>
      <c r="L124">
        <v>0.95000000000000007</v>
      </c>
      <c r="M124" t="s">
        <v>4826</v>
      </c>
      <c r="N124">
        <v>1</v>
      </c>
      <c r="O124">
        <v>424.5</v>
      </c>
      <c r="P124">
        <v>409.7</v>
      </c>
      <c r="Q124">
        <v>424.5</v>
      </c>
      <c r="R124">
        <v>19892970194.700001</v>
      </c>
      <c r="S124">
        <v>0</v>
      </c>
      <c r="T124" t="s">
        <v>6242</v>
      </c>
    </row>
    <row r="125" spans="1:39" x14ac:dyDescent="0.25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646.20000000000005</v>
      </c>
      <c r="H125" t="s">
        <v>98</v>
      </c>
      <c r="I125">
        <v>254493393170.39999</v>
      </c>
      <c r="J125" t="s">
        <v>4702</v>
      </c>
      <c r="K125">
        <v>413536378.50984901</v>
      </c>
      <c r="L125">
        <v>1</v>
      </c>
      <c r="M125" t="s">
        <v>4827</v>
      </c>
      <c r="N125">
        <v>1</v>
      </c>
      <c r="O125">
        <v>689.8</v>
      </c>
      <c r="P125">
        <v>646.20000000000005</v>
      </c>
      <c r="Q125">
        <v>689.8</v>
      </c>
      <c r="R125">
        <v>271664411341.60001</v>
      </c>
      <c r="S125">
        <v>0</v>
      </c>
      <c r="T125" t="s">
        <v>6242</v>
      </c>
    </row>
    <row r="126" spans="1:39" x14ac:dyDescent="0.25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7.6123190000000003</v>
      </c>
      <c r="H126" t="s">
        <v>4692</v>
      </c>
      <c r="I126">
        <v>3170215865.7397799</v>
      </c>
      <c r="J126" t="s">
        <v>4701</v>
      </c>
      <c r="K126">
        <v>13588189.443885401</v>
      </c>
      <c r="L126">
        <v>0.75</v>
      </c>
      <c r="M126" t="s">
        <v>4828</v>
      </c>
      <c r="N126">
        <v>0.10956983000000001</v>
      </c>
      <c r="O126">
        <v>70.95</v>
      </c>
      <c r="P126">
        <v>69.7</v>
      </c>
      <c r="Q126">
        <v>7.7739794384999996</v>
      </c>
      <c r="R126">
        <v>2428155561.6495628</v>
      </c>
      <c r="S126">
        <v>0</v>
      </c>
      <c r="T126" t="s">
        <v>6244</v>
      </c>
      <c r="U126" t="s">
        <v>6245</v>
      </c>
      <c r="AJ126" t="s">
        <v>6258</v>
      </c>
    </row>
    <row r="127" spans="1:39" x14ac:dyDescent="0.25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58.56</v>
      </c>
      <c r="P127">
        <v>63.26</v>
      </c>
      <c r="Q127">
        <v>58.56</v>
      </c>
      <c r="R127">
        <v>7959698738.1599998</v>
      </c>
      <c r="S127">
        <v>0</v>
      </c>
      <c r="T127" t="s">
        <v>6242</v>
      </c>
      <c r="AJ127" t="s">
        <v>6258</v>
      </c>
    </row>
    <row r="128" spans="1:39" x14ac:dyDescent="0.25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30.689889999999998</v>
      </c>
      <c r="H128" t="s">
        <v>4693</v>
      </c>
      <c r="I128">
        <v>32379380720.456001</v>
      </c>
      <c r="J128" t="s">
        <v>4699</v>
      </c>
      <c r="K128">
        <v>37585093.407875501</v>
      </c>
      <c r="L128">
        <v>0.95</v>
      </c>
      <c r="M128" t="s">
        <v>4830</v>
      </c>
      <c r="N128">
        <v>9.1395149999999994E-2</v>
      </c>
      <c r="O128">
        <v>339.5</v>
      </c>
      <c r="P128">
        <v>341.9</v>
      </c>
      <c r="Q128">
        <v>31.028653425000002</v>
      </c>
      <c r="R128">
        <v>31099953547.13224</v>
      </c>
      <c r="S128">
        <v>0</v>
      </c>
      <c r="T128" t="s">
        <v>6242</v>
      </c>
      <c r="U128" t="s">
        <v>6245</v>
      </c>
    </row>
    <row r="129" spans="1:40" x14ac:dyDescent="0.25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26.707370000000001</v>
      </c>
      <c r="H129" t="s">
        <v>96</v>
      </c>
      <c r="I129">
        <v>19122314005.042999</v>
      </c>
      <c r="J129" t="s">
        <v>4699</v>
      </c>
      <c r="K129">
        <v>15635346.58031</v>
      </c>
      <c r="L129">
        <v>0.4</v>
      </c>
      <c r="M129" t="s">
        <v>4831</v>
      </c>
      <c r="N129">
        <v>1.156136E-2</v>
      </c>
      <c r="O129">
        <v>1970.5</v>
      </c>
      <c r="P129">
        <v>2314</v>
      </c>
      <c r="Q129">
        <v>22.781659879999999</v>
      </c>
      <c r="R129">
        <v>6524611802.3818932</v>
      </c>
      <c r="S129">
        <v>0</v>
      </c>
      <c r="T129" t="s">
        <v>6242</v>
      </c>
      <c r="AJ129" t="s">
        <v>6258</v>
      </c>
    </row>
    <row r="130" spans="1:40" x14ac:dyDescent="0.25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9.8352740000000001</v>
      </c>
      <c r="H130" t="s">
        <v>99</v>
      </c>
      <c r="I130">
        <v>17798532436.1894</v>
      </c>
      <c r="J130" t="s">
        <v>4701</v>
      </c>
      <c r="K130">
        <v>55080063.977167703</v>
      </c>
      <c r="L130">
        <v>1</v>
      </c>
      <c r="M130" t="s">
        <v>4832</v>
      </c>
      <c r="N130">
        <v>5.7743899999999999E-3</v>
      </c>
      <c r="O130">
        <v>1690.5</v>
      </c>
      <c r="P130">
        <v>1692.5</v>
      </c>
      <c r="Q130">
        <v>9.761606295</v>
      </c>
      <c r="R130">
        <v>17665218708.789219</v>
      </c>
      <c r="S130">
        <v>0</v>
      </c>
      <c r="T130" t="s">
        <v>6244</v>
      </c>
    </row>
    <row r="131" spans="1:40" x14ac:dyDescent="0.25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152.83330000000001</v>
      </c>
      <c r="H131" t="s">
        <v>97</v>
      </c>
      <c r="I131">
        <v>25403821217.695</v>
      </c>
      <c r="J131" t="s">
        <v>4700</v>
      </c>
      <c r="K131">
        <v>565501157.44998598</v>
      </c>
      <c r="L131">
        <v>0.8</v>
      </c>
      <c r="M131" t="s">
        <v>4833</v>
      </c>
      <c r="N131">
        <v>0.85273301000000001</v>
      </c>
      <c r="O131">
        <v>229.5</v>
      </c>
      <c r="P131">
        <v>179.09</v>
      </c>
      <c r="Q131">
        <v>195.702225795</v>
      </c>
      <c r="R131">
        <v>26023566099.80238</v>
      </c>
      <c r="S131">
        <v>0</v>
      </c>
      <c r="T131" t="s">
        <v>6243</v>
      </c>
      <c r="AJ131" t="s">
        <v>6258</v>
      </c>
      <c r="AN131" t="s">
        <v>6262</v>
      </c>
    </row>
    <row r="132" spans="1:40" x14ac:dyDescent="0.25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138.13040000000001</v>
      </c>
      <c r="H132" t="s">
        <v>96</v>
      </c>
      <c r="I132">
        <v>214196407811.04001</v>
      </c>
      <c r="J132" t="s">
        <v>4699</v>
      </c>
      <c r="K132">
        <v>159716281.94266301</v>
      </c>
      <c r="L132">
        <v>1</v>
      </c>
      <c r="M132" t="s">
        <v>4834</v>
      </c>
      <c r="N132">
        <v>1.156136E-2</v>
      </c>
      <c r="O132">
        <v>11794</v>
      </c>
      <c r="P132">
        <v>11968</v>
      </c>
      <c r="Q132">
        <v>136.35467983999999</v>
      </c>
      <c r="R132">
        <v>211442829456.4588</v>
      </c>
      <c r="S132">
        <v>0</v>
      </c>
      <c r="T132" t="s">
        <v>6242</v>
      </c>
    </row>
    <row r="133" spans="1:40" x14ac:dyDescent="0.25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35.218899999999998</v>
      </c>
      <c r="H133" t="s">
        <v>4691</v>
      </c>
      <c r="I133">
        <v>6843011843.0379992</v>
      </c>
      <c r="J133" t="s">
        <v>4701</v>
      </c>
      <c r="K133">
        <v>18605658.231707901</v>
      </c>
      <c r="L133">
        <v>1</v>
      </c>
      <c r="M133" t="s">
        <v>4835</v>
      </c>
      <c r="N133">
        <v>0.56652409000000004</v>
      </c>
      <c r="O133">
        <v>60.67</v>
      </c>
      <c r="P133">
        <v>63.56</v>
      </c>
      <c r="Q133">
        <v>34.371016540299998</v>
      </c>
      <c r="R133">
        <v>6678268578.5906973</v>
      </c>
      <c r="S133">
        <v>0</v>
      </c>
      <c r="T133" t="s">
        <v>6244</v>
      </c>
      <c r="U133" t="s">
        <v>6245</v>
      </c>
      <c r="AJ133" t="s">
        <v>6258</v>
      </c>
    </row>
    <row r="134" spans="1:40" x14ac:dyDescent="0.25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24.551970000000001</v>
      </c>
      <c r="H134" t="s">
        <v>97</v>
      </c>
      <c r="I134">
        <v>175556045374.04099</v>
      </c>
      <c r="J134" t="s">
        <v>4700</v>
      </c>
      <c r="K134">
        <v>760971853.12662303</v>
      </c>
      <c r="L134">
        <v>1</v>
      </c>
      <c r="M134" t="s">
        <v>4836</v>
      </c>
      <c r="N134">
        <v>0.85273301000000001</v>
      </c>
      <c r="O134">
        <v>29.57</v>
      </c>
      <c r="P134">
        <v>28.77</v>
      </c>
      <c r="Q134">
        <v>25.2153151057</v>
      </c>
      <c r="R134">
        <v>180299218466.66519</v>
      </c>
      <c r="S134">
        <v>0</v>
      </c>
      <c r="T134" t="s">
        <v>6243</v>
      </c>
    </row>
    <row r="135" spans="1:40" x14ac:dyDescent="0.25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3.0254120000000002</v>
      </c>
      <c r="H135" t="s">
        <v>4691</v>
      </c>
      <c r="I135">
        <v>4389369685.9844007</v>
      </c>
      <c r="J135" t="s">
        <v>4701</v>
      </c>
      <c r="K135">
        <v>5746134.2610252704</v>
      </c>
      <c r="L135">
        <v>0.65</v>
      </c>
      <c r="M135" t="s">
        <v>4837</v>
      </c>
      <c r="N135">
        <v>0.56652409000000004</v>
      </c>
      <c r="O135">
        <v>5.27</v>
      </c>
      <c r="P135">
        <v>5.46</v>
      </c>
      <c r="Q135">
        <v>2.9855819543000002</v>
      </c>
      <c r="R135">
        <v>2815528893.7166948</v>
      </c>
      <c r="S135">
        <v>0</v>
      </c>
      <c r="T135" t="s">
        <v>6244</v>
      </c>
      <c r="U135" t="s">
        <v>6245</v>
      </c>
      <c r="W135" t="s">
        <v>6247</v>
      </c>
      <c r="AJ135" t="s">
        <v>6258</v>
      </c>
    </row>
    <row r="136" spans="1:40" x14ac:dyDescent="0.25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45931107939.776001</v>
      </c>
      <c r="J136" t="s">
        <v>4699</v>
      </c>
      <c r="K136">
        <v>60801115.547640599</v>
      </c>
      <c r="L136">
        <v>0.75</v>
      </c>
      <c r="M136" t="s">
        <v>4838</v>
      </c>
      <c r="N136">
        <v>9.1395149999999994E-2</v>
      </c>
      <c r="O136">
        <v>157.30000000000001</v>
      </c>
      <c r="P136">
        <v>152.4</v>
      </c>
      <c r="Q136">
        <v>14.376457094999999</v>
      </c>
      <c r="R136">
        <v>36202539793.338417</v>
      </c>
      <c r="S136">
        <v>0</v>
      </c>
      <c r="T136" t="s">
        <v>6242</v>
      </c>
      <c r="U136" t="s">
        <v>6245</v>
      </c>
    </row>
    <row r="137" spans="1:40" x14ac:dyDescent="0.25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24236007280.966999</v>
      </c>
      <c r="J137" t="s">
        <v>4700</v>
      </c>
      <c r="K137">
        <v>408658431.41985297</v>
      </c>
      <c r="L137">
        <v>1</v>
      </c>
      <c r="M137" t="s">
        <v>4839</v>
      </c>
      <c r="N137">
        <v>0.85273301000000001</v>
      </c>
      <c r="O137">
        <v>174.87</v>
      </c>
      <c r="P137">
        <v>170.79</v>
      </c>
      <c r="Q137">
        <v>149.11742145869999</v>
      </c>
      <c r="R137">
        <v>24795941218.510849</v>
      </c>
      <c r="S137">
        <v>0</v>
      </c>
      <c r="T137" t="s">
        <v>6243</v>
      </c>
    </row>
    <row r="138" spans="1:40" x14ac:dyDescent="0.25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143.54839999999999</v>
      </c>
      <c r="H138" t="s">
        <v>97</v>
      </c>
      <c r="I138">
        <v>23042901635.787998</v>
      </c>
      <c r="J138" t="s">
        <v>4700</v>
      </c>
      <c r="K138">
        <v>116477847.076763</v>
      </c>
      <c r="L138">
        <v>1</v>
      </c>
      <c r="M138" t="s">
        <v>4840</v>
      </c>
      <c r="N138">
        <v>0.85273301000000001</v>
      </c>
      <c r="O138">
        <v>166.54</v>
      </c>
      <c r="P138">
        <v>168.21</v>
      </c>
      <c r="Q138">
        <v>142.01415548540001</v>
      </c>
      <c r="R138">
        <v>22796619229.051491</v>
      </c>
      <c r="S138">
        <v>0</v>
      </c>
      <c r="T138" t="s">
        <v>6243</v>
      </c>
      <c r="AH138" t="s">
        <v>6256</v>
      </c>
      <c r="AJ138" t="s">
        <v>6258</v>
      </c>
      <c r="AN138" t="s">
        <v>6262</v>
      </c>
    </row>
    <row r="139" spans="1:40" x14ac:dyDescent="0.25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3.8055119999999998</v>
      </c>
      <c r="H139" t="s">
        <v>4697</v>
      </c>
      <c r="I139">
        <v>6424119437.3591995</v>
      </c>
      <c r="J139" t="s">
        <v>4701</v>
      </c>
      <c r="K139">
        <v>5523212.6965766996</v>
      </c>
      <c r="L139">
        <v>1</v>
      </c>
      <c r="M139" t="s">
        <v>4841</v>
      </c>
      <c r="N139">
        <v>0.50771730000000004</v>
      </c>
      <c r="O139">
        <v>7.79</v>
      </c>
      <c r="P139">
        <v>7.6</v>
      </c>
      <c r="Q139">
        <v>3.955117767</v>
      </c>
      <c r="R139">
        <v>6676670294.0443802</v>
      </c>
      <c r="S139">
        <v>0</v>
      </c>
      <c r="T139" t="s">
        <v>6244</v>
      </c>
      <c r="U139" t="s">
        <v>6245</v>
      </c>
      <c r="W139" t="s">
        <v>6247</v>
      </c>
      <c r="AJ139" t="s">
        <v>6258</v>
      </c>
    </row>
    <row r="140" spans="1:40" x14ac:dyDescent="0.25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1.7897590000000001</v>
      </c>
      <c r="H140" t="s">
        <v>4691</v>
      </c>
      <c r="I140">
        <v>3132872902.9959998</v>
      </c>
      <c r="J140" t="s">
        <v>4701</v>
      </c>
      <c r="K140">
        <v>10565981.0732047</v>
      </c>
      <c r="L140">
        <v>0.95</v>
      </c>
      <c r="M140" t="s">
        <v>4842</v>
      </c>
      <c r="N140">
        <v>0.56652409000000004</v>
      </c>
      <c r="O140">
        <v>3.19</v>
      </c>
      <c r="P140">
        <v>3.23</v>
      </c>
      <c r="Q140">
        <v>1.8072118471</v>
      </c>
      <c r="R140">
        <v>3005251977.7608571</v>
      </c>
      <c r="S140">
        <v>0</v>
      </c>
      <c r="T140" t="s">
        <v>6244</v>
      </c>
      <c r="U140" t="s">
        <v>6245</v>
      </c>
      <c r="AG140" t="s">
        <v>6255</v>
      </c>
      <c r="AJ140" t="s">
        <v>6258</v>
      </c>
    </row>
    <row r="141" spans="1:40" x14ac:dyDescent="0.25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4396767411.5999994</v>
      </c>
      <c r="J141" t="s">
        <v>4703</v>
      </c>
      <c r="K141">
        <v>9828074.3000000007</v>
      </c>
      <c r="L141">
        <v>0.6</v>
      </c>
      <c r="M141" t="s">
        <v>4843</v>
      </c>
      <c r="N141">
        <v>1</v>
      </c>
      <c r="O141">
        <v>99.5</v>
      </c>
      <c r="P141">
        <v>97.8</v>
      </c>
      <c r="Q141">
        <v>99.5</v>
      </c>
      <c r="R141">
        <v>2683916303.4000001</v>
      </c>
      <c r="S141">
        <v>0</v>
      </c>
      <c r="T141" t="s">
        <v>6242</v>
      </c>
      <c r="W141" t="s">
        <v>6247</v>
      </c>
    </row>
    <row r="142" spans="1:40" x14ac:dyDescent="0.25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9.5126229999999996</v>
      </c>
      <c r="H142" t="s">
        <v>96</v>
      </c>
      <c r="I142">
        <v>8303664028.3086901</v>
      </c>
      <c r="J142" t="s">
        <v>4699</v>
      </c>
      <c r="K142">
        <v>16690453.259715701</v>
      </c>
      <c r="L142">
        <v>1</v>
      </c>
      <c r="M142" t="s">
        <v>4844</v>
      </c>
      <c r="N142">
        <v>1.156136E-2</v>
      </c>
      <c r="O142">
        <v>788</v>
      </c>
      <c r="P142">
        <v>824.2</v>
      </c>
      <c r="Q142">
        <v>9.1103516799999991</v>
      </c>
      <c r="R142">
        <v>7952517358.2993498</v>
      </c>
      <c r="S142">
        <v>0</v>
      </c>
      <c r="T142" t="s">
        <v>6242</v>
      </c>
    </row>
    <row r="143" spans="1:40" x14ac:dyDescent="0.25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7448378.7903030301</v>
      </c>
      <c r="L143">
        <v>0.6</v>
      </c>
      <c r="M143" t="s">
        <v>4845</v>
      </c>
      <c r="N143">
        <v>1</v>
      </c>
      <c r="O143">
        <v>26.6</v>
      </c>
      <c r="P143">
        <v>28.92</v>
      </c>
      <c r="Q143">
        <v>26.6</v>
      </c>
      <c r="R143">
        <v>3503515260</v>
      </c>
      <c r="S143">
        <v>0</v>
      </c>
      <c r="T143" t="s">
        <v>6242</v>
      </c>
      <c r="W143" t="s">
        <v>6247</v>
      </c>
      <c r="AJ143" t="s">
        <v>6258</v>
      </c>
      <c r="AN143" t="s">
        <v>6262</v>
      </c>
    </row>
    <row r="144" spans="1:40" x14ac:dyDescent="0.25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52989524456.963997</v>
      </c>
      <c r="J144" t="s">
        <v>4700</v>
      </c>
      <c r="K144">
        <v>404853911.12070602</v>
      </c>
      <c r="L144">
        <v>1</v>
      </c>
      <c r="M144" t="s">
        <v>4846</v>
      </c>
      <c r="N144">
        <v>0.85273301000000001</v>
      </c>
      <c r="O144">
        <v>319.04500000000002</v>
      </c>
      <c r="P144">
        <v>290.23</v>
      </c>
      <c r="Q144">
        <v>272.06020317545</v>
      </c>
      <c r="R144">
        <v>58205792300.076157</v>
      </c>
      <c r="S144">
        <v>0</v>
      </c>
      <c r="T144" t="s">
        <v>6243</v>
      </c>
    </row>
    <row r="145" spans="1:40" x14ac:dyDescent="0.25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262.80079999999998</v>
      </c>
      <c r="H145" t="s">
        <v>97</v>
      </c>
      <c r="I145">
        <v>106445663854.52</v>
      </c>
      <c r="J145" t="s">
        <v>4700</v>
      </c>
      <c r="K145">
        <v>422880491.48918098</v>
      </c>
      <c r="L145">
        <v>1</v>
      </c>
      <c r="M145" t="s">
        <v>4847</v>
      </c>
      <c r="N145">
        <v>0.85273301000000001</v>
      </c>
      <c r="O145">
        <v>293.5</v>
      </c>
      <c r="P145">
        <v>307.95</v>
      </c>
      <c r="Q145">
        <v>250.27713843500001</v>
      </c>
      <c r="R145">
        <v>101373040524.6985</v>
      </c>
      <c r="S145">
        <v>0</v>
      </c>
      <c r="T145" t="s">
        <v>6243</v>
      </c>
    </row>
    <row r="146" spans="1:40" x14ac:dyDescent="0.25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3507.9450000000002</v>
      </c>
      <c r="H146" t="s">
        <v>97</v>
      </c>
      <c r="I146">
        <v>58683408632.730003</v>
      </c>
      <c r="J146" t="s">
        <v>4700</v>
      </c>
      <c r="K146">
        <v>439989788.50696802</v>
      </c>
      <c r="L146">
        <v>1</v>
      </c>
      <c r="M146" t="s">
        <v>4848</v>
      </c>
      <c r="N146">
        <v>0.85273301000000001</v>
      </c>
      <c r="O146">
        <v>4322.1499999999996</v>
      </c>
      <c r="P146">
        <v>4110.6099999999997</v>
      </c>
      <c r="Q146">
        <v>3685.6399791714998</v>
      </c>
      <c r="R146">
        <v>61656017118.525978</v>
      </c>
      <c r="S146">
        <v>0</v>
      </c>
      <c r="T146" t="s">
        <v>6243</v>
      </c>
      <c r="AJ146" t="s">
        <v>6258</v>
      </c>
    </row>
    <row r="147" spans="1:40" x14ac:dyDescent="0.25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23526375195.990002</v>
      </c>
      <c r="J147" t="s">
        <v>4700</v>
      </c>
      <c r="K147">
        <v>157214741.98396</v>
      </c>
      <c r="L147">
        <v>1</v>
      </c>
      <c r="M147" t="s">
        <v>4849</v>
      </c>
      <c r="N147">
        <v>0.85273301000000001</v>
      </c>
      <c r="O147">
        <v>195.15</v>
      </c>
      <c r="P147">
        <v>193.62</v>
      </c>
      <c r="Q147">
        <v>166.41084690150001</v>
      </c>
      <c r="R147">
        <v>23694080606.701679</v>
      </c>
      <c r="S147">
        <v>0</v>
      </c>
      <c r="T147" t="s">
        <v>6243</v>
      </c>
      <c r="AN147" t="s">
        <v>6262</v>
      </c>
    </row>
    <row r="148" spans="1:40" x14ac:dyDescent="0.25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31.982469999999999</v>
      </c>
      <c r="H148" t="s">
        <v>4693</v>
      </c>
      <c r="I148">
        <v>5028826036.2665005</v>
      </c>
      <c r="J148" t="s">
        <v>4699</v>
      </c>
      <c r="K148">
        <v>7630493.0422891397</v>
      </c>
      <c r="L148">
        <v>0.75</v>
      </c>
      <c r="M148" t="s">
        <v>4850</v>
      </c>
      <c r="N148">
        <v>9.1395149999999994E-2</v>
      </c>
      <c r="O148">
        <v>342.3</v>
      </c>
      <c r="P148">
        <v>356.3</v>
      </c>
      <c r="Q148">
        <v>31.284559845</v>
      </c>
      <c r="R148">
        <v>3689316579.0902038</v>
      </c>
      <c r="S148">
        <v>0</v>
      </c>
      <c r="T148" t="s">
        <v>6242</v>
      </c>
      <c r="U148" t="s">
        <v>6245</v>
      </c>
      <c r="W148" t="s">
        <v>6247</v>
      </c>
    </row>
    <row r="149" spans="1:40" x14ac:dyDescent="0.25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7.7629099999999998</v>
      </c>
      <c r="H149" t="s">
        <v>96</v>
      </c>
      <c r="I149">
        <v>23731631185.685001</v>
      </c>
      <c r="J149" t="s">
        <v>4699</v>
      </c>
      <c r="K149">
        <v>35787704.526887201</v>
      </c>
      <c r="L149">
        <v>1</v>
      </c>
      <c r="M149" t="s">
        <v>4851</v>
      </c>
      <c r="N149">
        <v>1.156136E-2</v>
      </c>
      <c r="O149">
        <v>670.2</v>
      </c>
      <c r="P149">
        <v>672.6</v>
      </c>
      <c r="Q149">
        <v>7.7484234720000007</v>
      </c>
      <c r="R149">
        <v>23687345094.55975</v>
      </c>
      <c r="S149">
        <v>0</v>
      </c>
      <c r="T149" t="s">
        <v>6242</v>
      </c>
    </row>
    <row r="150" spans="1:40" x14ac:dyDescent="0.25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49.294319999999999</v>
      </c>
      <c r="H150" t="s">
        <v>4694</v>
      </c>
      <c r="I150">
        <v>7222094556.0743999</v>
      </c>
      <c r="J150" t="s">
        <v>4699</v>
      </c>
      <c r="K150">
        <v>13202174.391292101</v>
      </c>
      <c r="L150">
        <v>0.7</v>
      </c>
      <c r="M150" t="s">
        <v>4852</v>
      </c>
      <c r="N150">
        <v>1.07032003</v>
      </c>
      <c r="O150">
        <v>45.64</v>
      </c>
      <c r="P150">
        <v>46.3</v>
      </c>
      <c r="Q150">
        <v>48.849406169200002</v>
      </c>
      <c r="R150">
        <v>5009837264.2818184</v>
      </c>
      <c r="S150">
        <v>0</v>
      </c>
      <c r="T150" t="s">
        <v>6242</v>
      </c>
      <c r="U150" t="s">
        <v>6245</v>
      </c>
    </row>
    <row r="151" spans="1:40" x14ac:dyDescent="0.25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92344609946.390015</v>
      </c>
      <c r="J151" t="s">
        <v>4702</v>
      </c>
      <c r="K151">
        <v>151307129.698939</v>
      </c>
      <c r="L151">
        <v>0.85000000000000009</v>
      </c>
      <c r="M151" t="s">
        <v>4853</v>
      </c>
      <c r="N151">
        <v>1</v>
      </c>
      <c r="O151">
        <v>40.21</v>
      </c>
      <c r="P151">
        <v>42.59</v>
      </c>
      <c r="Q151">
        <v>40.21</v>
      </c>
      <c r="R151">
        <v>74106603687.548508</v>
      </c>
      <c r="S151">
        <v>1</v>
      </c>
      <c r="T151" t="s">
        <v>6242</v>
      </c>
      <c r="AJ151" t="s">
        <v>6258</v>
      </c>
    </row>
    <row r="152" spans="1:40" x14ac:dyDescent="0.25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27.593070000000001</v>
      </c>
      <c r="H152" t="s">
        <v>4693</v>
      </c>
      <c r="I152">
        <v>5983370976.2775002</v>
      </c>
      <c r="J152" t="s">
        <v>4699</v>
      </c>
      <c r="K152">
        <v>5638464.5209983503</v>
      </c>
      <c r="L152">
        <v>0.5</v>
      </c>
      <c r="M152" t="s">
        <v>4854</v>
      </c>
      <c r="N152">
        <v>9.1395149999999994E-2</v>
      </c>
      <c r="O152">
        <v>304.10000000000002</v>
      </c>
      <c r="P152">
        <v>307.39999999999998</v>
      </c>
      <c r="Q152">
        <v>27.793265115000001</v>
      </c>
      <c r="R152">
        <v>3013390967.8241119</v>
      </c>
      <c r="S152">
        <v>0</v>
      </c>
      <c r="T152" t="s">
        <v>6242</v>
      </c>
      <c r="U152" t="s">
        <v>6245</v>
      </c>
      <c r="W152" t="s">
        <v>6247</v>
      </c>
      <c r="AJ152" t="s">
        <v>6258</v>
      </c>
    </row>
    <row r="153" spans="1:40" x14ac:dyDescent="0.25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428938684.11108297</v>
      </c>
      <c r="L153">
        <v>0.95</v>
      </c>
      <c r="M153" t="s">
        <v>4855</v>
      </c>
      <c r="N153">
        <v>0.85273301000000001</v>
      </c>
      <c r="O153">
        <v>756.13</v>
      </c>
      <c r="P153">
        <v>766.24</v>
      </c>
      <c r="Q153">
        <v>644.77701085130002</v>
      </c>
      <c r="R153">
        <v>48086965253.667473</v>
      </c>
      <c r="S153">
        <v>0</v>
      </c>
      <c r="T153" t="s">
        <v>6243</v>
      </c>
      <c r="AJ153" t="s">
        <v>6258</v>
      </c>
    </row>
    <row r="154" spans="1:40" x14ac:dyDescent="0.25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8234961114.2399998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9.9</v>
      </c>
      <c r="P154">
        <v>10.08</v>
      </c>
      <c r="Q154">
        <v>9.9</v>
      </c>
      <c r="R154">
        <v>2830767883.02</v>
      </c>
      <c r="S154">
        <v>1</v>
      </c>
      <c r="T154" t="s">
        <v>6242</v>
      </c>
      <c r="W154" t="s">
        <v>6247</v>
      </c>
    </row>
    <row r="155" spans="1:40" x14ac:dyDescent="0.25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8.6120389999999993</v>
      </c>
      <c r="H155" t="s">
        <v>99</v>
      </c>
      <c r="I155">
        <v>4662323150.4168596</v>
      </c>
      <c r="J155" t="s">
        <v>4701</v>
      </c>
      <c r="K155">
        <v>10634406.982433001</v>
      </c>
      <c r="L155">
        <v>0.9</v>
      </c>
      <c r="M155" t="s">
        <v>4857</v>
      </c>
      <c r="N155">
        <v>5.7743899999999999E-3</v>
      </c>
      <c r="O155">
        <v>1473</v>
      </c>
      <c r="P155">
        <v>1482</v>
      </c>
      <c r="Q155">
        <v>8.5056764699999992</v>
      </c>
      <c r="R155">
        <v>4144267238.5056839</v>
      </c>
      <c r="S155">
        <v>0</v>
      </c>
      <c r="T155" t="s">
        <v>6244</v>
      </c>
    </row>
    <row r="156" spans="1:40" x14ac:dyDescent="0.25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3288064772.1199999</v>
      </c>
      <c r="J156" t="s">
        <v>4703</v>
      </c>
      <c r="K156">
        <v>4259095.2675000001</v>
      </c>
      <c r="L156">
        <v>0.70000000000000007</v>
      </c>
      <c r="M156" t="s">
        <v>4858</v>
      </c>
      <c r="N156">
        <v>1</v>
      </c>
      <c r="O156">
        <v>11.87</v>
      </c>
      <c r="P156">
        <v>13.48</v>
      </c>
      <c r="Q156">
        <v>11.87</v>
      </c>
      <c r="R156">
        <v>2026745563.171</v>
      </c>
      <c r="S156">
        <v>0</v>
      </c>
      <c r="T156" t="s">
        <v>6242</v>
      </c>
      <c r="W156" t="s">
        <v>6247</v>
      </c>
      <c r="AJ156" t="s">
        <v>6258</v>
      </c>
    </row>
    <row r="157" spans="1:40" x14ac:dyDescent="0.25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4523977015.2600002</v>
      </c>
      <c r="J157" t="s">
        <v>4702</v>
      </c>
      <c r="K157">
        <v>20740987.250153799</v>
      </c>
      <c r="L157">
        <v>0.8</v>
      </c>
      <c r="M157" t="s">
        <v>4859</v>
      </c>
      <c r="N157">
        <v>1</v>
      </c>
      <c r="O157">
        <v>30.7</v>
      </c>
      <c r="P157">
        <v>31.58</v>
      </c>
      <c r="Q157">
        <v>30.7</v>
      </c>
      <c r="R157">
        <v>3518330446.3200002</v>
      </c>
      <c r="S157">
        <v>0</v>
      </c>
      <c r="T157" t="s">
        <v>6242</v>
      </c>
      <c r="AJ157" t="s">
        <v>6258</v>
      </c>
    </row>
    <row r="158" spans="1:40" x14ac:dyDescent="0.25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11637772263.040001</v>
      </c>
      <c r="J158" t="s">
        <v>4702</v>
      </c>
      <c r="K158">
        <v>50191471.660763703</v>
      </c>
      <c r="L158">
        <v>0.60000000000000009</v>
      </c>
      <c r="M158" t="s">
        <v>4860</v>
      </c>
      <c r="N158">
        <v>1</v>
      </c>
      <c r="O158">
        <v>0.71699999999999997</v>
      </c>
      <c r="P158">
        <v>0.77</v>
      </c>
      <c r="Q158">
        <v>0.71699999999999997</v>
      </c>
      <c r="R158">
        <v>6502038477.3504009</v>
      </c>
      <c r="S158">
        <v>0</v>
      </c>
      <c r="T158" t="s">
        <v>6242</v>
      </c>
      <c r="AJ158" t="s">
        <v>6258</v>
      </c>
    </row>
    <row r="159" spans="1:40" x14ac:dyDescent="0.25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11.541639999999999</v>
      </c>
      <c r="H159" t="s">
        <v>96</v>
      </c>
      <c r="I159">
        <v>5817853337.1639996</v>
      </c>
      <c r="J159" t="s">
        <v>4699</v>
      </c>
      <c r="K159">
        <v>18009086.312593602</v>
      </c>
      <c r="L159">
        <v>0.95</v>
      </c>
      <c r="M159" t="s">
        <v>4861</v>
      </c>
      <c r="N159">
        <v>1.156136E-2</v>
      </c>
      <c r="O159">
        <v>1157</v>
      </c>
      <c r="P159">
        <v>1000</v>
      </c>
      <c r="Q159">
        <v>13.37649352</v>
      </c>
      <c r="R159">
        <v>6405619443.3061838</v>
      </c>
      <c r="S159">
        <v>0</v>
      </c>
      <c r="T159" t="s">
        <v>6242</v>
      </c>
      <c r="AA159" t="s">
        <v>6249</v>
      </c>
      <c r="AC159" t="s">
        <v>6251</v>
      </c>
    </row>
    <row r="160" spans="1:40" x14ac:dyDescent="0.25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20.359459999999999</v>
      </c>
      <c r="H160" t="s">
        <v>96</v>
      </c>
      <c r="I160">
        <v>61237434209.357986</v>
      </c>
      <c r="J160" t="s">
        <v>4699</v>
      </c>
      <c r="K160">
        <v>101790759.11802401</v>
      </c>
      <c r="L160">
        <v>1</v>
      </c>
      <c r="M160" t="s">
        <v>4862</v>
      </c>
      <c r="N160">
        <v>1.156136E-2</v>
      </c>
      <c r="O160">
        <v>1981</v>
      </c>
      <c r="P160">
        <v>1764</v>
      </c>
      <c r="Q160">
        <v>22.90305416</v>
      </c>
      <c r="R160">
        <v>68888088010.014175</v>
      </c>
      <c r="S160">
        <v>0</v>
      </c>
      <c r="T160" t="s">
        <v>6242</v>
      </c>
      <c r="AA160" t="s">
        <v>6249</v>
      </c>
      <c r="AC160" t="s">
        <v>6251</v>
      </c>
      <c r="AD160" t="s">
        <v>6252</v>
      </c>
      <c r="AE160" t="s">
        <v>6253</v>
      </c>
      <c r="AF160" t="s">
        <v>6254</v>
      </c>
    </row>
    <row r="161" spans="1:40" x14ac:dyDescent="0.25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37658256855.206001</v>
      </c>
      <c r="J161" t="s">
        <v>4700</v>
      </c>
      <c r="K161">
        <v>253917802.32297701</v>
      </c>
      <c r="L161">
        <v>1</v>
      </c>
      <c r="M161" t="s">
        <v>4863</v>
      </c>
      <c r="N161">
        <v>0.85273301000000001</v>
      </c>
      <c r="O161">
        <v>46.49</v>
      </c>
      <c r="P161">
        <v>44.76</v>
      </c>
      <c r="Q161">
        <v>39.643557634900013</v>
      </c>
      <c r="R161">
        <v>39083756904.071228</v>
      </c>
      <c r="S161">
        <v>0</v>
      </c>
      <c r="T161" t="s">
        <v>6243</v>
      </c>
      <c r="AJ161" t="s">
        <v>6258</v>
      </c>
    </row>
    <row r="162" spans="1:40" x14ac:dyDescent="0.25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6.8153410000000001</v>
      </c>
      <c r="H162" t="s">
        <v>96</v>
      </c>
      <c r="I162">
        <v>3398288501.5794001</v>
      </c>
      <c r="J162" t="s">
        <v>4699</v>
      </c>
      <c r="K162">
        <v>4811454.1941427598</v>
      </c>
      <c r="L162">
        <v>1</v>
      </c>
      <c r="M162" t="s">
        <v>4864</v>
      </c>
      <c r="N162">
        <v>1.156136E-2</v>
      </c>
      <c r="O162">
        <v>620</v>
      </c>
      <c r="P162">
        <v>590.5</v>
      </c>
      <c r="Q162">
        <v>7.1680431999999996</v>
      </c>
      <c r="R162">
        <v>3574154071.7308798</v>
      </c>
      <c r="S162">
        <v>0</v>
      </c>
      <c r="T162" t="s">
        <v>6242</v>
      </c>
      <c r="W162" t="s">
        <v>6247</v>
      </c>
      <c r="AN162" t="s">
        <v>6262</v>
      </c>
    </row>
    <row r="163" spans="1:40" x14ac:dyDescent="0.25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231.03389999999999</v>
      </c>
      <c r="H163" t="s">
        <v>4694</v>
      </c>
      <c r="I163">
        <v>10581352620</v>
      </c>
      <c r="J163" t="s">
        <v>4699</v>
      </c>
      <c r="K163">
        <v>13995740.709559901</v>
      </c>
      <c r="L163">
        <v>0.9</v>
      </c>
      <c r="M163" t="s">
        <v>4865</v>
      </c>
      <c r="N163">
        <v>1.07032003</v>
      </c>
      <c r="O163">
        <v>200.2</v>
      </c>
      <c r="P163">
        <v>217</v>
      </c>
      <c r="Q163">
        <v>214.27807000600001</v>
      </c>
      <c r="R163">
        <v>8832542045.6473198</v>
      </c>
      <c r="S163">
        <v>0</v>
      </c>
      <c r="T163" t="s">
        <v>6242</v>
      </c>
      <c r="U163" t="s">
        <v>6245</v>
      </c>
      <c r="AJ163" t="s">
        <v>6258</v>
      </c>
    </row>
    <row r="164" spans="1:40" x14ac:dyDescent="0.25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5994488978.0999994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49.96</v>
      </c>
      <c r="P164">
        <v>51.3</v>
      </c>
      <c r="Q164">
        <v>49.96</v>
      </c>
      <c r="R164">
        <v>2627058503.0339999</v>
      </c>
      <c r="S164">
        <v>0</v>
      </c>
      <c r="T164" t="s">
        <v>6242</v>
      </c>
      <c r="AJ164" t="s">
        <v>6258</v>
      </c>
    </row>
    <row r="165" spans="1:40" x14ac:dyDescent="0.25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17.510000000000002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17.34</v>
      </c>
      <c r="P165">
        <v>17.510000000000002</v>
      </c>
      <c r="Q165">
        <v>17.34</v>
      </c>
      <c r="R165">
        <v>3877500005.9820008</v>
      </c>
      <c r="S165">
        <v>0</v>
      </c>
      <c r="T165" t="s">
        <v>6242</v>
      </c>
      <c r="AJ165" t="s">
        <v>6258</v>
      </c>
    </row>
    <row r="166" spans="1:40" x14ac:dyDescent="0.25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0.60000000000000009</v>
      </c>
      <c r="M166" t="s">
        <v>4868</v>
      </c>
      <c r="N166">
        <v>1</v>
      </c>
      <c r="O166">
        <v>8.3659999999999997</v>
      </c>
      <c r="P166">
        <v>8.298</v>
      </c>
      <c r="Q166">
        <v>8.3659999999999997</v>
      </c>
      <c r="R166">
        <v>6323138448.2376013</v>
      </c>
      <c r="S166">
        <v>0</v>
      </c>
      <c r="T166" t="s">
        <v>6242</v>
      </c>
      <c r="AJ166" t="s">
        <v>6258</v>
      </c>
    </row>
    <row r="167" spans="1:40" x14ac:dyDescent="0.25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18280672350.189999</v>
      </c>
      <c r="J167" t="s">
        <v>4702</v>
      </c>
      <c r="K167">
        <v>69449114.914223105</v>
      </c>
      <c r="L167">
        <v>0.75</v>
      </c>
      <c r="M167" t="s">
        <v>4869</v>
      </c>
      <c r="N167">
        <v>1</v>
      </c>
      <c r="O167">
        <v>12.56</v>
      </c>
      <c r="P167">
        <v>12.065</v>
      </c>
      <c r="Q167">
        <v>12.56</v>
      </c>
      <c r="R167">
        <v>14273015626.92</v>
      </c>
      <c r="S167">
        <v>0</v>
      </c>
      <c r="T167" t="s">
        <v>6242</v>
      </c>
      <c r="AJ167" t="s">
        <v>6258</v>
      </c>
    </row>
    <row r="168" spans="1:40" x14ac:dyDescent="0.25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3.4209999999999998</v>
      </c>
      <c r="H168" t="s">
        <v>98</v>
      </c>
      <c r="I168">
        <v>18091033119.5</v>
      </c>
      <c r="J168" t="s">
        <v>4702</v>
      </c>
      <c r="K168">
        <v>44750784.057454497</v>
      </c>
      <c r="L168">
        <v>1</v>
      </c>
      <c r="M168" t="s">
        <v>4870</v>
      </c>
      <c r="N168">
        <v>1</v>
      </c>
      <c r="O168">
        <v>3.3820000000000001</v>
      </c>
      <c r="P168">
        <v>3.4209999999999998</v>
      </c>
      <c r="Q168">
        <v>3.3820000000000001</v>
      </c>
      <c r="R168">
        <v>17884792169</v>
      </c>
      <c r="S168">
        <v>0</v>
      </c>
      <c r="T168" t="s">
        <v>6242</v>
      </c>
      <c r="AJ168" t="s">
        <v>6258</v>
      </c>
    </row>
    <row r="169" spans="1:40" x14ac:dyDescent="0.25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8.3160000000000007</v>
      </c>
      <c r="H169" t="s">
        <v>98</v>
      </c>
      <c r="I169">
        <v>123786362700</v>
      </c>
      <c r="J169" t="s">
        <v>4702</v>
      </c>
      <c r="K169">
        <v>169193106.19599199</v>
      </c>
      <c r="L169">
        <v>1</v>
      </c>
      <c r="M169" t="s">
        <v>4871</v>
      </c>
      <c r="N169">
        <v>1</v>
      </c>
      <c r="O169">
        <v>8.49</v>
      </c>
      <c r="P169">
        <v>8.3160000000000007</v>
      </c>
      <c r="Q169">
        <v>8.49</v>
      </c>
      <c r="R169">
        <v>126376409250</v>
      </c>
      <c r="S169">
        <v>0</v>
      </c>
      <c r="T169" t="s">
        <v>6242</v>
      </c>
      <c r="AJ169" t="s">
        <v>6258</v>
      </c>
    </row>
    <row r="170" spans="1:40" x14ac:dyDescent="0.25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72423626.383322999</v>
      </c>
      <c r="L170">
        <v>1</v>
      </c>
      <c r="M170" t="s">
        <v>4872</v>
      </c>
      <c r="N170">
        <v>5.7743899999999999E-3</v>
      </c>
      <c r="O170">
        <v>5018</v>
      </c>
      <c r="P170">
        <v>5455</v>
      </c>
      <c r="Q170">
        <v>28.97588902</v>
      </c>
      <c r="R170">
        <v>18834327863</v>
      </c>
      <c r="S170">
        <v>0</v>
      </c>
      <c r="T170" t="s">
        <v>6244</v>
      </c>
    </row>
    <row r="171" spans="1:40" x14ac:dyDescent="0.25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87.506399999999999</v>
      </c>
      <c r="H171" t="s">
        <v>97</v>
      </c>
      <c r="I171">
        <v>61713087041.375999</v>
      </c>
      <c r="J171" t="s">
        <v>4700</v>
      </c>
      <c r="K171">
        <v>327498745.54878598</v>
      </c>
      <c r="L171">
        <v>1</v>
      </c>
      <c r="M171" t="s">
        <v>4873</v>
      </c>
      <c r="N171">
        <v>0.85273301000000001</v>
      </c>
      <c r="O171">
        <v>106.48</v>
      </c>
      <c r="P171">
        <v>102.54</v>
      </c>
      <c r="Q171">
        <v>90.799010904799999</v>
      </c>
      <c r="R171">
        <v>64035170721.670311</v>
      </c>
      <c r="S171">
        <v>0</v>
      </c>
      <c r="T171" t="s">
        <v>6243</v>
      </c>
      <c r="AJ171" t="s">
        <v>6258</v>
      </c>
    </row>
    <row r="172" spans="1:40" x14ac:dyDescent="0.25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42.225639999999999</v>
      </c>
      <c r="H172" t="s">
        <v>97</v>
      </c>
      <c r="I172">
        <v>312763090188.77197</v>
      </c>
      <c r="J172" t="s">
        <v>4700</v>
      </c>
      <c r="K172">
        <v>1543274831.2206099</v>
      </c>
      <c r="L172">
        <v>0.9</v>
      </c>
      <c r="M172" t="s">
        <v>4874</v>
      </c>
      <c r="N172">
        <v>0.85273301000000001</v>
      </c>
      <c r="O172">
        <v>50.58</v>
      </c>
      <c r="P172">
        <v>49.48</v>
      </c>
      <c r="Q172">
        <v>43.131235645799997</v>
      </c>
      <c r="R172">
        <v>287523710471.08978</v>
      </c>
      <c r="S172">
        <v>0</v>
      </c>
      <c r="T172" t="s">
        <v>6243</v>
      </c>
      <c r="AJ172" t="s">
        <v>6258</v>
      </c>
    </row>
    <row r="173" spans="1:40" x14ac:dyDescent="0.25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21181348.662354499</v>
      </c>
      <c r="L173">
        <v>0.95000000000000007</v>
      </c>
      <c r="M173" t="s">
        <v>4875</v>
      </c>
      <c r="N173">
        <v>1</v>
      </c>
      <c r="O173">
        <v>13.45</v>
      </c>
      <c r="P173">
        <v>13.19</v>
      </c>
      <c r="Q173">
        <v>13.45</v>
      </c>
      <c r="R173">
        <v>12264368824.7125</v>
      </c>
      <c r="S173">
        <v>0</v>
      </c>
      <c r="T173" t="s">
        <v>6242</v>
      </c>
    </row>
    <row r="174" spans="1:40" x14ac:dyDescent="0.25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97.882530000000003</v>
      </c>
      <c r="H174" t="s">
        <v>100</v>
      </c>
      <c r="I174">
        <v>70678110870.172195</v>
      </c>
      <c r="J174" t="s">
        <v>4700</v>
      </c>
      <c r="K174">
        <v>221356503.57827201</v>
      </c>
      <c r="L174">
        <v>1</v>
      </c>
      <c r="M174" t="s">
        <v>4876</v>
      </c>
      <c r="N174">
        <v>0.61572563000000002</v>
      </c>
      <c r="O174">
        <v>174.93</v>
      </c>
      <c r="P174">
        <v>158.68</v>
      </c>
      <c r="Q174">
        <v>107.70888445590001</v>
      </c>
      <c r="R174">
        <v>77773433903.64621</v>
      </c>
      <c r="S174">
        <v>0</v>
      </c>
      <c r="T174" t="s">
        <v>6243</v>
      </c>
      <c r="AJ174" t="s">
        <v>6258</v>
      </c>
    </row>
    <row r="175" spans="1:40" x14ac:dyDescent="0.25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49.163330000000002</v>
      </c>
      <c r="H175" t="s">
        <v>100</v>
      </c>
      <c r="I175">
        <v>61236516438.089996</v>
      </c>
      <c r="J175" t="s">
        <v>4700</v>
      </c>
      <c r="K175">
        <v>212959735.14839199</v>
      </c>
      <c r="L175">
        <v>1</v>
      </c>
      <c r="M175" t="s">
        <v>4877</v>
      </c>
      <c r="N175">
        <v>0.61572563000000002</v>
      </c>
      <c r="O175">
        <v>87.74</v>
      </c>
      <c r="P175">
        <v>79.7</v>
      </c>
      <c r="Q175">
        <v>54.023766776199999</v>
      </c>
      <c r="R175">
        <v>67290545254.731758</v>
      </c>
      <c r="S175">
        <v>0</v>
      </c>
      <c r="T175" t="s">
        <v>6243</v>
      </c>
      <c r="AJ175" t="s">
        <v>6258</v>
      </c>
    </row>
    <row r="176" spans="1:40" x14ac:dyDescent="0.25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4.4439209999999996</v>
      </c>
      <c r="H176" t="s">
        <v>4691</v>
      </c>
      <c r="I176">
        <v>2939518201.9095001</v>
      </c>
      <c r="J176" t="s">
        <v>4701</v>
      </c>
      <c r="K176">
        <v>6679965.6473105</v>
      </c>
      <c r="L176">
        <v>1</v>
      </c>
      <c r="M176" t="s">
        <v>4878</v>
      </c>
      <c r="N176">
        <v>0.56652409000000004</v>
      </c>
      <c r="O176">
        <v>7.08</v>
      </c>
      <c r="P176">
        <v>8.02</v>
      </c>
      <c r="Q176">
        <v>4.0109905572000004</v>
      </c>
      <c r="R176">
        <v>2653147918.3758059</v>
      </c>
      <c r="S176">
        <v>0</v>
      </c>
      <c r="T176" t="s">
        <v>6244</v>
      </c>
      <c r="U176" t="s">
        <v>6245</v>
      </c>
      <c r="W176" t="s">
        <v>6247</v>
      </c>
      <c r="AJ176" t="s">
        <v>6258</v>
      </c>
      <c r="AN176" t="s">
        <v>6262</v>
      </c>
    </row>
    <row r="177" spans="1:40" x14ac:dyDescent="0.25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28271630.008030299</v>
      </c>
      <c r="L177">
        <v>0.7</v>
      </c>
      <c r="M177" t="s">
        <v>4879</v>
      </c>
      <c r="N177">
        <v>1</v>
      </c>
      <c r="O177">
        <v>13.1</v>
      </c>
      <c r="P177">
        <v>13.225</v>
      </c>
      <c r="Q177">
        <v>13.1</v>
      </c>
      <c r="R177">
        <v>8242602595.499999</v>
      </c>
      <c r="S177">
        <v>0</v>
      </c>
      <c r="T177" t="s">
        <v>6242</v>
      </c>
      <c r="AJ177" t="s">
        <v>6258</v>
      </c>
    </row>
    <row r="178" spans="1:40" x14ac:dyDescent="0.25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4.3448520000000004</v>
      </c>
      <c r="H178" t="s">
        <v>96</v>
      </c>
      <c r="I178">
        <v>61124498907.816002</v>
      </c>
      <c r="J178" t="s">
        <v>4699</v>
      </c>
      <c r="K178">
        <v>102125098.924392</v>
      </c>
      <c r="L178">
        <v>1</v>
      </c>
      <c r="M178" t="s">
        <v>4880</v>
      </c>
      <c r="N178">
        <v>1.156136E-2</v>
      </c>
      <c r="O178">
        <v>380.1</v>
      </c>
      <c r="P178">
        <v>376.45</v>
      </c>
      <c r="Q178">
        <v>4.3944729360000014</v>
      </c>
      <c r="R178">
        <v>61822579037.665497</v>
      </c>
      <c r="S178">
        <v>0</v>
      </c>
      <c r="T178" t="s">
        <v>6242</v>
      </c>
      <c r="AJ178" t="s">
        <v>6258</v>
      </c>
    </row>
    <row r="179" spans="1:40" x14ac:dyDescent="0.25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4.3742830000000001</v>
      </c>
      <c r="H179" t="s">
        <v>96</v>
      </c>
      <c r="I179">
        <v>6281981304.2544003</v>
      </c>
      <c r="J179" t="s">
        <v>4699</v>
      </c>
      <c r="K179">
        <v>17748371.680870701</v>
      </c>
      <c r="L179">
        <v>0.95</v>
      </c>
      <c r="M179" t="s">
        <v>4881</v>
      </c>
      <c r="N179">
        <v>1.156136E-2</v>
      </c>
      <c r="O179">
        <v>368.3</v>
      </c>
      <c r="P179">
        <v>379</v>
      </c>
      <c r="Q179">
        <v>4.2580488880000003</v>
      </c>
      <c r="R179">
        <v>5809302766.114213</v>
      </c>
      <c r="S179">
        <v>0</v>
      </c>
      <c r="T179" t="s">
        <v>6242</v>
      </c>
    </row>
    <row r="180" spans="1:40" x14ac:dyDescent="0.25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22.360990000000001</v>
      </c>
      <c r="H180" t="s">
        <v>100</v>
      </c>
      <c r="I180">
        <v>38448783143.419998</v>
      </c>
      <c r="J180" t="s">
        <v>4700</v>
      </c>
      <c r="K180">
        <v>75738598.563961893</v>
      </c>
      <c r="L180">
        <v>1</v>
      </c>
      <c r="M180" t="s">
        <v>4882</v>
      </c>
      <c r="N180">
        <v>0.61572563000000002</v>
      </c>
      <c r="O180">
        <v>40.22</v>
      </c>
      <c r="P180">
        <v>36.25</v>
      </c>
      <c r="Q180">
        <v>24.764484838600001</v>
      </c>
      <c r="R180">
        <v>42581491571.609482</v>
      </c>
      <c r="S180">
        <v>0</v>
      </c>
      <c r="T180" t="s">
        <v>6243</v>
      </c>
      <c r="AJ180" t="s">
        <v>6258</v>
      </c>
    </row>
    <row r="181" spans="1:40" x14ac:dyDescent="0.25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1128.5530000000001</v>
      </c>
      <c r="H181" t="s">
        <v>4694</v>
      </c>
      <c r="I181">
        <v>6194467162.4740009</v>
      </c>
      <c r="J181" t="s">
        <v>4699</v>
      </c>
      <c r="K181">
        <v>18583178.683152299</v>
      </c>
      <c r="L181">
        <v>0.7</v>
      </c>
      <c r="M181" t="s">
        <v>4883</v>
      </c>
      <c r="N181">
        <v>1.07032003</v>
      </c>
      <c r="O181">
        <v>1150</v>
      </c>
      <c r="P181">
        <v>1060</v>
      </c>
      <c r="Q181">
        <v>1230.8680345</v>
      </c>
      <c r="R181">
        <v>4729241900.6767206</v>
      </c>
      <c r="S181">
        <v>0</v>
      </c>
      <c r="T181" t="s">
        <v>6242</v>
      </c>
      <c r="U181" t="s">
        <v>6245</v>
      </c>
      <c r="AN181" t="s">
        <v>6262</v>
      </c>
    </row>
    <row r="182" spans="1:40" x14ac:dyDescent="0.25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112872825.32583299</v>
      </c>
      <c r="L182">
        <v>1</v>
      </c>
      <c r="M182" t="s">
        <v>4884</v>
      </c>
      <c r="N182">
        <v>1</v>
      </c>
      <c r="O182">
        <v>43.86</v>
      </c>
      <c r="P182">
        <v>48.06</v>
      </c>
      <c r="Q182">
        <v>43.86</v>
      </c>
      <c r="R182">
        <v>39204475914</v>
      </c>
      <c r="S182">
        <v>0</v>
      </c>
      <c r="T182" t="s">
        <v>6242</v>
      </c>
      <c r="AJ182" t="s">
        <v>6258</v>
      </c>
    </row>
    <row r="183" spans="1:40" x14ac:dyDescent="0.25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12848583.212878801</v>
      </c>
      <c r="L183">
        <v>1</v>
      </c>
      <c r="M183" t="s">
        <v>4885</v>
      </c>
      <c r="N183">
        <v>1</v>
      </c>
      <c r="O183">
        <v>112.4</v>
      </c>
      <c r="P183">
        <v>114.4</v>
      </c>
      <c r="Q183">
        <v>112.4</v>
      </c>
      <c r="R183">
        <v>8834640000</v>
      </c>
      <c r="S183">
        <v>0</v>
      </c>
      <c r="T183" t="s">
        <v>6242</v>
      </c>
      <c r="AJ183" t="s">
        <v>6258</v>
      </c>
    </row>
    <row r="184" spans="1:40" x14ac:dyDescent="0.25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49.772010000000002</v>
      </c>
      <c r="H184" t="s">
        <v>99</v>
      </c>
      <c r="I184">
        <v>7735137754.9140015</v>
      </c>
      <c r="J184" t="s">
        <v>4701</v>
      </c>
      <c r="K184">
        <v>52029547.020940296</v>
      </c>
      <c r="L184">
        <v>0.95</v>
      </c>
      <c r="M184" t="s">
        <v>4886</v>
      </c>
      <c r="N184">
        <v>5.7743899999999999E-3</v>
      </c>
      <c r="O184">
        <v>8490</v>
      </c>
      <c r="P184">
        <v>8565</v>
      </c>
      <c r="Q184">
        <v>49.024571100000003</v>
      </c>
      <c r="R184">
        <v>7238028367.598012</v>
      </c>
      <c r="S184">
        <v>0</v>
      </c>
      <c r="T184" t="s">
        <v>6244</v>
      </c>
    </row>
    <row r="185" spans="1:40" x14ac:dyDescent="0.25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81132310.308333293</v>
      </c>
      <c r="L185">
        <v>1</v>
      </c>
      <c r="M185" t="s">
        <v>4887</v>
      </c>
      <c r="N185">
        <v>1</v>
      </c>
      <c r="O185">
        <v>28.07</v>
      </c>
      <c r="P185">
        <v>28.555</v>
      </c>
      <c r="Q185">
        <v>28.07</v>
      </c>
      <c r="R185">
        <v>27576644487</v>
      </c>
      <c r="S185">
        <v>0</v>
      </c>
      <c r="T185" t="s">
        <v>6242</v>
      </c>
      <c r="AF185" t="s">
        <v>6254</v>
      </c>
    </row>
    <row r="186" spans="1:40" x14ac:dyDescent="0.25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16.454999999999998</v>
      </c>
      <c r="H186" t="s">
        <v>98</v>
      </c>
      <c r="I186">
        <v>94834864547.999985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16.215</v>
      </c>
      <c r="P186">
        <v>16.454999999999998</v>
      </c>
      <c r="Q186">
        <v>16.215</v>
      </c>
      <c r="R186">
        <v>93451676004</v>
      </c>
      <c r="S186">
        <v>0</v>
      </c>
      <c r="T186" t="s">
        <v>6242</v>
      </c>
      <c r="AJ186" t="s">
        <v>6258</v>
      </c>
    </row>
    <row r="187" spans="1:40" x14ac:dyDescent="0.25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21.737970000000001</v>
      </c>
      <c r="H187" t="s">
        <v>100</v>
      </c>
      <c r="I187">
        <v>20038595500.062</v>
      </c>
      <c r="J187" t="s">
        <v>4700</v>
      </c>
      <c r="K187">
        <v>69512845.318434298</v>
      </c>
      <c r="L187">
        <v>1</v>
      </c>
      <c r="M187" t="s">
        <v>4889</v>
      </c>
      <c r="N187">
        <v>0.61572563000000002</v>
      </c>
      <c r="O187">
        <v>33.46</v>
      </c>
      <c r="P187">
        <v>35.24</v>
      </c>
      <c r="Q187">
        <v>20.602179579800001</v>
      </c>
      <c r="R187">
        <v>18991595950.277309</v>
      </c>
      <c r="S187">
        <v>0</v>
      </c>
      <c r="T187" t="s">
        <v>6243</v>
      </c>
    </row>
    <row r="188" spans="1:40" x14ac:dyDescent="0.25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111.85</v>
      </c>
      <c r="P188">
        <v>119</v>
      </c>
      <c r="Q188">
        <v>111.85</v>
      </c>
      <c r="R188">
        <v>8168636380.7700005</v>
      </c>
      <c r="S188">
        <v>0</v>
      </c>
      <c r="T188" t="s">
        <v>6242</v>
      </c>
      <c r="AJ188" t="s">
        <v>6258</v>
      </c>
    </row>
    <row r="189" spans="1:40" x14ac:dyDescent="0.25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9.1467530000000004</v>
      </c>
      <c r="H189" t="s">
        <v>96</v>
      </c>
      <c r="I189">
        <v>5612738873.4155207</v>
      </c>
      <c r="J189" t="s">
        <v>4699</v>
      </c>
      <c r="K189">
        <v>17658471.988241099</v>
      </c>
      <c r="L189">
        <v>1</v>
      </c>
      <c r="M189" t="s">
        <v>4891</v>
      </c>
      <c r="N189">
        <v>1.156136E-2</v>
      </c>
      <c r="O189">
        <v>814.5</v>
      </c>
      <c r="P189">
        <v>792.5</v>
      </c>
      <c r="Q189">
        <v>9.416727719999999</v>
      </c>
      <c r="R189">
        <v>5778403957.6026039</v>
      </c>
      <c r="S189">
        <v>0</v>
      </c>
      <c r="T189" t="s">
        <v>6242</v>
      </c>
      <c r="AJ189" t="s">
        <v>6258</v>
      </c>
      <c r="AN189" t="s">
        <v>6262</v>
      </c>
    </row>
    <row r="190" spans="1:40" x14ac:dyDescent="0.25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7657060.2346969703</v>
      </c>
      <c r="L190">
        <v>0.65</v>
      </c>
      <c r="M190" t="s">
        <v>4892</v>
      </c>
      <c r="N190">
        <v>1</v>
      </c>
      <c r="O190">
        <v>36.86</v>
      </c>
      <c r="P190">
        <v>41.38</v>
      </c>
      <c r="Q190">
        <v>36.86</v>
      </c>
      <c r="R190">
        <v>3018834000</v>
      </c>
      <c r="S190">
        <v>0</v>
      </c>
      <c r="T190" t="s">
        <v>6242</v>
      </c>
      <c r="W190" t="s">
        <v>6247</v>
      </c>
    </row>
    <row r="191" spans="1:40" x14ac:dyDescent="0.25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170.38740000000001</v>
      </c>
      <c r="H191" t="s">
        <v>97</v>
      </c>
      <c r="I191">
        <v>48837709381.878014</v>
      </c>
      <c r="J191" t="s">
        <v>4700</v>
      </c>
      <c r="K191">
        <v>431523122.38323599</v>
      </c>
      <c r="L191">
        <v>1</v>
      </c>
      <c r="M191" t="s">
        <v>4893</v>
      </c>
      <c r="N191">
        <v>0.85273301000000001</v>
      </c>
      <c r="O191">
        <v>186.84</v>
      </c>
      <c r="P191">
        <v>199.66</v>
      </c>
      <c r="Q191">
        <v>159.32463558840001</v>
      </c>
      <c r="R191">
        <v>45666817207.375061</v>
      </c>
      <c r="S191">
        <v>0</v>
      </c>
      <c r="T191" t="s">
        <v>6243</v>
      </c>
    </row>
    <row r="192" spans="1:40" x14ac:dyDescent="0.25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36770370.600606099</v>
      </c>
      <c r="L192">
        <v>0.35</v>
      </c>
      <c r="M192" t="s">
        <v>4894</v>
      </c>
      <c r="N192">
        <v>1</v>
      </c>
      <c r="O192">
        <v>94.4</v>
      </c>
      <c r="P192">
        <v>99.56</v>
      </c>
      <c r="Q192">
        <v>94.4</v>
      </c>
      <c r="R192">
        <v>8015503999.999999</v>
      </c>
      <c r="S192">
        <v>0</v>
      </c>
      <c r="T192" t="s">
        <v>6242</v>
      </c>
    </row>
    <row r="193" spans="1:40" x14ac:dyDescent="0.25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15.510999999999999</v>
      </c>
      <c r="H193" t="s">
        <v>4693</v>
      </c>
      <c r="I193">
        <v>7462893205.8299999</v>
      </c>
      <c r="J193" t="s">
        <v>4699</v>
      </c>
      <c r="K193">
        <v>10291533.5339537</v>
      </c>
      <c r="L193">
        <v>0.8</v>
      </c>
      <c r="M193" t="s">
        <v>4895</v>
      </c>
      <c r="N193">
        <v>9.1395149999999994E-2</v>
      </c>
      <c r="O193">
        <v>157.05000000000001</v>
      </c>
      <c r="P193">
        <v>172.8</v>
      </c>
      <c r="Q193">
        <v>14.3536083075</v>
      </c>
      <c r="R193">
        <v>5524824752.3531332</v>
      </c>
      <c r="S193">
        <v>0</v>
      </c>
      <c r="T193" t="s">
        <v>6242</v>
      </c>
      <c r="U193" t="s">
        <v>6245</v>
      </c>
      <c r="AN193" t="s">
        <v>6262</v>
      </c>
    </row>
    <row r="194" spans="1:40" x14ac:dyDescent="0.25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948.62300000000005</v>
      </c>
      <c r="H194" t="s">
        <v>4694</v>
      </c>
      <c r="I194">
        <v>11668062900</v>
      </c>
      <c r="J194" t="s">
        <v>4699</v>
      </c>
      <c r="K194">
        <v>18881889.957553901</v>
      </c>
      <c r="L194">
        <v>0.8</v>
      </c>
      <c r="M194" t="s">
        <v>4896</v>
      </c>
      <c r="N194">
        <v>1.07032003</v>
      </c>
      <c r="O194">
        <v>850</v>
      </c>
      <c r="P194">
        <v>891</v>
      </c>
      <c r="Q194">
        <v>909.77202549999993</v>
      </c>
      <c r="R194">
        <v>8952156730.9200001</v>
      </c>
      <c r="S194">
        <v>0</v>
      </c>
      <c r="T194" t="s">
        <v>6242</v>
      </c>
      <c r="U194" t="s">
        <v>6245</v>
      </c>
      <c r="AJ194" t="s">
        <v>6258</v>
      </c>
    </row>
    <row r="195" spans="1:40" x14ac:dyDescent="0.25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28.577110000000001</v>
      </c>
      <c r="H195" t="s">
        <v>96</v>
      </c>
      <c r="I195">
        <v>3400438899.987</v>
      </c>
      <c r="J195" t="s">
        <v>4699</v>
      </c>
      <c r="K195">
        <v>7352051.6428575702</v>
      </c>
      <c r="L195">
        <v>1</v>
      </c>
      <c r="M195" t="s">
        <v>4897</v>
      </c>
      <c r="N195">
        <v>1.156136E-2</v>
      </c>
      <c r="O195">
        <v>2314</v>
      </c>
      <c r="P195">
        <v>2476</v>
      </c>
      <c r="Q195">
        <v>26.752987040000001</v>
      </c>
      <c r="R195">
        <v>3183383407.9675679</v>
      </c>
      <c r="S195">
        <v>0</v>
      </c>
      <c r="T195" t="s">
        <v>6242</v>
      </c>
      <c r="W195" t="s">
        <v>6247</v>
      </c>
      <c r="AN195" t="s">
        <v>6262</v>
      </c>
    </row>
    <row r="196" spans="1:40" x14ac:dyDescent="0.25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7.1978210000000002</v>
      </c>
      <c r="H196" t="s">
        <v>4691</v>
      </c>
      <c r="I196">
        <v>4090470209.8798499</v>
      </c>
      <c r="J196" t="s">
        <v>4701</v>
      </c>
      <c r="K196">
        <v>7579544.5161727304</v>
      </c>
      <c r="L196">
        <v>1</v>
      </c>
      <c r="M196" t="s">
        <v>4898</v>
      </c>
      <c r="N196">
        <v>0.56652409000000004</v>
      </c>
      <c r="O196">
        <v>12.6</v>
      </c>
      <c r="P196">
        <v>12.99</v>
      </c>
      <c r="Q196">
        <v>7.1382035340000014</v>
      </c>
      <c r="R196">
        <v>4056590030.2169318</v>
      </c>
      <c r="S196">
        <v>0</v>
      </c>
      <c r="T196" t="s">
        <v>6244</v>
      </c>
      <c r="U196" t="s">
        <v>6245</v>
      </c>
      <c r="W196" t="s">
        <v>6247</v>
      </c>
    </row>
    <row r="197" spans="1:40" x14ac:dyDescent="0.25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0.10956983000000001</v>
      </c>
      <c r="O197">
        <v>198.9</v>
      </c>
      <c r="P197">
        <v>187.4</v>
      </c>
      <c r="Q197">
        <v>21.793439187000001</v>
      </c>
      <c r="R197">
        <v>23288536130.053699</v>
      </c>
      <c r="S197">
        <v>0</v>
      </c>
      <c r="T197" t="s">
        <v>6244</v>
      </c>
      <c r="U197" t="s">
        <v>6245</v>
      </c>
    </row>
    <row r="198" spans="1:40" x14ac:dyDescent="0.25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43.765909999999998</v>
      </c>
      <c r="H198" t="s">
        <v>96</v>
      </c>
      <c r="I198">
        <v>4201302622.0521498</v>
      </c>
      <c r="J198" t="s">
        <v>4699</v>
      </c>
      <c r="K198">
        <v>17025709.526308801</v>
      </c>
      <c r="L198">
        <v>1</v>
      </c>
      <c r="M198" t="s">
        <v>4900</v>
      </c>
      <c r="N198">
        <v>1.156136E-2</v>
      </c>
      <c r="O198">
        <v>3642</v>
      </c>
      <c r="P198">
        <v>3792</v>
      </c>
      <c r="Q198">
        <v>42.106473119999997</v>
      </c>
      <c r="R198">
        <v>4042005202.780529</v>
      </c>
      <c r="S198">
        <v>0</v>
      </c>
      <c r="T198" t="s">
        <v>6242</v>
      </c>
    </row>
    <row r="199" spans="1:40" x14ac:dyDescent="0.25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417.30669999999998</v>
      </c>
      <c r="H199" t="s">
        <v>97</v>
      </c>
      <c r="I199">
        <v>560374751915.89001</v>
      </c>
      <c r="J199" t="s">
        <v>4700</v>
      </c>
      <c r="K199">
        <v>1956876197.6331899</v>
      </c>
      <c r="L199">
        <v>1</v>
      </c>
      <c r="M199" t="s">
        <v>4901</v>
      </c>
      <c r="N199">
        <v>0.85273301000000001</v>
      </c>
      <c r="O199">
        <v>493.74</v>
      </c>
      <c r="P199">
        <v>489</v>
      </c>
      <c r="Q199">
        <v>421.02839635740003</v>
      </c>
      <c r="R199">
        <v>565372382370.86304</v>
      </c>
      <c r="S199">
        <v>0</v>
      </c>
      <c r="T199" t="s">
        <v>6243</v>
      </c>
      <c r="AA199" t="s">
        <v>6249</v>
      </c>
      <c r="AD199" t="s">
        <v>6252</v>
      </c>
      <c r="AG199" t="s">
        <v>6255</v>
      </c>
      <c r="AJ199" t="s">
        <v>6258</v>
      </c>
      <c r="AN199" t="s">
        <v>6262</v>
      </c>
    </row>
    <row r="200" spans="1:40" x14ac:dyDescent="0.25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23.272400000000001</v>
      </c>
      <c r="H200" t="s">
        <v>4691</v>
      </c>
      <c r="I200">
        <v>118198494901.2</v>
      </c>
      <c r="J200" t="s">
        <v>4701</v>
      </c>
      <c r="K200">
        <v>192201964.94277501</v>
      </c>
      <c r="L200">
        <v>1</v>
      </c>
      <c r="M200" t="s">
        <v>4902</v>
      </c>
      <c r="N200">
        <v>0.56652409000000004</v>
      </c>
      <c r="O200">
        <v>40.81</v>
      </c>
      <c r="P200">
        <v>42</v>
      </c>
      <c r="Q200">
        <v>23.119848112900002</v>
      </c>
      <c r="R200">
        <v>117423697138.6333</v>
      </c>
      <c r="S200">
        <v>0</v>
      </c>
      <c r="T200" t="s">
        <v>6244</v>
      </c>
      <c r="U200" t="s">
        <v>6245</v>
      </c>
      <c r="X200" t="s">
        <v>6248</v>
      </c>
      <c r="AG200" t="s">
        <v>6255</v>
      </c>
      <c r="AH200" t="s">
        <v>6256</v>
      </c>
      <c r="AJ200" t="s">
        <v>6258</v>
      </c>
    </row>
    <row r="201" spans="1:40" x14ac:dyDescent="0.25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91.1</v>
      </c>
      <c r="H201" t="s">
        <v>98</v>
      </c>
      <c r="I201">
        <v>3425940580.3000002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93.6</v>
      </c>
      <c r="P201">
        <v>91.1</v>
      </c>
      <c r="Q201">
        <v>93.6</v>
      </c>
      <c r="R201">
        <v>3167960861.52</v>
      </c>
      <c r="S201">
        <v>0</v>
      </c>
      <c r="T201" t="s">
        <v>6242</v>
      </c>
    </row>
    <row r="202" spans="1:40" x14ac:dyDescent="0.25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118.88549999999999</v>
      </c>
      <c r="H202" t="s">
        <v>97</v>
      </c>
      <c r="I202">
        <v>17430350028.299999</v>
      </c>
      <c r="J202" t="s">
        <v>4700</v>
      </c>
      <c r="K202">
        <v>160619326.12937701</v>
      </c>
      <c r="L202">
        <v>1</v>
      </c>
      <c r="M202" t="s">
        <v>4904</v>
      </c>
      <c r="N202">
        <v>0.85273301000000001</v>
      </c>
      <c r="O202">
        <v>144.86000000000001</v>
      </c>
      <c r="P202">
        <v>139.31</v>
      </c>
      <c r="Q202">
        <v>123.5269038286</v>
      </c>
      <c r="R202">
        <v>18110847594.068661</v>
      </c>
      <c r="S202">
        <v>0</v>
      </c>
      <c r="T202" t="s">
        <v>6243</v>
      </c>
    </row>
    <row r="203" spans="1:40" x14ac:dyDescent="0.25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12598459.105303001</v>
      </c>
      <c r="L203">
        <v>0.4</v>
      </c>
      <c r="M203" t="s">
        <v>4905</v>
      </c>
      <c r="N203">
        <v>1</v>
      </c>
      <c r="O203">
        <v>115.1</v>
      </c>
      <c r="P203">
        <v>127.4</v>
      </c>
      <c r="Q203">
        <v>115.1</v>
      </c>
      <c r="R203">
        <v>5449350568.8000002</v>
      </c>
      <c r="S203">
        <v>1</v>
      </c>
      <c r="T203" t="s">
        <v>6242</v>
      </c>
    </row>
    <row r="204" spans="1:40" x14ac:dyDescent="0.25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37.411810000000003</v>
      </c>
      <c r="H204" t="s">
        <v>99</v>
      </c>
      <c r="I204">
        <v>3766004484.1711998</v>
      </c>
      <c r="J204" t="s">
        <v>4701</v>
      </c>
      <c r="K204">
        <v>10460950.0538135</v>
      </c>
      <c r="L204">
        <v>0.8</v>
      </c>
      <c r="M204" t="s">
        <v>4906</v>
      </c>
      <c r="N204">
        <v>5.7743899999999999E-3</v>
      </c>
      <c r="O204">
        <v>6425</v>
      </c>
      <c r="P204">
        <v>6438</v>
      </c>
      <c r="Q204">
        <v>37.100455750000002</v>
      </c>
      <c r="R204">
        <v>2987729975.519392</v>
      </c>
      <c r="S204">
        <v>0</v>
      </c>
      <c r="T204" t="s">
        <v>6244</v>
      </c>
    </row>
    <row r="205" spans="1:40" x14ac:dyDescent="0.25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182.48480000000001</v>
      </c>
      <c r="H205" t="s">
        <v>4694</v>
      </c>
      <c r="I205">
        <v>9635197440</v>
      </c>
      <c r="J205" t="s">
        <v>4699</v>
      </c>
      <c r="K205">
        <v>7647279.9477054104</v>
      </c>
      <c r="L205">
        <v>0.35</v>
      </c>
      <c r="M205" t="s">
        <v>4907</v>
      </c>
      <c r="N205">
        <v>1.07032003</v>
      </c>
      <c r="O205">
        <v>167.6</v>
      </c>
      <c r="P205">
        <v>171.4</v>
      </c>
      <c r="Q205">
        <v>179.38563702799999</v>
      </c>
      <c r="R205">
        <v>3315046572.2774401</v>
      </c>
      <c r="S205">
        <v>0</v>
      </c>
      <c r="T205" t="s">
        <v>6242</v>
      </c>
      <c r="U205" t="s">
        <v>6245</v>
      </c>
      <c r="W205" t="s">
        <v>6247</v>
      </c>
      <c r="AG205" t="s">
        <v>6255</v>
      </c>
      <c r="AJ205" t="s">
        <v>6258</v>
      </c>
      <c r="AN205" t="s">
        <v>6262</v>
      </c>
    </row>
    <row r="206" spans="1:40" x14ac:dyDescent="0.25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979.83450000000005</v>
      </c>
      <c r="H206" t="s">
        <v>97</v>
      </c>
      <c r="I206">
        <v>151730635173.88501</v>
      </c>
      <c r="J206" t="s">
        <v>4700</v>
      </c>
      <c r="K206">
        <v>541767904.40728796</v>
      </c>
      <c r="L206">
        <v>0.95</v>
      </c>
      <c r="M206" t="s">
        <v>4908</v>
      </c>
      <c r="N206">
        <v>0.85273301000000001</v>
      </c>
      <c r="O206">
        <v>1123.4100000000001</v>
      </c>
      <c r="P206">
        <v>1148.17</v>
      </c>
      <c r="Q206">
        <v>957.96879076410005</v>
      </c>
      <c r="R206">
        <v>140927424421.5994</v>
      </c>
      <c r="S206">
        <v>0</v>
      </c>
      <c r="T206" t="s">
        <v>6243</v>
      </c>
      <c r="AJ206" t="s">
        <v>6258</v>
      </c>
    </row>
    <row r="207" spans="1:40" x14ac:dyDescent="0.25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506927621.00047898</v>
      </c>
      <c r="L207">
        <v>1</v>
      </c>
      <c r="M207" t="s">
        <v>4909</v>
      </c>
      <c r="N207">
        <v>0.85273301000000001</v>
      </c>
      <c r="O207">
        <v>181.35</v>
      </c>
      <c r="P207">
        <v>170.5</v>
      </c>
      <c r="Q207">
        <v>154.6431313635</v>
      </c>
      <c r="R207">
        <v>113986168590.0455</v>
      </c>
      <c r="S207">
        <v>0</v>
      </c>
      <c r="T207" t="s">
        <v>6243</v>
      </c>
      <c r="AJ207" t="s">
        <v>6258</v>
      </c>
      <c r="AN207" t="s">
        <v>6262</v>
      </c>
    </row>
    <row r="208" spans="1:40" x14ac:dyDescent="0.25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67.520060000000001</v>
      </c>
      <c r="H208" t="s">
        <v>97</v>
      </c>
      <c r="I208">
        <v>37107269454.440002</v>
      </c>
      <c r="J208" t="s">
        <v>4700</v>
      </c>
      <c r="K208">
        <v>674617961.08406305</v>
      </c>
      <c r="L208">
        <v>1</v>
      </c>
      <c r="M208" t="s">
        <v>4910</v>
      </c>
      <c r="N208">
        <v>0.85273301000000001</v>
      </c>
      <c r="O208">
        <v>72.87</v>
      </c>
      <c r="P208">
        <v>79.12</v>
      </c>
      <c r="Q208">
        <v>62.138654438700001</v>
      </c>
      <c r="R208">
        <v>34149788874.49411</v>
      </c>
      <c r="S208">
        <v>0</v>
      </c>
      <c r="T208" t="s">
        <v>6243</v>
      </c>
    </row>
    <row r="209" spans="1:40" x14ac:dyDescent="0.25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5650584509.7883997</v>
      </c>
      <c r="J209" t="s">
        <v>4701</v>
      </c>
      <c r="K209">
        <v>18310251.329135802</v>
      </c>
      <c r="L209">
        <v>1</v>
      </c>
      <c r="M209" t="s">
        <v>4911</v>
      </c>
      <c r="N209">
        <v>0.56652409000000004</v>
      </c>
      <c r="O209">
        <v>22.29</v>
      </c>
      <c r="P209">
        <v>23.25</v>
      </c>
      <c r="Q209">
        <v>12.627821966100001</v>
      </c>
      <c r="R209">
        <v>5538687224.6560459</v>
      </c>
      <c r="S209">
        <v>0</v>
      </c>
      <c r="T209" t="s">
        <v>6244</v>
      </c>
      <c r="U209" t="s">
        <v>6245</v>
      </c>
      <c r="AJ209" t="s">
        <v>6258</v>
      </c>
    </row>
    <row r="210" spans="1:40" x14ac:dyDescent="0.25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83.82</v>
      </c>
      <c r="P210">
        <v>91.42</v>
      </c>
      <c r="Q210">
        <v>83.82</v>
      </c>
      <c r="R210">
        <v>23517165754.5</v>
      </c>
      <c r="S210">
        <v>0</v>
      </c>
      <c r="T210" t="s">
        <v>6242</v>
      </c>
    </row>
    <row r="211" spans="1:40" x14ac:dyDescent="0.25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94286993747.979996</v>
      </c>
      <c r="J211" t="s">
        <v>4702</v>
      </c>
      <c r="K211">
        <v>181644370.60462099</v>
      </c>
      <c r="L211">
        <v>0.95000000000000007</v>
      </c>
      <c r="M211" t="s">
        <v>4913</v>
      </c>
      <c r="N211">
        <v>1</v>
      </c>
      <c r="O211">
        <v>79.3</v>
      </c>
      <c r="P211">
        <v>83.38</v>
      </c>
      <c r="Q211">
        <v>79.3</v>
      </c>
      <c r="R211">
        <v>85189621899.785004</v>
      </c>
      <c r="S211">
        <v>1</v>
      </c>
      <c r="T211" t="s">
        <v>6242</v>
      </c>
      <c r="AJ211" t="s">
        <v>6258</v>
      </c>
    </row>
    <row r="212" spans="1:40" x14ac:dyDescent="0.25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196.38159999999999</v>
      </c>
      <c r="H212" t="s">
        <v>97</v>
      </c>
      <c r="I212">
        <v>148495458978.32001</v>
      </c>
      <c r="J212" t="s">
        <v>4700</v>
      </c>
      <c r="K212">
        <v>1475754692.1657801</v>
      </c>
      <c r="L212">
        <v>1</v>
      </c>
      <c r="M212" t="s">
        <v>4914</v>
      </c>
      <c r="N212">
        <v>0.85273301000000001</v>
      </c>
      <c r="O212">
        <v>215.94</v>
      </c>
      <c r="P212">
        <v>230.12</v>
      </c>
      <c r="Q212">
        <v>184.13916617940001</v>
      </c>
      <c r="R212">
        <v>139238248378.1329</v>
      </c>
      <c r="S212">
        <v>0</v>
      </c>
      <c r="T212" t="s">
        <v>6243</v>
      </c>
      <c r="AA212" t="s">
        <v>6249</v>
      </c>
      <c r="AC212" t="s">
        <v>6251</v>
      </c>
      <c r="AE212" t="s">
        <v>6253</v>
      </c>
      <c r="AJ212" t="s">
        <v>6258</v>
      </c>
    </row>
    <row r="213" spans="1:40" x14ac:dyDescent="0.25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29.666589999999999</v>
      </c>
      <c r="H213" t="s">
        <v>4693</v>
      </c>
      <c r="I213">
        <v>8432000189.3814001</v>
      </c>
      <c r="J213" t="s">
        <v>4699</v>
      </c>
      <c r="K213">
        <v>28630284.4891335</v>
      </c>
      <c r="L213">
        <v>1</v>
      </c>
      <c r="M213" t="s">
        <v>4915</v>
      </c>
      <c r="N213">
        <v>9.1395149999999994E-2</v>
      </c>
      <c r="O213">
        <v>336.4</v>
      </c>
      <c r="P213">
        <v>330.5</v>
      </c>
      <c r="Q213">
        <v>30.74532846</v>
      </c>
      <c r="R213">
        <v>8738605124.3945904</v>
      </c>
      <c r="S213">
        <v>0</v>
      </c>
      <c r="T213" t="s">
        <v>6242</v>
      </c>
      <c r="U213" t="s">
        <v>6245</v>
      </c>
    </row>
    <row r="214" spans="1:40" x14ac:dyDescent="0.25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5.0999999999999996</v>
      </c>
      <c r="H214" t="s">
        <v>98</v>
      </c>
      <c r="I214">
        <v>14342750313.299999</v>
      </c>
      <c r="J214" t="s">
        <v>4703</v>
      </c>
      <c r="K214">
        <v>4569024.1295454605</v>
      </c>
      <c r="L214">
        <v>0.2</v>
      </c>
      <c r="M214" t="s">
        <v>4916</v>
      </c>
      <c r="N214">
        <v>1</v>
      </c>
      <c r="O214">
        <v>4.8860000000000001</v>
      </c>
      <c r="P214">
        <v>5.0999999999999996</v>
      </c>
      <c r="Q214">
        <v>4.8860000000000001</v>
      </c>
      <c r="R214">
        <v>2748183452.1876001</v>
      </c>
      <c r="S214">
        <v>1</v>
      </c>
      <c r="T214" t="s">
        <v>6242</v>
      </c>
      <c r="W214" t="s">
        <v>6247</v>
      </c>
      <c r="AH214" t="s">
        <v>6256</v>
      </c>
    </row>
    <row r="215" spans="1:40" x14ac:dyDescent="0.25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4882.1220000000003</v>
      </c>
      <c r="H215" t="s">
        <v>97</v>
      </c>
      <c r="I215">
        <v>158229012575.97</v>
      </c>
      <c r="J215" t="s">
        <v>4700</v>
      </c>
      <c r="K215">
        <v>967342716.88723302</v>
      </c>
      <c r="L215">
        <v>1</v>
      </c>
      <c r="M215" t="s">
        <v>4917</v>
      </c>
      <c r="N215">
        <v>0.85273301000000001</v>
      </c>
      <c r="O215">
        <v>5458.32</v>
      </c>
      <c r="P215">
        <v>5720.87</v>
      </c>
      <c r="Q215">
        <v>4654.4896431431998</v>
      </c>
      <c r="R215">
        <v>150851474067.96219</v>
      </c>
      <c r="S215">
        <v>0</v>
      </c>
      <c r="T215" t="s">
        <v>6243</v>
      </c>
    </row>
    <row r="216" spans="1:40" x14ac:dyDescent="0.25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90.604190000000003</v>
      </c>
      <c r="H216" t="s">
        <v>97</v>
      </c>
      <c r="I216">
        <v>134252903499.20399</v>
      </c>
      <c r="J216" t="s">
        <v>4700</v>
      </c>
      <c r="K216">
        <v>658934292.88709199</v>
      </c>
      <c r="L216">
        <v>1</v>
      </c>
      <c r="M216" t="s">
        <v>4918</v>
      </c>
      <c r="N216">
        <v>0.85273301000000001</v>
      </c>
      <c r="O216">
        <v>102.71</v>
      </c>
      <c r="P216">
        <v>106.17</v>
      </c>
      <c r="Q216">
        <v>87.584207457099993</v>
      </c>
      <c r="R216">
        <v>129778039534.28979</v>
      </c>
      <c r="S216">
        <v>0</v>
      </c>
      <c r="T216" t="s">
        <v>6243</v>
      </c>
    </row>
    <row r="217" spans="1:40" x14ac:dyDescent="0.25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37.79</v>
      </c>
      <c r="P217">
        <v>38.71</v>
      </c>
      <c r="Q217">
        <v>37.79</v>
      </c>
      <c r="R217">
        <v>7241129319.5050001</v>
      </c>
      <c r="S217">
        <v>1</v>
      </c>
      <c r="T217" t="s">
        <v>6242</v>
      </c>
    </row>
    <row r="218" spans="1:40" x14ac:dyDescent="0.25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4.8873090000000001</v>
      </c>
      <c r="H218" t="s">
        <v>96</v>
      </c>
      <c r="I218">
        <v>77206916928.561005</v>
      </c>
      <c r="J218" t="s">
        <v>4699</v>
      </c>
      <c r="K218">
        <v>118484277.053922</v>
      </c>
      <c r="L218">
        <v>1</v>
      </c>
      <c r="M218" t="s">
        <v>4920</v>
      </c>
      <c r="N218">
        <v>1.156136E-2</v>
      </c>
      <c r="O218">
        <v>420.55</v>
      </c>
      <c r="P218">
        <v>423.45</v>
      </c>
      <c r="Q218">
        <v>4.8621299479999998</v>
      </c>
      <c r="R218">
        <v>76809152642.303696</v>
      </c>
      <c r="S218">
        <v>0</v>
      </c>
      <c r="T218" t="s">
        <v>6242</v>
      </c>
      <c r="AH218" t="s">
        <v>6256</v>
      </c>
      <c r="AJ218" t="s">
        <v>6258</v>
      </c>
      <c r="AN218" t="s">
        <v>6262</v>
      </c>
    </row>
    <row r="219" spans="1:40" x14ac:dyDescent="0.25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9.1460000000000008</v>
      </c>
      <c r="H219" t="s">
        <v>98</v>
      </c>
      <c r="I219">
        <v>17833327770.743999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9.3339999999999996</v>
      </c>
      <c r="P219">
        <v>9.1460000000000008</v>
      </c>
      <c r="Q219">
        <v>9.3339999999999996</v>
      </c>
      <c r="R219">
        <v>13649924672.982</v>
      </c>
      <c r="S219">
        <v>0</v>
      </c>
      <c r="T219" t="s">
        <v>6242</v>
      </c>
      <c r="AJ219" t="s">
        <v>6258</v>
      </c>
    </row>
    <row r="220" spans="1:40" x14ac:dyDescent="0.25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8777935127.6399994</v>
      </c>
      <c r="J220" t="s">
        <v>4699</v>
      </c>
      <c r="K220">
        <v>4835542.20242495</v>
      </c>
      <c r="L220">
        <v>0.35</v>
      </c>
      <c r="M220" t="s">
        <v>4922</v>
      </c>
      <c r="N220">
        <v>1.07032003</v>
      </c>
      <c r="O220">
        <v>93.3</v>
      </c>
      <c r="P220">
        <v>95.8</v>
      </c>
      <c r="Q220">
        <v>99.860858798999999</v>
      </c>
      <c r="R220">
        <v>3007975335.3557801</v>
      </c>
      <c r="S220">
        <v>0</v>
      </c>
      <c r="T220" t="s">
        <v>6242</v>
      </c>
      <c r="U220" t="s">
        <v>6245</v>
      </c>
      <c r="W220" t="s">
        <v>6247</v>
      </c>
      <c r="AJ220" t="s">
        <v>6258</v>
      </c>
    </row>
    <row r="221" spans="1:40" x14ac:dyDescent="0.25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19671331455.450001</v>
      </c>
      <c r="J221" t="s">
        <v>4701</v>
      </c>
      <c r="K221">
        <v>50542806.314982198</v>
      </c>
      <c r="L221">
        <v>1</v>
      </c>
      <c r="M221" t="s">
        <v>4923</v>
      </c>
      <c r="N221">
        <v>0.56652409000000004</v>
      </c>
      <c r="O221">
        <v>25.33</v>
      </c>
      <c r="P221">
        <v>25.97</v>
      </c>
      <c r="Q221">
        <v>14.3500551997</v>
      </c>
      <c r="R221">
        <v>19616590033.2383</v>
      </c>
      <c r="S221">
        <v>0</v>
      </c>
      <c r="T221" t="s">
        <v>6244</v>
      </c>
      <c r="U221" t="s">
        <v>6245</v>
      </c>
    </row>
    <row r="222" spans="1:40" x14ac:dyDescent="0.25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7961409853.1999998</v>
      </c>
      <c r="J222" t="s">
        <v>4702</v>
      </c>
      <c r="K222">
        <v>15652447.948484801</v>
      </c>
      <c r="L222">
        <v>0.85</v>
      </c>
      <c r="M222" t="s">
        <v>4924</v>
      </c>
      <c r="N222">
        <v>1</v>
      </c>
      <c r="O222">
        <v>50.56</v>
      </c>
      <c r="P222">
        <v>55.14</v>
      </c>
      <c r="Q222">
        <v>50.56</v>
      </c>
      <c r="R222">
        <v>6205106090.8800001</v>
      </c>
      <c r="S222">
        <v>0</v>
      </c>
      <c r="T222" t="s">
        <v>6242</v>
      </c>
    </row>
    <row r="223" spans="1:40" x14ac:dyDescent="0.25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27787355659.596802</v>
      </c>
      <c r="J223" t="s">
        <v>4701</v>
      </c>
      <c r="K223">
        <v>78393990.694289401</v>
      </c>
      <c r="L223">
        <v>0.8</v>
      </c>
      <c r="M223" t="s">
        <v>4925</v>
      </c>
      <c r="N223">
        <v>5.7743899999999999E-3</v>
      </c>
      <c r="O223">
        <v>6995</v>
      </c>
      <c r="P223">
        <v>6700</v>
      </c>
      <c r="Q223">
        <v>40.391858050000003</v>
      </c>
      <c r="R223">
        <v>23062078400.491871</v>
      </c>
      <c r="S223">
        <v>0</v>
      </c>
      <c r="T223" t="s">
        <v>6244</v>
      </c>
    </row>
    <row r="224" spans="1:40" x14ac:dyDescent="0.25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40.894350000000003</v>
      </c>
      <c r="H224" t="s">
        <v>97</v>
      </c>
      <c r="I224">
        <v>83237824007.730011</v>
      </c>
      <c r="J224" t="s">
        <v>4700</v>
      </c>
      <c r="K224">
        <v>527386654.65150797</v>
      </c>
      <c r="L224">
        <v>1</v>
      </c>
      <c r="M224" t="s">
        <v>4926</v>
      </c>
      <c r="N224">
        <v>0.85273301000000001</v>
      </c>
      <c r="O224">
        <v>46.2</v>
      </c>
      <c r="P224">
        <v>47.92</v>
      </c>
      <c r="Q224">
        <v>39.396265061999998</v>
      </c>
      <c r="R224">
        <v>80188568293.484024</v>
      </c>
      <c r="S224">
        <v>0</v>
      </c>
      <c r="T224" t="s">
        <v>6243</v>
      </c>
    </row>
    <row r="225" spans="1:40" x14ac:dyDescent="0.25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49.802199999999999</v>
      </c>
      <c r="H225" t="s">
        <v>96</v>
      </c>
      <c r="I225">
        <v>109108925760.10001</v>
      </c>
      <c r="J225" t="s">
        <v>4699</v>
      </c>
      <c r="K225">
        <v>131903149.81719001</v>
      </c>
      <c r="L225">
        <v>0.9</v>
      </c>
      <c r="M225" t="s">
        <v>4927</v>
      </c>
      <c r="N225">
        <v>1.156136E-2</v>
      </c>
      <c r="O225">
        <v>4160</v>
      </c>
      <c r="P225">
        <v>4315</v>
      </c>
      <c r="Q225">
        <v>48.095257599999997</v>
      </c>
      <c r="R225">
        <v>94832350815.870712</v>
      </c>
      <c r="S225">
        <v>0</v>
      </c>
      <c r="T225" t="s">
        <v>6242</v>
      </c>
      <c r="AK225" t="s">
        <v>6259</v>
      </c>
    </row>
    <row r="226" spans="1:40" x14ac:dyDescent="0.25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4.0095669999999997</v>
      </c>
      <c r="H226" t="s">
        <v>96</v>
      </c>
      <c r="I226">
        <v>4008558994.8562002</v>
      </c>
      <c r="J226" t="s">
        <v>4699</v>
      </c>
      <c r="K226">
        <v>9169356.70267093</v>
      </c>
      <c r="L226">
        <v>1</v>
      </c>
      <c r="M226" t="s">
        <v>4928</v>
      </c>
      <c r="N226">
        <v>1.156136E-2</v>
      </c>
      <c r="O226">
        <v>333.2</v>
      </c>
      <c r="P226">
        <v>347.4</v>
      </c>
      <c r="Q226">
        <v>3.8522451520000001</v>
      </c>
      <c r="R226">
        <v>3851276697.5687871</v>
      </c>
      <c r="S226">
        <v>0</v>
      </c>
      <c r="T226" t="s">
        <v>6242</v>
      </c>
      <c r="W226" t="s">
        <v>6247</v>
      </c>
    </row>
    <row r="227" spans="1:40" x14ac:dyDescent="0.25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250.89609999999999</v>
      </c>
      <c r="H227" t="s">
        <v>97</v>
      </c>
      <c r="I227">
        <v>1180082530363.1001</v>
      </c>
      <c r="J227" t="s">
        <v>4700</v>
      </c>
      <c r="K227">
        <v>4833545038.5913496</v>
      </c>
      <c r="L227">
        <v>1</v>
      </c>
      <c r="M227" t="s">
        <v>4929</v>
      </c>
      <c r="N227">
        <v>0.85273301000000001</v>
      </c>
      <c r="O227">
        <v>359.87</v>
      </c>
      <c r="P227">
        <v>294</v>
      </c>
      <c r="Q227">
        <v>306.87302830869999</v>
      </c>
      <c r="R227">
        <v>1443368389332.1489</v>
      </c>
      <c r="S227">
        <v>0</v>
      </c>
      <c r="T227" t="s">
        <v>6243</v>
      </c>
      <c r="AJ227" t="s">
        <v>6258</v>
      </c>
    </row>
    <row r="228" spans="1:40" x14ac:dyDescent="0.25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223.74119999999999</v>
      </c>
      <c r="H228" t="s">
        <v>97</v>
      </c>
      <c r="I228">
        <v>26206654611.984001</v>
      </c>
      <c r="J228" t="s">
        <v>4700</v>
      </c>
      <c r="K228">
        <v>142113384.74255601</v>
      </c>
      <c r="L228">
        <v>1</v>
      </c>
      <c r="M228" t="s">
        <v>4930</v>
      </c>
      <c r="N228">
        <v>0.85273301000000001</v>
      </c>
      <c r="O228">
        <v>252.03</v>
      </c>
      <c r="P228">
        <v>262.18</v>
      </c>
      <c r="Q228">
        <v>214.9143005103</v>
      </c>
      <c r="R228">
        <v>25172765877.047089</v>
      </c>
      <c r="S228">
        <v>0</v>
      </c>
      <c r="T228" t="s">
        <v>6243</v>
      </c>
    </row>
    <row r="229" spans="1:40" x14ac:dyDescent="0.25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52.105739999999997</v>
      </c>
      <c r="H229" t="s">
        <v>100</v>
      </c>
      <c r="I229">
        <v>84052170408.197998</v>
      </c>
      <c r="J229" t="s">
        <v>4700</v>
      </c>
      <c r="K229">
        <v>75817564.863383695</v>
      </c>
      <c r="L229">
        <v>0.25</v>
      </c>
      <c r="M229" t="s">
        <v>4931</v>
      </c>
      <c r="N229">
        <v>0.61572563000000002</v>
      </c>
      <c r="O229">
        <v>78.349999999999994</v>
      </c>
      <c r="P229">
        <v>84.47</v>
      </c>
      <c r="Q229">
        <v>48.242103110499997</v>
      </c>
      <c r="R229">
        <v>19454926997.935379</v>
      </c>
      <c r="S229">
        <v>0</v>
      </c>
      <c r="T229" t="s">
        <v>6243</v>
      </c>
      <c r="AA229" t="s">
        <v>6249</v>
      </c>
      <c r="AJ229" t="s">
        <v>6258</v>
      </c>
      <c r="AN229" t="s">
        <v>6262</v>
      </c>
    </row>
    <row r="230" spans="1:40" x14ac:dyDescent="0.25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56.232489999999999</v>
      </c>
      <c r="H230" t="s">
        <v>100</v>
      </c>
      <c r="I230">
        <v>92727128587.043991</v>
      </c>
      <c r="J230" t="s">
        <v>4700</v>
      </c>
      <c r="K230">
        <v>90163174.497395799</v>
      </c>
      <c r="L230">
        <v>0.8</v>
      </c>
      <c r="M230" t="s">
        <v>4932</v>
      </c>
      <c r="N230">
        <v>0.61572563000000002</v>
      </c>
      <c r="O230">
        <v>93.8</v>
      </c>
      <c r="P230">
        <v>91.16</v>
      </c>
      <c r="Q230">
        <v>57.755064093999998</v>
      </c>
      <c r="R230">
        <v>76190277254.979187</v>
      </c>
      <c r="S230">
        <v>0</v>
      </c>
      <c r="T230" t="s">
        <v>6243</v>
      </c>
      <c r="AA230" t="s">
        <v>6249</v>
      </c>
      <c r="AH230" t="s">
        <v>6256</v>
      </c>
      <c r="AJ230" t="s">
        <v>6258</v>
      </c>
      <c r="AN230" t="s">
        <v>6262</v>
      </c>
    </row>
    <row r="231" spans="1:40" x14ac:dyDescent="0.25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3823244587.7351999</v>
      </c>
      <c r="J231" t="s">
        <v>4701</v>
      </c>
      <c r="K231">
        <v>11262347.6376785</v>
      </c>
      <c r="L231">
        <v>1</v>
      </c>
      <c r="M231" t="s">
        <v>4933</v>
      </c>
      <c r="N231">
        <v>5.7743899999999999E-3</v>
      </c>
      <c r="O231">
        <v>2629</v>
      </c>
      <c r="P231">
        <v>2552.5</v>
      </c>
      <c r="Q231">
        <v>15.180871310000001</v>
      </c>
      <c r="R231">
        <v>3912959450.910655</v>
      </c>
      <c r="S231">
        <v>0</v>
      </c>
      <c r="T231" t="s">
        <v>6244</v>
      </c>
      <c r="AN231" t="s">
        <v>6262</v>
      </c>
    </row>
    <row r="232" spans="1:40" x14ac:dyDescent="0.25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82.488479999999996</v>
      </c>
      <c r="H232" t="s">
        <v>97</v>
      </c>
      <c r="I232">
        <v>27208231210.944</v>
      </c>
      <c r="J232" t="s">
        <v>4700</v>
      </c>
      <c r="K232">
        <v>336903920.96515101</v>
      </c>
      <c r="L232">
        <v>0.85</v>
      </c>
      <c r="M232" t="s">
        <v>4934</v>
      </c>
      <c r="N232">
        <v>0.85273301000000001</v>
      </c>
      <c r="O232">
        <v>93.54</v>
      </c>
      <c r="P232">
        <v>96.66</v>
      </c>
      <c r="Q232">
        <v>79.764645755400011</v>
      </c>
      <c r="R232">
        <v>22363324982.42387</v>
      </c>
      <c r="S232">
        <v>0</v>
      </c>
      <c r="T232" t="s">
        <v>6243</v>
      </c>
      <c r="AJ232" t="s">
        <v>6258</v>
      </c>
      <c r="AN232" t="s">
        <v>6262</v>
      </c>
    </row>
    <row r="233" spans="1:40" x14ac:dyDescent="0.25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97.7</v>
      </c>
      <c r="P233">
        <v>100.05</v>
      </c>
      <c r="Q233">
        <v>97.7</v>
      </c>
      <c r="R233">
        <v>3321800000</v>
      </c>
      <c r="S233">
        <v>0</v>
      </c>
      <c r="T233" t="s">
        <v>6242</v>
      </c>
      <c r="AN233" t="s">
        <v>6262</v>
      </c>
    </row>
    <row r="234" spans="1:40" x14ac:dyDescent="0.25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24513751050.832001</v>
      </c>
      <c r="J234" t="s">
        <v>4699</v>
      </c>
      <c r="K234">
        <v>35224422.788226902</v>
      </c>
      <c r="L234">
        <v>0.5</v>
      </c>
      <c r="M234" t="s">
        <v>4936</v>
      </c>
      <c r="N234">
        <v>1.156136E-2</v>
      </c>
      <c r="O234">
        <v>205.7</v>
      </c>
      <c r="P234">
        <v>213.1</v>
      </c>
      <c r="Q234">
        <v>2.3781717520000001</v>
      </c>
      <c r="R234">
        <v>11851461966.756371</v>
      </c>
      <c r="S234">
        <v>0</v>
      </c>
      <c r="T234" t="s">
        <v>6242</v>
      </c>
    </row>
    <row r="235" spans="1:40" x14ac:dyDescent="0.25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27.515280000000001</v>
      </c>
      <c r="H235" t="s">
        <v>96</v>
      </c>
      <c r="I235">
        <v>9015850627.5240002</v>
      </c>
      <c r="J235" t="s">
        <v>4699</v>
      </c>
      <c r="K235">
        <v>16280124.5616042</v>
      </c>
      <c r="L235">
        <v>1</v>
      </c>
      <c r="M235" t="s">
        <v>4937</v>
      </c>
      <c r="N235">
        <v>1.156136E-2</v>
      </c>
      <c r="O235">
        <v>2496</v>
      </c>
      <c r="P235">
        <v>2384</v>
      </c>
      <c r="Q235">
        <v>28.857154560000001</v>
      </c>
      <c r="R235">
        <v>9455538706.0692482</v>
      </c>
      <c r="S235">
        <v>0</v>
      </c>
      <c r="T235" t="s">
        <v>6242</v>
      </c>
      <c r="AN235" t="s">
        <v>6262</v>
      </c>
    </row>
    <row r="236" spans="1:40" x14ac:dyDescent="0.25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5069941329.9674997</v>
      </c>
      <c r="J236" t="s">
        <v>4699</v>
      </c>
      <c r="K236">
        <v>14986342.670953499</v>
      </c>
      <c r="L236">
        <v>1</v>
      </c>
      <c r="M236" t="s">
        <v>4938</v>
      </c>
      <c r="N236">
        <v>1.156136E-2</v>
      </c>
      <c r="O236">
        <v>1105</v>
      </c>
      <c r="P236">
        <v>1223</v>
      </c>
      <c r="Q236">
        <v>12.7753028</v>
      </c>
      <c r="R236">
        <v>4588598127.6212997</v>
      </c>
      <c r="S236">
        <v>0</v>
      </c>
      <c r="T236" t="s">
        <v>6242</v>
      </c>
    </row>
    <row r="237" spans="1:40" x14ac:dyDescent="0.25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24428059.564848501</v>
      </c>
      <c r="L237">
        <v>0.75</v>
      </c>
      <c r="M237" t="s">
        <v>4939</v>
      </c>
      <c r="N237">
        <v>1</v>
      </c>
      <c r="O237">
        <v>26.84</v>
      </c>
      <c r="P237">
        <v>27.22</v>
      </c>
      <c r="Q237">
        <v>26.84</v>
      </c>
      <c r="R237">
        <v>9136433697.5999985</v>
      </c>
      <c r="S237">
        <v>1</v>
      </c>
      <c r="T237" t="s">
        <v>6242</v>
      </c>
      <c r="AG237" t="s">
        <v>6255</v>
      </c>
    </row>
    <row r="238" spans="1:40" x14ac:dyDescent="0.25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239.66550000000001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0.85273301000000001</v>
      </c>
      <c r="O238">
        <v>266.91000000000003</v>
      </c>
      <c r="P238">
        <v>280.83999999999997</v>
      </c>
      <c r="Q238">
        <v>227.60296769909999</v>
      </c>
      <c r="R238">
        <v>14358711038.22411</v>
      </c>
      <c r="S238">
        <v>0</v>
      </c>
      <c r="T238" t="s">
        <v>6243</v>
      </c>
      <c r="AJ238" t="s">
        <v>6258</v>
      </c>
    </row>
    <row r="239" spans="1:40" x14ac:dyDescent="0.25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8437025545.1999998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48.56</v>
      </c>
      <c r="P239">
        <v>43.8</v>
      </c>
      <c r="Q239">
        <v>48.56</v>
      </c>
      <c r="R239">
        <v>3741570415.296</v>
      </c>
      <c r="S239">
        <v>0</v>
      </c>
      <c r="T239" t="s">
        <v>6242</v>
      </c>
      <c r="AN239" t="s">
        <v>6262</v>
      </c>
    </row>
    <row r="240" spans="1:40" x14ac:dyDescent="0.25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526513609.44132602</v>
      </c>
      <c r="L240">
        <v>1</v>
      </c>
      <c r="M240" t="s">
        <v>4942</v>
      </c>
      <c r="N240">
        <v>0.85273301000000001</v>
      </c>
      <c r="O240">
        <v>343.48</v>
      </c>
      <c r="P240">
        <v>349.63</v>
      </c>
      <c r="Q240">
        <v>292.8967342748</v>
      </c>
      <c r="R240">
        <v>79811431122.540253</v>
      </c>
      <c r="S240">
        <v>0</v>
      </c>
      <c r="T240" t="s">
        <v>6243</v>
      </c>
    </row>
    <row r="241" spans="1:40" x14ac:dyDescent="0.25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8.7940000000000005</v>
      </c>
      <c r="H241" t="s">
        <v>98</v>
      </c>
      <c r="I241">
        <v>62310462127.600014</v>
      </c>
      <c r="J241" t="s">
        <v>4702</v>
      </c>
      <c r="K241">
        <v>50436645.447560601</v>
      </c>
      <c r="L241">
        <v>0.5</v>
      </c>
      <c r="M241" t="s">
        <v>4943</v>
      </c>
      <c r="N241">
        <v>1</v>
      </c>
      <c r="O241">
        <v>8.7680000000000007</v>
      </c>
      <c r="P241">
        <v>8.7940000000000005</v>
      </c>
      <c r="Q241">
        <v>8.7680000000000007</v>
      </c>
      <c r="R241">
        <v>31063118713.599998</v>
      </c>
      <c r="S241">
        <v>0</v>
      </c>
      <c r="T241" t="s">
        <v>6242</v>
      </c>
      <c r="AJ241" t="s">
        <v>6258</v>
      </c>
    </row>
    <row r="242" spans="1:40" x14ac:dyDescent="0.25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27826630736.132999</v>
      </c>
      <c r="J242" t="s">
        <v>4700</v>
      </c>
      <c r="K242">
        <v>79368513.813639998</v>
      </c>
      <c r="L242">
        <v>1</v>
      </c>
      <c r="M242" t="s">
        <v>4944</v>
      </c>
      <c r="N242">
        <v>0.61572563000000002</v>
      </c>
      <c r="O242">
        <v>108.14</v>
      </c>
      <c r="P242">
        <v>103.61</v>
      </c>
      <c r="Q242">
        <v>66.584569628200001</v>
      </c>
      <c r="R242">
        <v>28990085979.769451</v>
      </c>
      <c r="S242">
        <v>0</v>
      </c>
      <c r="T242" t="s">
        <v>6243</v>
      </c>
      <c r="AA242" t="s">
        <v>6249</v>
      </c>
      <c r="AJ242" t="s">
        <v>6258</v>
      </c>
    </row>
    <row r="243" spans="1:40" x14ac:dyDescent="0.25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6.6840000000000002</v>
      </c>
      <c r="H243" t="s">
        <v>98</v>
      </c>
      <c r="I243">
        <v>8229793560.7919998</v>
      </c>
      <c r="J243" t="s">
        <v>4702</v>
      </c>
      <c r="K243">
        <v>41407613.187600002</v>
      </c>
      <c r="L243">
        <v>0.5</v>
      </c>
      <c r="M243" t="s">
        <v>4945</v>
      </c>
      <c r="N243">
        <v>1</v>
      </c>
      <c r="O243">
        <v>5.61</v>
      </c>
      <c r="P243">
        <v>6.6840000000000002</v>
      </c>
      <c r="Q243">
        <v>5.61</v>
      </c>
      <c r="R243">
        <v>3453706005.0900002</v>
      </c>
      <c r="S243">
        <v>0</v>
      </c>
      <c r="T243" t="s">
        <v>6242</v>
      </c>
      <c r="AJ243" t="s">
        <v>6258</v>
      </c>
    </row>
    <row r="244" spans="1:40" x14ac:dyDescent="0.25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81.782619999999994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0.61572563000000002</v>
      </c>
      <c r="O244">
        <v>129.38999999999999</v>
      </c>
      <c r="P244">
        <v>132.58000000000001</v>
      </c>
      <c r="Q244">
        <v>79.668739265699998</v>
      </c>
      <c r="R244">
        <v>44756304344.684937</v>
      </c>
      <c r="S244">
        <v>0</v>
      </c>
      <c r="T244" t="s">
        <v>6243</v>
      </c>
    </row>
    <row r="245" spans="1:40" x14ac:dyDescent="0.25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55614031171.440002</v>
      </c>
      <c r="J245" t="s">
        <v>4700</v>
      </c>
      <c r="K245">
        <v>422240557.442132</v>
      </c>
      <c r="L245">
        <v>1</v>
      </c>
      <c r="M245" t="s">
        <v>4947</v>
      </c>
      <c r="N245">
        <v>0.61572563000000002</v>
      </c>
      <c r="O245">
        <v>43.21</v>
      </c>
      <c r="P245">
        <v>43.07</v>
      </c>
      <c r="Q245">
        <v>26.605504472300002</v>
      </c>
      <c r="R245">
        <v>55692663979.758263</v>
      </c>
      <c r="S245">
        <v>0</v>
      </c>
      <c r="T245" t="s">
        <v>6243</v>
      </c>
      <c r="AH245" t="s">
        <v>6256</v>
      </c>
      <c r="AJ245" t="s">
        <v>6258</v>
      </c>
    </row>
    <row r="246" spans="1:40" x14ac:dyDescent="0.25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63.832149999999999</v>
      </c>
      <c r="H246" t="s">
        <v>100</v>
      </c>
      <c r="I246">
        <v>58596400878.044998</v>
      </c>
      <c r="J246" t="s">
        <v>4700</v>
      </c>
      <c r="K246">
        <v>99032315.5652242</v>
      </c>
      <c r="L246">
        <v>1</v>
      </c>
      <c r="M246" t="s">
        <v>4948</v>
      </c>
      <c r="N246">
        <v>0.61572563000000002</v>
      </c>
      <c r="O246">
        <v>103.98</v>
      </c>
      <c r="P246">
        <v>103.48</v>
      </c>
      <c r="Q246">
        <v>64.023151007400003</v>
      </c>
      <c r="R246">
        <v>58771735276.114326</v>
      </c>
      <c r="S246">
        <v>0</v>
      </c>
      <c r="T246" t="s">
        <v>6243</v>
      </c>
    </row>
    <row r="247" spans="1:40" x14ac:dyDescent="0.25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25.022559999999999</v>
      </c>
      <c r="H247" t="s">
        <v>99</v>
      </c>
      <c r="I247">
        <v>33374174702.304001</v>
      </c>
      <c r="J247" t="s">
        <v>4701</v>
      </c>
      <c r="K247">
        <v>88938856.956897005</v>
      </c>
      <c r="L247">
        <v>0.7</v>
      </c>
      <c r="M247" t="s">
        <v>4949</v>
      </c>
      <c r="N247">
        <v>5.7743899999999999E-3</v>
      </c>
      <c r="O247">
        <v>4424</v>
      </c>
      <c r="P247">
        <v>4306</v>
      </c>
      <c r="Q247">
        <v>25.545901359999998</v>
      </c>
      <c r="R247">
        <v>23850531777.78476</v>
      </c>
      <c r="S247">
        <v>0</v>
      </c>
      <c r="T247" t="s">
        <v>6244</v>
      </c>
    </row>
    <row r="248" spans="1:40" x14ac:dyDescent="0.25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12590838537.408001</v>
      </c>
      <c r="J248" t="s">
        <v>4701</v>
      </c>
      <c r="K248">
        <v>54803845.452780403</v>
      </c>
      <c r="L248">
        <v>0.6</v>
      </c>
      <c r="M248" t="s">
        <v>4950</v>
      </c>
      <c r="N248">
        <v>5.7743899999999999E-3</v>
      </c>
      <c r="O248">
        <v>4017</v>
      </c>
      <c r="P248">
        <v>4065</v>
      </c>
      <c r="Q248">
        <v>23.195724630000001</v>
      </c>
      <c r="R248">
        <v>7418148611.9435139</v>
      </c>
      <c r="S248">
        <v>0</v>
      </c>
      <c r="T248" t="s">
        <v>6244</v>
      </c>
    </row>
    <row r="249" spans="1:40" x14ac:dyDescent="0.25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21692589828.599998</v>
      </c>
      <c r="J249" t="s">
        <v>4702</v>
      </c>
      <c r="K249">
        <v>60875403.479166701</v>
      </c>
      <c r="L249">
        <v>0.85000000000000009</v>
      </c>
      <c r="M249" t="s">
        <v>4951</v>
      </c>
      <c r="N249">
        <v>1</v>
      </c>
      <c r="O249">
        <v>123.8</v>
      </c>
      <c r="P249">
        <v>126.6</v>
      </c>
      <c r="Q249">
        <v>123.8</v>
      </c>
      <c r="R249">
        <v>18030894373.330002</v>
      </c>
      <c r="S249">
        <v>1</v>
      </c>
      <c r="T249" t="s">
        <v>6242</v>
      </c>
      <c r="AA249" t="s">
        <v>6249</v>
      </c>
    </row>
    <row r="250" spans="1:40" x14ac:dyDescent="0.25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188.78649999999999</v>
      </c>
      <c r="H250" t="s">
        <v>97</v>
      </c>
      <c r="I250">
        <v>120732238420.045</v>
      </c>
      <c r="J250" t="s">
        <v>4700</v>
      </c>
      <c r="K250">
        <v>700090939.39499402</v>
      </c>
      <c r="L250">
        <v>1</v>
      </c>
      <c r="M250" t="s">
        <v>4952</v>
      </c>
      <c r="N250">
        <v>0.85273301000000001</v>
      </c>
      <c r="O250">
        <v>223.76</v>
      </c>
      <c r="P250">
        <v>221.22</v>
      </c>
      <c r="Q250">
        <v>190.80753831760001</v>
      </c>
      <c r="R250">
        <v>122024727448.7442</v>
      </c>
      <c r="S250">
        <v>0</v>
      </c>
      <c r="T250" t="s">
        <v>6243</v>
      </c>
      <c r="AJ250" t="s">
        <v>6258</v>
      </c>
      <c r="AN250" t="s">
        <v>6262</v>
      </c>
    </row>
    <row r="251" spans="1:40" x14ac:dyDescent="0.25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1.7788630000000001</v>
      </c>
      <c r="H251" t="s">
        <v>4698</v>
      </c>
      <c r="I251">
        <v>8193949420.2961006</v>
      </c>
      <c r="J251" t="s">
        <v>4701</v>
      </c>
      <c r="K251">
        <v>24649185.110770699</v>
      </c>
      <c r="L251">
        <v>0.85</v>
      </c>
      <c r="M251" t="s">
        <v>4953</v>
      </c>
      <c r="N251">
        <v>0.66458430000000002</v>
      </c>
      <c r="O251">
        <v>2.84</v>
      </c>
      <c r="P251">
        <v>2.67</v>
      </c>
      <c r="Q251">
        <v>1.8874194120000001</v>
      </c>
      <c r="R251">
        <v>7389892485.9818058</v>
      </c>
      <c r="S251">
        <v>0</v>
      </c>
      <c r="T251" t="s">
        <v>6244</v>
      </c>
      <c r="U251" t="s">
        <v>6245</v>
      </c>
    </row>
    <row r="252" spans="1:40" x14ac:dyDescent="0.25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35617129.498949602</v>
      </c>
      <c r="L252">
        <v>0.8</v>
      </c>
      <c r="M252" t="s">
        <v>4954</v>
      </c>
      <c r="N252">
        <v>0.66458430000000002</v>
      </c>
      <c r="O252">
        <v>2.34</v>
      </c>
      <c r="P252">
        <v>2.25</v>
      </c>
      <c r="Q252">
        <v>1.5551272620000001</v>
      </c>
      <c r="R252">
        <v>9457054834.8961143</v>
      </c>
      <c r="S252">
        <v>0</v>
      </c>
      <c r="T252" t="s">
        <v>6244</v>
      </c>
      <c r="U252" t="s">
        <v>6245</v>
      </c>
    </row>
    <row r="253" spans="1:40" x14ac:dyDescent="0.25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1.8055129999999999</v>
      </c>
      <c r="H253" t="s">
        <v>4698</v>
      </c>
      <c r="I253">
        <v>9394438019.5480003</v>
      </c>
      <c r="J253" t="s">
        <v>4701</v>
      </c>
      <c r="K253">
        <v>15204819.0710539</v>
      </c>
      <c r="L253">
        <v>0.5</v>
      </c>
      <c r="M253" t="s">
        <v>4955</v>
      </c>
      <c r="N253">
        <v>0.66458430000000002</v>
      </c>
      <c r="O253">
        <v>2.78</v>
      </c>
      <c r="P253">
        <v>2.71</v>
      </c>
      <c r="Q253">
        <v>1.8475443540000001</v>
      </c>
      <c r="R253">
        <v>4806567696.2776918</v>
      </c>
      <c r="S253">
        <v>0</v>
      </c>
      <c r="T253" t="s">
        <v>6244</v>
      </c>
      <c r="U253" t="s">
        <v>6245</v>
      </c>
    </row>
    <row r="254" spans="1:40" x14ac:dyDescent="0.25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2315888847.7237501</v>
      </c>
      <c r="J254" t="s">
        <v>4701</v>
      </c>
      <c r="K254">
        <v>7668243.7680860003</v>
      </c>
      <c r="L254">
        <v>0.95</v>
      </c>
      <c r="M254" t="s">
        <v>4956</v>
      </c>
      <c r="N254">
        <v>0.56652409000000004</v>
      </c>
      <c r="O254">
        <v>12.32</v>
      </c>
      <c r="P254">
        <v>9.69</v>
      </c>
      <c r="Q254">
        <v>6.9795767888000002</v>
      </c>
      <c r="R254">
        <v>2859925752.4829311</v>
      </c>
      <c r="S254">
        <v>0</v>
      </c>
      <c r="T254" t="s">
        <v>6244</v>
      </c>
      <c r="U254" t="s">
        <v>6245</v>
      </c>
      <c r="W254" t="s">
        <v>6247</v>
      </c>
      <c r="AJ254" t="s">
        <v>6258</v>
      </c>
      <c r="AN254" t="s">
        <v>6262</v>
      </c>
    </row>
    <row r="255" spans="1:40" x14ac:dyDescent="0.25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8540554798.6494999</v>
      </c>
      <c r="J255" t="s">
        <v>4701</v>
      </c>
      <c r="K255">
        <v>17168724.3820819</v>
      </c>
      <c r="L255">
        <v>1</v>
      </c>
      <c r="M255" t="s">
        <v>4957</v>
      </c>
      <c r="N255">
        <v>0.56652409000000004</v>
      </c>
      <c r="O255">
        <v>38.33</v>
      </c>
      <c r="P255">
        <v>40.76</v>
      </c>
      <c r="Q255">
        <v>21.7148683697</v>
      </c>
      <c r="R255">
        <v>8211400386.2193422</v>
      </c>
      <c r="S255">
        <v>0</v>
      </c>
      <c r="T255" t="s">
        <v>6244</v>
      </c>
      <c r="U255" t="s">
        <v>6245</v>
      </c>
    </row>
    <row r="256" spans="1:40" x14ac:dyDescent="0.25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126.38679999999999</v>
      </c>
      <c r="H256" t="s">
        <v>97</v>
      </c>
      <c r="I256">
        <v>30180364019.952</v>
      </c>
      <c r="J256" t="s">
        <v>4700</v>
      </c>
      <c r="K256">
        <v>304918189.21864301</v>
      </c>
      <c r="L256">
        <v>1</v>
      </c>
      <c r="M256" t="s">
        <v>4958</v>
      </c>
      <c r="N256">
        <v>0.85273301000000001</v>
      </c>
      <c r="O256">
        <v>152.24</v>
      </c>
      <c r="P256">
        <v>148.1</v>
      </c>
      <c r="Q256">
        <v>129.8200734424</v>
      </c>
      <c r="R256">
        <v>31000207882.378029</v>
      </c>
      <c r="S256">
        <v>0</v>
      </c>
      <c r="T256" t="s">
        <v>6243</v>
      </c>
    </row>
    <row r="257" spans="1:40" x14ac:dyDescent="0.25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10321590172.191999</v>
      </c>
      <c r="J257" t="s">
        <v>4699</v>
      </c>
      <c r="K257">
        <v>24007550.362207901</v>
      </c>
      <c r="L257">
        <v>0.95</v>
      </c>
      <c r="M257" t="s">
        <v>4959</v>
      </c>
      <c r="N257">
        <v>0.13397104000000001</v>
      </c>
      <c r="O257">
        <v>770</v>
      </c>
      <c r="P257">
        <v>778.6</v>
      </c>
      <c r="Q257">
        <v>103.1577008</v>
      </c>
      <c r="R257">
        <v>9697822648.0591469</v>
      </c>
      <c r="S257">
        <v>0</v>
      </c>
      <c r="T257" t="s">
        <v>6242</v>
      </c>
      <c r="U257" t="s">
        <v>6245</v>
      </c>
      <c r="AN257" t="s">
        <v>6262</v>
      </c>
    </row>
    <row r="258" spans="1:40" x14ac:dyDescent="0.25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26.711040000000001</v>
      </c>
      <c r="H258" t="s">
        <v>97</v>
      </c>
      <c r="I258">
        <v>31182574940.16</v>
      </c>
      <c r="J258" t="s">
        <v>4700</v>
      </c>
      <c r="K258">
        <v>520923713.40616298</v>
      </c>
      <c r="L258">
        <v>0.9</v>
      </c>
      <c r="M258" t="s">
        <v>4960</v>
      </c>
      <c r="N258">
        <v>0.85273301000000001</v>
      </c>
      <c r="O258">
        <v>31.51</v>
      </c>
      <c r="P258">
        <v>31.3</v>
      </c>
      <c r="Q258">
        <v>26.869617145100001</v>
      </c>
      <c r="R258">
        <v>28230928680.292488</v>
      </c>
      <c r="S258">
        <v>0</v>
      </c>
      <c r="T258" t="s">
        <v>6243</v>
      </c>
      <c r="AJ258" t="s">
        <v>6258</v>
      </c>
    </row>
    <row r="259" spans="1:40" x14ac:dyDescent="0.25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9619952718.2849998</v>
      </c>
      <c r="J259" t="s">
        <v>4702</v>
      </c>
      <c r="K259">
        <v>37569482.828409098</v>
      </c>
      <c r="L259">
        <v>0.85000000000000009</v>
      </c>
      <c r="M259" t="s">
        <v>4961</v>
      </c>
      <c r="N259">
        <v>1</v>
      </c>
      <c r="O259">
        <v>12.16</v>
      </c>
      <c r="P259">
        <v>13.065</v>
      </c>
      <c r="Q259">
        <v>12.16</v>
      </c>
      <c r="R259">
        <v>7610549659.104001</v>
      </c>
      <c r="S259">
        <v>1</v>
      </c>
      <c r="T259" t="s">
        <v>6242</v>
      </c>
      <c r="AH259" t="s">
        <v>6256</v>
      </c>
      <c r="AM259" t="s">
        <v>6261</v>
      </c>
    </row>
    <row r="260" spans="1:40" x14ac:dyDescent="0.25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57.817030000000003</v>
      </c>
      <c r="H260" t="s">
        <v>97</v>
      </c>
      <c r="I260">
        <v>49203610758.283997</v>
      </c>
      <c r="J260" t="s">
        <v>4700</v>
      </c>
      <c r="K260">
        <v>287920982.58962202</v>
      </c>
      <c r="L260">
        <v>0.95</v>
      </c>
      <c r="M260" t="s">
        <v>4962</v>
      </c>
      <c r="N260">
        <v>0.85273301000000001</v>
      </c>
      <c r="O260">
        <v>61.67</v>
      </c>
      <c r="P260">
        <v>67.75</v>
      </c>
      <c r="Q260">
        <v>52.588044726700012</v>
      </c>
      <c r="R260">
        <v>42515943816.349403</v>
      </c>
      <c r="S260">
        <v>0</v>
      </c>
      <c r="T260" t="s">
        <v>6243</v>
      </c>
    </row>
    <row r="261" spans="1:40" x14ac:dyDescent="0.25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305.35070000000002</v>
      </c>
      <c r="H261" t="s">
        <v>97</v>
      </c>
      <c r="I261">
        <v>42163893383.449997</v>
      </c>
      <c r="J261" t="s">
        <v>4700</v>
      </c>
      <c r="K261">
        <v>954326026.95399106</v>
      </c>
      <c r="L261">
        <v>1</v>
      </c>
      <c r="M261" t="s">
        <v>4963</v>
      </c>
      <c r="N261">
        <v>0.85273301000000001</v>
      </c>
      <c r="O261">
        <v>361.77</v>
      </c>
      <c r="P261">
        <v>357.81</v>
      </c>
      <c r="Q261">
        <v>308.49322102769997</v>
      </c>
      <c r="R261">
        <v>42597823685.778412</v>
      </c>
      <c r="S261">
        <v>0</v>
      </c>
      <c r="T261" t="s">
        <v>6243</v>
      </c>
      <c r="AJ261" t="s">
        <v>6258</v>
      </c>
      <c r="AN261" t="s">
        <v>6262</v>
      </c>
    </row>
    <row r="262" spans="1:40" x14ac:dyDescent="0.25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15968340284.384001</v>
      </c>
      <c r="J262" t="s">
        <v>4700</v>
      </c>
      <c r="K262">
        <v>150877326.95888001</v>
      </c>
      <c r="L262">
        <v>1</v>
      </c>
      <c r="M262" t="s">
        <v>4964</v>
      </c>
      <c r="N262">
        <v>0.85273301000000001</v>
      </c>
      <c r="O262">
        <v>553.89</v>
      </c>
      <c r="P262">
        <v>503.26</v>
      </c>
      <c r="Q262">
        <v>472.32028690890002</v>
      </c>
      <c r="R262">
        <v>17561333030.435219</v>
      </c>
      <c r="S262">
        <v>0</v>
      </c>
      <c r="T262" t="s">
        <v>6243</v>
      </c>
      <c r="AH262" t="s">
        <v>6256</v>
      </c>
      <c r="AJ262" t="s">
        <v>6258</v>
      </c>
    </row>
    <row r="263" spans="1:40" x14ac:dyDescent="0.25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5003185341.5904007</v>
      </c>
      <c r="J263" t="s">
        <v>4699</v>
      </c>
      <c r="K263">
        <v>15832955.4722273</v>
      </c>
      <c r="L263">
        <v>0.75</v>
      </c>
      <c r="M263" t="s">
        <v>4965</v>
      </c>
      <c r="N263">
        <v>9.1395149999999994E-2</v>
      </c>
      <c r="O263">
        <v>105.15</v>
      </c>
      <c r="P263">
        <v>113.15</v>
      </c>
      <c r="Q263">
        <v>9.6102000224999991</v>
      </c>
      <c r="R263">
        <v>3550498777.328649</v>
      </c>
      <c r="S263">
        <v>0</v>
      </c>
      <c r="T263" t="s">
        <v>6242</v>
      </c>
      <c r="U263" t="s">
        <v>6245</v>
      </c>
    </row>
    <row r="264" spans="1:40" x14ac:dyDescent="0.25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174178346864.95001</v>
      </c>
      <c r="J264" t="s">
        <v>4700</v>
      </c>
      <c r="K264">
        <v>963077289.32815695</v>
      </c>
      <c r="L264">
        <v>1</v>
      </c>
      <c r="M264" t="s">
        <v>4966</v>
      </c>
      <c r="N264">
        <v>0.85273301000000001</v>
      </c>
      <c r="O264">
        <v>431.52</v>
      </c>
      <c r="P264">
        <v>435.67</v>
      </c>
      <c r="Q264">
        <v>367.97134847519999</v>
      </c>
      <c r="R264">
        <v>172386812565.17841</v>
      </c>
      <c r="S264">
        <v>0</v>
      </c>
      <c r="T264" t="s">
        <v>6243</v>
      </c>
      <c r="AG264" t="s">
        <v>6255</v>
      </c>
      <c r="AJ264" t="s">
        <v>6258</v>
      </c>
    </row>
    <row r="265" spans="1:40" x14ac:dyDescent="0.25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140.30549999999999</v>
      </c>
      <c r="H265" t="s">
        <v>97</v>
      </c>
      <c r="I265">
        <v>41748507644.760002</v>
      </c>
      <c r="J265" t="s">
        <v>4700</v>
      </c>
      <c r="K265">
        <v>196610675.76719701</v>
      </c>
      <c r="L265">
        <v>1</v>
      </c>
      <c r="M265" t="s">
        <v>4967</v>
      </c>
      <c r="N265">
        <v>0.85273301000000001</v>
      </c>
      <c r="O265">
        <v>164.02</v>
      </c>
      <c r="P265">
        <v>164.41</v>
      </c>
      <c r="Q265">
        <v>139.8652683002</v>
      </c>
      <c r="R265">
        <v>41617514800.683563</v>
      </c>
      <c r="S265">
        <v>0</v>
      </c>
      <c r="T265" t="s">
        <v>6243</v>
      </c>
    </row>
    <row r="266" spans="1:40" x14ac:dyDescent="0.25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142.51580000000001</v>
      </c>
      <c r="H266" t="s">
        <v>97</v>
      </c>
      <c r="I266">
        <v>18678227634.849998</v>
      </c>
      <c r="J266" t="s">
        <v>4700</v>
      </c>
      <c r="K266">
        <v>167154504.65584201</v>
      </c>
      <c r="L266">
        <v>1</v>
      </c>
      <c r="M266" t="s">
        <v>4968</v>
      </c>
      <c r="N266">
        <v>0.85273301000000001</v>
      </c>
      <c r="O266">
        <v>164.29</v>
      </c>
      <c r="P266">
        <v>167</v>
      </c>
      <c r="Q266">
        <v>140.09550621290001</v>
      </c>
      <c r="R266">
        <v>18361022115.89233</v>
      </c>
      <c r="S266">
        <v>0</v>
      </c>
      <c r="T266" t="s">
        <v>6243</v>
      </c>
      <c r="AN266" t="s">
        <v>6262</v>
      </c>
    </row>
    <row r="267" spans="1:40" x14ac:dyDescent="0.25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161.25819999999999</v>
      </c>
      <c r="H267" t="s">
        <v>100</v>
      </c>
      <c r="I267">
        <v>18549963563.008801</v>
      </c>
      <c r="J267" t="s">
        <v>4700</v>
      </c>
      <c r="K267">
        <v>114515752.55357</v>
      </c>
      <c r="L267">
        <v>1</v>
      </c>
      <c r="M267" t="s">
        <v>4969</v>
      </c>
      <c r="N267">
        <v>0.61572563000000002</v>
      </c>
      <c r="O267">
        <v>334.53</v>
      </c>
      <c r="P267">
        <v>261.42</v>
      </c>
      <c r="Q267">
        <v>205.97869500389999</v>
      </c>
      <c r="R267">
        <v>23694282133.116001</v>
      </c>
      <c r="S267">
        <v>0</v>
      </c>
      <c r="T267" t="s">
        <v>6243</v>
      </c>
    </row>
    <row r="268" spans="1:40" x14ac:dyDescent="0.25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30.48</v>
      </c>
      <c r="P268">
        <v>31.03</v>
      </c>
      <c r="Q268">
        <v>30.48</v>
      </c>
      <c r="R268">
        <v>18303364663.200001</v>
      </c>
      <c r="S268">
        <v>0</v>
      </c>
      <c r="T268" t="s">
        <v>6242</v>
      </c>
    </row>
    <row r="269" spans="1:40" x14ac:dyDescent="0.25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48411558677.244003</v>
      </c>
      <c r="J269" t="s">
        <v>4700</v>
      </c>
      <c r="K269">
        <v>328363276.08556497</v>
      </c>
      <c r="L269">
        <v>1</v>
      </c>
      <c r="M269" t="s">
        <v>4971</v>
      </c>
      <c r="N269">
        <v>0.85273301000000001</v>
      </c>
      <c r="O269">
        <v>302.52</v>
      </c>
      <c r="P269">
        <v>292.60000000000002</v>
      </c>
      <c r="Q269">
        <v>257.96879018520002</v>
      </c>
      <c r="R269">
        <v>50014442147.271378</v>
      </c>
      <c r="S269">
        <v>0</v>
      </c>
      <c r="T269" t="s">
        <v>6243</v>
      </c>
    </row>
    <row r="270" spans="1:40" x14ac:dyDescent="0.25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13.990270000000001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0.61572563000000002</v>
      </c>
      <c r="O270">
        <v>23.38</v>
      </c>
      <c r="P270">
        <v>22.68</v>
      </c>
      <c r="Q270">
        <v>14.3956652294</v>
      </c>
      <c r="R270">
        <v>18136029024.594521</v>
      </c>
      <c r="S270">
        <v>0</v>
      </c>
      <c r="T270" t="s">
        <v>6243</v>
      </c>
      <c r="AH270" t="s">
        <v>6256</v>
      </c>
      <c r="AJ270" t="s">
        <v>6258</v>
      </c>
      <c r="AN270" t="s">
        <v>6262</v>
      </c>
    </row>
    <row r="271" spans="1:40" x14ac:dyDescent="0.25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32.471409999999999</v>
      </c>
      <c r="H271" t="s">
        <v>97</v>
      </c>
      <c r="I271">
        <v>21199442868.366699</v>
      </c>
      <c r="J271" t="s">
        <v>4700</v>
      </c>
      <c r="K271">
        <v>173795785.30269599</v>
      </c>
      <c r="L271">
        <v>1</v>
      </c>
      <c r="M271" t="s">
        <v>4973</v>
      </c>
      <c r="N271">
        <v>0.85273301000000001</v>
      </c>
      <c r="O271">
        <v>38.24</v>
      </c>
      <c r="P271">
        <v>38.049999999999997</v>
      </c>
      <c r="Q271">
        <v>32.608510302399999</v>
      </c>
      <c r="R271">
        <v>21288950839.470039</v>
      </c>
      <c r="S271">
        <v>0</v>
      </c>
      <c r="T271" t="s">
        <v>6243</v>
      </c>
      <c r="AG271" t="s">
        <v>6255</v>
      </c>
      <c r="AH271" t="s">
        <v>6256</v>
      </c>
      <c r="AJ271" t="s">
        <v>6258</v>
      </c>
    </row>
    <row r="272" spans="1:40" x14ac:dyDescent="0.25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22.889890000000001</v>
      </c>
      <c r="H272" t="s">
        <v>99</v>
      </c>
      <c r="I272">
        <v>23576586700</v>
      </c>
      <c r="J272" t="s">
        <v>4701</v>
      </c>
      <c r="K272">
        <v>47890220.277953602</v>
      </c>
      <c r="L272">
        <v>0.95</v>
      </c>
      <c r="M272" t="s">
        <v>4974</v>
      </c>
      <c r="N272">
        <v>5.7743899999999999E-3</v>
      </c>
      <c r="O272">
        <v>4187</v>
      </c>
      <c r="P272">
        <v>3939</v>
      </c>
      <c r="Q272">
        <v>24.177370929999999</v>
      </c>
      <c r="R272">
        <v>23657557455.005001</v>
      </c>
      <c r="S272">
        <v>0</v>
      </c>
      <c r="T272" t="s">
        <v>6244</v>
      </c>
      <c r="AJ272" t="s">
        <v>6258</v>
      </c>
      <c r="AN272" t="s">
        <v>6262</v>
      </c>
    </row>
    <row r="273" spans="1:40" x14ac:dyDescent="0.25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1.9055260000000001</v>
      </c>
      <c r="H273" t="s">
        <v>96</v>
      </c>
      <c r="I273">
        <v>9151658858.7017994</v>
      </c>
      <c r="J273" t="s">
        <v>4699</v>
      </c>
      <c r="K273">
        <v>23323857.320323799</v>
      </c>
      <c r="L273">
        <v>1</v>
      </c>
      <c r="M273" t="s">
        <v>4975</v>
      </c>
      <c r="N273">
        <v>1.156136E-2</v>
      </c>
      <c r="O273">
        <v>160.35</v>
      </c>
      <c r="P273">
        <v>165.1</v>
      </c>
      <c r="Q273">
        <v>1.853864076</v>
      </c>
      <c r="R273">
        <v>8903542430.7799664</v>
      </c>
      <c r="S273">
        <v>0</v>
      </c>
      <c r="T273" t="s">
        <v>6242</v>
      </c>
      <c r="AH273" t="s">
        <v>6256</v>
      </c>
      <c r="AJ273" t="s">
        <v>6258</v>
      </c>
      <c r="AN273" t="s">
        <v>6262</v>
      </c>
    </row>
    <row r="274" spans="1:40" x14ac:dyDescent="0.25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82.707909999999998</v>
      </c>
      <c r="H274" t="s">
        <v>100</v>
      </c>
      <c r="I274">
        <v>16441948743.2976</v>
      </c>
      <c r="J274" t="s">
        <v>4700</v>
      </c>
      <c r="K274">
        <v>36815764.283965603</v>
      </c>
      <c r="L274">
        <v>0.9</v>
      </c>
      <c r="M274" t="s">
        <v>4976</v>
      </c>
      <c r="N274">
        <v>0.61572563000000002</v>
      </c>
      <c r="O274">
        <v>129.30000000000001</v>
      </c>
      <c r="P274">
        <v>134.08000000000001</v>
      </c>
      <c r="Q274">
        <v>79.613323959000013</v>
      </c>
      <c r="R274">
        <v>14244083457.503429</v>
      </c>
      <c r="S274">
        <v>0</v>
      </c>
      <c r="T274" t="s">
        <v>6243</v>
      </c>
    </row>
    <row r="275" spans="1:40" x14ac:dyDescent="0.25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4.8096300000000003</v>
      </c>
      <c r="H275" t="s">
        <v>4691</v>
      </c>
      <c r="I275">
        <v>3325357500.5910001</v>
      </c>
      <c r="J275" t="s">
        <v>4701</v>
      </c>
      <c r="K275">
        <v>11728608.575157899</v>
      </c>
      <c r="L275">
        <v>0.8</v>
      </c>
      <c r="M275" t="s">
        <v>4977</v>
      </c>
      <c r="N275">
        <v>0.56652409000000004</v>
      </c>
      <c r="O275">
        <v>8.58</v>
      </c>
      <c r="P275">
        <v>8.68</v>
      </c>
      <c r="Q275">
        <v>4.8607766922</v>
      </c>
      <c r="R275">
        <v>2688576082.9178429</v>
      </c>
      <c r="S275">
        <v>0</v>
      </c>
      <c r="T275" t="s">
        <v>6244</v>
      </c>
      <c r="U275" t="s">
        <v>6245</v>
      </c>
      <c r="AJ275" t="s">
        <v>6258</v>
      </c>
    </row>
    <row r="276" spans="1:40" x14ac:dyDescent="0.25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81.780169999999998</v>
      </c>
      <c r="H276" t="s">
        <v>97</v>
      </c>
      <c r="I276">
        <v>148448951119.298</v>
      </c>
      <c r="J276" t="s">
        <v>4700</v>
      </c>
      <c r="K276">
        <v>653715564.88879704</v>
      </c>
      <c r="L276">
        <v>0.95</v>
      </c>
      <c r="M276" t="s">
        <v>4978</v>
      </c>
      <c r="N276">
        <v>0.85273301000000001</v>
      </c>
      <c r="O276">
        <v>93.54</v>
      </c>
      <c r="P276">
        <v>95.83</v>
      </c>
      <c r="Q276">
        <v>79.764645755400011</v>
      </c>
      <c r="R276">
        <v>137550815788.86331</v>
      </c>
      <c r="S276">
        <v>0</v>
      </c>
      <c r="T276" t="s">
        <v>6243</v>
      </c>
      <c r="AJ276" t="s">
        <v>6258</v>
      </c>
    </row>
    <row r="277" spans="1:40" x14ac:dyDescent="0.25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236.88339999999999</v>
      </c>
      <c r="H277" t="s">
        <v>97</v>
      </c>
      <c r="I277">
        <v>32364902806.366001</v>
      </c>
      <c r="J277" t="s">
        <v>4700</v>
      </c>
      <c r="K277">
        <v>501489560.65073401</v>
      </c>
      <c r="L277">
        <v>0.7</v>
      </c>
      <c r="M277" t="s">
        <v>4979</v>
      </c>
      <c r="N277">
        <v>0.85273301000000001</v>
      </c>
      <c r="O277">
        <v>263.39999999999998</v>
      </c>
      <c r="P277">
        <v>277.58</v>
      </c>
      <c r="Q277">
        <v>224.60987483400001</v>
      </c>
      <c r="R277">
        <v>21481597012.904701</v>
      </c>
      <c r="S277">
        <v>0</v>
      </c>
      <c r="T277" t="s">
        <v>6243</v>
      </c>
      <c r="AN277" t="s">
        <v>6262</v>
      </c>
    </row>
    <row r="278" spans="1:40" x14ac:dyDescent="0.25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12.977130000000001</v>
      </c>
      <c r="H278" t="s">
        <v>4691</v>
      </c>
      <c r="I278">
        <v>6138146154.0360003</v>
      </c>
      <c r="J278" t="s">
        <v>4701</v>
      </c>
      <c r="K278">
        <v>12289557.599010499</v>
      </c>
      <c r="L278">
        <v>0.9</v>
      </c>
      <c r="M278" t="s">
        <v>4980</v>
      </c>
      <c r="N278">
        <v>0.56652409000000004</v>
      </c>
      <c r="O278">
        <v>23.1</v>
      </c>
      <c r="P278">
        <v>23.42</v>
      </c>
      <c r="Q278">
        <v>13.086706479</v>
      </c>
      <c r="R278">
        <v>5570977969.6099739</v>
      </c>
      <c r="S278">
        <v>0</v>
      </c>
      <c r="T278" t="s">
        <v>6244</v>
      </c>
      <c r="U278" t="s">
        <v>6245</v>
      </c>
    </row>
    <row r="279" spans="1:40" x14ac:dyDescent="0.25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202.73079999999999</v>
      </c>
      <c r="H279" t="s">
        <v>97</v>
      </c>
      <c r="I279">
        <v>44553762727.480003</v>
      </c>
      <c r="J279" t="s">
        <v>4700</v>
      </c>
      <c r="K279">
        <v>398622634.25160003</v>
      </c>
      <c r="L279">
        <v>1</v>
      </c>
      <c r="M279" t="s">
        <v>4981</v>
      </c>
      <c r="N279">
        <v>0.85273301000000001</v>
      </c>
      <c r="O279">
        <v>236.09</v>
      </c>
      <c r="P279">
        <v>237.56</v>
      </c>
      <c r="Q279">
        <v>201.32173633089999</v>
      </c>
      <c r="R279">
        <v>44244095482.14286</v>
      </c>
      <c r="S279">
        <v>0</v>
      </c>
      <c r="T279" t="s">
        <v>6243</v>
      </c>
      <c r="AH279" t="s">
        <v>6256</v>
      </c>
      <c r="AJ279" t="s">
        <v>6258</v>
      </c>
    </row>
    <row r="280" spans="1:40" x14ac:dyDescent="0.25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276375450427.71002</v>
      </c>
      <c r="J280" t="s">
        <v>4700</v>
      </c>
      <c r="K280">
        <v>1291526633.52984</v>
      </c>
      <c r="L280">
        <v>0.95</v>
      </c>
      <c r="M280" t="s">
        <v>4982</v>
      </c>
      <c r="N280">
        <v>0.85273301000000001</v>
      </c>
      <c r="O280">
        <v>157.11000000000001</v>
      </c>
      <c r="P280">
        <v>158.18</v>
      </c>
      <c r="Q280">
        <v>133.97288320109999</v>
      </c>
      <c r="R280">
        <v>260580500639.7774</v>
      </c>
      <c r="S280">
        <v>0</v>
      </c>
      <c r="T280" t="s">
        <v>6243</v>
      </c>
      <c r="AH280" t="s">
        <v>6256</v>
      </c>
      <c r="AJ280" t="s">
        <v>6258</v>
      </c>
    </row>
    <row r="281" spans="1:40" x14ac:dyDescent="0.25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8.8735379999999999</v>
      </c>
      <c r="H281" t="s">
        <v>99</v>
      </c>
      <c r="I281">
        <v>7147821735.7102795</v>
      </c>
      <c r="J281" t="s">
        <v>4701</v>
      </c>
      <c r="K281">
        <v>16801715.480694801</v>
      </c>
      <c r="L281">
        <v>0.9</v>
      </c>
      <c r="M281" t="s">
        <v>4983</v>
      </c>
      <c r="N281">
        <v>5.7743899999999999E-3</v>
      </c>
      <c r="O281">
        <v>1527.5</v>
      </c>
      <c r="P281">
        <v>1527</v>
      </c>
      <c r="Q281">
        <v>8.8203807249999997</v>
      </c>
      <c r="R281">
        <v>6394502188.0850105</v>
      </c>
      <c r="S281">
        <v>0</v>
      </c>
      <c r="T281" t="s">
        <v>6244</v>
      </c>
      <c r="AJ281" t="s">
        <v>6258</v>
      </c>
      <c r="AN281" t="s">
        <v>6262</v>
      </c>
    </row>
    <row r="282" spans="1:40" x14ac:dyDescent="0.25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37.241849999999999</v>
      </c>
      <c r="H282" t="s">
        <v>97</v>
      </c>
      <c r="I282">
        <v>49937038037.25</v>
      </c>
      <c r="J282" t="s">
        <v>4700</v>
      </c>
      <c r="K282">
        <v>674359323.61576498</v>
      </c>
      <c r="L282">
        <v>1</v>
      </c>
      <c r="M282" t="s">
        <v>4984</v>
      </c>
      <c r="N282">
        <v>0.85273301000000001</v>
      </c>
      <c r="O282">
        <v>38.630000000000003</v>
      </c>
      <c r="P282">
        <v>43.64</v>
      </c>
      <c r="Q282">
        <v>32.941076176300001</v>
      </c>
      <c r="R282">
        <v>44170194928.658028</v>
      </c>
      <c r="S282">
        <v>0</v>
      </c>
      <c r="T282" t="s">
        <v>6243</v>
      </c>
    </row>
    <row r="283" spans="1:40" x14ac:dyDescent="0.25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236.97730000000001</v>
      </c>
      <c r="H283" t="s">
        <v>97</v>
      </c>
      <c r="I283">
        <v>94480550830.190002</v>
      </c>
      <c r="J283" t="s">
        <v>4700</v>
      </c>
      <c r="K283">
        <v>437465830.71448898</v>
      </c>
      <c r="L283">
        <v>0.95</v>
      </c>
      <c r="M283" t="s">
        <v>4985</v>
      </c>
      <c r="N283">
        <v>0.85273301000000001</v>
      </c>
      <c r="O283">
        <v>278.11</v>
      </c>
      <c r="P283">
        <v>277.69</v>
      </c>
      <c r="Q283">
        <v>237.1535774111</v>
      </c>
      <c r="R283">
        <v>89823289377.899445</v>
      </c>
      <c r="S283">
        <v>0</v>
      </c>
      <c r="T283" t="s">
        <v>6243</v>
      </c>
      <c r="AJ283" t="s">
        <v>6258</v>
      </c>
    </row>
    <row r="284" spans="1:40" x14ac:dyDescent="0.25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12.089980000000001</v>
      </c>
      <c r="H284" t="s">
        <v>99</v>
      </c>
      <c r="I284">
        <v>9164204840</v>
      </c>
      <c r="J284" t="s">
        <v>4701</v>
      </c>
      <c r="K284">
        <v>28812331.976968899</v>
      </c>
      <c r="L284">
        <v>1</v>
      </c>
      <c r="M284" t="s">
        <v>4986</v>
      </c>
      <c r="N284">
        <v>5.7743899999999999E-3</v>
      </c>
      <c r="O284">
        <v>2114</v>
      </c>
      <c r="P284">
        <v>2080.5</v>
      </c>
      <c r="Q284">
        <v>12.207060459999999</v>
      </c>
      <c r="R284">
        <v>9252951828.6800003</v>
      </c>
      <c r="S284">
        <v>0</v>
      </c>
      <c r="T284" t="s">
        <v>6244</v>
      </c>
      <c r="AG284" t="s">
        <v>6255</v>
      </c>
      <c r="AH284" t="s">
        <v>6256</v>
      </c>
      <c r="AI284" t="s">
        <v>6257</v>
      </c>
      <c r="AJ284" t="s">
        <v>6258</v>
      </c>
    </row>
    <row r="285" spans="1:40" x14ac:dyDescent="0.25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36.435549999999999</v>
      </c>
      <c r="H285" t="s">
        <v>99</v>
      </c>
      <c r="I285">
        <v>61177387137.68</v>
      </c>
      <c r="J285" t="s">
        <v>4701</v>
      </c>
      <c r="K285">
        <v>110432030.84264401</v>
      </c>
      <c r="L285">
        <v>0.4</v>
      </c>
      <c r="M285" t="s">
        <v>4987</v>
      </c>
      <c r="N285">
        <v>5.7743899999999999E-3</v>
      </c>
      <c r="O285">
        <v>6699</v>
      </c>
      <c r="P285">
        <v>6270</v>
      </c>
      <c r="Q285">
        <v>38.682638609999998</v>
      </c>
      <c r="R285">
        <v>25980151338.46957</v>
      </c>
      <c r="S285">
        <v>0</v>
      </c>
      <c r="T285" t="s">
        <v>6244</v>
      </c>
    </row>
    <row r="286" spans="1:40" x14ac:dyDescent="0.25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5.7743899999999999E-3</v>
      </c>
      <c r="O286">
        <v>2152</v>
      </c>
      <c r="P286">
        <v>2129</v>
      </c>
      <c r="Q286">
        <v>12.42648728</v>
      </c>
      <c r="R286">
        <v>2296060073.1321559</v>
      </c>
      <c r="S286">
        <v>0</v>
      </c>
      <c r="T286" t="s">
        <v>6244</v>
      </c>
      <c r="W286" t="s">
        <v>6247</v>
      </c>
      <c r="AJ286" t="s">
        <v>6258</v>
      </c>
    </row>
    <row r="287" spans="1:40" x14ac:dyDescent="0.25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81.088920000000002</v>
      </c>
      <c r="H287" t="s">
        <v>97</v>
      </c>
      <c r="I287">
        <v>19753965574.714802</v>
      </c>
      <c r="J287" t="s">
        <v>4700</v>
      </c>
      <c r="K287">
        <v>190567487.614977</v>
      </c>
      <c r="L287">
        <v>1</v>
      </c>
      <c r="M287" t="s">
        <v>4989</v>
      </c>
      <c r="N287">
        <v>0.85273301000000001</v>
      </c>
      <c r="O287">
        <v>92.94</v>
      </c>
      <c r="P287">
        <v>95.02</v>
      </c>
      <c r="Q287">
        <v>79.253005949400006</v>
      </c>
      <c r="R287">
        <v>19306720957.895538</v>
      </c>
      <c r="S287">
        <v>0</v>
      </c>
      <c r="T287" t="s">
        <v>6243</v>
      </c>
    </row>
    <row r="288" spans="1:40" x14ac:dyDescent="0.25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62.438049999999997</v>
      </c>
      <c r="H288" t="s">
        <v>100</v>
      </c>
      <c r="I288">
        <v>58329036270.427498</v>
      </c>
      <c r="J288" t="s">
        <v>4700</v>
      </c>
      <c r="K288">
        <v>178584860.292353</v>
      </c>
      <c r="L288">
        <v>0.95</v>
      </c>
      <c r="M288" t="s">
        <v>4990</v>
      </c>
      <c r="N288">
        <v>0.61572563000000002</v>
      </c>
      <c r="O288">
        <v>109.59</v>
      </c>
      <c r="P288">
        <v>101.22</v>
      </c>
      <c r="Q288">
        <v>67.477371791700008</v>
      </c>
      <c r="R288">
        <v>59884886913.310577</v>
      </c>
      <c r="S288">
        <v>0</v>
      </c>
      <c r="T288" t="s">
        <v>6243</v>
      </c>
      <c r="AJ288" t="s">
        <v>6258</v>
      </c>
    </row>
    <row r="289" spans="1:40" x14ac:dyDescent="0.25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144.95509999999999</v>
      </c>
      <c r="H289" t="s">
        <v>4694</v>
      </c>
      <c r="I289">
        <v>77925267063.709991</v>
      </c>
      <c r="J289" t="s">
        <v>4699</v>
      </c>
      <c r="K289">
        <v>124963509.250064</v>
      </c>
      <c r="L289">
        <v>1</v>
      </c>
      <c r="M289" t="s">
        <v>4991</v>
      </c>
      <c r="N289">
        <v>1.07032003</v>
      </c>
      <c r="O289">
        <v>148.65</v>
      </c>
      <c r="P289">
        <v>136.15</v>
      </c>
      <c r="Q289">
        <v>159.1030724595</v>
      </c>
      <c r="R289">
        <v>85530963809.230179</v>
      </c>
      <c r="S289">
        <v>0</v>
      </c>
      <c r="T289" t="s">
        <v>6242</v>
      </c>
      <c r="U289" t="s">
        <v>6245</v>
      </c>
    </row>
    <row r="290" spans="1:40" x14ac:dyDescent="0.25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259.72859999999997</v>
      </c>
      <c r="H290" t="s">
        <v>97</v>
      </c>
      <c r="I290">
        <v>69328853921.801987</v>
      </c>
      <c r="J290" t="s">
        <v>4700</v>
      </c>
      <c r="K290">
        <v>490670123.50491101</v>
      </c>
      <c r="L290">
        <v>1</v>
      </c>
      <c r="M290" t="s">
        <v>4992</v>
      </c>
      <c r="N290">
        <v>0.85273301000000001</v>
      </c>
      <c r="O290">
        <v>302.76</v>
      </c>
      <c r="P290">
        <v>304.35000000000002</v>
      </c>
      <c r="Q290">
        <v>258.1734461076</v>
      </c>
      <c r="R290">
        <v>68913739694.750687</v>
      </c>
      <c r="S290">
        <v>0</v>
      </c>
      <c r="T290" t="s">
        <v>6243</v>
      </c>
      <c r="AJ290" t="s">
        <v>6258</v>
      </c>
    </row>
    <row r="291" spans="1:40" x14ac:dyDescent="0.25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72106660.400381804</v>
      </c>
      <c r="L291">
        <v>1</v>
      </c>
      <c r="M291" t="s">
        <v>4993</v>
      </c>
      <c r="N291">
        <v>0.85273301000000001</v>
      </c>
      <c r="O291">
        <v>156.86000000000001</v>
      </c>
      <c r="P291">
        <v>155.4</v>
      </c>
      <c r="Q291">
        <v>133.7596999486</v>
      </c>
      <c r="R291">
        <v>20916863018.236252</v>
      </c>
      <c r="S291">
        <v>0</v>
      </c>
      <c r="T291" t="s">
        <v>6243</v>
      </c>
      <c r="AJ291" t="s">
        <v>6258</v>
      </c>
    </row>
    <row r="292" spans="1:40" x14ac:dyDescent="0.25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74140647059.285995</v>
      </c>
      <c r="J292" t="s">
        <v>4700</v>
      </c>
      <c r="K292">
        <v>274002867.39095098</v>
      </c>
      <c r="L292">
        <v>0.85</v>
      </c>
      <c r="M292" t="s">
        <v>4994</v>
      </c>
      <c r="N292">
        <v>0.85273301000000001</v>
      </c>
      <c r="O292">
        <v>202.37</v>
      </c>
      <c r="P292">
        <v>215.59</v>
      </c>
      <c r="Q292">
        <v>172.5675792337</v>
      </c>
      <c r="R292">
        <v>59109788451.825729</v>
      </c>
      <c r="S292">
        <v>0</v>
      </c>
      <c r="T292" t="s">
        <v>6243</v>
      </c>
    </row>
    <row r="293" spans="1:40" x14ac:dyDescent="0.25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24412362929.240002</v>
      </c>
      <c r="J293" t="s">
        <v>4700</v>
      </c>
      <c r="K293">
        <v>4195308415.4189401</v>
      </c>
      <c r="L293">
        <v>0.75</v>
      </c>
      <c r="M293" t="s">
        <v>4995</v>
      </c>
      <c r="N293">
        <v>0.85273301000000001</v>
      </c>
      <c r="O293">
        <v>125.32</v>
      </c>
      <c r="Q293">
        <v>106.8645008132</v>
      </c>
      <c r="R293">
        <v>16978356178.78912</v>
      </c>
      <c r="S293">
        <v>0</v>
      </c>
      <c r="T293" t="s">
        <v>6243</v>
      </c>
      <c r="AJ293" t="s">
        <v>6258</v>
      </c>
    </row>
    <row r="294" spans="1:40" x14ac:dyDescent="0.25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227502219134.86401</v>
      </c>
      <c r="J294" t="s">
        <v>4700</v>
      </c>
      <c r="K294">
        <v>1180078478.9753499</v>
      </c>
      <c r="L294">
        <v>1</v>
      </c>
      <c r="M294" t="s">
        <v>4996</v>
      </c>
      <c r="N294">
        <v>0.85273301000000001</v>
      </c>
      <c r="O294">
        <v>66.53</v>
      </c>
      <c r="P294">
        <v>67.319999999999993</v>
      </c>
      <c r="Q294">
        <v>56.732327155299998</v>
      </c>
      <c r="R294">
        <v>224659919090.0318</v>
      </c>
      <c r="S294">
        <v>0</v>
      </c>
      <c r="T294" t="s">
        <v>6243</v>
      </c>
    </row>
    <row r="295" spans="1:40" x14ac:dyDescent="0.25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149653483378.51999</v>
      </c>
      <c r="J295" t="s">
        <v>4700</v>
      </c>
      <c r="K295">
        <v>1082422138.49862</v>
      </c>
      <c r="L295">
        <v>1</v>
      </c>
      <c r="M295" t="s">
        <v>4997</v>
      </c>
      <c r="N295">
        <v>0.85273301000000001</v>
      </c>
      <c r="O295">
        <v>99.44</v>
      </c>
      <c r="P295">
        <v>95.26</v>
      </c>
      <c r="Q295">
        <v>84.795770514400004</v>
      </c>
      <c r="R295">
        <v>156100364348.41791</v>
      </c>
      <c r="S295">
        <v>0</v>
      </c>
      <c r="T295" t="s">
        <v>6243</v>
      </c>
      <c r="AJ295" t="s">
        <v>6258</v>
      </c>
    </row>
    <row r="296" spans="1:40" x14ac:dyDescent="0.25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43.326509999999999</v>
      </c>
      <c r="H296" t="s">
        <v>97</v>
      </c>
      <c r="I296">
        <v>18688846761.990002</v>
      </c>
      <c r="J296" t="s">
        <v>4700</v>
      </c>
      <c r="K296">
        <v>196974536.64274001</v>
      </c>
      <c r="L296">
        <v>1</v>
      </c>
      <c r="M296" t="s">
        <v>4998</v>
      </c>
      <c r="N296">
        <v>0.85273301000000001</v>
      </c>
      <c r="O296">
        <v>51.82</v>
      </c>
      <c r="P296">
        <v>50.77</v>
      </c>
      <c r="Q296">
        <v>44.188624578199999</v>
      </c>
      <c r="R296">
        <v>19060719023.181992</v>
      </c>
      <c r="S296">
        <v>0</v>
      </c>
      <c r="T296" t="s">
        <v>6243</v>
      </c>
      <c r="AJ296" t="s">
        <v>6258</v>
      </c>
    </row>
    <row r="297" spans="1:40" x14ac:dyDescent="0.25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4.0344199999999999</v>
      </c>
      <c r="H297" t="s">
        <v>4692</v>
      </c>
      <c r="I297">
        <v>14119575569.086</v>
      </c>
      <c r="J297" t="s">
        <v>4701</v>
      </c>
      <c r="K297">
        <v>18941366.409703199</v>
      </c>
      <c r="L297">
        <v>0.55000000000000004</v>
      </c>
      <c r="M297" t="s">
        <v>4999</v>
      </c>
      <c r="N297">
        <v>0.10956983000000001</v>
      </c>
      <c r="O297">
        <v>38.44</v>
      </c>
      <c r="P297">
        <v>36.94</v>
      </c>
      <c r="Q297">
        <v>4.2118642651999991</v>
      </c>
      <c r="R297">
        <v>8107325136.8408222</v>
      </c>
      <c r="S297">
        <v>0</v>
      </c>
      <c r="T297" t="s">
        <v>6244</v>
      </c>
      <c r="U297" t="s">
        <v>6245</v>
      </c>
      <c r="AN297" t="s">
        <v>6262</v>
      </c>
    </row>
    <row r="298" spans="1:40" x14ac:dyDescent="0.25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21667947646.872799</v>
      </c>
      <c r="J298" t="s">
        <v>4701</v>
      </c>
      <c r="K298">
        <v>41494770.736715101</v>
      </c>
      <c r="L298">
        <v>0.7</v>
      </c>
      <c r="M298" t="s">
        <v>5000</v>
      </c>
      <c r="N298">
        <v>0.10956983000000001</v>
      </c>
      <c r="O298">
        <v>52.45</v>
      </c>
      <c r="P298">
        <v>51.8</v>
      </c>
      <c r="Q298">
        <v>5.7469375835000003</v>
      </c>
      <c r="R298">
        <v>15407718276.183599</v>
      </c>
      <c r="S298">
        <v>0</v>
      </c>
      <c r="T298" t="s">
        <v>6244</v>
      </c>
      <c r="U298" t="s">
        <v>6245</v>
      </c>
      <c r="AH298" t="s">
        <v>6256</v>
      </c>
      <c r="AJ298" t="s">
        <v>6258</v>
      </c>
    </row>
    <row r="299" spans="1:40" x14ac:dyDescent="0.25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5.7501959999999999</v>
      </c>
      <c r="H299" t="s">
        <v>4692</v>
      </c>
      <c r="I299">
        <v>14488255943.716801</v>
      </c>
      <c r="J299" t="s">
        <v>4701</v>
      </c>
      <c r="K299">
        <v>10174530.6164515</v>
      </c>
      <c r="L299">
        <v>0.25</v>
      </c>
      <c r="M299" t="s">
        <v>5001</v>
      </c>
      <c r="N299">
        <v>0.10956983000000001</v>
      </c>
      <c r="O299">
        <v>52.6</v>
      </c>
      <c r="P299">
        <v>52.65</v>
      </c>
      <c r="Q299">
        <v>5.763373058</v>
      </c>
      <c r="R299">
        <v>3630364250.3414559</v>
      </c>
      <c r="S299">
        <v>0</v>
      </c>
      <c r="T299" t="s">
        <v>6244</v>
      </c>
      <c r="U299" t="s">
        <v>6245</v>
      </c>
      <c r="AG299" t="s">
        <v>6255</v>
      </c>
      <c r="AH299" t="s">
        <v>6256</v>
      </c>
      <c r="AJ299" t="s">
        <v>6258</v>
      </c>
    </row>
    <row r="300" spans="1:40" x14ac:dyDescent="0.25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8307875.6159758903</v>
      </c>
      <c r="L300">
        <v>0.75</v>
      </c>
      <c r="M300" t="s">
        <v>5002</v>
      </c>
      <c r="N300">
        <v>0.56652409000000004</v>
      </c>
      <c r="O300">
        <v>2.76</v>
      </c>
      <c r="P300">
        <v>2.77</v>
      </c>
      <c r="Q300">
        <v>1.5636064884</v>
      </c>
      <c r="R300">
        <v>2617467528.1312099</v>
      </c>
      <c r="S300">
        <v>0</v>
      </c>
      <c r="T300" t="s">
        <v>6244</v>
      </c>
      <c r="U300" t="s">
        <v>6245</v>
      </c>
      <c r="W300" t="s">
        <v>6247</v>
      </c>
      <c r="AJ300" t="s">
        <v>6258</v>
      </c>
    </row>
    <row r="301" spans="1:40" x14ac:dyDescent="0.25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52377653417.019997</v>
      </c>
      <c r="J301" t="s">
        <v>4700</v>
      </c>
      <c r="K301">
        <v>511911030.15565503</v>
      </c>
      <c r="L301">
        <v>1</v>
      </c>
      <c r="M301" t="s">
        <v>5003</v>
      </c>
      <c r="N301">
        <v>0.85273301000000001</v>
      </c>
      <c r="O301">
        <v>221.32</v>
      </c>
      <c r="P301">
        <v>196.17</v>
      </c>
      <c r="Q301">
        <v>188.72686977320001</v>
      </c>
      <c r="R301">
        <v>59047390945.054588</v>
      </c>
      <c r="S301">
        <v>0</v>
      </c>
      <c r="T301" t="s">
        <v>6243</v>
      </c>
    </row>
    <row r="302" spans="1:40" x14ac:dyDescent="0.25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7.1973010000000004</v>
      </c>
      <c r="H302" t="s">
        <v>4692</v>
      </c>
      <c r="I302">
        <v>18183626149.560699</v>
      </c>
      <c r="J302" t="s">
        <v>4701</v>
      </c>
      <c r="K302">
        <v>25711683.869203199</v>
      </c>
      <c r="L302">
        <v>0.75</v>
      </c>
      <c r="M302" t="s">
        <v>5004</v>
      </c>
      <c r="N302">
        <v>0.10956983000000001</v>
      </c>
      <c r="O302">
        <v>65.8</v>
      </c>
      <c r="P302">
        <v>65.900000000000006</v>
      </c>
      <c r="Q302">
        <v>7.2096948139999997</v>
      </c>
      <c r="R302">
        <v>13661203882.2125</v>
      </c>
      <c r="S302">
        <v>0</v>
      </c>
      <c r="T302" t="s">
        <v>6244</v>
      </c>
      <c r="U302" t="s">
        <v>6245</v>
      </c>
      <c r="AG302" t="s">
        <v>6255</v>
      </c>
      <c r="AH302" t="s">
        <v>6256</v>
      </c>
      <c r="AI302" t="s">
        <v>6257</v>
      </c>
    </row>
    <row r="303" spans="1:40" x14ac:dyDescent="0.25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82888557122.904007</v>
      </c>
      <c r="J303" t="s">
        <v>4700</v>
      </c>
      <c r="K303">
        <v>546727099.14504898</v>
      </c>
      <c r="L303">
        <v>1</v>
      </c>
      <c r="M303" t="s">
        <v>5005</v>
      </c>
      <c r="N303">
        <v>0.85273301000000001</v>
      </c>
      <c r="O303">
        <v>262.3</v>
      </c>
      <c r="P303">
        <v>269.52</v>
      </c>
      <c r="Q303">
        <v>223.671868523</v>
      </c>
      <c r="R303">
        <v>80606205909.587906</v>
      </c>
      <c r="S303">
        <v>0</v>
      </c>
      <c r="T303" t="s">
        <v>6243</v>
      </c>
      <c r="AJ303" t="s">
        <v>6258</v>
      </c>
    </row>
    <row r="304" spans="1:40" x14ac:dyDescent="0.25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62.399729999999998</v>
      </c>
      <c r="H304" t="s">
        <v>97</v>
      </c>
      <c r="I304">
        <v>18678451259.428501</v>
      </c>
      <c r="J304" t="s">
        <v>4700</v>
      </c>
      <c r="K304">
        <v>144994446.67155999</v>
      </c>
      <c r="L304">
        <v>1</v>
      </c>
      <c r="M304" t="s">
        <v>5006</v>
      </c>
      <c r="N304">
        <v>0.85273301000000001</v>
      </c>
      <c r="O304">
        <v>71.680000000000007</v>
      </c>
      <c r="P304">
        <v>73.12</v>
      </c>
      <c r="Q304">
        <v>61.123902156800007</v>
      </c>
      <c r="R304">
        <v>18296550757.861698</v>
      </c>
      <c r="S304">
        <v>0</v>
      </c>
      <c r="T304" t="s">
        <v>6243</v>
      </c>
      <c r="AG304" t="s">
        <v>6255</v>
      </c>
      <c r="AH304" t="s">
        <v>6256</v>
      </c>
      <c r="AJ304" t="s">
        <v>6258</v>
      </c>
      <c r="AN304" t="s">
        <v>6262</v>
      </c>
    </row>
    <row r="305" spans="1:40" x14ac:dyDescent="0.25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59.848089999999999</v>
      </c>
      <c r="H305" t="s">
        <v>97</v>
      </c>
      <c r="I305">
        <v>257566279870.07501</v>
      </c>
      <c r="J305" t="s">
        <v>4700</v>
      </c>
      <c r="K305">
        <v>914230375.49364603</v>
      </c>
      <c r="L305">
        <v>0.9</v>
      </c>
      <c r="M305" t="s">
        <v>5007</v>
      </c>
      <c r="N305">
        <v>0.85273301000000001</v>
      </c>
      <c r="O305">
        <v>67.010000000000005</v>
      </c>
      <c r="P305">
        <v>70.13</v>
      </c>
      <c r="Q305">
        <v>57.141639000100007</v>
      </c>
      <c r="R305">
        <v>221326753195.31659</v>
      </c>
      <c r="S305">
        <v>0</v>
      </c>
      <c r="T305" t="s">
        <v>6243</v>
      </c>
      <c r="AN305" t="s">
        <v>6262</v>
      </c>
    </row>
    <row r="306" spans="1:40" x14ac:dyDescent="0.25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77.095060000000004</v>
      </c>
      <c r="H306" t="s">
        <v>97</v>
      </c>
      <c r="I306">
        <v>35523937299.958801</v>
      </c>
      <c r="J306" t="s">
        <v>4700</v>
      </c>
      <c r="K306">
        <v>150693886.31168899</v>
      </c>
      <c r="L306">
        <v>0.45</v>
      </c>
      <c r="M306" t="s">
        <v>5008</v>
      </c>
      <c r="N306">
        <v>0.85273301000000001</v>
      </c>
      <c r="O306">
        <v>89.71</v>
      </c>
      <c r="P306">
        <v>90.34</v>
      </c>
      <c r="Q306">
        <v>76.498678327099995</v>
      </c>
      <c r="R306">
        <v>15862111185.71966</v>
      </c>
      <c r="S306">
        <v>0</v>
      </c>
      <c r="T306" t="s">
        <v>6243</v>
      </c>
    </row>
    <row r="307" spans="1:40" x14ac:dyDescent="0.25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44.920079999999999</v>
      </c>
      <c r="H307" t="s">
        <v>96</v>
      </c>
      <c r="I307">
        <v>16328803948.632</v>
      </c>
      <c r="J307" t="s">
        <v>4699</v>
      </c>
      <c r="K307">
        <v>18407008.634279098</v>
      </c>
      <c r="L307">
        <v>0.55000000000000004</v>
      </c>
      <c r="M307" t="s">
        <v>5009</v>
      </c>
      <c r="N307">
        <v>1.156136E-2</v>
      </c>
      <c r="O307">
        <v>3716</v>
      </c>
      <c r="P307">
        <v>3892</v>
      </c>
      <c r="Q307">
        <v>42.962013759999998</v>
      </c>
      <c r="R307">
        <v>8589367270.9177876</v>
      </c>
      <c r="S307">
        <v>0</v>
      </c>
      <c r="T307" t="s">
        <v>6242</v>
      </c>
    </row>
    <row r="308" spans="1:40" x14ac:dyDescent="0.25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167.28980000000001</v>
      </c>
      <c r="H308" t="s">
        <v>4691</v>
      </c>
      <c r="I308">
        <v>10940567228.322001</v>
      </c>
      <c r="J308" t="s">
        <v>4701</v>
      </c>
      <c r="K308">
        <v>29501033.365159601</v>
      </c>
      <c r="L308">
        <v>0.95</v>
      </c>
      <c r="M308" t="s">
        <v>5010</v>
      </c>
      <c r="N308">
        <v>0.56652409000000004</v>
      </c>
      <c r="O308">
        <v>299.79000000000002</v>
      </c>
      <c r="P308">
        <v>301.91000000000003</v>
      </c>
      <c r="Q308">
        <v>169.83825694110001</v>
      </c>
      <c r="R308">
        <v>10551871809.308599</v>
      </c>
      <c r="S308">
        <v>0</v>
      </c>
      <c r="T308" t="s">
        <v>6244</v>
      </c>
      <c r="U308" t="s">
        <v>6245</v>
      </c>
      <c r="AJ308" t="s">
        <v>6258</v>
      </c>
    </row>
    <row r="309" spans="1:40" x14ac:dyDescent="0.25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2906741357.0999999</v>
      </c>
      <c r="J309" t="s">
        <v>4703</v>
      </c>
      <c r="K309">
        <v>5326230.8446969697</v>
      </c>
      <c r="L309">
        <v>1</v>
      </c>
      <c r="M309" t="s">
        <v>5011</v>
      </c>
      <c r="N309">
        <v>1</v>
      </c>
      <c r="O309">
        <v>73.900000000000006</v>
      </c>
      <c r="P309">
        <v>76.3</v>
      </c>
      <c r="Q309">
        <v>73.900000000000006</v>
      </c>
      <c r="R309">
        <v>2815310436.3000002</v>
      </c>
      <c r="S309">
        <v>0</v>
      </c>
      <c r="T309" t="s">
        <v>6242</v>
      </c>
      <c r="W309" t="s">
        <v>6247</v>
      </c>
    </row>
    <row r="310" spans="1:40" x14ac:dyDescent="0.25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61.759689999999999</v>
      </c>
      <c r="H310" t="s">
        <v>97</v>
      </c>
      <c r="I310">
        <v>30163181851.6586</v>
      </c>
      <c r="J310" t="s">
        <v>4700</v>
      </c>
      <c r="K310">
        <v>244959727.08689299</v>
      </c>
      <c r="L310">
        <v>1</v>
      </c>
      <c r="M310" t="s">
        <v>5012</v>
      </c>
      <c r="N310">
        <v>0.85273301000000001</v>
      </c>
      <c r="O310">
        <v>69.17</v>
      </c>
      <c r="P310">
        <v>72.37</v>
      </c>
      <c r="Q310">
        <v>58.983542301700012</v>
      </c>
      <c r="R310">
        <v>28807322586.96854</v>
      </c>
      <c r="S310">
        <v>0</v>
      </c>
      <c r="T310" t="s">
        <v>6243</v>
      </c>
    </row>
    <row r="311" spans="1:40" x14ac:dyDescent="0.25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272.95609999999999</v>
      </c>
      <c r="H311" t="s">
        <v>97</v>
      </c>
      <c r="I311">
        <v>58728994274.632004</v>
      </c>
      <c r="J311" t="s">
        <v>4700</v>
      </c>
      <c r="K311">
        <v>3847848113.4079099</v>
      </c>
      <c r="L311">
        <v>1</v>
      </c>
      <c r="M311" t="s">
        <v>5013</v>
      </c>
      <c r="N311">
        <v>0.85273301000000001</v>
      </c>
      <c r="O311">
        <v>323.04000000000002</v>
      </c>
      <c r="P311">
        <v>319.85000000000002</v>
      </c>
      <c r="Q311">
        <v>275.46687155040001</v>
      </c>
      <c r="R311">
        <v>59269209671.937103</v>
      </c>
      <c r="S311">
        <v>0</v>
      </c>
      <c r="T311" t="s">
        <v>6243</v>
      </c>
      <c r="AJ311" t="s">
        <v>6258</v>
      </c>
      <c r="AN311" t="s">
        <v>6262</v>
      </c>
    </row>
    <row r="312" spans="1:40" x14ac:dyDescent="0.25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11.553089999999999</v>
      </c>
      <c r="H312" t="s">
        <v>4691</v>
      </c>
      <c r="I312">
        <v>15496222003.686001</v>
      </c>
      <c r="J312" t="s">
        <v>4701</v>
      </c>
      <c r="K312">
        <v>33430703.627073601</v>
      </c>
      <c r="L312">
        <v>1</v>
      </c>
      <c r="M312" t="s">
        <v>5014</v>
      </c>
      <c r="N312">
        <v>0.56652409000000004</v>
      </c>
      <c r="O312">
        <v>23.88</v>
      </c>
      <c r="P312">
        <v>20.85</v>
      </c>
      <c r="Q312">
        <v>13.5285952692</v>
      </c>
      <c r="R312">
        <v>18145977888.992409</v>
      </c>
      <c r="S312">
        <v>0</v>
      </c>
      <c r="T312" t="s">
        <v>6244</v>
      </c>
      <c r="U312" t="s">
        <v>6245</v>
      </c>
    </row>
    <row r="313" spans="1:40" x14ac:dyDescent="0.25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73.340159999999997</v>
      </c>
      <c r="H313" t="s">
        <v>97</v>
      </c>
      <c r="I313">
        <v>59275042787.328003</v>
      </c>
      <c r="J313" t="s">
        <v>4700</v>
      </c>
      <c r="K313">
        <v>385373583.54321897</v>
      </c>
      <c r="L313">
        <v>1</v>
      </c>
      <c r="M313" t="s">
        <v>5015</v>
      </c>
      <c r="N313">
        <v>0.85273301000000001</v>
      </c>
      <c r="O313">
        <v>83.28</v>
      </c>
      <c r="P313">
        <v>85.94</v>
      </c>
      <c r="Q313">
        <v>71.0156050728</v>
      </c>
      <c r="R313">
        <v>57396289144.422478</v>
      </c>
      <c r="S313">
        <v>0</v>
      </c>
      <c r="T313" t="s">
        <v>6243</v>
      </c>
    </row>
    <row r="314" spans="1:40" x14ac:dyDescent="0.25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82.520899999999997</v>
      </c>
      <c r="H314" t="s">
        <v>4696</v>
      </c>
      <c r="I314">
        <v>17345893180</v>
      </c>
      <c r="J314" t="s">
        <v>4699</v>
      </c>
      <c r="K314">
        <v>18371235.871455401</v>
      </c>
      <c r="L314">
        <v>0.75</v>
      </c>
      <c r="M314" t="s">
        <v>5016</v>
      </c>
      <c r="N314">
        <v>0.13397104000000001</v>
      </c>
      <c r="O314">
        <v>616.4</v>
      </c>
      <c r="P314">
        <v>616</v>
      </c>
      <c r="Q314">
        <v>82.579749056000011</v>
      </c>
      <c r="R314">
        <v>13018697438.6784</v>
      </c>
      <c r="S314">
        <v>0</v>
      </c>
      <c r="T314" t="s">
        <v>6242</v>
      </c>
      <c r="U314" t="s">
        <v>6245</v>
      </c>
    </row>
    <row r="315" spans="1:40" x14ac:dyDescent="0.25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107327475347.03999</v>
      </c>
      <c r="J315" t="s">
        <v>4700</v>
      </c>
      <c r="K315">
        <v>619868065.01939297</v>
      </c>
      <c r="L315">
        <v>1</v>
      </c>
      <c r="M315" t="s">
        <v>5017</v>
      </c>
      <c r="N315">
        <v>0.85273301000000001</v>
      </c>
      <c r="O315">
        <v>33.06</v>
      </c>
      <c r="P315">
        <v>34.15</v>
      </c>
      <c r="Q315">
        <v>28.1913533106</v>
      </c>
      <c r="R315">
        <v>103822050339.1226</v>
      </c>
      <c r="S315">
        <v>0</v>
      </c>
      <c r="T315" t="s">
        <v>6243</v>
      </c>
    </row>
    <row r="316" spans="1:40" x14ac:dyDescent="0.25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588.39390000000003</v>
      </c>
      <c r="H316" t="s">
        <v>97</v>
      </c>
      <c r="I316">
        <v>20759391139.942799</v>
      </c>
      <c r="J316" t="s">
        <v>4700</v>
      </c>
      <c r="K316">
        <v>194265980.23723999</v>
      </c>
      <c r="L316">
        <v>1</v>
      </c>
      <c r="M316" t="s">
        <v>5018</v>
      </c>
      <c r="N316">
        <v>0.85273301000000001</v>
      </c>
      <c r="O316">
        <v>753.69</v>
      </c>
      <c r="P316">
        <v>689.48</v>
      </c>
      <c r="Q316">
        <v>642.69634230690008</v>
      </c>
      <c r="R316">
        <v>22675260151.67646</v>
      </c>
      <c r="S316">
        <v>0</v>
      </c>
      <c r="T316" t="s">
        <v>6243</v>
      </c>
      <c r="AJ316" t="s">
        <v>6258</v>
      </c>
    </row>
    <row r="317" spans="1:40" x14ac:dyDescent="0.25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133043915.99371199</v>
      </c>
      <c r="L317">
        <v>0.65</v>
      </c>
      <c r="M317" t="s">
        <v>5019</v>
      </c>
      <c r="N317">
        <v>1</v>
      </c>
      <c r="O317">
        <v>32.479999999999997</v>
      </c>
      <c r="P317">
        <v>36.46</v>
      </c>
      <c r="Q317">
        <v>32.479999999999997</v>
      </c>
      <c r="R317">
        <v>23803699774.400002</v>
      </c>
      <c r="S317">
        <v>0</v>
      </c>
      <c r="T317" t="s">
        <v>6242</v>
      </c>
    </row>
    <row r="318" spans="1:40" x14ac:dyDescent="0.25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95.771469999999994</v>
      </c>
      <c r="H318" t="s">
        <v>4691</v>
      </c>
      <c r="I318">
        <v>160269954037.728</v>
      </c>
      <c r="J318" t="s">
        <v>4701</v>
      </c>
      <c r="K318">
        <v>198565030.77701899</v>
      </c>
      <c r="L318">
        <v>1</v>
      </c>
      <c r="M318" t="s">
        <v>5020</v>
      </c>
      <c r="N318">
        <v>0.56652409000000004</v>
      </c>
      <c r="O318">
        <v>169.97</v>
      </c>
      <c r="P318">
        <v>172.84</v>
      </c>
      <c r="Q318">
        <v>96.292099577300007</v>
      </c>
      <c r="R318">
        <v>161141208059.66739</v>
      </c>
      <c r="S318">
        <v>0</v>
      </c>
      <c r="T318" t="s">
        <v>6244</v>
      </c>
      <c r="U318" t="s">
        <v>6245</v>
      </c>
      <c r="AJ318" t="s">
        <v>6258</v>
      </c>
    </row>
    <row r="319" spans="1:40" x14ac:dyDescent="0.25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51269996527.295998</v>
      </c>
      <c r="J319" t="s">
        <v>4699</v>
      </c>
      <c r="K319">
        <v>50479910.365230799</v>
      </c>
      <c r="L319">
        <v>1</v>
      </c>
      <c r="M319" t="s">
        <v>5021</v>
      </c>
      <c r="N319">
        <v>1.156136E-2</v>
      </c>
      <c r="O319">
        <v>2599</v>
      </c>
      <c r="P319">
        <v>2617</v>
      </c>
      <c r="Q319">
        <v>30.04797464</v>
      </c>
      <c r="R319">
        <v>51004339602.770126</v>
      </c>
      <c r="S319">
        <v>0</v>
      </c>
      <c r="T319" t="s">
        <v>6242</v>
      </c>
    </row>
    <row r="320" spans="1:40" x14ac:dyDescent="0.25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21.870519999999999</v>
      </c>
      <c r="H320" t="s">
        <v>4691</v>
      </c>
      <c r="I320">
        <v>12649626638.292</v>
      </c>
      <c r="J320" t="s">
        <v>4701</v>
      </c>
      <c r="K320">
        <v>27721212.257161502</v>
      </c>
      <c r="L320">
        <v>0.95</v>
      </c>
      <c r="M320" t="s">
        <v>5022</v>
      </c>
      <c r="N320">
        <v>0.56652409000000004</v>
      </c>
      <c r="O320">
        <v>36.47</v>
      </c>
      <c r="P320">
        <v>39.47</v>
      </c>
      <c r="Q320">
        <v>20.661133562300002</v>
      </c>
      <c r="R320">
        <v>11352626467.6208</v>
      </c>
      <c r="S320">
        <v>0</v>
      </c>
      <c r="T320" t="s">
        <v>6244</v>
      </c>
      <c r="U320" t="s">
        <v>6245</v>
      </c>
    </row>
    <row r="321" spans="1:40" x14ac:dyDescent="0.25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21.535910000000001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5.7743899999999999E-3</v>
      </c>
      <c r="O321">
        <v>3787</v>
      </c>
      <c r="P321">
        <v>3706</v>
      </c>
      <c r="Q321">
        <v>21.867614929999998</v>
      </c>
      <c r="R321">
        <v>2617553507.1209998</v>
      </c>
      <c r="S321">
        <v>0</v>
      </c>
      <c r="T321" t="s">
        <v>6244</v>
      </c>
      <c r="AN321" t="s">
        <v>6262</v>
      </c>
    </row>
    <row r="322" spans="1:40" x14ac:dyDescent="0.25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6.6624169999999996</v>
      </c>
      <c r="H322" t="s">
        <v>99</v>
      </c>
      <c r="I322">
        <v>7625909763.1136999</v>
      </c>
      <c r="J322" t="s">
        <v>4701</v>
      </c>
      <c r="K322">
        <v>20899947.4071404</v>
      </c>
      <c r="L322">
        <v>1</v>
      </c>
      <c r="M322" t="s">
        <v>5024</v>
      </c>
      <c r="N322">
        <v>5.7743899999999999E-3</v>
      </c>
      <c r="O322">
        <v>1130.5</v>
      </c>
      <c r="P322">
        <v>1146.5</v>
      </c>
      <c r="Q322">
        <v>6.5279478949999996</v>
      </c>
      <c r="R322">
        <v>7471994260.5781088</v>
      </c>
      <c r="S322">
        <v>0</v>
      </c>
      <c r="T322" t="s">
        <v>6244</v>
      </c>
      <c r="AJ322" t="s">
        <v>6258</v>
      </c>
    </row>
    <row r="323" spans="1:40" x14ac:dyDescent="0.25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82.590879999999999</v>
      </c>
      <c r="H323" t="s">
        <v>97</v>
      </c>
      <c r="I323">
        <v>103151243626.224</v>
      </c>
      <c r="J323" t="s">
        <v>4700</v>
      </c>
      <c r="K323">
        <v>600408336.24782395</v>
      </c>
      <c r="L323">
        <v>1</v>
      </c>
      <c r="M323" t="s">
        <v>5025</v>
      </c>
      <c r="N323">
        <v>0.85273301000000001</v>
      </c>
      <c r="O323">
        <v>92.43</v>
      </c>
      <c r="P323">
        <v>96.78</v>
      </c>
      <c r="Q323">
        <v>78.818112114300007</v>
      </c>
      <c r="R323">
        <v>98439274225.691711</v>
      </c>
      <c r="S323">
        <v>0</v>
      </c>
      <c r="T323" t="s">
        <v>6243</v>
      </c>
      <c r="AH323" t="s">
        <v>6256</v>
      </c>
      <c r="AJ323" t="s">
        <v>6258</v>
      </c>
    </row>
    <row r="324" spans="1:40" x14ac:dyDescent="0.25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86.746889999999993</v>
      </c>
      <c r="H324" t="s">
        <v>97</v>
      </c>
      <c r="I324">
        <v>31285410745.806301</v>
      </c>
      <c r="J324" t="s">
        <v>4700</v>
      </c>
      <c r="K324">
        <v>225822416.176296</v>
      </c>
      <c r="L324">
        <v>1</v>
      </c>
      <c r="M324" t="s">
        <v>5026</v>
      </c>
      <c r="N324">
        <v>0.85273301000000001</v>
      </c>
      <c r="O324">
        <v>97.55</v>
      </c>
      <c r="P324">
        <v>101.65</v>
      </c>
      <c r="Q324">
        <v>83.184105125499997</v>
      </c>
      <c r="R324">
        <v>30000486430.967129</v>
      </c>
      <c r="S324">
        <v>0</v>
      </c>
      <c r="T324" t="s">
        <v>6243</v>
      </c>
      <c r="AH324" t="s">
        <v>6256</v>
      </c>
      <c r="AJ324" t="s">
        <v>6258</v>
      </c>
      <c r="AN324" t="s">
        <v>6262</v>
      </c>
    </row>
    <row r="325" spans="1:40" x14ac:dyDescent="0.25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143.04490000000001</v>
      </c>
      <c r="H325" t="s">
        <v>97</v>
      </c>
      <c r="I325">
        <v>25213986674.175999</v>
      </c>
      <c r="J325" t="s">
        <v>4700</v>
      </c>
      <c r="K325">
        <v>315047420.91035098</v>
      </c>
      <c r="L325">
        <v>0.8</v>
      </c>
      <c r="M325" t="s">
        <v>5027</v>
      </c>
      <c r="N325">
        <v>0.85273301000000001</v>
      </c>
      <c r="O325">
        <v>139.49</v>
      </c>
      <c r="P325">
        <v>167.62</v>
      </c>
      <c r="Q325">
        <v>118.94772756490001</v>
      </c>
      <c r="R325">
        <v>16773174955.52742</v>
      </c>
      <c r="S325">
        <v>0</v>
      </c>
      <c r="T325" t="s">
        <v>6243</v>
      </c>
      <c r="AJ325" t="s">
        <v>6258</v>
      </c>
      <c r="AN325" t="s">
        <v>6262</v>
      </c>
    </row>
    <row r="326" spans="1:40" x14ac:dyDescent="0.25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264.68680000000001</v>
      </c>
      <c r="H326" t="s">
        <v>97</v>
      </c>
      <c r="I326">
        <v>82689633272.343994</v>
      </c>
      <c r="J326" t="s">
        <v>4700</v>
      </c>
      <c r="K326">
        <v>745730570.32170606</v>
      </c>
      <c r="L326">
        <v>1</v>
      </c>
      <c r="M326" t="s">
        <v>5028</v>
      </c>
      <c r="N326">
        <v>0.85273301000000001</v>
      </c>
      <c r="O326">
        <v>323.48</v>
      </c>
      <c r="P326">
        <v>310.16000000000003</v>
      </c>
      <c r="Q326">
        <v>275.8420740748</v>
      </c>
      <c r="R326">
        <v>86174603139.74086</v>
      </c>
      <c r="S326">
        <v>0</v>
      </c>
      <c r="T326" t="s">
        <v>6243</v>
      </c>
      <c r="AH326" t="s">
        <v>6256</v>
      </c>
      <c r="AJ326" t="s">
        <v>6258</v>
      </c>
    </row>
    <row r="327" spans="1:40" x14ac:dyDescent="0.25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2806.6350000000002</v>
      </c>
      <c r="H327" t="s">
        <v>100</v>
      </c>
      <c r="I327">
        <v>59476889801.550003</v>
      </c>
      <c r="J327" t="s">
        <v>4700</v>
      </c>
      <c r="K327">
        <v>97641114.267790496</v>
      </c>
      <c r="L327">
        <v>0.95</v>
      </c>
      <c r="M327" t="s">
        <v>5029</v>
      </c>
      <c r="N327">
        <v>0.61572563000000002</v>
      </c>
      <c r="O327">
        <v>4392.79</v>
      </c>
      <c r="P327">
        <v>4549.91</v>
      </c>
      <c r="Q327">
        <v>2704.7533902076998</v>
      </c>
      <c r="R327">
        <v>54451969480.628777</v>
      </c>
      <c r="S327">
        <v>0</v>
      </c>
      <c r="T327" t="s">
        <v>6243</v>
      </c>
      <c r="AN327" t="s">
        <v>6262</v>
      </c>
    </row>
    <row r="328" spans="1:40" x14ac:dyDescent="0.25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4.5716219999999996</v>
      </c>
      <c r="H328" t="s">
        <v>4697</v>
      </c>
      <c r="I328">
        <v>4504305323.2121992</v>
      </c>
      <c r="J328" t="s">
        <v>4701</v>
      </c>
      <c r="K328">
        <v>5181227.7878160505</v>
      </c>
      <c r="L328">
        <v>0.85</v>
      </c>
      <c r="M328" t="s">
        <v>5030</v>
      </c>
      <c r="N328">
        <v>0.50771730000000004</v>
      </c>
      <c r="O328">
        <v>9.18</v>
      </c>
      <c r="P328">
        <v>9.1300000000000008</v>
      </c>
      <c r="Q328">
        <v>4.6608448139999998</v>
      </c>
      <c r="R328">
        <v>3903382189.168581</v>
      </c>
      <c r="S328">
        <v>0</v>
      </c>
      <c r="T328" t="s">
        <v>6244</v>
      </c>
      <c r="U328" t="s">
        <v>6245</v>
      </c>
      <c r="W328" t="s">
        <v>6247</v>
      </c>
      <c r="AH328" t="s">
        <v>6256</v>
      </c>
    </row>
    <row r="329" spans="1:40" x14ac:dyDescent="0.25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27081263.305606101</v>
      </c>
      <c r="L329">
        <v>0.55000000000000004</v>
      </c>
      <c r="M329" t="s">
        <v>5031</v>
      </c>
      <c r="N329">
        <v>1</v>
      </c>
      <c r="O329">
        <v>71.8</v>
      </c>
      <c r="P329">
        <v>76.22</v>
      </c>
      <c r="Q329">
        <v>71.8</v>
      </c>
      <c r="R329">
        <v>7898236150.2000008</v>
      </c>
      <c r="S329">
        <v>0</v>
      </c>
      <c r="T329" t="s">
        <v>6242</v>
      </c>
      <c r="AN329" t="s">
        <v>6262</v>
      </c>
    </row>
    <row r="330" spans="1:40" x14ac:dyDescent="0.25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5744128047.3575001</v>
      </c>
      <c r="J330" t="s">
        <v>4699</v>
      </c>
      <c r="K330">
        <v>16641203.2165404</v>
      </c>
      <c r="L330">
        <v>0.8</v>
      </c>
      <c r="M330" t="s">
        <v>5032</v>
      </c>
      <c r="N330">
        <v>1.156136E-2</v>
      </c>
      <c r="O330">
        <v>236</v>
      </c>
      <c r="P330">
        <v>242.8</v>
      </c>
      <c r="Q330">
        <v>2.7284809600000002</v>
      </c>
      <c r="R330">
        <v>4474234018.7129593</v>
      </c>
      <c r="S330">
        <v>0</v>
      </c>
      <c r="T330" t="s">
        <v>6242</v>
      </c>
    </row>
    <row r="331" spans="1:40" x14ac:dyDescent="0.25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41.781869999999998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0.85273301000000001</v>
      </c>
      <c r="O331">
        <v>48.4</v>
      </c>
      <c r="P331">
        <v>48.96</v>
      </c>
      <c r="Q331">
        <v>41.272277684000002</v>
      </c>
      <c r="R331">
        <v>35916893414.200577</v>
      </c>
      <c r="S331">
        <v>0</v>
      </c>
      <c r="T331" t="s">
        <v>6243</v>
      </c>
      <c r="AJ331" t="s">
        <v>6258</v>
      </c>
    </row>
    <row r="332" spans="1:40" x14ac:dyDescent="0.25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2501355430.1242199</v>
      </c>
      <c r="L332">
        <v>0.6</v>
      </c>
      <c r="M332" t="s">
        <v>5034</v>
      </c>
      <c r="N332">
        <v>0.85273301000000001</v>
      </c>
      <c r="O332">
        <v>111.96</v>
      </c>
      <c r="P332">
        <v>93.99</v>
      </c>
      <c r="Q332">
        <v>95.471987799600001</v>
      </c>
      <c r="R332">
        <v>21221723868.356201</v>
      </c>
      <c r="S332">
        <v>0</v>
      </c>
      <c r="T332" t="s">
        <v>6243</v>
      </c>
    </row>
    <row r="333" spans="1:40" x14ac:dyDescent="0.25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56.127319999999997</v>
      </c>
      <c r="H333" t="s">
        <v>97</v>
      </c>
      <c r="I333">
        <v>48079711892.884003</v>
      </c>
      <c r="J333" t="s">
        <v>4700</v>
      </c>
      <c r="K333">
        <v>236858562.94191501</v>
      </c>
      <c r="L333">
        <v>0.9</v>
      </c>
      <c r="M333" t="s">
        <v>5035</v>
      </c>
      <c r="N333">
        <v>0.85273301000000001</v>
      </c>
      <c r="O333">
        <v>77.040000000000006</v>
      </c>
      <c r="P333">
        <v>65.77</v>
      </c>
      <c r="Q333">
        <v>65.694551090400012</v>
      </c>
      <c r="R333">
        <v>50647662856.927841</v>
      </c>
      <c r="S333">
        <v>0</v>
      </c>
      <c r="T333" t="s">
        <v>6243</v>
      </c>
    </row>
    <row r="334" spans="1:40" x14ac:dyDescent="0.25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282.63350000000003</v>
      </c>
      <c r="H334" t="s">
        <v>97</v>
      </c>
      <c r="I334">
        <v>19957989369.73</v>
      </c>
      <c r="J334" t="s">
        <v>4700</v>
      </c>
      <c r="K334">
        <v>142921409.71929201</v>
      </c>
      <c r="L334">
        <v>1</v>
      </c>
      <c r="M334" t="s">
        <v>5036</v>
      </c>
      <c r="N334">
        <v>0.85273301000000001</v>
      </c>
      <c r="O334">
        <v>307.36</v>
      </c>
      <c r="P334">
        <v>331.19</v>
      </c>
      <c r="Q334">
        <v>262.09601795359998</v>
      </c>
      <c r="R334">
        <v>18507747808.262341</v>
      </c>
      <c r="S334">
        <v>0</v>
      </c>
      <c r="T334" t="s">
        <v>6243</v>
      </c>
      <c r="AJ334" t="s">
        <v>6258</v>
      </c>
      <c r="AN334" t="s">
        <v>6262</v>
      </c>
    </row>
    <row r="335" spans="1:40" x14ac:dyDescent="0.25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11552043.586515199</v>
      </c>
      <c r="L335">
        <v>0.3</v>
      </c>
      <c r="M335" t="s">
        <v>5037</v>
      </c>
      <c r="N335">
        <v>1</v>
      </c>
      <c r="O335">
        <v>3.9079999999999999</v>
      </c>
      <c r="P335">
        <v>3.83</v>
      </c>
      <c r="Q335">
        <v>3.9079999999999999</v>
      </c>
      <c r="R335">
        <v>3610468171.6799998</v>
      </c>
      <c r="S335">
        <v>0</v>
      </c>
      <c r="T335" t="s">
        <v>6242</v>
      </c>
      <c r="AJ335" t="s">
        <v>6258</v>
      </c>
    </row>
    <row r="336" spans="1:40" x14ac:dyDescent="0.25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62.613079999999997</v>
      </c>
      <c r="H336" t="s">
        <v>97</v>
      </c>
      <c r="I336">
        <v>42520542628</v>
      </c>
      <c r="J336" t="s">
        <v>4700</v>
      </c>
      <c r="K336">
        <v>257198842.29734001</v>
      </c>
      <c r="L336">
        <v>1</v>
      </c>
      <c r="M336" t="s">
        <v>5038</v>
      </c>
      <c r="N336">
        <v>0.85273301000000001</v>
      </c>
      <c r="O336">
        <v>74.290000000000006</v>
      </c>
      <c r="P336">
        <v>73.37</v>
      </c>
      <c r="Q336">
        <v>63.349535312900009</v>
      </c>
      <c r="R336">
        <v>43020669430.990387</v>
      </c>
      <c r="S336">
        <v>0</v>
      </c>
      <c r="T336" t="s">
        <v>6243</v>
      </c>
      <c r="AJ336" t="s">
        <v>6258</v>
      </c>
    </row>
    <row r="337" spans="1:40" x14ac:dyDescent="0.25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41.514449999999997</v>
      </c>
      <c r="H337" t="s">
        <v>99</v>
      </c>
      <c r="I337">
        <v>3667957751.8319998</v>
      </c>
      <c r="J337" t="s">
        <v>4701</v>
      </c>
      <c r="K337">
        <v>13131095.7409967</v>
      </c>
      <c r="L337">
        <v>0.75</v>
      </c>
      <c r="M337" t="s">
        <v>5039</v>
      </c>
      <c r="N337">
        <v>5.7743899999999999E-3</v>
      </c>
      <c r="O337">
        <v>7192</v>
      </c>
      <c r="P337">
        <v>7144</v>
      </c>
      <c r="Q337">
        <v>41.529412880000002</v>
      </c>
      <c r="R337">
        <v>2751959833.9053221</v>
      </c>
      <c r="S337">
        <v>0</v>
      </c>
      <c r="T337" t="s">
        <v>6244</v>
      </c>
      <c r="AH337" t="s">
        <v>6256</v>
      </c>
      <c r="AJ337" t="s">
        <v>6258</v>
      </c>
    </row>
    <row r="338" spans="1:40" x14ac:dyDescent="0.25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54.967120000000001</v>
      </c>
      <c r="H338" t="s">
        <v>99</v>
      </c>
      <c r="I338">
        <v>4397457547.3920002</v>
      </c>
      <c r="J338" t="s">
        <v>4701</v>
      </c>
      <c r="K338">
        <v>17719884.945045698</v>
      </c>
      <c r="L338">
        <v>0.6</v>
      </c>
      <c r="M338" t="s">
        <v>5040</v>
      </c>
      <c r="N338">
        <v>5.7743899999999999E-3</v>
      </c>
      <c r="O338">
        <v>9053</v>
      </c>
      <c r="P338">
        <v>9459</v>
      </c>
      <c r="Q338">
        <v>52.275552670000003</v>
      </c>
      <c r="R338">
        <v>2509276712.6905632</v>
      </c>
      <c r="S338">
        <v>0</v>
      </c>
      <c r="T338" t="s">
        <v>6244</v>
      </c>
      <c r="AJ338" t="s">
        <v>6258</v>
      </c>
      <c r="AN338" t="s">
        <v>6262</v>
      </c>
    </row>
    <row r="339" spans="1:40" x14ac:dyDescent="0.25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77.846050000000005</v>
      </c>
      <c r="H339" t="s">
        <v>97</v>
      </c>
      <c r="I339">
        <v>32979507107.077999</v>
      </c>
      <c r="J339" t="s">
        <v>4700</v>
      </c>
      <c r="K339">
        <v>214773726.59168199</v>
      </c>
      <c r="L339">
        <v>1</v>
      </c>
      <c r="M339" t="s">
        <v>5041</v>
      </c>
      <c r="N339">
        <v>0.85273301000000001</v>
      </c>
      <c r="O339">
        <v>86.8</v>
      </c>
      <c r="P339">
        <v>91.22</v>
      </c>
      <c r="Q339">
        <v>74.017225268000004</v>
      </c>
      <c r="R339">
        <v>31357424130.9893</v>
      </c>
      <c r="S339">
        <v>0</v>
      </c>
      <c r="T339" t="s">
        <v>6243</v>
      </c>
    </row>
    <row r="340" spans="1:40" x14ac:dyDescent="0.25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818.00649999999996</v>
      </c>
      <c r="H340" t="s">
        <v>97</v>
      </c>
      <c r="I340">
        <v>362767134041.02002</v>
      </c>
      <c r="J340" t="s">
        <v>4700</v>
      </c>
      <c r="K340">
        <v>1819395991.76334</v>
      </c>
      <c r="L340">
        <v>1</v>
      </c>
      <c r="M340" t="s">
        <v>5042</v>
      </c>
      <c r="N340">
        <v>0.85273301000000001</v>
      </c>
      <c r="O340">
        <v>967.9</v>
      </c>
      <c r="P340">
        <v>958.54</v>
      </c>
      <c r="Q340">
        <v>825.36028037899996</v>
      </c>
      <c r="R340">
        <v>366028367090.46021</v>
      </c>
      <c r="S340">
        <v>0</v>
      </c>
      <c r="T340" t="s">
        <v>6243</v>
      </c>
      <c r="AH340" t="s">
        <v>6256</v>
      </c>
      <c r="AJ340" t="s">
        <v>6258</v>
      </c>
    </row>
    <row r="341" spans="1:40" x14ac:dyDescent="0.25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15506370377.841499</v>
      </c>
      <c r="J341" t="s">
        <v>4700</v>
      </c>
      <c r="K341">
        <v>148966291.86768401</v>
      </c>
      <c r="L341">
        <v>1</v>
      </c>
      <c r="M341" t="s">
        <v>5043</v>
      </c>
      <c r="N341">
        <v>0.85273301000000001</v>
      </c>
      <c r="O341">
        <v>24.36</v>
      </c>
      <c r="P341">
        <v>23.81</v>
      </c>
      <c r="Q341">
        <v>20.7725761236</v>
      </c>
      <c r="R341">
        <v>15852382704.3353</v>
      </c>
      <c r="S341">
        <v>0</v>
      </c>
      <c r="T341" t="s">
        <v>6243</v>
      </c>
      <c r="AH341" t="s">
        <v>6256</v>
      </c>
      <c r="AJ341" t="s">
        <v>6258</v>
      </c>
    </row>
    <row r="342" spans="1:40" x14ac:dyDescent="0.25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40857041550.779999</v>
      </c>
      <c r="J342" t="s">
        <v>4700</v>
      </c>
      <c r="K342">
        <v>258479722.82245299</v>
      </c>
      <c r="L342">
        <v>0.8</v>
      </c>
      <c r="M342" t="s">
        <v>5044</v>
      </c>
      <c r="N342">
        <v>0.85273301000000001</v>
      </c>
      <c r="O342">
        <v>32.409999999999997</v>
      </c>
      <c r="P342">
        <v>28.75</v>
      </c>
      <c r="Q342">
        <v>27.637076854099998</v>
      </c>
      <c r="R342">
        <v>36818383522.902107</v>
      </c>
      <c r="S342">
        <v>0</v>
      </c>
      <c r="T342" t="s">
        <v>6243</v>
      </c>
      <c r="AJ342" t="s">
        <v>6258</v>
      </c>
      <c r="AN342" t="s">
        <v>6262</v>
      </c>
    </row>
    <row r="343" spans="1:40" x14ac:dyDescent="0.25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1660341.3563636399</v>
      </c>
      <c r="L343">
        <v>0.9</v>
      </c>
      <c r="M343" t="s">
        <v>5045</v>
      </c>
      <c r="N343">
        <v>1</v>
      </c>
      <c r="O343">
        <v>58.1</v>
      </c>
      <c r="P343">
        <v>59.2</v>
      </c>
      <c r="Q343">
        <v>58.1</v>
      </c>
      <c r="R343">
        <v>9882810000</v>
      </c>
      <c r="S343">
        <v>0</v>
      </c>
      <c r="T343" t="s">
        <v>6242</v>
      </c>
      <c r="W343" t="s">
        <v>6247</v>
      </c>
      <c r="AJ343" t="s">
        <v>6258</v>
      </c>
      <c r="AN343" t="s">
        <v>6262</v>
      </c>
    </row>
    <row r="344" spans="1:40" x14ac:dyDescent="0.25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6619271652.3999996</v>
      </c>
      <c r="J344" t="s">
        <v>4702</v>
      </c>
      <c r="K344">
        <v>5943126.3463636404</v>
      </c>
      <c r="L344">
        <v>0.5</v>
      </c>
      <c r="M344" t="s">
        <v>5046</v>
      </c>
      <c r="N344">
        <v>1</v>
      </c>
      <c r="O344">
        <v>56.6</v>
      </c>
      <c r="P344">
        <v>59.3</v>
      </c>
      <c r="Q344">
        <v>56.6</v>
      </c>
      <c r="R344">
        <v>3158944144.4000001</v>
      </c>
      <c r="S344">
        <v>1</v>
      </c>
      <c r="T344" t="s">
        <v>6242</v>
      </c>
      <c r="W344" t="s">
        <v>6247</v>
      </c>
    </row>
    <row r="345" spans="1:40" x14ac:dyDescent="0.25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3325667697.7147799</v>
      </c>
      <c r="J345" t="s">
        <v>4699</v>
      </c>
      <c r="K345">
        <v>4555286.6905825296</v>
      </c>
      <c r="L345">
        <v>1</v>
      </c>
      <c r="M345" t="s">
        <v>5047</v>
      </c>
      <c r="N345">
        <v>1.156136E-2</v>
      </c>
      <c r="O345">
        <v>5190</v>
      </c>
      <c r="P345">
        <v>5310</v>
      </c>
      <c r="Q345">
        <v>60.0034584</v>
      </c>
      <c r="R345">
        <v>3256064028.7133899</v>
      </c>
      <c r="S345">
        <v>0</v>
      </c>
      <c r="T345" t="s">
        <v>6242</v>
      </c>
      <c r="W345" t="s">
        <v>6247</v>
      </c>
    </row>
    <row r="346" spans="1:40" x14ac:dyDescent="0.25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66465865.732689403</v>
      </c>
      <c r="L346">
        <v>0.3</v>
      </c>
      <c r="M346" t="s">
        <v>5048</v>
      </c>
      <c r="N346">
        <v>1</v>
      </c>
      <c r="O346">
        <v>16.454999999999998</v>
      </c>
      <c r="P346">
        <v>17.055</v>
      </c>
      <c r="Q346">
        <v>16.454999999999998</v>
      </c>
      <c r="R346">
        <v>14937366950.775</v>
      </c>
      <c r="S346">
        <v>1</v>
      </c>
      <c r="T346" t="s">
        <v>6242</v>
      </c>
      <c r="AJ346" t="s">
        <v>6258</v>
      </c>
    </row>
    <row r="347" spans="1:40" x14ac:dyDescent="0.25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22.291350000000001</v>
      </c>
      <c r="H347" t="s">
        <v>99</v>
      </c>
      <c r="I347">
        <v>4133814050.8260002</v>
      </c>
      <c r="J347" t="s">
        <v>4701</v>
      </c>
      <c r="K347">
        <v>17091113.3006992</v>
      </c>
      <c r="L347">
        <v>0.8</v>
      </c>
      <c r="M347" t="s">
        <v>5049</v>
      </c>
      <c r="N347">
        <v>5.7743899999999999E-3</v>
      </c>
      <c r="O347">
        <v>3913</v>
      </c>
      <c r="P347">
        <v>3836</v>
      </c>
      <c r="Q347">
        <v>22.595188069999999</v>
      </c>
      <c r="R347">
        <v>3352127383.0368099</v>
      </c>
      <c r="S347">
        <v>0</v>
      </c>
      <c r="T347" t="s">
        <v>6244</v>
      </c>
    </row>
    <row r="348" spans="1:40" x14ac:dyDescent="0.25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97.320369999999997</v>
      </c>
      <c r="H348" t="s">
        <v>97</v>
      </c>
      <c r="I348">
        <v>16704246403.077101</v>
      </c>
      <c r="J348" t="s">
        <v>4700</v>
      </c>
      <c r="K348">
        <v>408735704.394054</v>
      </c>
      <c r="L348">
        <v>0.9</v>
      </c>
      <c r="M348" t="s">
        <v>5050</v>
      </c>
      <c r="N348">
        <v>0.85273301000000001</v>
      </c>
      <c r="O348">
        <v>161.99</v>
      </c>
      <c r="P348">
        <v>114.04</v>
      </c>
      <c r="Q348">
        <v>138.13422028989999</v>
      </c>
      <c r="R348">
        <v>21338649320.563412</v>
      </c>
      <c r="S348">
        <v>0</v>
      </c>
      <c r="T348" t="s">
        <v>6243</v>
      </c>
      <c r="AJ348" t="s">
        <v>6258</v>
      </c>
    </row>
    <row r="349" spans="1:40" x14ac:dyDescent="0.25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96.714449999999999</v>
      </c>
      <c r="H349" t="s">
        <v>97</v>
      </c>
      <c r="I349">
        <v>65055874236.885002</v>
      </c>
      <c r="J349" t="s">
        <v>4700</v>
      </c>
      <c r="K349">
        <v>354948754.94190598</v>
      </c>
      <c r="L349">
        <v>1</v>
      </c>
      <c r="M349" t="s">
        <v>5051</v>
      </c>
      <c r="N349">
        <v>0.85273301000000001</v>
      </c>
      <c r="O349">
        <v>113.39</v>
      </c>
      <c r="P349">
        <v>113.33</v>
      </c>
      <c r="Q349">
        <v>96.691396003899996</v>
      </c>
      <c r="R349">
        <v>65040366752.006172</v>
      </c>
      <c r="S349">
        <v>0</v>
      </c>
      <c r="T349" t="s">
        <v>6243</v>
      </c>
    </row>
    <row r="350" spans="1:40" x14ac:dyDescent="0.25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29.477360000000001</v>
      </c>
      <c r="H350" t="s">
        <v>96</v>
      </c>
      <c r="I350">
        <v>4116084133.6384001</v>
      </c>
      <c r="J350" t="s">
        <v>4699</v>
      </c>
      <c r="K350">
        <v>11462023.1901372</v>
      </c>
      <c r="L350">
        <v>0.9</v>
      </c>
      <c r="M350" t="s">
        <v>5052</v>
      </c>
      <c r="N350">
        <v>1.156136E-2</v>
      </c>
      <c r="O350">
        <v>2498</v>
      </c>
      <c r="P350">
        <v>2554</v>
      </c>
      <c r="Q350">
        <v>28.880277280000001</v>
      </c>
      <c r="R350">
        <v>3629439202.7833228</v>
      </c>
      <c r="S350">
        <v>0</v>
      </c>
      <c r="T350" t="s">
        <v>6242</v>
      </c>
    </row>
    <row r="351" spans="1:40" x14ac:dyDescent="0.25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358.89229999999998</v>
      </c>
      <c r="H351" t="s">
        <v>97</v>
      </c>
      <c r="I351">
        <v>89453249002.090988</v>
      </c>
      <c r="J351" t="s">
        <v>4700</v>
      </c>
      <c r="K351">
        <v>1326162590.9160299</v>
      </c>
      <c r="L351">
        <v>1</v>
      </c>
      <c r="M351" t="s">
        <v>5053</v>
      </c>
      <c r="N351">
        <v>0.85273301000000001</v>
      </c>
      <c r="O351">
        <v>436.1</v>
      </c>
      <c r="P351">
        <v>420.55</v>
      </c>
      <c r="Q351">
        <v>371.87686566100001</v>
      </c>
      <c r="R351">
        <v>92689628231.340088</v>
      </c>
      <c r="S351">
        <v>0</v>
      </c>
      <c r="T351" t="s">
        <v>6243</v>
      </c>
      <c r="AN351" t="s">
        <v>6262</v>
      </c>
    </row>
    <row r="352" spans="1:40" x14ac:dyDescent="0.25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88.573139999999995</v>
      </c>
      <c r="H352" t="s">
        <v>97</v>
      </c>
      <c r="I352">
        <v>38570950590.1884</v>
      </c>
      <c r="J352" t="s">
        <v>4700</v>
      </c>
      <c r="K352">
        <v>277698546.25612497</v>
      </c>
      <c r="L352">
        <v>1</v>
      </c>
      <c r="M352" t="s">
        <v>5054</v>
      </c>
      <c r="N352">
        <v>0.85273301000000001</v>
      </c>
      <c r="O352">
        <v>95.39</v>
      </c>
      <c r="P352">
        <v>103.79</v>
      </c>
      <c r="Q352">
        <v>81.342201823899998</v>
      </c>
      <c r="R352">
        <v>35422093508.785843</v>
      </c>
      <c r="S352">
        <v>0</v>
      </c>
      <c r="T352" t="s">
        <v>6243</v>
      </c>
    </row>
    <row r="353" spans="1:40" x14ac:dyDescent="0.25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120.01909999999999</v>
      </c>
      <c r="H353" t="s">
        <v>4691</v>
      </c>
      <c r="I353">
        <v>58114704051.682999</v>
      </c>
      <c r="J353" t="s">
        <v>4701</v>
      </c>
      <c r="K353">
        <v>129581299.670343</v>
      </c>
      <c r="L353">
        <v>1</v>
      </c>
      <c r="M353" t="s">
        <v>5055</v>
      </c>
      <c r="N353">
        <v>0.56652409000000004</v>
      </c>
      <c r="O353">
        <v>207.82</v>
      </c>
      <c r="P353">
        <v>216.6</v>
      </c>
      <c r="Q353">
        <v>117.73503638379999</v>
      </c>
      <c r="R353">
        <v>57008732743.027298</v>
      </c>
      <c r="S353">
        <v>0</v>
      </c>
      <c r="T353" t="s">
        <v>6244</v>
      </c>
      <c r="U353" t="s">
        <v>6245</v>
      </c>
      <c r="AN353" t="s">
        <v>6262</v>
      </c>
    </row>
    <row r="354" spans="1:40" x14ac:dyDescent="0.25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29.510159999999999</v>
      </c>
      <c r="H354" t="s">
        <v>97</v>
      </c>
      <c r="I354">
        <v>55015112554.32</v>
      </c>
      <c r="J354" t="s">
        <v>4700</v>
      </c>
      <c r="K354">
        <v>547331154.89422202</v>
      </c>
      <c r="L354">
        <v>1</v>
      </c>
      <c r="M354" t="s">
        <v>5056</v>
      </c>
      <c r="N354">
        <v>0.85273301000000001</v>
      </c>
      <c r="O354">
        <v>32.47</v>
      </c>
      <c r="P354">
        <v>34.58</v>
      </c>
      <c r="Q354">
        <v>27.6882408347</v>
      </c>
      <c r="R354">
        <v>51618550558.59201</v>
      </c>
      <c r="S354">
        <v>0</v>
      </c>
      <c r="T354" t="s">
        <v>6243</v>
      </c>
      <c r="AG354" t="s">
        <v>6255</v>
      </c>
      <c r="AN354" t="s">
        <v>6262</v>
      </c>
    </row>
    <row r="355" spans="1:40" x14ac:dyDescent="0.25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18.940000000000001</v>
      </c>
      <c r="H355" t="s">
        <v>98</v>
      </c>
      <c r="I355">
        <v>9077645797.3400002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18.18</v>
      </c>
      <c r="P355">
        <v>18.940000000000001</v>
      </c>
      <c r="Q355">
        <v>18.18</v>
      </c>
      <c r="R355">
        <v>2178347420.7449999</v>
      </c>
      <c r="S355">
        <v>0</v>
      </c>
      <c r="T355" t="s">
        <v>6242</v>
      </c>
      <c r="W355" t="s">
        <v>6247</v>
      </c>
    </row>
    <row r="356" spans="1:40" x14ac:dyDescent="0.25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86.85</v>
      </c>
      <c r="P356">
        <v>81.2</v>
      </c>
      <c r="Q356">
        <v>86.85</v>
      </c>
      <c r="R356">
        <v>5002559999.999999</v>
      </c>
      <c r="S356">
        <v>0</v>
      </c>
      <c r="T356" t="s">
        <v>6242</v>
      </c>
    </row>
    <row r="357" spans="1:40" x14ac:dyDescent="0.25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343.31799999999998</v>
      </c>
      <c r="H357" t="s">
        <v>97</v>
      </c>
      <c r="I357">
        <v>47304427680.720001</v>
      </c>
      <c r="J357" t="s">
        <v>4700</v>
      </c>
      <c r="K357">
        <v>254643845.969372</v>
      </c>
      <c r="L357">
        <v>1</v>
      </c>
      <c r="M357" t="s">
        <v>5059</v>
      </c>
      <c r="N357">
        <v>0.85273301000000001</v>
      </c>
      <c r="O357">
        <v>410.27</v>
      </c>
      <c r="P357">
        <v>402.3</v>
      </c>
      <c r="Q357">
        <v>349.85077201270002</v>
      </c>
      <c r="R357">
        <v>48204552466.572746</v>
      </c>
      <c r="S357">
        <v>0</v>
      </c>
      <c r="T357" t="s">
        <v>6243</v>
      </c>
    </row>
    <row r="358" spans="1:40" x14ac:dyDescent="0.25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410.41989999999998</v>
      </c>
      <c r="H358" t="s">
        <v>97</v>
      </c>
      <c r="I358">
        <v>15463846138.389</v>
      </c>
      <c r="J358" t="s">
        <v>4700</v>
      </c>
      <c r="K358">
        <v>142573315.53764799</v>
      </c>
      <c r="L358">
        <v>1</v>
      </c>
      <c r="M358" t="s">
        <v>5060</v>
      </c>
      <c r="N358">
        <v>0.85273301000000001</v>
      </c>
      <c r="O358">
        <v>508.99</v>
      </c>
      <c r="P358">
        <v>480.93</v>
      </c>
      <c r="Q358">
        <v>434.0325747599</v>
      </c>
      <c r="R358">
        <v>16353527095.38674</v>
      </c>
      <c r="S358">
        <v>0</v>
      </c>
      <c r="T358" t="s">
        <v>6243</v>
      </c>
      <c r="AA358" t="s">
        <v>6249</v>
      </c>
      <c r="AJ358" t="s">
        <v>6258</v>
      </c>
      <c r="AN358" t="s">
        <v>6262</v>
      </c>
    </row>
    <row r="359" spans="1:40" x14ac:dyDescent="0.25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18634118144.759998</v>
      </c>
      <c r="J359" t="s">
        <v>4702</v>
      </c>
      <c r="K359">
        <v>6979827.9906818196</v>
      </c>
      <c r="L359">
        <v>0.25</v>
      </c>
      <c r="M359" t="s">
        <v>5061</v>
      </c>
      <c r="N359">
        <v>1</v>
      </c>
      <c r="O359">
        <v>15.23</v>
      </c>
      <c r="P359">
        <v>17.53</v>
      </c>
      <c r="Q359">
        <v>15.23</v>
      </c>
      <c r="R359">
        <v>4047313453.29</v>
      </c>
      <c r="S359">
        <v>0</v>
      </c>
      <c r="T359" t="s">
        <v>6242</v>
      </c>
      <c r="W359" t="s">
        <v>6247</v>
      </c>
      <c r="AJ359" t="s">
        <v>6258</v>
      </c>
      <c r="AN359" t="s">
        <v>6262</v>
      </c>
    </row>
    <row r="360" spans="1:40" x14ac:dyDescent="0.25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77173311080.447998</v>
      </c>
      <c r="J360" t="s">
        <v>4700</v>
      </c>
      <c r="K360">
        <v>428182738.972067</v>
      </c>
      <c r="L360">
        <v>1</v>
      </c>
      <c r="M360" t="s">
        <v>5062</v>
      </c>
      <c r="N360">
        <v>0.85273301000000001</v>
      </c>
      <c r="O360">
        <v>74.98</v>
      </c>
      <c r="P360">
        <v>71.3</v>
      </c>
      <c r="Q360">
        <v>63.937921089800007</v>
      </c>
      <c r="R360">
        <v>81094153279.31012</v>
      </c>
      <c r="S360">
        <v>0</v>
      </c>
      <c r="T360" t="s">
        <v>6243</v>
      </c>
    </row>
    <row r="361" spans="1:40" x14ac:dyDescent="0.25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10.329219999999999</v>
      </c>
      <c r="H361" t="s">
        <v>99</v>
      </c>
      <c r="I361">
        <v>5232175493.8639994</v>
      </c>
      <c r="J361" t="s">
        <v>4701</v>
      </c>
      <c r="K361">
        <v>35679536.886880003</v>
      </c>
      <c r="L361">
        <v>0.8</v>
      </c>
      <c r="M361" t="s">
        <v>5063</v>
      </c>
      <c r="N361">
        <v>5.7743899999999999E-3</v>
      </c>
      <c r="O361">
        <v>1811</v>
      </c>
      <c r="P361">
        <v>1777.5</v>
      </c>
      <c r="Q361">
        <v>10.45742029</v>
      </c>
      <c r="R361">
        <v>4237691378.080759</v>
      </c>
      <c r="S361">
        <v>0</v>
      </c>
      <c r="T361" t="s">
        <v>6244</v>
      </c>
    </row>
    <row r="362" spans="1:40" x14ac:dyDescent="0.25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486448489.63727802</v>
      </c>
      <c r="L362">
        <v>1</v>
      </c>
      <c r="M362" t="s">
        <v>5064</v>
      </c>
      <c r="N362">
        <v>0.85273301000000001</v>
      </c>
      <c r="O362">
        <v>466.3</v>
      </c>
      <c r="P362">
        <v>441.24</v>
      </c>
      <c r="Q362">
        <v>397.62940256299999</v>
      </c>
      <c r="R362">
        <v>20043386411.39127</v>
      </c>
      <c r="S362">
        <v>0</v>
      </c>
      <c r="T362" t="s">
        <v>6243</v>
      </c>
    </row>
    <row r="363" spans="1:40" x14ac:dyDescent="0.25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145.65620000000001</v>
      </c>
      <c r="H363" t="s">
        <v>97</v>
      </c>
      <c r="I363">
        <v>43423541966.948013</v>
      </c>
      <c r="J363" t="s">
        <v>4700</v>
      </c>
      <c r="K363">
        <v>488884585.84507799</v>
      </c>
      <c r="L363">
        <v>0.95</v>
      </c>
      <c r="M363" t="s">
        <v>5065</v>
      </c>
      <c r="N363">
        <v>0.85273301000000001</v>
      </c>
      <c r="O363">
        <v>177.87</v>
      </c>
      <c r="P363">
        <v>170.68</v>
      </c>
      <c r="Q363">
        <v>151.67562048869999</v>
      </c>
      <c r="R363">
        <v>42957169266.198387</v>
      </c>
      <c r="S363">
        <v>0</v>
      </c>
      <c r="T363" t="s">
        <v>6243</v>
      </c>
      <c r="AJ363" t="s">
        <v>6258</v>
      </c>
    </row>
    <row r="364" spans="1:40" x14ac:dyDescent="0.25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7521986813.6459999</v>
      </c>
      <c r="J364" t="s">
        <v>4701</v>
      </c>
      <c r="K364">
        <v>14990219.4403203</v>
      </c>
      <c r="L364">
        <v>0.85</v>
      </c>
      <c r="M364" t="s">
        <v>5066</v>
      </c>
      <c r="N364">
        <v>5.7743899999999999E-3</v>
      </c>
      <c r="O364">
        <v>2626</v>
      </c>
      <c r="P364">
        <v>2468</v>
      </c>
      <c r="Q364">
        <v>15.16354814</v>
      </c>
      <c r="R364">
        <v>6760040091.5082636</v>
      </c>
      <c r="S364">
        <v>0</v>
      </c>
      <c r="T364" t="s">
        <v>6244</v>
      </c>
    </row>
    <row r="365" spans="1:40" x14ac:dyDescent="0.25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26.992529999999999</v>
      </c>
      <c r="H365" t="s">
        <v>99</v>
      </c>
      <c r="I365">
        <v>10252578878.1819</v>
      </c>
      <c r="J365" t="s">
        <v>4701</v>
      </c>
      <c r="K365">
        <v>31908397.143165499</v>
      </c>
      <c r="L365">
        <v>1</v>
      </c>
      <c r="M365" t="s">
        <v>5067</v>
      </c>
      <c r="N365">
        <v>5.7743899999999999E-3</v>
      </c>
      <c r="O365">
        <v>4517</v>
      </c>
      <c r="P365">
        <v>4645</v>
      </c>
      <c r="Q365">
        <v>26.082919629999999</v>
      </c>
      <c r="R365">
        <v>9907081362.1344147</v>
      </c>
      <c r="S365">
        <v>0</v>
      </c>
      <c r="T365" t="s">
        <v>6244</v>
      </c>
    </row>
    <row r="366" spans="1:40" x14ac:dyDescent="0.25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27408714527.604401</v>
      </c>
      <c r="J366" t="s">
        <v>4701</v>
      </c>
      <c r="K366">
        <v>57004046.7249972</v>
      </c>
      <c r="L366">
        <v>0.9</v>
      </c>
      <c r="M366" t="s">
        <v>5068</v>
      </c>
      <c r="N366">
        <v>5.7743899999999999E-3</v>
      </c>
      <c r="O366">
        <v>1239.5</v>
      </c>
      <c r="P366">
        <v>1274.5</v>
      </c>
      <c r="Q366">
        <v>7.1573564049999998</v>
      </c>
      <c r="R366">
        <v>23838900190.375931</v>
      </c>
      <c r="S366">
        <v>0</v>
      </c>
      <c r="T366" t="s">
        <v>6244</v>
      </c>
      <c r="AJ366" t="s">
        <v>6258</v>
      </c>
    </row>
    <row r="367" spans="1:40" x14ac:dyDescent="0.25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40730508024.624001</v>
      </c>
      <c r="J367" t="s">
        <v>4701</v>
      </c>
      <c r="K367">
        <v>120035778.65499</v>
      </c>
      <c r="L367">
        <v>1</v>
      </c>
      <c r="M367" t="s">
        <v>5069</v>
      </c>
      <c r="N367">
        <v>5.7743899999999999E-3</v>
      </c>
      <c r="O367">
        <v>3544</v>
      </c>
      <c r="P367">
        <v>3700</v>
      </c>
      <c r="Q367">
        <v>20.46443816</v>
      </c>
      <c r="R367">
        <v>38766820707.058899</v>
      </c>
      <c r="S367">
        <v>0</v>
      </c>
      <c r="T367" t="s">
        <v>6244</v>
      </c>
    </row>
    <row r="368" spans="1:40" x14ac:dyDescent="0.25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113.20010000000001</v>
      </c>
      <c r="H368" t="s">
        <v>99</v>
      </c>
      <c r="I368">
        <v>33180531847.397999</v>
      </c>
      <c r="J368" t="s">
        <v>4701</v>
      </c>
      <c r="K368">
        <v>120526101.655772</v>
      </c>
      <c r="L368">
        <v>1</v>
      </c>
      <c r="M368" t="s">
        <v>5070</v>
      </c>
      <c r="N368">
        <v>5.7743899999999999E-3</v>
      </c>
      <c r="O368">
        <v>17720</v>
      </c>
      <c r="P368">
        <v>19480</v>
      </c>
      <c r="Q368">
        <v>102.3221908</v>
      </c>
      <c r="R368">
        <v>29992064587.70739</v>
      </c>
      <c r="S368">
        <v>0</v>
      </c>
      <c r="T368" t="s">
        <v>6244</v>
      </c>
      <c r="AF368" t="s">
        <v>6254</v>
      </c>
    </row>
    <row r="369" spans="1:40" x14ac:dyDescent="0.25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48057775.644166701</v>
      </c>
      <c r="L369">
        <v>0.65</v>
      </c>
      <c r="M369" t="s">
        <v>5071</v>
      </c>
      <c r="N369">
        <v>1</v>
      </c>
      <c r="O369">
        <v>37.700000000000003</v>
      </c>
      <c r="P369">
        <v>41.62</v>
      </c>
      <c r="Q369">
        <v>37.700000000000003</v>
      </c>
      <c r="R369">
        <v>19404732691.5</v>
      </c>
      <c r="S369">
        <v>0</v>
      </c>
      <c r="T369" t="s">
        <v>6242</v>
      </c>
      <c r="AJ369" t="s">
        <v>6258</v>
      </c>
    </row>
    <row r="370" spans="1:40" x14ac:dyDescent="0.25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93.732919999999993</v>
      </c>
      <c r="H370" t="s">
        <v>99</v>
      </c>
      <c r="I370">
        <v>6459976863.8899193</v>
      </c>
      <c r="J370" t="s">
        <v>4701</v>
      </c>
      <c r="K370">
        <v>23776608.861241002</v>
      </c>
      <c r="L370">
        <v>0.9</v>
      </c>
      <c r="M370" t="s">
        <v>5072</v>
      </c>
      <c r="N370">
        <v>5.7743899999999999E-3</v>
      </c>
      <c r="O370">
        <v>16380</v>
      </c>
      <c r="P370">
        <v>16130</v>
      </c>
      <c r="Q370">
        <v>94.584508200000002</v>
      </c>
      <c r="R370">
        <v>5866800705.5468426</v>
      </c>
      <c r="S370">
        <v>0</v>
      </c>
      <c r="T370" t="s">
        <v>6244</v>
      </c>
    </row>
    <row r="371" spans="1:40" x14ac:dyDescent="0.25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31.112590000000001</v>
      </c>
      <c r="H371" t="s">
        <v>99</v>
      </c>
      <c r="I371">
        <v>20518097873.854599</v>
      </c>
      <c r="J371" t="s">
        <v>4701</v>
      </c>
      <c r="K371">
        <v>41733157.625453897</v>
      </c>
      <c r="L371">
        <v>0.95</v>
      </c>
      <c r="M371" t="s">
        <v>5073</v>
      </c>
      <c r="N371">
        <v>5.7743899999999999E-3</v>
      </c>
      <c r="O371">
        <v>5457</v>
      </c>
      <c r="P371">
        <v>5354</v>
      </c>
      <c r="Q371">
        <v>31.510846229999999</v>
      </c>
      <c r="R371">
        <v>19741702496.750221</v>
      </c>
      <c r="S371">
        <v>0</v>
      </c>
      <c r="T371" t="s">
        <v>6244</v>
      </c>
    </row>
    <row r="372" spans="1:40" x14ac:dyDescent="0.25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3477176913.5279999</v>
      </c>
      <c r="J372" t="s">
        <v>4701</v>
      </c>
      <c r="K372">
        <v>8373146.4176582498</v>
      </c>
      <c r="L372">
        <v>0.95</v>
      </c>
      <c r="M372" t="s">
        <v>5074</v>
      </c>
      <c r="N372">
        <v>5.7743899999999999E-3</v>
      </c>
      <c r="O372">
        <v>128100</v>
      </c>
      <c r="P372">
        <v>260700</v>
      </c>
      <c r="Q372">
        <v>739.69935899999996</v>
      </c>
      <c r="R372">
        <v>1612897476.1992109</v>
      </c>
      <c r="S372">
        <v>0</v>
      </c>
      <c r="T372" t="s">
        <v>6244</v>
      </c>
      <c r="W372" t="s">
        <v>6247</v>
      </c>
      <c r="AN372" t="s">
        <v>6262</v>
      </c>
    </row>
    <row r="373" spans="1:40" x14ac:dyDescent="0.25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6.7263390000000003</v>
      </c>
      <c r="H373" t="s">
        <v>99</v>
      </c>
      <c r="I373">
        <v>10556173828.2132</v>
      </c>
      <c r="J373" t="s">
        <v>4701</v>
      </c>
      <c r="K373">
        <v>30104161.005762201</v>
      </c>
      <c r="L373">
        <v>0.9</v>
      </c>
      <c r="M373" t="s">
        <v>5075</v>
      </c>
      <c r="N373">
        <v>5.7743899999999999E-3</v>
      </c>
      <c r="O373">
        <v>1210</v>
      </c>
      <c r="P373">
        <v>1157.5</v>
      </c>
      <c r="Q373">
        <v>6.9870118999999997</v>
      </c>
      <c r="R373">
        <v>9868741516.0869484</v>
      </c>
      <c r="S373">
        <v>0</v>
      </c>
      <c r="T373" t="s">
        <v>6244</v>
      </c>
      <c r="AJ373" t="s">
        <v>6258</v>
      </c>
    </row>
    <row r="374" spans="1:40" x14ac:dyDescent="0.25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180.74760000000001</v>
      </c>
      <c r="H374" t="s">
        <v>97</v>
      </c>
      <c r="I374">
        <v>129424608176.16</v>
      </c>
      <c r="J374" t="s">
        <v>4700</v>
      </c>
      <c r="K374">
        <v>676803075.69060194</v>
      </c>
      <c r="L374">
        <v>0.9</v>
      </c>
      <c r="M374" t="s">
        <v>5076</v>
      </c>
      <c r="N374">
        <v>0.85273301000000001</v>
      </c>
      <c r="O374">
        <v>190.05</v>
      </c>
      <c r="P374">
        <v>211.8</v>
      </c>
      <c r="Q374">
        <v>162.06190855049999</v>
      </c>
      <c r="R374">
        <v>104440220024.9753</v>
      </c>
      <c r="S374">
        <v>0</v>
      </c>
      <c r="T374" t="s">
        <v>6243</v>
      </c>
      <c r="AJ374" t="s">
        <v>6258</v>
      </c>
    </row>
    <row r="375" spans="1:40" x14ac:dyDescent="0.25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73.239999999999995</v>
      </c>
      <c r="H375" t="s">
        <v>98</v>
      </c>
      <c r="I375">
        <v>49905331934.919998</v>
      </c>
      <c r="J375" t="s">
        <v>4702</v>
      </c>
      <c r="K375">
        <v>77221971.694091007</v>
      </c>
      <c r="L375">
        <v>0.95000000000000007</v>
      </c>
      <c r="M375" t="s">
        <v>5077</v>
      </c>
      <c r="N375">
        <v>1</v>
      </c>
      <c r="O375">
        <v>74.64</v>
      </c>
      <c r="P375">
        <v>73.239999999999995</v>
      </c>
      <c r="Q375">
        <v>74.64</v>
      </c>
      <c r="R375">
        <v>48316320000.564003</v>
      </c>
      <c r="S375">
        <v>1</v>
      </c>
      <c r="T375" t="s">
        <v>6242</v>
      </c>
    </row>
    <row r="376" spans="1:40" x14ac:dyDescent="0.25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36.906669999999998</v>
      </c>
      <c r="H376" t="s">
        <v>4696</v>
      </c>
      <c r="I376">
        <v>30816888607.317001</v>
      </c>
      <c r="J376" t="s">
        <v>4699</v>
      </c>
      <c r="K376">
        <v>29287583.6255592</v>
      </c>
      <c r="L376">
        <v>0.8</v>
      </c>
      <c r="M376" t="s">
        <v>5078</v>
      </c>
      <c r="N376">
        <v>0.13397104000000001</v>
      </c>
      <c r="O376">
        <v>264.5</v>
      </c>
      <c r="P376">
        <v>275.5</v>
      </c>
      <c r="Q376">
        <v>35.435340080000003</v>
      </c>
      <c r="R376">
        <v>23670668266.906891</v>
      </c>
      <c r="S376">
        <v>0</v>
      </c>
      <c r="T376" t="s">
        <v>6242</v>
      </c>
      <c r="U376" t="s">
        <v>6245</v>
      </c>
      <c r="AJ376" t="s">
        <v>6258</v>
      </c>
    </row>
    <row r="377" spans="1:40" x14ac:dyDescent="0.25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177.99969999999999</v>
      </c>
      <c r="H377" t="s">
        <v>97</v>
      </c>
      <c r="I377">
        <v>20831986629.851002</v>
      </c>
      <c r="J377" t="s">
        <v>4700</v>
      </c>
      <c r="K377">
        <v>236376231.52116799</v>
      </c>
      <c r="L377">
        <v>1</v>
      </c>
      <c r="M377" t="s">
        <v>5079</v>
      </c>
      <c r="N377">
        <v>0.85273301000000001</v>
      </c>
      <c r="O377">
        <v>212.61</v>
      </c>
      <c r="P377">
        <v>208.58</v>
      </c>
      <c r="Q377">
        <v>181.29956525610001</v>
      </c>
      <c r="R377">
        <v>21218182499.25631</v>
      </c>
      <c r="S377">
        <v>0</v>
      </c>
      <c r="T377" t="s">
        <v>6243</v>
      </c>
    </row>
    <row r="378" spans="1:40" x14ac:dyDescent="0.25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273.60000000000002</v>
      </c>
      <c r="H378" t="s">
        <v>98</v>
      </c>
      <c r="I378">
        <v>21449428502.400002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290</v>
      </c>
      <c r="P378">
        <v>273.60000000000002</v>
      </c>
      <c r="Q378">
        <v>290</v>
      </c>
      <c r="R378">
        <v>5683784965</v>
      </c>
      <c r="S378">
        <v>1</v>
      </c>
      <c r="T378" t="s">
        <v>6242</v>
      </c>
      <c r="AA378" t="s">
        <v>6249</v>
      </c>
      <c r="AB378" t="s">
        <v>6250</v>
      </c>
      <c r="AJ378" t="s">
        <v>6258</v>
      </c>
    </row>
    <row r="379" spans="1:40" x14ac:dyDescent="0.25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36473023322.879997</v>
      </c>
      <c r="J379" t="s">
        <v>4702</v>
      </c>
      <c r="K379">
        <v>47583220.401363596</v>
      </c>
      <c r="L379">
        <v>0.5</v>
      </c>
      <c r="M379" t="s">
        <v>5081</v>
      </c>
      <c r="N379">
        <v>1</v>
      </c>
      <c r="O379">
        <v>27.56</v>
      </c>
      <c r="P379">
        <v>27.13</v>
      </c>
      <c r="Q379">
        <v>27.56</v>
      </c>
      <c r="R379">
        <v>18525553313.279999</v>
      </c>
      <c r="S379">
        <v>1</v>
      </c>
      <c r="T379" t="s">
        <v>6242</v>
      </c>
    </row>
    <row r="380" spans="1:40" x14ac:dyDescent="0.25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36200370219.120003</v>
      </c>
      <c r="J380" t="s">
        <v>4700</v>
      </c>
      <c r="K380">
        <v>824016678.39979398</v>
      </c>
      <c r="L380">
        <v>1</v>
      </c>
      <c r="M380" t="s">
        <v>5082</v>
      </c>
      <c r="N380">
        <v>0.85273301000000001</v>
      </c>
      <c r="O380">
        <v>136.5</v>
      </c>
      <c r="P380">
        <v>131.22</v>
      </c>
      <c r="Q380">
        <v>116.398055865</v>
      </c>
      <c r="R380">
        <v>37628080998.117653</v>
      </c>
      <c r="S380">
        <v>0</v>
      </c>
      <c r="T380" t="s">
        <v>6243</v>
      </c>
    </row>
    <row r="381" spans="1:40" x14ac:dyDescent="0.25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33.851700000000001</v>
      </c>
      <c r="H381" t="s">
        <v>4698</v>
      </c>
      <c r="I381">
        <v>96071852411.550003</v>
      </c>
      <c r="J381" t="s">
        <v>4701</v>
      </c>
      <c r="K381">
        <v>135598237.05701599</v>
      </c>
      <c r="L381">
        <v>0.7</v>
      </c>
      <c r="M381" t="s">
        <v>5083</v>
      </c>
      <c r="N381">
        <v>0.66458430000000002</v>
      </c>
      <c r="O381">
        <v>51.79</v>
      </c>
      <c r="P381">
        <v>50.81</v>
      </c>
      <c r="Q381">
        <v>34.418820897000003</v>
      </c>
      <c r="R381">
        <v>68376947597.234703</v>
      </c>
      <c r="S381">
        <v>0</v>
      </c>
      <c r="T381" t="s">
        <v>6244</v>
      </c>
      <c r="U381" t="s">
        <v>6245</v>
      </c>
      <c r="AJ381" t="s">
        <v>6258</v>
      </c>
    </row>
    <row r="382" spans="1:40" x14ac:dyDescent="0.25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55.861559999999997</v>
      </c>
      <c r="H382" t="s">
        <v>96</v>
      </c>
      <c r="I382">
        <v>5440965884.2346401</v>
      </c>
      <c r="J382" t="s">
        <v>4699</v>
      </c>
      <c r="K382">
        <v>12481003.7081252</v>
      </c>
      <c r="L382">
        <v>1</v>
      </c>
      <c r="M382" t="s">
        <v>5084</v>
      </c>
      <c r="N382">
        <v>1.156136E-2</v>
      </c>
      <c r="O382">
        <v>4726</v>
      </c>
      <c r="P382">
        <v>4840</v>
      </c>
      <c r="Q382">
        <v>54.638987360000002</v>
      </c>
      <c r="R382">
        <v>5321886216.1187</v>
      </c>
      <c r="S382">
        <v>0</v>
      </c>
      <c r="T382" t="s">
        <v>6242</v>
      </c>
      <c r="AH382" t="s">
        <v>6256</v>
      </c>
      <c r="AJ382" t="s">
        <v>6258</v>
      </c>
    </row>
    <row r="383" spans="1:40" x14ac:dyDescent="0.25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423.27190000000002</v>
      </c>
      <c r="H383" t="s">
        <v>97</v>
      </c>
      <c r="I383">
        <v>114633484257.614</v>
      </c>
      <c r="J383" t="s">
        <v>4700</v>
      </c>
      <c r="K383">
        <v>540937603.59890401</v>
      </c>
      <c r="L383">
        <v>0.95</v>
      </c>
      <c r="M383" t="s">
        <v>5085</v>
      </c>
      <c r="N383">
        <v>0.85273301000000001</v>
      </c>
      <c r="O383">
        <v>470.51</v>
      </c>
      <c r="P383">
        <v>495.99</v>
      </c>
      <c r="Q383">
        <v>401.2194085351</v>
      </c>
      <c r="R383">
        <v>103228019187.075</v>
      </c>
      <c r="S383">
        <v>0</v>
      </c>
      <c r="T383" t="s">
        <v>6243</v>
      </c>
    </row>
    <row r="384" spans="1:40" x14ac:dyDescent="0.25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18345883.430606101</v>
      </c>
      <c r="L384">
        <v>0.75</v>
      </c>
      <c r="M384" t="s">
        <v>5086</v>
      </c>
      <c r="N384">
        <v>1</v>
      </c>
      <c r="O384">
        <v>26.36</v>
      </c>
      <c r="P384">
        <v>24.17</v>
      </c>
      <c r="Q384">
        <v>26.36</v>
      </c>
      <c r="R384">
        <v>5844380710.5</v>
      </c>
      <c r="S384">
        <v>0</v>
      </c>
      <c r="T384" t="s">
        <v>6242</v>
      </c>
    </row>
    <row r="385" spans="1:40" x14ac:dyDescent="0.25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111.65730000000001</v>
      </c>
      <c r="H385" t="s">
        <v>97</v>
      </c>
      <c r="I385">
        <v>37932108531.846001</v>
      </c>
      <c r="J385" t="s">
        <v>4700</v>
      </c>
      <c r="K385">
        <v>583368833.88229299</v>
      </c>
      <c r="L385">
        <v>0.9</v>
      </c>
      <c r="M385" t="s">
        <v>5087</v>
      </c>
      <c r="N385">
        <v>0.85273301000000001</v>
      </c>
      <c r="O385">
        <v>125.04</v>
      </c>
      <c r="P385">
        <v>130.84</v>
      </c>
      <c r="Q385">
        <v>106.6257355704</v>
      </c>
      <c r="R385">
        <v>32600511355.279888</v>
      </c>
      <c r="S385">
        <v>0</v>
      </c>
      <c r="T385" t="s">
        <v>6243</v>
      </c>
      <c r="AA385" t="s">
        <v>6249</v>
      </c>
    </row>
    <row r="386" spans="1:40" x14ac:dyDescent="0.25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52.645499999999998</v>
      </c>
      <c r="H386" t="s">
        <v>97</v>
      </c>
      <c r="I386">
        <v>34374794992.199997</v>
      </c>
      <c r="J386" t="s">
        <v>4700</v>
      </c>
      <c r="K386">
        <v>435762346.945494</v>
      </c>
      <c r="L386">
        <v>1</v>
      </c>
      <c r="M386" t="s">
        <v>5088</v>
      </c>
      <c r="N386">
        <v>0.85273301000000001</v>
      </c>
      <c r="O386">
        <v>59.87</v>
      </c>
      <c r="P386">
        <v>61.69</v>
      </c>
      <c r="Q386">
        <v>51.053125308699997</v>
      </c>
      <c r="R386">
        <v>33335056485.31517</v>
      </c>
      <c r="S386">
        <v>0</v>
      </c>
      <c r="T386" t="s">
        <v>6243</v>
      </c>
    </row>
    <row r="387" spans="1:40" x14ac:dyDescent="0.25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12.470599999999999</v>
      </c>
      <c r="H387" t="s">
        <v>99</v>
      </c>
      <c r="I387">
        <v>36301663446.82</v>
      </c>
      <c r="J387" t="s">
        <v>4701</v>
      </c>
      <c r="K387">
        <v>74032920.026730493</v>
      </c>
      <c r="L387">
        <v>0.7</v>
      </c>
      <c r="M387" t="s">
        <v>5089</v>
      </c>
      <c r="N387">
        <v>5.7743899999999999E-3</v>
      </c>
      <c r="O387">
        <v>2139</v>
      </c>
      <c r="P387">
        <v>2146</v>
      </c>
      <c r="Q387">
        <v>12.351420210000001</v>
      </c>
      <c r="R387">
        <v>25168313448.235809</v>
      </c>
      <c r="S387">
        <v>0</v>
      </c>
      <c r="T387" t="s">
        <v>6244</v>
      </c>
    </row>
    <row r="388" spans="1:40" x14ac:dyDescent="0.25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16.108350000000002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5.7743899999999999E-3</v>
      </c>
      <c r="O388">
        <v>3177</v>
      </c>
      <c r="P388">
        <v>2772</v>
      </c>
      <c r="Q388">
        <v>18.34523703</v>
      </c>
      <c r="R388">
        <v>3657123001.9305</v>
      </c>
      <c r="S388">
        <v>0</v>
      </c>
      <c r="T388" t="s">
        <v>6244</v>
      </c>
    </row>
    <row r="389" spans="1:40" x14ac:dyDescent="0.25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158184332.13405299</v>
      </c>
      <c r="L389">
        <v>1</v>
      </c>
      <c r="M389" t="s">
        <v>5091</v>
      </c>
      <c r="N389">
        <v>1</v>
      </c>
      <c r="O389">
        <v>31.555</v>
      </c>
      <c r="P389">
        <v>31.7</v>
      </c>
      <c r="Q389">
        <v>31.555</v>
      </c>
      <c r="R389">
        <v>61477120259.5</v>
      </c>
      <c r="S389">
        <v>0</v>
      </c>
      <c r="T389" t="s">
        <v>6242</v>
      </c>
      <c r="AJ389" t="s">
        <v>6258</v>
      </c>
    </row>
    <row r="390" spans="1:40" x14ac:dyDescent="0.25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256.89999999999998</v>
      </c>
      <c r="H390" t="s">
        <v>98</v>
      </c>
      <c r="I390">
        <v>48374269999.999992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239.7</v>
      </c>
      <c r="P390">
        <v>256.89999999999998</v>
      </c>
      <c r="Q390">
        <v>239.7</v>
      </c>
      <c r="R390">
        <v>45135510000</v>
      </c>
      <c r="S390">
        <v>0</v>
      </c>
      <c r="T390" t="s">
        <v>6242</v>
      </c>
    </row>
    <row r="391" spans="1:40" x14ac:dyDescent="0.25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74676396.223484904</v>
      </c>
      <c r="L391">
        <v>0.85</v>
      </c>
      <c r="M391" t="s">
        <v>5093</v>
      </c>
      <c r="N391">
        <v>1</v>
      </c>
      <c r="O391">
        <v>38.46</v>
      </c>
      <c r="P391">
        <v>40.18</v>
      </c>
      <c r="Q391">
        <v>38.46</v>
      </c>
      <c r="R391">
        <v>39229200000</v>
      </c>
      <c r="S391">
        <v>0</v>
      </c>
      <c r="T391" t="s">
        <v>6242</v>
      </c>
      <c r="AN391" t="s">
        <v>6262</v>
      </c>
    </row>
    <row r="392" spans="1:40" x14ac:dyDescent="0.25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187261698.81454501</v>
      </c>
      <c r="L392">
        <v>0.7</v>
      </c>
      <c r="M392" t="s">
        <v>5094</v>
      </c>
      <c r="N392">
        <v>1</v>
      </c>
      <c r="O392">
        <v>30.01</v>
      </c>
      <c r="P392">
        <v>31.43</v>
      </c>
      <c r="Q392">
        <v>30.01</v>
      </c>
      <c r="R392">
        <v>103043334732.8</v>
      </c>
      <c r="S392">
        <v>0</v>
      </c>
      <c r="T392" t="s">
        <v>6242</v>
      </c>
    </row>
    <row r="393" spans="1:40" x14ac:dyDescent="0.25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30.005120000000002</v>
      </c>
      <c r="H393" t="s">
        <v>97</v>
      </c>
      <c r="I393">
        <v>19047250176</v>
      </c>
      <c r="J393" t="s">
        <v>4700</v>
      </c>
      <c r="K393">
        <v>227368082.06193101</v>
      </c>
      <c r="L393">
        <v>1</v>
      </c>
      <c r="M393" t="s">
        <v>5095</v>
      </c>
      <c r="N393">
        <v>0.85273301000000001</v>
      </c>
      <c r="O393">
        <v>34.770000000000003</v>
      </c>
      <c r="P393">
        <v>35.159999999999997</v>
      </c>
      <c r="Q393">
        <v>29.649526757699999</v>
      </c>
      <c r="R393">
        <v>18821519585.78796</v>
      </c>
      <c r="S393">
        <v>0</v>
      </c>
      <c r="T393" t="s">
        <v>6243</v>
      </c>
      <c r="AH393" t="s">
        <v>6256</v>
      </c>
      <c r="AJ393" t="s">
        <v>6258</v>
      </c>
    </row>
    <row r="394" spans="1:40" x14ac:dyDescent="0.25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70.199690000000004</v>
      </c>
      <c r="H394" t="s">
        <v>97</v>
      </c>
      <c r="I394">
        <v>27529178385.866299</v>
      </c>
      <c r="J394" t="s">
        <v>4700</v>
      </c>
      <c r="K394">
        <v>247524567.580212</v>
      </c>
      <c r="L394">
        <v>1</v>
      </c>
      <c r="M394" t="s">
        <v>5096</v>
      </c>
      <c r="N394">
        <v>0.85273301000000001</v>
      </c>
      <c r="O394">
        <v>76.22</v>
      </c>
      <c r="P394">
        <v>82.26</v>
      </c>
      <c r="Q394">
        <v>64.995310022200002</v>
      </c>
      <c r="R394">
        <v>25488253350.489552</v>
      </c>
      <c r="S394">
        <v>0</v>
      </c>
      <c r="T394" t="s">
        <v>6243</v>
      </c>
      <c r="AJ394" t="s">
        <v>6258</v>
      </c>
      <c r="AN394" t="s">
        <v>6262</v>
      </c>
    </row>
    <row r="395" spans="1:40" x14ac:dyDescent="0.25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4.1779500000000001</v>
      </c>
      <c r="H395" t="s">
        <v>4691</v>
      </c>
      <c r="I395">
        <v>4493657627.3400002</v>
      </c>
      <c r="J395" t="s">
        <v>4701</v>
      </c>
      <c r="K395">
        <v>12475171.933016701</v>
      </c>
      <c r="L395">
        <v>1</v>
      </c>
      <c r="M395" t="s">
        <v>5097</v>
      </c>
      <c r="N395">
        <v>0.56652409000000004</v>
      </c>
      <c r="O395">
        <v>7.33</v>
      </c>
      <c r="P395">
        <v>7.54</v>
      </c>
      <c r="Q395">
        <v>4.1526215796999999</v>
      </c>
      <c r="R395">
        <v>4466415259.8943462</v>
      </c>
      <c r="S395">
        <v>0</v>
      </c>
      <c r="T395" t="s">
        <v>6244</v>
      </c>
      <c r="U395" t="s">
        <v>6245</v>
      </c>
    </row>
    <row r="396" spans="1:40" x14ac:dyDescent="0.25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54475881244.641998</v>
      </c>
      <c r="J396" t="s">
        <v>4699</v>
      </c>
      <c r="K396">
        <v>81950563.603865698</v>
      </c>
      <c r="L396">
        <v>1</v>
      </c>
      <c r="M396" t="s">
        <v>5098</v>
      </c>
      <c r="N396">
        <v>1.156136E-2</v>
      </c>
      <c r="O396">
        <v>1869</v>
      </c>
      <c r="P396">
        <v>2121</v>
      </c>
      <c r="Q396">
        <v>21.60818184</v>
      </c>
      <c r="R396">
        <v>48085495194.552818</v>
      </c>
      <c r="S396">
        <v>0</v>
      </c>
      <c r="T396" t="s">
        <v>6242</v>
      </c>
    </row>
    <row r="397" spans="1:40" x14ac:dyDescent="0.25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35396449699.739998</v>
      </c>
      <c r="J397" t="s">
        <v>4700</v>
      </c>
      <c r="K397">
        <v>278985265.10889697</v>
      </c>
      <c r="L397">
        <v>0.65</v>
      </c>
      <c r="M397" t="s">
        <v>5099</v>
      </c>
      <c r="N397">
        <v>0.85273301000000001</v>
      </c>
      <c r="O397">
        <v>136.88</v>
      </c>
      <c r="P397">
        <v>143.28</v>
      </c>
      <c r="Q397">
        <v>116.7220944088</v>
      </c>
      <c r="R397">
        <v>21963125531.25296</v>
      </c>
      <c r="S397">
        <v>0</v>
      </c>
      <c r="T397" t="s">
        <v>6243</v>
      </c>
      <c r="AH397" t="s">
        <v>6256</v>
      </c>
      <c r="AJ397" t="s">
        <v>6258</v>
      </c>
    </row>
    <row r="398" spans="1:40" x14ac:dyDescent="0.25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4864141463.5799999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79.14</v>
      </c>
      <c r="P398">
        <v>86.94</v>
      </c>
      <c r="Q398">
        <v>79.14</v>
      </c>
      <c r="R398">
        <v>1992485276.5409999</v>
      </c>
      <c r="S398">
        <v>0</v>
      </c>
      <c r="T398" t="s">
        <v>6242</v>
      </c>
      <c r="AJ398" t="s">
        <v>6258</v>
      </c>
    </row>
    <row r="399" spans="1:40" x14ac:dyDescent="0.25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165.3</v>
      </c>
      <c r="P399">
        <v>190.8</v>
      </c>
      <c r="Q399">
        <v>165.3</v>
      </c>
      <c r="R399">
        <v>3549988221.8400002</v>
      </c>
      <c r="S399">
        <v>0</v>
      </c>
      <c r="T399" t="s">
        <v>6242</v>
      </c>
      <c r="W399" t="s">
        <v>6247</v>
      </c>
      <c r="AN399" t="s">
        <v>6262</v>
      </c>
    </row>
    <row r="400" spans="1:40" x14ac:dyDescent="0.25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142.56700000000001</v>
      </c>
      <c r="H400" t="s">
        <v>97</v>
      </c>
      <c r="I400">
        <v>48622539505.150002</v>
      </c>
      <c r="J400" t="s">
        <v>4700</v>
      </c>
      <c r="K400">
        <v>248742996.40768701</v>
      </c>
      <c r="L400">
        <v>0.95</v>
      </c>
      <c r="M400" t="s">
        <v>5102</v>
      </c>
      <c r="N400">
        <v>0.85273301000000001</v>
      </c>
      <c r="O400">
        <v>173.5</v>
      </c>
      <c r="P400">
        <v>167.06</v>
      </c>
      <c r="Q400">
        <v>147.94917723500001</v>
      </c>
      <c r="R400">
        <v>47935226799.470177</v>
      </c>
      <c r="S400">
        <v>0</v>
      </c>
      <c r="T400" t="s">
        <v>6243</v>
      </c>
    </row>
    <row r="401" spans="1:40" x14ac:dyDescent="0.25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62.671129999999998</v>
      </c>
      <c r="H401" t="s">
        <v>96</v>
      </c>
      <c r="I401">
        <v>8408974699.8172998</v>
      </c>
      <c r="J401" t="s">
        <v>4699</v>
      </c>
      <c r="K401">
        <v>11300936.8300134</v>
      </c>
      <c r="L401">
        <v>1</v>
      </c>
      <c r="M401" t="s">
        <v>5103</v>
      </c>
      <c r="N401">
        <v>1.156136E-2</v>
      </c>
      <c r="O401">
        <v>5540</v>
      </c>
      <c r="P401">
        <v>5430</v>
      </c>
      <c r="Q401">
        <v>64.049934399999998</v>
      </c>
      <c r="R401">
        <v>8593977448.5406246</v>
      </c>
      <c r="S401">
        <v>0</v>
      </c>
      <c r="T401" t="s">
        <v>6242</v>
      </c>
    </row>
    <row r="402" spans="1:40" x14ac:dyDescent="0.25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224.54060000000001</v>
      </c>
      <c r="H402" t="s">
        <v>99</v>
      </c>
      <c r="I402">
        <v>24347756831.189999</v>
      </c>
      <c r="J402" t="s">
        <v>4701</v>
      </c>
      <c r="K402">
        <v>1092900707.1421101</v>
      </c>
      <c r="L402">
        <v>0.85</v>
      </c>
      <c r="M402" t="s">
        <v>5104</v>
      </c>
      <c r="N402">
        <v>5.7743899999999999E-3</v>
      </c>
      <c r="O402">
        <v>41080</v>
      </c>
      <c r="P402">
        <v>38640</v>
      </c>
      <c r="Q402">
        <v>237.21194120000001</v>
      </c>
      <c r="R402">
        <v>21863493116.716171</v>
      </c>
      <c r="S402">
        <v>0</v>
      </c>
      <c r="T402" t="s">
        <v>6244</v>
      </c>
      <c r="AJ402" t="s">
        <v>6258</v>
      </c>
    </row>
    <row r="403" spans="1:40" x14ac:dyDescent="0.25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20530896.072432201</v>
      </c>
      <c r="L403">
        <v>1</v>
      </c>
      <c r="M403" t="s">
        <v>5105</v>
      </c>
      <c r="N403">
        <v>5.7743899999999999E-3</v>
      </c>
      <c r="O403">
        <v>3085</v>
      </c>
      <c r="P403">
        <v>3323</v>
      </c>
      <c r="Q403">
        <v>17.813993150000002</v>
      </c>
      <c r="R403">
        <v>2535393142.087379</v>
      </c>
      <c r="S403">
        <v>0</v>
      </c>
      <c r="T403" t="s">
        <v>6244</v>
      </c>
    </row>
    <row r="404" spans="1:40" x14ac:dyDescent="0.25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23.166029999999999</v>
      </c>
      <c r="H404" t="s">
        <v>4695</v>
      </c>
      <c r="I404">
        <v>34230241410.65955</v>
      </c>
      <c r="J404" t="s">
        <v>4699</v>
      </c>
      <c r="K404">
        <v>41478765.436671004</v>
      </c>
      <c r="L404">
        <v>0.55000000000000004</v>
      </c>
      <c r="M404" t="s">
        <v>5106</v>
      </c>
      <c r="N404">
        <v>8.6344599999999994E-2</v>
      </c>
      <c r="O404">
        <v>267.7</v>
      </c>
      <c r="P404">
        <v>273</v>
      </c>
      <c r="Q404">
        <v>23.11444942</v>
      </c>
      <c r="R404">
        <v>18784714128.687302</v>
      </c>
      <c r="S404">
        <v>0</v>
      </c>
      <c r="T404" t="s">
        <v>6242</v>
      </c>
      <c r="U404" t="s">
        <v>6245</v>
      </c>
      <c r="AJ404" t="s">
        <v>6258</v>
      </c>
    </row>
    <row r="405" spans="1:40" x14ac:dyDescent="0.25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95.920810000000003</v>
      </c>
      <c r="H405" t="s">
        <v>97</v>
      </c>
      <c r="I405">
        <v>21109352127.6022</v>
      </c>
      <c r="J405" t="s">
        <v>4700</v>
      </c>
      <c r="K405">
        <v>301693663.05067801</v>
      </c>
      <c r="L405">
        <v>1</v>
      </c>
      <c r="M405" t="s">
        <v>5107</v>
      </c>
      <c r="N405">
        <v>0.85273301000000001</v>
      </c>
      <c r="O405">
        <v>104.4</v>
      </c>
      <c r="P405">
        <v>112.4</v>
      </c>
      <c r="Q405">
        <v>89.025326244000013</v>
      </c>
      <c r="R405">
        <v>19591858742.219349</v>
      </c>
      <c r="S405">
        <v>0</v>
      </c>
      <c r="T405" t="s">
        <v>6243</v>
      </c>
      <c r="AJ405" t="s">
        <v>6258</v>
      </c>
      <c r="AN405" t="s">
        <v>6262</v>
      </c>
    </row>
    <row r="406" spans="1:40" x14ac:dyDescent="0.25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96.705920000000006</v>
      </c>
      <c r="H406" t="s">
        <v>97</v>
      </c>
      <c r="I406">
        <v>20182121273.254398</v>
      </c>
      <c r="J406" t="s">
        <v>4700</v>
      </c>
      <c r="K406">
        <v>327368961.39055902</v>
      </c>
      <c r="L406">
        <v>0.95</v>
      </c>
      <c r="M406" t="s">
        <v>5108</v>
      </c>
      <c r="N406">
        <v>0.85273301000000001</v>
      </c>
      <c r="O406">
        <v>97.45</v>
      </c>
      <c r="P406">
        <v>113.32</v>
      </c>
      <c r="Q406">
        <v>83.09883182450001</v>
      </c>
      <c r="R406">
        <v>16475259906.22332</v>
      </c>
      <c r="S406">
        <v>0</v>
      </c>
      <c r="T406" t="s">
        <v>6243</v>
      </c>
      <c r="AJ406" t="s">
        <v>6258</v>
      </c>
    </row>
    <row r="407" spans="1:40" x14ac:dyDescent="0.25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0.61572563000000002</v>
      </c>
      <c r="O407">
        <v>188.77</v>
      </c>
      <c r="P407">
        <v>193.35</v>
      </c>
      <c r="Q407">
        <v>116.23052717509999</v>
      </c>
      <c r="R407">
        <v>32124702023.376652</v>
      </c>
      <c r="S407">
        <v>0</v>
      </c>
      <c r="T407" t="s">
        <v>6243</v>
      </c>
      <c r="AJ407" t="s">
        <v>6258</v>
      </c>
    </row>
    <row r="408" spans="1:40" x14ac:dyDescent="0.25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52.824710000000003</v>
      </c>
      <c r="H408" t="s">
        <v>97</v>
      </c>
      <c r="I408">
        <v>45082385065.491501</v>
      </c>
      <c r="J408" t="s">
        <v>4700</v>
      </c>
      <c r="K408">
        <v>263456579.62342501</v>
      </c>
      <c r="L408">
        <v>1</v>
      </c>
      <c r="M408" t="s">
        <v>5110</v>
      </c>
      <c r="N408">
        <v>0.85273301000000001</v>
      </c>
      <c r="O408">
        <v>60.05</v>
      </c>
      <c r="P408">
        <v>61.9</v>
      </c>
      <c r="Q408">
        <v>51.206617250500003</v>
      </c>
      <c r="R408">
        <v>43701450264.247177</v>
      </c>
      <c r="S408">
        <v>0</v>
      </c>
      <c r="T408" t="s">
        <v>6243</v>
      </c>
      <c r="AG408" t="s">
        <v>6255</v>
      </c>
      <c r="AH408" t="s">
        <v>6256</v>
      </c>
      <c r="AJ408" t="s">
        <v>6258</v>
      </c>
    </row>
    <row r="409" spans="1:40" x14ac:dyDescent="0.25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84922323078.276001</v>
      </c>
      <c r="J409" t="s">
        <v>4700</v>
      </c>
      <c r="K409">
        <v>789135114.609869</v>
      </c>
      <c r="L409">
        <v>0.9</v>
      </c>
      <c r="M409" t="s">
        <v>5111</v>
      </c>
      <c r="N409">
        <v>0.85273301000000001</v>
      </c>
      <c r="O409">
        <v>257.98</v>
      </c>
      <c r="P409">
        <v>247.32</v>
      </c>
      <c r="Q409">
        <v>219.9880619198</v>
      </c>
      <c r="R409">
        <v>79663202441.322784</v>
      </c>
      <c r="S409">
        <v>0</v>
      </c>
      <c r="T409" t="s">
        <v>6243</v>
      </c>
      <c r="AN409" t="s">
        <v>6262</v>
      </c>
    </row>
    <row r="410" spans="1:40" x14ac:dyDescent="0.25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156.22970000000001</v>
      </c>
      <c r="H410" t="s">
        <v>97</v>
      </c>
      <c r="I410">
        <v>21424475545.462002</v>
      </c>
      <c r="J410" t="s">
        <v>4700</v>
      </c>
      <c r="K410">
        <v>160873056.97637299</v>
      </c>
      <c r="L410">
        <v>1</v>
      </c>
      <c r="M410" t="s">
        <v>5112</v>
      </c>
      <c r="N410">
        <v>0.85273301000000001</v>
      </c>
      <c r="O410">
        <v>172.98</v>
      </c>
      <c r="P410">
        <v>183.07</v>
      </c>
      <c r="Q410">
        <v>147.50575606979999</v>
      </c>
      <c r="R410">
        <v>20228122205.523739</v>
      </c>
      <c r="S410">
        <v>0</v>
      </c>
      <c r="T410" t="s">
        <v>6243</v>
      </c>
    </row>
    <row r="411" spans="1:40" x14ac:dyDescent="0.25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21.428570000000001</v>
      </c>
      <c r="H411" t="s">
        <v>97</v>
      </c>
      <c r="I411">
        <v>15189517558.794001</v>
      </c>
      <c r="J411" t="s">
        <v>4700</v>
      </c>
      <c r="K411">
        <v>326447170.47084099</v>
      </c>
      <c r="L411">
        <v>1</v>
      </c>
      <c r="M411" t="s">
        <v>5113</v>
      </c>
      <c r="N411">
        <v>0.85273301000000001</v>
      </c>
      <c r="O411">
        <v>25.04</v>
      </c>
      <c r="P411">
        <v>25.11</v>
      </c>
      <c r="Q411">
        <v>21.3524345704</v>
      </c>
      <c r="R411">
        <v>15135549401.107531</v>
      </c>
      <c r="S411">
        <v>0</v>
      </c>
      <c r="T411" t="s">
        <v>6243</v>
      </c>
      <c r="AJ411" t="s">
        <v>6258</v>
      </c>
    </row>
    <row r="412" spans="1:40" x14ac:dyDescent="0.25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4.0671290000000004</v>
      </c>
      <c r="H412" t="s">
        <v>4691</v>
      </c>
      <c r="I412">
        <v>2731376748.8934302</v>
      </c>
      <c r="J412" t="s">
        <v>4701</v>
      </c>
      <c r="K412">
        <v>4345717.2074267799</v>
      </c>
      <c r="L412">
        <v>0.85</v>
      </c>
      <c r="M412" t="s">
        <v>5114</v>
      </c>
      <c r="N412">
        <v>0.56652409000000004</v>
      </c>
      <c r="O412">
        <v>7.26</v>
      </c>
      <c r="P412">
        <v>7.34</v>
      </c>
      <c r="Q412">
        <v>4.1129648934</v>
      </c>
      <c r="R412">
        <v>2347835088.8355269</v>
      </c>
      <c r="S412">
        <v>0</v>
      </c>
      <c r="T412" t="s">
        <v>6244</v>
      </c>
      <c r="U412" t="s">
        <v>6245</v>
      </c>
      <c r="W412" t="s">
        <v>6247</v>
      </c>
      <c r="AJ412" t="s">
        <v>6258</v>
      </c>
    </row>
    <row r="413" spans="1:40" x14ac:dyDescent="0.25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40.262839999999997</v>
      </c>
      <c r="H413" t="s">
        <v>97</v>
      </c>
      <c r="I413">
        <v>19989294590.5704</v>
      </c>
      <c r="J413" t="s">
        <v>4700</v>
      </c>
      <c r="K413">
        <v>338441812.41348898</v>
      </c>
      <c r="L413">
        <v>1</v>
      </c>
      <c r="M413" t="s">
        <v>5115</v>
      </c>
      <c r="N413">
        <v>0.85273301000000001</v>
      </c>
      <c r="O413">
        <v>43.98</v>
      </c>
      <c r="P413">
        <v>47.18</v>
      </c>
      <c r="Q413">
        <v>37.503197779799997</v>
      </c>
      <c r="R413">
        <v>18619214851.929169</v>
      </c>
      <c r="S413">
        <v>0</v>
      </c>
      <c r="T413" t="s">
        <v>6243</v>
      </c>
      <c r="AN413" t="s">
        <v>6262</v>
      </c>
    </row>
    <row r="414" spans="1:40" x14ac:dyDescent="0.25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22566552396.720001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80.48</v>
      </c>
      <c r="P414">
        <v>84.94</v>
      </c>
      <c r="Q414">
        <v>80.48</v>
      </c>
      <c r="R414">
        <v>17105308564.992001</v>
      </c>
      <c r="S414">
        <v>0</v>
      </c>
      <c r="T414" t="s">
        <v>6242</v>
      </c>
      <c r="AJ414" t="s">
        <v>6258</v>
      </c>
    </row>
    <row r="415" spans="1:40" x14ac:dyDescent="0.25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196.72389999999999</v>
      </c>
      <c r="H415" t="s">
        <v>4696</v>
      </c>
      <c r="I415">
        <v>47301183708.028</v>
      </c>
      <c r="J415" t="s">
        <v>4699</v>
      </c>
      <c r="K415">
        <v>49127501.669623598</v>
      </c>
      <c r="L415">
        <v>0.8</v>
      </c>
      <c r="M415" t="s">
        <v>5117</v>
      </c>
      <c r="N415">
        <v>0.13397104000000001</v>
      </c>
      <c r="O415">
        <v>1364.5</v>
      </c>
      <c r="P415">
        <v>1468.5</v>
      </c>
      <c r="Q415">
        <v>182.80348408</v>
      </c>
      <c r="R415">
        <v>35163276787.154602</v>
      </c>
      <c r="S415">
        <v>0</v>
      </c>
      <c r="T415" t="s">
        <v>6242</v>
      </c>
      <c r="U415" t="s">
        <v>6245</v>
      </c>
    </row>
    <row r="416" spans="1:40" x14ac:dyDescent="0.25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119.42310000000001</v>
      </c>
      <c r="H416" t="s">
        <v>97</v>
      </c>
      <c r="I416">
        <v>24790778598.18</v>
      </c>
      <c r="J416" t="s">
        <v>4700</v>
      </c>
      <c r="K416">
        <v>156534347.05729899</v>
      </c>
      <c r="L416">
        <v>1</v>
      </c>
      <c r="M416" t="s">
        <v>5118</v>
      </c>
      <c r="N416">
        <v>0.85273301000000001</v>
      </c>
      <c r="O416">
        <v>136.84</v>
      </c>
      <c r="P416">
        <v>139.94</v>
      </c>
      <c r="Q416">
        <v>116.6879850884</v>
      </c>
      <c r="R416">
        <v>24223002110.933762</v>
      </c>
      <c r="S416">
        <v>0</v>
      </c>
      <c r="T416" t="s">
        <v>6243</v>
      </c>
      <c r="AG416" t="s">
        <v>6255</v>
      </c>
      <c r="AH416" t="s">
        <v>6256</v>
      </c>
      <c r="AJ416" t="s">
        <v>6258</v>
      </c>
      <c r="AN416" t="s">
        <v>6262</v>
      </c>
    </row>
    <row r="417" spans="1:40" x14ac:dyDescent="0.25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82513963676.834991</v>
      </c>
      <c r="J417" t="s">
        <v>4700</v>
      </c>
      <c r="K417">
        <v>314424380.62037599</v>
      </c>
      <c r="L417">
        <v>1</v>
      </c>
      <c r="M417" t="s">
        <v>5119</v>
      </c>
      <c r="N417">
        <v>0.85273301000000001</v>
      </c>
      <c r="O417">
        <v>121.95</v>
      </c>
      <c r="P417">
        <v>124.34</v>
      </c>
      <c r="Q417">
        <v>103.99079056950001</v>
      </c>
      <c r="R417">
        <v>80865781321.672623</v>
      </c>
      <c r="S417">
        <v>0</v>
      </c>
      <c r="T417" t="s">
        <v>6243</v>
      </c>
      <c r="AG417" t="s">
        <v>6255</v>
      </c>
      <c r="AH417" t="s">
        <v>6256</v>
      </c>
      <c r="AI417" t="s">
        <v>6257</v>
      </c>
      <c r="AJ417" t="s">
        <v>6258</v>
      </c>
    </row>
    <row r="418" spans="1:40" x14ac:dyDescent="0.25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65.983959999999996</v>
      </c>
      <c r="H418" t="s">
        <v>97</v>
      </c>
      <c r="I418">
        <v>27628584004.613201</v>
      </c>
      <c r="J418" t="s">
        <v>4700</v>
      </c>
      <c r="K418">
        <v>172176707.23421299</v>
      </c>
      <c r="L418">
        <v>1</v>
      </c>
      <c r="M418" t="s">
        <v>5120</v>
      </c>
      <c r="N418">
        <v>0.85273301000000001</v>
      </c>
      <c r="O418">
        <v>77.290000000000006</v>
      </c>
      <c r="P418">
        <v>77.319999999999993</v>
      </c>
      <c r="Q418">
        <v>65.9077343429</v>
      </c>
      <c r="R418">
        <v>27596667051.30373</v>
      </c>
      <c r="S418">
        <v>0</v>
      </c>
      <c r="T418" t="s">
        <v>6243</v>
      </c>
    </row>
    <row r="419" spans="1:40" x14ac:dyDescent="0.25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3151284613.1016002</v>
      </c>
      <c r="J419" t="s">
        <v>4701</v>
      </c>
      <c r="K419">
        <v>7816731.2830231199</v>
      </c>
      <c r="L419">
        <v>0.8</v>
      </c>
      <c r="M419" t="s">
        <v>5121</v>
      </c>
      <c r="N419">
        <v>0.56652409000000004</v>
      </c>
      <c r="O419">
        <v>2.92</v>
      </c>
      <c r="P419">
        <v>3.12</v>
      </c>
      <c r="Q419">
        <v>1.6542503427999999</v>
      </c>
      <c r="R419">
        <v>2412305665.807086</v>
      </c>
      <c r="S419">
        <v>0</v>
      </c>
      <c r="T419" t="s">
        <v>6244</v>
      </c>
      <c r="U419" t="s">
        <v>6245</v>
      </c>
      <c r="W419" t="s">
        <v>6247</v>
      </c>
      <c r="AG419" t="s">
        <v>6255</v>
      </c>
      <c r="AJ419" t="s">
        <v>6258</v>
      </c>
    </row>
    <row r="420" spans="1:40" x14ac:dyDescent="0.25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69330813.390681803</v>
      </c>
      <c r="L420">
        <v>0.85</v>
      </c>
      <c r="M420" t="s">
        <v>5122</v>
      </c>
      <c r="N420">
        <v>1</v>
      </c>
      <c r="O420">
        <v>15.525</v>
      </c>
      <c r="P420">
        <v>15.445</v>
      </c>
      <c r="Q420">
        <v>15.525</v>
      </c>
      <c r="R420">
        <v>34855503214.5</v>
      </c>
      <c r="S420">
        <v>0</v>
      </c>
      <c r="T420" t="s">
        <v>6242</v>
      </c>
      <c r="AG420" t="s">
        <v>6255</v>
      </c>
      <c r="AH420" t="s">
        <v>6256</v>
      </c>
      <c r="AN420" t="s">
        <v>6262</v>
      </c>
    </row>
    <row r="421" spans="1:40" x14ac:dyDescent="0.25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24068029558.860001</v>
      </c>
      <c r="J421" t="s">
        <v>4701</v>
      </c>
      <c r="K421">
        <v>46688541.980988398</v>
      </c>
      <c r="L421">
        <v>1</v>
      </c>
      <c r="M421" t="s">
        <v>5123</v>
      </c>
      <c r="N421">
        <v>5.7743899999999999E-3</v>
      </c>
      <c r="O421">
        <v>3680</v>
      </c>
      <c r="P421">
        <v>3651</v>
      </c>
      <c r="Q421">
        <v>21.249755199999999</v>
      </c>
      <c r="R421">
        <v>24105981545.89344</v>
      </c>
      <c r="S421">
        <v>0</v>
      </c>
      <c r="T421" t="s">
        <v>6244</v>
      </c>
      <c r="AJ421" t="s">
        <v>6258</v>
      </c>
    </row>
    <row r="422" spans="1:40" x14ac:dyDescent="0.25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5.8931639999999996</v>
      </c>
      <c r="H422" t="s">
        <v>96</v>
      </c>
      <c r="I422">
        <v>4467077243.6399994</v>
      </c>
      <c r="J422" t="s">
        <v>4699</v>
      </c>
      <c r="K422">
        <v>18462944.154974699</v>
      </c>
      <c r="L422">
        <v>0.8</v>
      </c>
      <c r="M422" t="s">
        <v>5124</v>
      </c>
      <c r="N422">
        <v>1.156136E-2</v>
      </c>
      <c r="O422">
        <v>469.3</v>
      </c>
      <c r="P422">
        <v>510.6</v>
      </c>
      <c r="Q422">
        <v>5.4257462480000003</v>
      </c>
      <c r="R422">
        <v>3290215930.757185</v>
      </c>
      <c r="S422">
        <v>0</v>
      </c>
      <c r="T422" t="s">
        <v>6242</v>
      </c>
    </row>
    <row r="423" spans="1:40" x14ac:dyDescent="0.25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296.64620000000002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0.85273301000000001</v>
      </c>
      <c r="O423">
        <v>365.9</v>
      </c>
      <c r="P423">
        <v>347.61</v>
      </c>
      <c r="Q423">
        <v>312.01500835899998</v>
      </c>
      <c r="R423">
        <v>121467442754.15871</v>
      </c>
      <c r="S423">
        <v>0</v>
      </c>
      <c r="T423" t="s">
        <v>6243</v>
      </c>
      <c r="AA423" t="s">
        <v>6249</v>
      </c>
    </row>
    <row r="424" spans="1:40" x14ac:dyDescent="0.25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18.363050000000001</v>
      </c>
      <c r="H424" t="s">
        <v>99</v>
      </c>
      <c r="I424">
        <v>8487221752.1100006</v>
      </c>
      <c r="J424" t="s">
        <v>4701</v>
      </c>
      <c r="K424">
        <v>42472893.257012703</v>
      </c>
      <c r="L424">
        <v>1</v>
      </c>
      <c r="M424" t="s">
        <v>5126</v>
      </c>
      <c r="N424">
        <v>5.7743899999999999E-3</v>
      </c>
      <c r="O424">
        <v>3109</v>
      </c>
      <c r="P424">
        <v>3160</v>
      </c>
      <c r="Q424">
        <v>17.952578509999999</v>
      </c>
      <c r="R424">
        <v>8297505852.0526018</v>
      </c>
      <c r="S424">
        <v>0</v>
      </c>
      <c r="T424" t="s">
        <v>6244</v>
      </c>
    </row>
    <row r="425" spans="1:40" x14ac:dyDescent="0.25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84.673159999999996</v>
      </c>
      <c r="H425" t="s">
        <v>97</v>
      </c>
      <c r="I425">
        <v>38695634120</v>
      </c>
      <c r="J425" t="s">
        <v>4700</v>
      </c>
      <c r="K425">
        <v>416759311.25724697</v>
      </c>
      <c r="L425">
        <v>1</v>
      </c>
      <c r="M425" t="s">
        <v>5127</v>
      </c>
      <c r="N425">
        <v>0.85273301000000001</v>
      </c>
      <c r="O425">
        <v>90.8</v>
      </c>
      <c r="P425">
        <v>99.22</v>
      </c>
      <c r="Q425">
        <v>77.428157307999996</v>
      </c>
      <c r="R425">
        <v>35384667889.755997</v>
      </c>
      <c r="S425">
        <v>0</v>
      </c>
      <c r="T425" t="s">
        <v>6243</v>
      </c>
    </row>
    <row r="426" spans="1:40" x14ac:dyDescent="0.25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4075754639.8439999</v>
      </c>
      <c r="J426" t="s">
        <v>4701</v>
      </c>
      <c r="K426">
        <v>11892820.611233599</v>
      </c>
      <c r="L426">
        <v>1</v>
      </c>
      <c r="M426" t="s">
        <v>5128</v>
      </c>
      <c r="N426">
        <v>0.50771730000000004</v>
      </c>
      <c r="O426">
        <v>29.39</v>
      </c>
      <c r="P426">
        <v>40.049999999999997</v>
      </c>
      <c r="Q426">
        <v>14.921811447</v>
      </c>
      <c r="R426">
        <v>3032686277.3348808</v>
      </c>
      <c r="S426">
        <v>0</v>
      </c>
      <c r="T426" t="s">
        <v>6244</v>
      </c>
      <c r="U426" t="s">
        <v>6245</v>
      </c>
      <c r="AJ426" t="s">
        <v>6258</v>
      </c>
    </row>
    <row r="427" spans="1:40" x14ac:dyDescent="0.25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278183544.19251502</v>
      </c>
      <c r="L427">
        <v>0.9</v>
      </c>
      <c r="M427" t="s">
        <v>5129</v>
      </c>
      <c r="N427">
        <v>0.85273301000000001</v>
      </c>
      <c r="O427">
        <v>272.62</v>
      </c>
      <c r="P427">
        <v>283.73</v>
      </c>
      <c r="Q427">
        <v>232.47207318619999</v>
      </c>
      <c r="R427">
        <v>59341381659.205803</v>
      </c>
      <c r="S427">
        <v>0</v>
      </c>
      <c r="T427" t="s">
        <v>6243</v>
      </c>
    </row>
    <row r="428" spans="1:40" x14ac:dyDescent="0.25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6412288140.7200003</v>
      </c>
      <c r="J428" t="s">
        <v>4702</v>
      </c>
      <c r="K428">
        <v>15265470.192500001</v>
      </c>
      <c r="L428">
        <v>1</v>
      </c>
      <c r="M428" t="s">
        <v>5130</v>
      </c>
      <c r="N428">
        <v>1</v>
      </c>
      <c r="O428">
        <v>20.87</v>
      </c>
      <c r="P428">
        <v>26.73</v>
      </c>
      <c r="Q428">
        <v>20.87</v>
      </c>
      <c r="R428">
        <v>5006526505.6800003</v>
      </c>
      <c r="S428">
        <v>1</v>
      </c>
      <c r="T428" t="s">
        <v>6242</v>
      </c>
    </row>
    <row r="429" spans="1:40" x14ac:dyDescent="0.25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47.448369999999997</v>
      </c>
      <c r="H429" t="s">
        <v>97</v>
      </c>
      <c r="I429">
        <v>18259746020.580002</v>
      </c>
      <c r="J429" t="s">
        <v>4700</v>
      </c>
      <c r="K429">
        <v>176487567.83393401</v>
      </c>
      <c r="L429">
        <v>1</v>
      </c>
      <c r="M429" t="s">
        <v>5131</v>
      </c>
      <c r="N429">
        <v>0.85273301000000001</v>
      </c>
      <c r="O429">
        <v>56.2</v>
      </c>
      <c r="P429">
        <v>55.6</v>
      </c>
      <c r="Q429">
        <v>47.923595162000012</v>
      </c>
      <c r="R429">
        <v>18442628820.573109</v>
      </c>
      <c r="S429">
        <v>0</v>
      </c>
      <c r="T429" t="s">
        <v>6243</v>
      </c>
      <c r="AJ429" t="s">
        <v>6258</v>
      </c>
    </row>
    <row r="430" spans="1:40" x14ac:dyDescent="0.25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3.8820000000000001</v>
      </c>
      <c r="H430" t="s">
        <v>98</v>
      </c>
      <c r="I430">
        <v>16242371944.368</v>
      </c>
      <c r="J430" t="s">
        <v>4702</v>
      </c>
      <c r="K430">
        <v>28575897.403613601</v>
      </c>
      <c r="L430">
        <v>0.70000000000000007</v>
      </c>
      <c r="M430" t="s">
        <v>5132</v>
      </c>
      <c r="N430">
        <v>1</v>
      </c>
      <c r="O430">
        <v>3.8450000000000002</v>
      </c>
      <c r="P430">
        <v>3.8820000000000001</v>
      </c>
      <c r="Q430">
        <v>3.8450000000000002</v>
      </c>
      <c r="R430">
        <v>11261294200.996</v>
      </c>
      <c r="S430">
        <v>0</v>
      </c>
      <c r="T430" t="s">
        <v>6242</v>
      </c>
      <c r="AH430" t="s">
        <v>6256</v>
      </c>
    </row>
    <row r="431" spans="1:40" x14ac:dyDescent="0.25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11246054341.200001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9.84</v>
      </c>
      <c r="P431">
        <v>10.7</v>
      </c>
      <c r="Q431">
        <v>9.84</v>
      </c>
      <c r="R431">
        <v>3102649758.4320011</v>
      </c>
      <c r="S431">
        <v>0</v>
      </c>
      <c r="T431" t="s">
        <v>6242</v>
      </c>
      <c r="AJ431" t="s">
        <v>6258</v>
      </c>
    </row>
    <row r="432" spans="1:40" x14ac:dyDescent="0.25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69.832740000000001</v>
      </c>
      <c r="H432" t="s">
        <v>97</v>
      </c>
      <c r="I432">
        <v>40998801654</v>
      </c>
      <c r="J432" t="s">
        <v>4700</v>
      </c>
      <c r="K432">
        <v>284733109.49641901</v>
      </c>
      <c r="L432">
        <v>1</v>
      </c>
      <c r="M432" t="s">
        <v>5134</v>
      </c>
      <c r="N432">
        <v>0.85273301000000001</v>
      </c>
      <c r="O432">
        <v>77.569999999999993</v>
      </c>
      <c r="P432">
        <v>81.83</v>
      </c>
      <c r="Q432">
        <v>66.146499585699999</v>
      </c>
      <c r="R432">
        <v>38834609906.764473</v>
      </c>
      <c r="S432">
        <v>0</v>
      </c>
      <c r="T432" t="s">
        <v>6243</v>
      </c>
    </row>
    <row r="433" spans="1:40" x14ac:dyDescent="0.25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21662071.667424198</v>
      </c>
      <c r="L433">
        <v>0.70000000000000007</v>
      </c>
      <c r="M433" t="s">
        <v>5135</v>
      </c>
      <c r="N433">
        <v>1</v>
      </c>
      <c r="O433">
        <v>111.85</v>
      </c>
      <c r="P433">
        <v>125.9</v>
      </c>
      <c r="Q433">
        <v>111.85</v>
      </c>
      <c r="R433">
        <v>7672910000.000001</v>
      </c>
      <c r="S433">
        <v>1</v>
      </c>
      <c r="T433" t="s">
        <v>6242</v>
      </c>
      <c r="AN433" t="s">
        <v>6262</v>
      </c>
    </row>
    <row r="434" spans="1:40" x14ac:dyDescent="0.25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7924885837.0038004</v>
      </c>
      <c r="J434" t="s">
        <v>4701</v>
      </c>
      <c r="K434">
        <v>32533770.750442501</v>
      </c>
      <c r="L434">
        <v>1</v>
      </c>
      <c r="M434" t="s">
        <v>5136</v>
      </c>
      <c r="N434">
        <v>5.7743899999999999E-3</v>
      </c>
      <c r="O434">
        <v>5247</v>
      </c>
      <c r="P434">
        <v>4676</v>
      </c>
      <c r="Q434">
        <v>30.29822433</v>
      </c>
      <c r="R434">
        <v>8836451069.3715763</v>
      </c>
      <c r="S434">
        <v>0</v>
      </c>
      <c r="T434" t="s">
        <v>6244</v>
      </c>
    </row>
    <row r="435" spans="1:40" x14ac:dyDescent="0.25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16.788250000000001</v>
      </c>
      <c r="H435" t="s">
        <v>99</v>
      </c>
      <c r="I435">
        <v>3073107629.5749998</v>
      </c>
      <c r="J435" t="s">
        <v>4701</v>
      </c>
      <c r="K435">
        <v>11469391.797669301</v>
      </c>
      <c r="L435">
        <v>1</v>
      </c>
      <c r="M435" t="s">
        <v>5137</v>
      </c>
      <c r="N435">
        <v>5.7743899999999999E-3</v>
      </c>
      <c r="O435">
        <v>2885</v>
      </c>
      <c r="P435">
        <v>2889</v>
      </c>
      <c r="Q435">
        <v>16.659115150000002</v>
      </c>
      <c r="R435">
        <v>3049469353.2341652</v>
      </c>
      <c r="S435">
        <v>0</v>
      </c>
      <c r="T435" t="s">
        <v>6244</v>
      </c>
      <c r="AG435" t="s">
        <v>6255</v>
      </c>
      <c r="AH435" t="s">
        <v>6256</v>
      </c>
      <c r="AI435" t="s">
        <v>6257</v>
      </c>
      <c r="AJ435" t="s">
        <v>6258</v>
      </c>
    </row>
    <row r="436" spans="1:40" x14ac:dyDescent="0.25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146.27070000000001</v>
      </c>
      <c r="H436" t="s">
        <v>97</v>
      </c>
      <c r="I436">
        <v>36597996916.110001</v>
      </c>
      <c r="J436" t="s">
        <v>4700</v>
      </c>
      <c r="K436">
        <v>397322695.43803197</v>
      </c>
      <c r="L436">
        <v>0.9</v>
      </c>
      <c r="M436" t="s">
        <v>5138</v>
      </c>
      <c r="N436">
        <v>0.85273301000000001</v>
      </c>
      <c r="O436">
        <v>172.38</v>
      </c>
      <c r="P436">
        <v>171.4</v>
      </c>
      <c r="Q436">
        <v>146.99411626380001</v>
      </c>
      <c r="R436">
        <v>33101100851.626339</v>
      </c>
      <c r="S436">
        <v>0</v>
      </c>
      <c r="T436" t="s">
        <v>6243</v>
      </c>
    </row>
    <row r="437" spans="1:40" x14ac:dyDescent="0.25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675062696.08353901</v>
      </c>
      <c r="L437">
        <v>1</v>
      </c>
      <c r="M437" t="s">
        <v>5139</v>
      </c>
      <c r="N437">
        <v>0.85273301000000001</v>
      </c>
      <c r="O437">
        <v>311.76</v>
      </c>
      <c r="P437">
        <v>316.55</v>
      </c>
      <c r="Q437">
        <v>265.84804319760002</v>
      </c>
      <c r="R437">
        <v>59863210425.562134</v>
      </c>
      <c r="S437">
        <v>0</v>
      </c>
      <c r="T437" t="s">
        <v>6243</v>
      </c>
    </row>
    <row r="438" spans="1:40" x14ac:dyDescent="0.25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607.33910000000003</v>
      </c>
      <c r="H438" t="s">
        <v>97</v>
      </c>
      <c r="I438">
        <v>574820221100.88</v>
      </c>
      <c r="J438" t="s">
        <v>4700</v>
      </c>
      <c r="K438">
        <v>2747403680.6307402</v>
      </c>
      <c r="L438">
        <v>0.85</v>
      </c>
      <c r="M438" t="s">
        <v>5140</v>
      </c>
      <c r="N438">
        <v>0.85273301000000001</v>
      </c>
      <c r="O438">
        <v>755.39</v>
      </c>
      <c r="P438">
        <v>711.68</v>
      </c>
      <c r="Q438">
        <v>644.14598842390001</v>
      </c>
      <c r="R438">
        <v>518207898296.04327</v>
      </c>
      <c r="S438">
        <v>0</v>
      </c>
      <c r="T438" t="s">
        <v>6243</v>
      </c>
      <c r="AJ438" t="s">
        <v>6258</v>
      </c>
    </row>
    <row r="439" spans="1:40" x14ac:dyDescent="0.25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95.25</v>
      </c>
      <c r="P439">
        <v>99.45</v>
      </c>
      <c r="Q439">
        <v>95.25</v>
      </c>
      <c r="R439">
        <v>4675124617.5375004</v>
      </c>
      <c r="S439">
        <v>0</v>
      </c>
      <c r="T439" t="s">
        <v>6242</v>
      </c>
    </row>
    <row r="440" spans="1:40" x14ac:dyDescent="0.25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6039676636.3999996</v>
      </c>
      <c r="J440" t="s">
        <v>4702</v>
      </c>
      <c r="K440">
        <v>6929035.8062121198</v>
      </c>
      <c r="L440">
        <v>0.75</v>
      </c>
      <c r="M440" t="s">
        <v>5142</v>
      </c>
      <c r="N440">
        <v>1</v>
      </c>
      <c r="O440">
        <v>24.06</v>
      </c>
      <c r="P440">
        <v>25.52</v>
      </c>
      <c r="Q440">
        <v>24.06</v>
      </c>
      <c r="R440">
        <v>4270609910.0250001</v>
      </c>
      <c r="S440">
        <v>1</v>
      </c>
      <c r="T440" t="s">
        <v>6242</v>
      </c>
      <c r="W440" t="s">
        <v>6247</v>
      </c>
    </row>
    <row r="441" spans="1:40" x14ac:dyDescent="0.25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10730616.211874999</v>
      </c>
      <c r="L441">
        <v>0.9</v>
      </c>
      <c r="M441" t="s">
        <v>5143</v>
      </c>
      <c r="N441">
        <v>1</v>
      </c>
      <c r="O441">
        <v>46.8</v>
      </c>
      <c r="P441">
        <v>45.9</v>
      </c>
      <c r="Q441">
        <v>46.8</v>
      </c>
      <c r="R441">
        <v>7048153148.4000006</v>
      </c>
      <c r="S441">
        <v>0</v>
      </c>
      <c r="T441" t="s">
        <v>6242</v>
      </c>
    </row>
    <row r="442" spans="1:40" x14ac:dyDescent="0.25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520.77149999999995</v>
      </c>
      <c r="H442" t="s">
        <v>97</v>
      </c>
      <c r="I442">
        <v>23311945618.875</v>
      </c>
      <c r="J442" t="s">
        <v>4700</v>
      </c>
      <c r="K442">
        <v>186152316.48532099</v>
      </c>
      <c r="L442">
        <v>1</v>
      </c>
      <c r="M442" t="s">
        <v>5144</v>
      </c>
      <c r="N442">
        <v>0.85273301000000001</v>
      </c>
      <c r="O442">
        <v>629.08000000000004</v>
      </c>
      <c r="P442">
        <v>610.24</v>
      </c>
      <c r="Q442">
        <v>536.43728193080005</v>
      </c>
      <c r="R442">
        <v>24013212597.670811</v>
      </c>
      <c r="S442">
        <v>0</v>
      </c>
      <c r="T442" t="s">
        <v>6243</v>
      </c>
      <c r="AJ442" t="s">
        <v>6258</v>
      </c>
    </row>
    <row r="443" spans="1:40" x14ac:dyDescent="0.25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114.15770000000001</v>
      </c>
      <c r="H443" t="s">
        <v>97</v>
      </c>
      <c r="I443">
        <v>64247953560</v>
      </c>
      <c r="J443" t="s">
        <v>4700</v>
      </c>
      <c r="K443">
        <v>369179408.91558599</v>
      </c>
      <c r="L443">
        <v>1</v>
      </c>
      <c r="M443" t="s">
        <v>5145</v>
      </c>
      <c r="N443">
        <v>0.85273301000000001</v>
      </c>
      <c r="O443">
        <v>135.1</v>
      </c>
      <c r="P443">
        <v>133.77000000000001</v>
      </c>
      <c r="Q443">
        <v>115.20422965100001</v>
      </c>
      <c r="R443">
        <v>64836940447.582787</v>
      </c>
      <c r="S443">
        <v>0</v>
      </c>
      <c r="T443" t="s">
        <v>6243</v>
      </c>
      <c r="AA443" t="s">
        <v>6249</v>
      </c>
    </row>
    <row r="444" spans="1:40" x14ac:dyDescent="0.25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664.35550000000001</v>
      </c>
      <c r="H444" t="s">
        <v>4694</v>
      </c>
      <c r="I444">
        <v>15538630055.8095</v>
      </c>
      <c r="J444" t="s">
        <v>4699</v>
      </c>
      <c r="K444">
        <v>8409358.5470530204</v>
      </c>
      <c r="L444">
        <v>0.3</v>
      </c>
      <c r="M444" t="s">
        <v>5146</v>
      </c>
      <c r="N444">
        <v>1.07032003</v>
      </c>
      <c r="O444">
        <v>601.5</v>
      </c>
      <c r="P444">
        <v>624</v>
      </c>
      <c r="Q444">
        <v>643.797498045</v>
      </c>
      <c r="R444">
        <v>4517339505.5705843</v>
      </c>
      <c r="S444">
        <v>0</v>
      </c>
      <c r="T444" t="s">
        <v>6242</v>
      </c>
      <c r="U444" t="s">
        <v>6245</v>
      </c>
      <c r="W444" t="s">
        <v>6247</v>
      </c>
      <c r="AJ444" t="s">
        <v>6258</v>
      </c>
      <c r="AN444" t="s">
        <v>6262</v>
      </c>
    </row>
    <row r="445" spans="1:40" x14ac:dyDescent="0.25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13.515000000000001</v>
      </c>
      <c r="H445" t="s">
        <v>98</v>
      </c>
      <c r="I445">
        <v>3540795931.1999998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13.315</v>
      </c>
      <c r="P445">
        <v>13.515000000000001</v>
      </c>
      <c r="Q445">
        <v>13.315</v>
      </c>
      <c r="R445">
        <v>3139558123.6799998</v>
      </c>
      <c r="S445">
        <v>0</v>
      </c>
      <c r="T445" t="s">
        <v>6242</v>
      </c>
      <c r="AH445" t="s">
        <v>6256</v>
      </c>
      <c r="AJ445" t="s">
        <v>6258</v>
      </c>
    </row>
    <row r="446" spans="1:40" x14ac:dyDescent="0.25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40.915990000000001</v>
      </c>
      <c r="H446" t="s">
        <v>100</v>
      </c>
      <c r="I446">
        <v>89217929934.850006</v>
      </c>
      <c r="J446" t="s">
        <v>4700</v>
      </c>
      <c r="K446">
        <v>306005506.75406301</v>
      </c>
      <c r="L446">
        <v>1</v>
      </c>
      <c r="M446" t="s">
        <v>5148</v>
      </c>
      <c r="N446">
        <v>0.61572563000000002</v>
      </c>
      <c r="O446">
        <v>67.98</v>
      </c>
      <c r="P446">
        <v>66.33</v>
      </c>
      <c r="Q446">
        <v>41.857028327400002</v>
      </c>
      <c r="R446">
        <v>91269878123.320618</v>
      </c>
      <c r="S446">
        <v>0</v>
      </c>
      <c r="T446" t="s">
        <v>6243</v>
      </c>
      <c r="AH446" t="s">
        <v>6256</v>
      </c>
      <c r="AJ446" t="s">
        <v>6258</v>
      </c>
    </row>
    <row r="447" spans="1:40" x14ac:dyDescent="0.25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2.3272400000000002</v>
      </c>
      <c r="H447" t="s">
        <v>4691</v>
      </c>
      <c r="I447">
        <v>4168040295.1999998</v>
      </c>
      <c r="J447" t="s">
        <v>4701</v>
      </c>
      <c r="K447">
        <v>8578205.6364351604</v>
      </c>
      <c r="L447">
        <v>0.85</v>
      </c>
      <c r="M447" t="s">
        <v>5149</v>
      </c>
      <c r="N447">
        <v>0.56652409000000004</v>
      </c>
      <c r="O447">
        <v>3.64</v>
      </c>
      <c r="P447">
        <v>4.2</v>
      </c>
      <c r="Q447">
        <v>2.0621476876</v>
      </c>
      <c r="R447">
        <v>3139275475.70717</v>
      </c>
      <c r="S447">
        <v>0</v>
      </c>
      <c r="T447" t="s">
        <v>6244</v>
      </c>
      <c r="U447" t="s">
        <v>6245</v>
      </c>
      <c r="W447" t="s">
        <v>6247</v>
      </c>
      <c r="AJ447" t="s">
        <v>6258</v>
      </c>
    </row>
    <row r="448" spans="1:40" x14ac:dyDescent="0.25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26.58</v>
      </c>
      <c r="P448">
        <v>26.73</v>
      </c>
      <c r="Q448">
        <v>26.58</v>
      </c>
      <c r="R448">
        <v>8442489245.3999996</v>
      </c>
      <c r="S448">
        <v>0</v>
      </c>
      <c r="T448" t="s">
        <v>6242</v>
      </c>
      <c r="AH448" t="s">
        <v>6256</v>
      </c>
    </row>
    <row r="449" spans="1:40" x14ac:dyDescent="0.25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8.1120000000000001</v>
      </c>
      <c r="H449" t="s">
        <v>98</v>
      </c>
      <c r="I449">
        <v>82472107721.951996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7.859</v>
      </c>
      <c r="P449">
        <v>8.1120000000000001</v>
      </c>
      <c r="Q449">
        <v>7.859</v>
      </c>
      <c r="R449">
        <v>59924953271.710487</v>
      </c>
      <c r="S449">
        <v>0</v>
      </c>
      <c r="T449" t="s">
        <v>6242</v>
      </c>
      <c r="AG449" t="s">
        <v>6255</v>
      </c>
      <c r="AH449" t="s">
        <v>6256</v>
      </c>
    </row>
    <row r="450" spans="1:40" x14ac:dyDescent="0.25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5.0870300000000004</v>
      </c>
      <c r="H450" t="s">
        <v>99</v>
      </c>
      <c r="I450">
        <v>13769402897.198</v>
      </c>
      <c r="J450" t="s">
        <v>4701</v>
      </c>
      <c r="K450">
        <v>54937088.857390299</v>
      </c>
      <c r="L450">
        <v>0.9</v>
      </c>
      <c r="M450" t="s">
        <v>5152</v>
      </c>
      <c r="N450">
        <v>5.7743899999999999E-3</v>
      </c>
      <c r="O450">
        <v>904.1</v>
      </c>
      <c r="P450">
        <v>875.4</v>
      </c>
      <c r="Q450">
        <v>5.2206259990000001</v>
      </c>
      <c r="R450">
        <v>12717914476.666349</v>
      </c>
      <c r="S450">
        <v>0</v>
      </c>
      <c r="T450" t="s">
        <v>6244</v>
      </c>
      <c r="AH450" t="s">
        <v>6256</v>
      </c>
      <c r="AJ450" t="s">
        <v>6258</v>
      </c>
    </row>
    <row r="451" spans="1:40" x14ac:dyDescent="0.25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14.942819999999999</v>
      </c>
      <c r="H451" t="s">
        <v>97</v>
      </c>
      <c r="I451">
        <v>51293943266.112</v>
      </c>
      <c r="J451" t="s">
        <v>4700</v>
      </c>
      <c r="K451">
        <v>202897879.06916401</v>
      </c>
      <c r="L451">
        <v>0.95</v>
      </c>
      <c r="M451" t="s">
        <v>5153</v>
      </c>
      <c r="N451">
        <v>0.85273301000000001</v>
      </c>
      <c r="O451">
        <v>17.45</v>
      </c>
      <c r="P451">
        <v>17.510000000000002</v>
      </c>
      <c r="Q451">
        <v>14.8801910245</v>
      </c>
      <c r="R451">
        <v>48525010037.571983</v>
      </c>
      <c r="S451">
        <v>0</v>
      </c>
      <c r="T451" t="s">
        <v>6243</v>
      </c>
      <c r="AH451" t="s">
        <v>6256</v>
      </c>
      <c r="AJ451" t="s">
        <v>6258</v>
      </c>
      <c r="AN451" t="s">
        <v>6262</v>
      </c>
    </row>
    <row r="452" spans="1:40" x14ac:dyDescent="0.25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45710299656.470001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18.2</v>
      </c>
      <c r="P452">
        <v>18.77</v>
      </c>
      <c r="Q452">
        <v>18.2</v>
      </c>
      <c r="R452">
        <v>33241640400.150002</v>
      </c>
      <c r="S452">
        <v>1</v>
      </c>
      <c r="T452" t="s">
        <v>6242</v>
      </c>
      <c r="AH452" t="s">
        <v>6256</v>
      </c>
      <c r="AN452" t="s">
        <v>6262</v>
      </c>
    </row>
    <row r="453" spans="1:40" x14ac:dyDescent="0.25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47918939155.991997</v>
      </c>
      <c r="J453" t="s">
        <v>4702</v>
      </c>
      <c r="K453">
        <v>149519770.08009201</v>
      </c>
      <c r="L453">
        <v>0.70000000000000007</v>
      </c>
      <c r="M453" t="s">
        <v>5155</v>
      </c>
      <c r="N453">
        <v>1</v>
      </c>
      <c r="O453">
        <v>14.882</v>
      </c>
      <c r="P453">
        <v>15.228</v>
      </c>
      <c r="Q453">
        <v>14.882</v>
      </c>
      <c r="R453">
        <v>32781110898.583599</v>
      </c>
      <c r="S453">
        <v>0</v>
      </c>
      <c r="T453" t="s">
        <v>6242</v>
      </c>
      <c r="AH453" t="s">
        <v>6256</v>
      </c>
      <c r="AJ453" t="s">
        <v>6258</v>
      </c>
    </row>
    <row r="454" spans="1:40" x14ac:dyDescent="0.25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10.179729999999999</v>
      </c>
      <c r="H454" t="s">
        <v>96</v>
      </c>
      <c r="I454">
        <v>6510384734.1334991</v>
      </c>
      <c r="J454" t="s">
        <v>4699</v>
      </c>
      <c r="K454">
        <v>11116182.309583699</v>
      </c>
      <c r="L454">
        <v>0.95</v>
      </c>
      <c r="M454" t="s">
        <v>5156</v>
      </c>
      <c r="N454">
        <v>1.156136E-2</v>
      </c>
      <c r="O454">
        <v>853.8</v>
      </c>
      <c r="P454">
        <v>882</v>
      </c>
      <c r="Q454">
        <v>9.8710891679999992</v>
      </c>
      <c r="R454">
        <v>5997345589.4396868</v>
      </c>
      <c r="S454">
        <v>0</v>
      </c>
      <c r="T454" t="s">
        <v>6242</v>
      </c>
    </row>
    <row r="455" spans="1:40" x14ac:dyDescent="0.25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76.233149999999995</v>
      </c>
      <c r="H455" t="s">
        <v>97</v>
      </c>
      <c r="I455">
        <v>34031168832.339001</v>
      </c>
      <c r="J455" t="s">
        <v>4700</v>
      </c>
      <c r="K455">
        <v>194112768.66222101</v>
      </c>
      <c r="L455">
        <v>1</v>
      </c>
      <c r="M455" t="s">
        <v>5157</v>
      </c>
      <c r="N455">
        <v>0.85273301000000001</v>
      </c>
      <c r="O455">
        <v>90.29</v>
      </c>
      <c r="P455">
        <v>89.33</v>
      </c>
      <c r="Q455">
        <v>76.993263472900011</v>
      </c>
      <c r="R455">
        <v>34370490373.26963</v>
      </c>
      <c r="S455">
        <v>0</v>
      </c>
      <c r="T455" t="s">
        <v>6243</v>
      </c>
      <c r="AG455" t="s">
        <v>6255</v>
      </c>
      <c r="AH455" t="s">
        <v>6256</v>
      </c>
      <c r="AI455" t="s">
        <v>6257</v>
      </c>
      <c r="AJ455" t="s">
        <v>6258</v>
      </c>
    </row>
    <row r="456" spans="1:40" x14ac:dyDescent="0.25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58944708634.608002</v>
      </c>
      <c r="J456" t="s">
        <v>4700</v>
      </c>
      <c r="K456">
        <v>109126922.62668601</v>
      </c>
      <c r="L456">
        <v>0.7</v>
      </c>
      <c r="M456" t="s">
        <v>5158</v>
      </c>
      <c r="N456">
        <v>0.85273301000000001</v>
      </c>
      <c r="O456">
        <v>31.78</v>
      </c>
      <c r="P456">
        <v>31.9</v>
      </c>
      <c r="Q456">
        <v>27.099855057799999</v>
      </c>
      <c r="R456">
        <v>41074527286.974533</v>
      </c>
      <c r="S456">
        <v>0</v>
      </c>
      <c r="T456" t="s">
        <v>6243</v>
      </c>
      <c r="AH456" t="s">
        <v>6256</v>
      </c>
      <c r="AJ456" t="s">
        <v>6258</v>
      </c>
    </row>
    <row r="457" spans="1:40" x14ac:dyDescent="0.25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103.35380000000001</v>
      </c>
      <c r="H457" t="s">
        <v>97</v>
      </c>
      <c r="I457">
        <v>56430492664.920013</v>
      </c>
      <c r="J457" t="s">
        <v>4700</v>
      </c>
      <c r="K457">
        <v>349103498.46975601</v>
      </c>
      <c r="L457">
        <v>1</v>
      </c>
      <c r="M457" t="s">
        <v>5159</v>
      </c>
      <c r="N457">
        <v>0.85273301000000001</v>
      </c>
      <c r="O457">
        <v>118.16</v>
      </c>
      <c r="P457">
        <v>121.11</v>
      </c>
      <c r="Q457">
        <v>100.7589324616</v>
      </c>
      <c r="R457">
        <v>55013712115.079353</v>
      </c>
      <c r="S457">
        <v>0</v>
      </c>
      <c r="T457" t="s">
        <v>6243</v>
      </c>
      <c r="AH457" t="s">
        <v>6256</v>
      </c>
      <c r="AJ457" t="s">
        <v>6258</v>
      </c>
    </row>
    <row r="458" spans="1:40" x14ac:dyDescent="0.25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17.979479999999999</v>
      </c>
      <c r="H458" t="s">
        <v>4693</v>
      </c>
      <c r="I458">
        <v>14810880725.784</v>
      </c>
      <c r="J458" t="s">
        <v>4699</v>
      </c>
      <c r="K458">
        <v>17795245.964350801</v>
      </c>
      <c r="L458">
        <v>0.75</v>
      </c>
      <c r="M458" t="s">
        <v>5160</v>
      </c>
      <c r="N458">
        <v>9.1395149999999994E-2</v>
      </c>
      <c r="O458">
        <v>204</v>
      </c>
      <c r="P458">
        <v>200.3</v>
      </c>
      <c r="Q458">
        <v>18.6446106</v>
      </c>
      <c r="R458">
        <v>11519094424.948111</v>
      </c>
      <c r="S458">
        <v>0</v>
      </c>
      <c r="T458" t="s">
        <v>6242</v>
      </c>
      <c r="U458" t="s">
        <v>6245</v>
      </c>
      <c r="AG458" t="s">
        <v>6255</v>
      </c>
    </row>
    <row r="459" spans="1:40" x14ac:dyDescent="0.25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31.174600000000002</v>
      </c>
      <c r="H459" t="s">
        <v>4693</v>
      </c>
      <c r="I459">
        <v>38476514329.440002</v>
      </c>
      <c r="J459" t="s">
        <v>4699</v>
      </c>
      <c r="K459">
        <v>31118252.276414201</v>
      </c>
      <c r="L459">
        <v>0.6</v>
      </c>
      <c r="M459" t="s">
        <v>5161</v>
      </c>
      <c r="N459">
        <v>9.1395149999999994E-2</v>
      </c>
      <c r="O459">
        <v>333.7</v>
      </c>
      <c r="P459">
        <v>347.3</v>
      </c>
      <c r="Q459">
        <v>30.498561554999998</v>
      </c>
      <c r="R459">
        <v>22585277899.92363</v>
      </c>
      <c r="S459">
        <v>0</v>
      </c>
      <c r="T459" t="s">
        <v>6242</v>
      </c>
      <c r="U459" t="s">
        <v>6245</v>
      </c>
    </row>
    <row r="460" spans="1:40" x14ac:dyDescent="0.25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44.350569999999998</v>
      </c>
      <c r="H460" t="s">
        <v>97</v>
      </c>
      <c r="I460">
        <v>27677554200.966999</v>
      </c>
      <c r="J460" t="s">
        <v>4700</v>
      </c>
      <c r="K460">
        <v>376942903.50164002</v>
      </c>
      <c r="L460">
        <v>1</v>
      </c>
      <c r="M460" t="s">
        <v>5162</v>
      </c>
      <c r="N460">
        <v>0.85273301000000001</v>
      </c>
      <c r="O460">
        <v>50.94</v>
      </c>
      <c r="P460">
        <v>51.97</v>
      </c>
      <c r="Q460">
        <v>43.438219529400001</v>
      </c>
      <c r="R460">
        <v>27108189937.99791</v>
      </c>
      <c r="S460">
        <v>0</v>
      </c>
      <c r="T460" t="s">
        <v>6243</v>
      </c>
      <c r="AH460" t="s">
        <v>6256</v>
      </c>
      <c r="AJ460" t="s">
        <v>6258</v>
      </c>
    </row>
    <row r="461" spans="1:40" x14ac:dyDescent="0.25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26940030671.582001</v>
      </c>
      <c r="J461" t="s">
        <v>4700</v>
      </c>
      <c r="K461">
        <v>218247508.58441901</v>
      </c>
      <c r="L461">
        <v>1</v>
      </c>
      <c r="M461" t="s">
        <v>5163</v>
      </c>
      <c r="N461">
        <v>0.85273301000000001</v>
      </c>
      <c r="O461">
        <v>256.25</v>
      </c>
      <c r="P461">
        <v>255</v>
      </c>
      <c r="Q461">
        <v>218.51283381249999</v>
      </c>
      <c r="R461">
        <v>27051316322.362911</v>
      </c>
      <c r="S461">
        <v>0</v>
      </c>
      <c r="T461" t="s">
        <v>6243</v>
      </c>
      <c r="AN461" t="s">
        <v>6262</v>
      </c>
    </row>
    <row r="462" spans="1:40" x14ac:dyDescent="0.25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671.16399999999999</v>
      </c>
      <c r="H462" t="s">
        <v>97</v>
      </c>
      <c r="I462">
        <v>65682780272.720001</v>
      </c>
      <c r="J462" t="s">
        <v>4700</v>
      </c>
      <c r="K462">
        <v>436109513.719181</v>
      </c>
      <c r="L462">
        <v>1</v>
      </c>
      <c r="M462" t="s">
        <v>5164</v>
      </c>
      <c r="N462">
        <v>0.85273301000000001</v>
      </c>
      <c r="O462">
        <v>788.61</v>
      </c>
      <c r="P462">
        <v>786.47</v>
      </c>
      <c r="Q462">
        <v>672.47377901610002</v>
      </c>
      <c r="R462">
        <v>65810960460.156029</v>
      </c>
      <c r="S462">
        <v>0</v>
      </c>
      <c r="T462" t="s">
        <v>6243</v>
      </c>
    </row>
    <row r="463" spans="1:40" x14ac:dyDescent="0.25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21.494340000000001</v>
      </c>
      <c r="H463" t="s">
        <v>4695</v>
      </c>
      <c r="I463">
        <v>54956889977.482094</v>
      </c>
      <c r="J463" t="s">
        <v>4699</v>
      </c>
      <c r="K463">
        <v>60811636.082081199</v>
      </c>
      <c r="L463">
        <v>0.35</v>
      </c>
      <c r="M463" t="s">
        <v>5165</v>
      </c>
      <c r="N463">
        <v>8.6344599999999994E-2</v>
      </c>
      <c r="O463">
        <v>241.5</v>
      </c>
      <c r="P463">
        <v>253.3</v>
      </c>
      <c r="Q463">
        <v>20.852220899999999</v>
      </c>
      <c r="R463">
        <v>18660290263.651192</v>
      </c>
      <c r="S463">
        <v>0</v>
      </c>
      <c r="T463" t="s">
        <v>6242</v>
      </c>
      <c r="U463" t="s">
        <v>6245</v>
      </c>
      <c r="AH463" t="s">
        <v>6256</v>
      </c>
      <c r="AJ463" t="s">
        <v>6258</v>
      </c>
      <c r="AN463" t="s">
        <v>6262</v>
      </c>
    </row>
    <row r="464" spans="1:40" x14ac:dyDescent="0.25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55.692100000000003</v>
      </c>
      <c r="H464" t="s">
        <v>97</v>
      </c>
      <c r="I464">
        <v>21268705504.247002</v>
      </c>
      <c r="J464" t="s">
        <v>4700</v>
      </c>
      <c r="K464">
        <v>117760447.85456499</v>
      </c>
      <c r="L464">
        <v>0.9</v>
      </c>
      <c r="M464" t="s">
        <v>5166</v>
      </c>
      <c r="N464">
        <v>0.85273301000000001</v>
      </c>
      <c r="O464">
        <v>66.44</v>
      </c>
      <c r="P464">
        <v>65.260000000000005</v>
      </c>
      <c r="Q464">
        <v>56.655581184399999</v>
      </c>
      <c r="R464">
        <v>19472991398.145611</v>
      </c>
      <c r="S464">
        <v>0</v>
      </c>
      <c r="T464" t="s">
        <v>6243</v>
      </c>
    </row>
    <row r="465" spans="1:40" x14ac:dyDescent="0.25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6.7824739999999997</v>
      </c>
      <c r="H465" t="s">
        <v>4693</v>
      </c>
      <c r="I465">
        <v>21090751985.761799</v>
      </c>
      <c r="J465" t="s">
        <v>4699</v>
      </c>
      <c r="K465">
        <v>39494303.021435603</v>
      </c>
      <c r="L465">
        <v>0.95</v>
      </c>
      <c r="M465" t="s">
        <v>5167</v>
      </c>
      <c r="N465">
        <v>9.1395149999999994E-2</v>
      </c>
      <c r="O465">
        <v>74.28</v>
      </c>
      <c r="P465">
        <v>75.56</v>
      </c>
      <c r="Q465">
        <v>6.7888317419999993</v>
      </c>
      <c r="R465">
        <v>20054995893.29937</v>
      </c>
      <c r="S465">
        <v>0</v>
      </c>
      <c r="T465" t="s">
        <v>6242</v>
      </c>
      <c r="U465" t="s">
        <v>6245</v>
      </c>
    </row>
    <row r="466" spans="1:40" x14ac:dyDescent="0.25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29648187.702651501</v>
      </c>
      <c r="L466">
        <v>0.8</v>
      </c>
      <c r="M466" t="s">
        <v>5168</v>
      </c>
      <c r="N466">
        <v>1</v>
      </c>
      <c r="O466">
        <v>82.8</v>
      </c>
      <c r="P466">
        <v>84</v>
      </c>
      <c r="Q466">
        <v>82.8</v>
      </c>
      <c r="R466">
        <v>27192471868.799999</v>
      </c>
      <c r="S466">
        <v>0</v>
      </c>
      <c r="T466" t="s">
        <v>6242</v>
      </c>
      <c r="AJ466" t="s">
        <v>6258</v>
      </c>
    </row>
    <row r="467" spans="1:40" x14ac:dyDescent="0.25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127506510.55984899</v>
      </c>
      <c r="L467">
        <v>0.70000000000000007</v>
      </c>
      <c r="M467" t="s">
        <v>5169</v>
      </c>
      <c r="N467">
        <v>1</v>
      </c>
      <c r="O467">
        <v>264.7</v>
      </c>
      <c r="P467">
        <v>272</v>
      </c>
      <c r="Q467">
        <v>264.7</v>
      </c>
      <c r="R467">
        <v>85816235068.410004</v>
      </c>
      <c r="S467">
        <v>1</v>
      </c>
      <c r="T467" t="s">
        <v>6242</v>
      </c>
      <c r="AN467" t="s">
        <v>6262</v>
      </c>
    </row>
    <row r="468" spans="1:40" x14ac:dyDescent="0.25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22.916429999999998</v>
      </c>
      <c r="H468" t="s">
        <v>4693</v>
      </c>
      <c r="I468">
        <v>14530868267.544001</v>
      </c>
      <c r="J468" t="s">
        <v>4699</v>
      </c>
      <c r="K468">
        <v>30593186.0736016</v>
      </c>
      <c r="L468">
        <v>0.9</v>
      </c>
      <c r="M468" t="s">
        <v>5170</v>
      </c>
      <c r="N468">
        <v>9.1395149999999994E-2</v>
      </c>
      <c r="O468">
        <v>252.8</v>
      </c>
      <c r="P468">
        <v>255.3</v>
      </c>
      <c r="Q468">
        <v>23.104693919999999</v>
      </c>
      <c r="R468">
        <v>13185218524.093861</v>
      </c>
      <c r="S468">
        <v>0</v>
      </c>
      <c r="T468" t="s">
        <v>6242</v>
      </c>
      <c r="U468" t="s">
        <v>6245</v>
      </c>
      <c r="AN468" t="s">
        <v>6262</v>
      </c>
    </row>
    <row r="469" spans="1:40" x14ac:dyDescent="0.25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77.854579999999999</v>
      </c>
      <c r="H469" t="s">
        <v>97</v>
      </c>
      <c r="I469">
        <v>18245019179.637798</v>
      </c>
      <c r="J469" t="s">
        <v>4700</v>
      </c>
      <c r="K469">
        <v>303419109.15525502</v>
      </c>
      <c r="L469">
        <v>1</v>
      </c>
      <c r="M469" t="s">
        <v>5171</v>
      </c>
      <c r="N469">
        <v>0.85273301000000001</v>
      </c>
      <c r="O469">
        <v>83.65</v>
      </c>
      <c r="P469">
        <v>91.23</v>
      </c>
      <c r="Q469">
        <v>71.331116286500006</v>
      </c>
      <c r="R469">
        <v>16716262354.150089</v>
      </c>
      <c r="S469">
        <v>0</v>
      </c>
      <c r="T469" t="s">
        <v>6243</v>
      </c>
    </row>
    <row r="470" spans="1:40" x14ac:dyDescent="0.25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8261925.3924242398</v>
      </c>
      <c r="L470">
        <v>0.70000000000000007</v>
      </c>
      <c r="M470" t="s">
        <v>5172</v>
      </c>
      <c r="N470">
        <v>1</v>
      </c>
      <c r="O470">
        <v>54.45</v>
      </c>
      <c r="P470">
        <v>57.35</v>
      </c>
      <c r="Q470">
        <v>54.45</v>
      </c>
      <c r="R470">
        <v>2785663742.4000001</v>
      </c>
      <c r="S470">
        <v>1</v>
      </c>
      <c r="T470" t="s">
        <v>6242</v>
      </c>
      <c r="W470" t="s">
        <v>6247</v>
      </c>
    </row>
    <row r="471" spans="1:40" x14ac:dyDescent="0.25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19301075.152121201</v>
      </c>
      <c r="L471">
        <v>0.65</v>
      </c>
      <c r="M471" t="s">
        <v>5173</v>
      </c>
      <c r="N471">
        <v>1</v>
      </c>
      <c r="O471">
        <v>63.82</v>
      </c>
      <c r="P471">
        <v>68.36</v>
      </c>
      <c r="Q471">
        <v>63.82</v>
      </c>
      <c r="R471">
        <v>7556667729</v>
      </c>
      <c r="S471">
        <v>1</v>
      </c>
      <c r="T471" t="s">
        <v>6242</v>
      </c>
    </row>
    <row r="472" spans="1:40" x14ac:dyDescent="0.25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27660804.966666698</v>
      </c>
      <c r="L472">
        <v>0.75</v>
      </c>
      <c r="M472" t="s">
        <v>5174</v>
      </c>
      <c r="N472">
        <v>1</v>
      </c>
      <c r="O472">
        <v>138.4</v>
      </c>
      <c r="P472">
        <v>143</v>
      </c>
      <c r="Q472">
        <v>138.4</v>
      </c>
      <c r="R472">
        <v>10540114406.4</v>
      </c>
      <c r="S472">
        <v>1</v>
      </c>
      <c r="T472" t="s">
        <v>6242</v>
      </c>
    </row>
    <row r="473" spans="1:40" x14ac:dyDescent="0.25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0.85273301000000001</v>
      </c>
      <c r="O473">
        <v>65.7</v>
      </c>
      <c r="P473">
        <v>66.53</v>
      </c>
      <c r="Q473">
        <v>56.024558757000001</v>
      </c>
      <c r="R473">
        <v>20791563647.279049</v>
      </c>
      <c r="S473">
        <v>0</v>
      </c>
      <c r="T473" t="s">
        <v>6243</v>
      </c>
      <c r="AH473" t="s">
        <v>6256</v>
      </c>
      <c r="AJ473" t="s">
        <v>6258</v>
      </c>
    </row>
    <row r="474" spans="1:40" x14ac:dyDescent="0.25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77.195970000000003</v>
      </c>
      <c r="H474" t="s">
        <v>4693</v>
      </c>
      <c r="I474">
        <v>15783654769.495199</v>
      </c>
      <c r="J474" t="s">
        <v>4699</v>
      </c>
      <c r="K474">
        <v>45651315.909531303</v>
      </c>
      <c r="L474">
        <v>0.7</v>
      </c>
      <c r="M474" t="s">
        <v>5176</v>
      </c>
      <c r="N474">
        <v>9.1395149999999994E-2</v>
      </c>
      <c r="O474">
        <v>792</v>
      </c>
      <c r="P474">
        <v>860</v>
      </c>
      <c r="Q474">
        <v>72.384958799999993</v>
      </c>
      <c r="R474">
        <v>10359989519.431299</v>
      </c>
      <c r="S474">
        <v>0</v>
      </c>
      <c r="T474" t="s">
        <v>6242</v>
      </c>
      <c r="U474" t="s">
        <v>6245</v>
      </c>
      <c r="AN474" t="s">
        <v>6262</v>
      </c>
    </row>
    <row r="475" spans="1:40" x14ac:dyDescent="0.25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4.4937899999999997</v>
      </c>
      <c r="H475" t="s">
        <v>4691</v>
      </c>
      <c r="I475">
        <v>9048626789.0129986</v>
      </c>
      <c r="J475" t="s">
        <v>4701</v>
      </c>
      <c r="K475">
        <v>62418857.306144997</v>
      </c>
      <c r="L475">
        <v>1</v>
      </c>
      <c r="M475" t="s">
        <v>5177</v>
      </c>
      <c r="N475">
        <v>0.56652409000000004</v>
      </c>
      <c r="O475">
        <v>9.9</v>
      </c>
      <c r="P475">
        <v>8.11</v>
      </c>
      <c r="Q475">
        <v>5.6085884910000008</v>
      </c>
      <c r="R475">
        <v>11293367974.07369</v>
      </c>
      <c r="S475">
        <v>0</v>
      </c>
      <c r="T475" t="s">
        <v>6244</v>
      </c>
      <c r="U475" t="s">
        <v>6245</v>
      </c>
      <c r="AJ475" t="s">
        <v>6258</v>
      </c>
    </row>
    <row r="476" spans="1:40" x14ac:dyDescent="0.25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0.55000000000000004</v>
      </c>
      <c r="M476" t="s">
        <v>5178</v>
      </c>
      <c r="N476">
        <v>1</v>
      </c>
      <c r="O476">
        <v>15.91</v>
      </c>
      <c r="P476">
        <v>17.2</v>
      </c>
      <c r="Q476">
        <v>15.91</v>
      </c>
      <c r="R476">
        <v>4077733000</v>
      </c>
      <c r="S476">
        <v>0</v>
      </c>
      <c r="T476" t="s">
        <v>6242</v>
      </c>
    </row>
    <row r="477" spans="1:40" x14ac:dyDescent="0.25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38.368319999999997</v>
      </c>
      <c r="H477" t="s">
        <v>97</v>
      </c>
      <c r="I477">
        <v>38751515922.335999</v>
      </c>
      <c r="J477" t="s">
        <v>4700</v>
      </c>
      <c r="K477">
        <v>232627010.55750301</v>
      </c>
      <c r="L477">
        <v>1</v>
      </c>
      <c r="M477" t="s">
        <v>5179</v>
      </c>
      <c r="N477">
        <v>0.85273301000000001</v>
      </c>
      <c r="O477">
        <v>43.38</v>
      </c>
      <c r="P477">
        <v>44.96</v>
      </c>
      <c r="Q477">
        <v>36.991557973800013</v>
      </c>
      <c r="R477">
        <v>37361003760.75174</v>
      </c>
      <c r="S477">
        <v>0</v>
      </c>
      <c r="T477" t="s">
        <v>6243</v>
      </c>
      <c r="AJ477" t="s">
        <v>6258</v>
      </c>
    </row>
    <row r="478" spans="1:40" x14ac:dyDescent="0.25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12.656560000000001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5.7743899999999999E-3</v>
      </c>
      <c r="O478">
        <v>2211</v>
      </c>
      <c r="P478">
        <v>2178</v>
      </c>
      <c r="Q478">
        <v>12.76717629</v>
      </c>
      <c r="R478">
        <v>2663549983.0812812</v>
      </c>
      <c r="S478">
        <v>0</v>
      </c>
      <c r="T478" t="s">
        <v>6244</v>
      </c>
      <c r="W478" t="s">
        <v>6247</v>
      </c>
    </row>
    <row r="479" spans="1:40" x14ac:dyDescent="0.25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13561659.148484901</v>
      </c>
      <c r="L479">
        <v>0.45</v>
      </c>
      <c r="M479" t="s">
        <v>5181</v>
      </c>
      <c r="N479">
        <v>1</v>
      </c>
      <c r="O479">
        <v>83.95</v>
      </c>
      <c r="P479">
        <v>87.25</v>
      </c>
      <c r="Q479">
        <v>83.95</v>
      </c>
      <c r="R479">
        <v>7849399581.1800013</v>
      </c>
      <c r="S479">
        <v>0</v>
      </c>
      <c r="T479" t="s">
        <v>6242</v>
      </c>
      <c r="AJ479" t="s">
        <v>6258</v>
      </c>
    </row>
    <row r="480" spans="1:40" x14ac:dyDescent="0.25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80.781710000000004</v>
      </c>
      <c r="H480" t="s">
        <v>97</v>
      </c>
      <c r="I480">
        <v>19237815259.512798</v>
      </c>
      <c r="J480" t="s">
        <v>4700</v>
      </c>
      <c r="K480">
        <v>302926197.94726503</v>
      </c>
      <c r="L480">
        <v>1</v>
      </c>
      <c r="M480" t="s">
        <v>5182</v>
      </c>
      <c r="N480">
        <v>0.85273301000000001</v>
      </c>
      <c r="O480">
        <v>96.22</v>
      </c>
      <c r="P480">
        <v>94.66</v>
      </c>
      <c r="Q480">
        <v>82.049970222200002</v>
      </c>
      <c r="R480">
        <v>19539845952.54557</v>
      </c>
      <c r="S480">
        <v>0</v>
      </c>
      <c r="T480" t="s">
        <v>6243</v>
      </c>
      <c r="AH480" t="s">
        <v>6256</v>
      </c>
      <c r="AJ480" t="s">
        <v>6258</v>
      </c>
    </row>
    <row r="481" spans="1:40" x14ac:dyDescent="0.25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183.31630000000001</v>
      </c>
      <c r="H481" t="s">
        <v>97</v>
      </c>
      <c r="I481">
        <v>21666543960.719002</v>
      </c>
      <c r="J481" t="s">
        <v>4700</v>
      </c>
      <c r="K481">
        <v>276760619.444933</v>
      </c>
      <c r="L481">
        <v>1</v>
      </c>
      <c r="M481" t="s">
        <v>5183</v>
      </c>
      <c r="N481">
        <v>0.85273301000000001</v>
      </c>
      <c r="O481">
        <v>222.19</v>
      </c>
      <c r="P481">
        <v>214.81</v>
      </c>
      <c r="Q481">
        <v>189.46874749189999</v>
      </c>
      <c r="R481">
        <v>22393714834.499821</v>
      </c>
      <c r="S481">
        <v>0</v>
      </c>
      <c r="T481" t="s">
        <v>6243</v>
      </c>
    </row>
    <row r="482" spans="1:40" x14ac:dyDescent="0.25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44.654620000000001</v>
      </c>
      <c r="H482" t="s">
        <v>96</v>
      </c>
      <c r="I482">
        <v>40985336478.213997</v>
      </c>
      <c r="J482" t="s">
        <v>4699</v>
      </c>
      <c r="K482">
        <v>51729129.236275598</v>
      </c>
      <c r="L482">
        <v>1</v>
      </c>
      <c r="M482" t="s">
        <v>5184</v>
      </c>
      <c r="N482">
        <v>1.156136E-2</v>
      </c>
      <c r="O482">
        <v>3849</v>
      </c>
      <c r="P482">
        <v>3869</v>
      </c>
      <c r="Q482">
        <v>44.499674640000002</v>
      </c>
      <c r="R482">
        <v>40843123024.92881</v>
      </c>
      <c r="S482">
        <v>0</v>
      </c>
      <c r="T482" t="s">
        <v>6242</v>
      </c>
    </row>
    <row r="483" spans="1:40" x14ac:dyDescent="0.25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0.85273301000000001</v>
      </c>
      <c r="O483">
        <v>147.15</v>
      </c>
      <c r="P483">
        <v>142.75</v>
      </c>
      <c r="Q483">
        <v>125.4796624215</v>
      </c>
      <c r="R483">
        <v>26633512585.341339</v>
      </c>
      <c r="S483">
        <v>0</v>
      </c>
      <c r="T483" t="s">
        <v>6243</v>
      </c>
    </row>
    <row r="484" spans="1:40" x14ac:dyDescent="0.25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94.965010000000007</v>
      </c>
      <c r="H484" t="s">
        <v>97</v>
      </c>
      <c r="I484">
        <v>404859293987.46997</v>
      </c>
      <c r="J484" t="s">
        <v>4700</v>
      </c>
      <c r="K484">
        <v>1590194341.70928</v>
      </c>
      <c r="L484">
        <v>1</v>
      </c>
      <c r="M484" t="s">
        <v>5186</v>
      </c>
      <c r="N484">
        <v>0.85273301000000001</v>
      </c>
      <c r="O484">
        <v>112.16</v>
      </c>
      <c r="P484">
        <v>111.28</v>
      </c>
      <c r="Q484">
        <v>95.642534401600003</v>
      </c>
      <c r="R484">
        <v>407747747860.01801</v>
      </c>
      <c r="S484">
        <v>0</v>
      </c>
      <c r="T484" t="s">
        <v>6243</v>
      </c>
      <c r="AH484" t="s">
        <v>6256</v>
      </c>
      <c r="AJ484" t="s">
        <v>6258</v>
      </c>
    </row>
    <row r="485" spans="1:40" x14ac:dyDescent="0.25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270.72030000000001</v>
      </c>
      <c r="H485" t="s">
        <v>97</v>
      </c>
      <c r="I485">
        <v>15552115096.551001</v>
      </c>
      <c r="J485" t="s">
        <v>4700</v>
      </c>
      <c r="K485">
        <v>124676590.67082299</v>
      </c>
      <c r="L485">
        <v>1</v>
      </c>
      <c r="M485" t="s">
        <v>5187</v>
      </c>
      <c r="N485">
        <v>0.85273301000000001</v>
      </c>
      <c r="O485">
        <v>321.67</v>
      </c>
      <c r="P485">
        <v>317.23</v>
      </c>
      <c r="Q485">
        <v>274.2986273267</v>
      </c>
      <c r="R485">
        <v>15757679874.803579</v>
      </c>
      <c r="S485">
        <v>0</v>
      </c>
      <c r="T485" t="s">
        <v>6243</v>
      </c>
      <c r="AN485" t="s">
        <v>6262</v>
      </c>
    </row>
    <row r="486" spans="1:40" x14ac:dyDescent="0.25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1208.3119999999999</v>
      </c>
      <c r="H486" t="s">
        <v>97</v>
      </c>
      <c r="I486">
        <v>29003905588.672001</v>
      </c>
      <c r="J486" t="s">
        <v>4700</v>
      </c>
      <c r="K486">
        <v>475133746.05885202</v>
      </c>
      <c r="L486">
        <v>1</v>
      </c>
      <c r="M486" t="s">
        <v>5188</v>
      </c>
      <c r="N486">
        <v>0.85273301000000001</v>
      </c>
      <c r="O486">
        <v>1544.05</v>
      </c>
      <c r="P486">
        <v>1415.9</v>
      </c>
      <c r="Q486">
        <v>1316.6624040905001</v>
      </c>
      <c r="R486">
        <v>31604711415.921349</v>
      </c>
      <c r="S486">
        <v>0</v>
      </c>
      <c r="T486" t="s">
        <v>6243</v>
      </c>
      <c r="AN486" t="s">
        <v>6262</v>
      </c>
    </row>
    <row r="487" spans="1:40" x14ac:dyDescent="0.25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1497.6559999999999</v>
      </c>
      <c r="H487" t="s">
        <v>100</v>
      </c>
      <c r="I487">
        <v>33892036153.424</v>
      </c>
      <c r="J487" t="s">
        <v>4700</v>
      </c>
      <c r="K487">
        <v>68777587.341111794</v>
      </c>
      <c r="L487">
        <v>1</v>
      </c>
      <c r="M487" t="s">
        <v>5189</v>
      </c>
      <c r="N487">
        <v>0.61572563000000002</v>
      </c>
      <c r="O487">
        <v>2440.84</v>
      </c>
      <c r="P487">
        <v>2427.89</v>
      </c>
      <c r="Q487">
        <v>1502.8877467292</v>
      </c>
      <c r="R487">
        <v>34010430864.42012</v>
      </c>
      <c r="S487">
        <v>0</v>
      </c>
      <c r="T487" t="s">
        <v>6243</v>
      </c>
      <c r="AJ487" t="s">
        <v>6258</v>
      </c>
    </row>
    <row r="488" spans="1:40" x14ac:dyDescent="0.25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25.080680000000001</v>
      </c>
      <c r="H488" t="s">
        <v>99</v>
      </c>
      <c r="I488">
        <v>24638846200.779999</v>
      </c>
      <c r="J488" t="s">
        <v>4701</v>
      </c>
      <c r="K488">
        <v>85682160.515732706</v>
      </c>
      <c r="L488">
        <v>0.95</v>
      </c>
      <c r="M488" t="s">
        <v>5190</v>
      </c>
      <c r="N488">
        <v>5.7743899999999999E-3</v>
      </c>
      <c r="O488">
        <v>4243</v>
      </c>
      <c r="P488">
        <v>4316</v>
      </c>
      <c r="Q488">
        <v>24.50073677</v>
      </c>
      <c r="R488">
        <v>22865663563.656731</v>
      </c>
      <c r="S488">
        <v>0</v>
      </c>
      <c r="T488" t="s">
        <v>6244</v>
      </c>
    </row>
    <row r="489" spans="1:40" x14ac:dyDescent="0.25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281.48930000000001</v>
      </c>
      <c r="H489" t="s">
        <v>99</v>
      </c>
      <c r="I489">
        <v>89575800905.514008</v>
      </c>
      <c r="J489" t="s">
        <v>4701</v>
      </c>
      <c r="K489">
        <v>300552536.75349599</v>
      </c>
      <c r="L489">
        <v>0.6</v>
      </c>
      <c r="M489" t="s">
        <v>5191</v>
      </c>
      <c r="N489">
        <v>5.7743899999999999E-3</v>
      </c>
      <c r="O489">
        <v>48320</v>
      </c>
      <c r="P489">
        <v>48440</v>
      </c>
      <c r="Q489">
        <v>279.01852480000002</v>
      </c>
      <c r="R489">
        <v>53273729040.006187</v>
      </c>
      <c r="S489">
        <v>0</v>
      </c>
      <c r="T489" t="s">
        <v>6244</v>
      </c>
    </row>
    <row r="490" spans="1:40" x14ac:dyDescent="0.25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43.002220000000001</v>
      </c>
      <c r="H490" t="s">
        <v>97</v>
      </c>
      <c r="I490">
        <v>49350921553.251999</v>
      </c>
      <c r="J490" t="s">
        <v>4700</v>
      </c>
      <c r="K490">
        <v>231023031.295948</v>
      </c>
      <c r="L490">
        <v>1</v>
      </c>
      <c r="M490" t="s">
        <v>5192</v>
      </c>
      <c r="N490">
        <v>0.85273301000000001</v>
      </c>
      <c r="O490">
        <v>47.45</v>
      </c>
      <c r="P490">
        <v>50.39</v>
      </c>
      <c r="Q490">
        <v>40.462181324500001</v>
      </c>
      <c r="R490">
        <v>46435880203.83268</v>
      </c>
      <c r="S490">
        <v>0</v>
      </c>
      <c r="T490" t="s">
        <v>6243</v>
      </c>
      <c r="AJ490" t="s">
        <v>6258</v>
      </c>
    </row>
    <row r="491" spans="1:40" x14ac:dyDescent="0.25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6.2385120000000001</v>
      </c>
      <c r="H491" t="s">
        <v>4693</v>
      </c>
      <c r="I491">
        <v>7003499552.3808002</v>
      </c>
      <c r="J491" t="s">
        <v>4699</v>
      </c>
      <c r="K491">
        <v>7554923.95765056</v>
      </c>
      <c r="L491">
        <v>0.6</v>
      </c>
      <c r="M491" t="s">
        <v>5193</v>
      </c>
      <c r="N491">
        <v>9.1395149999999994E-2</v>
      </c>
      <c r="O491">
        <v>67.239999999999995</v>
      </c>
      <c r="P491">
        <v>69.5</v>
      </c>
      <c r="Q491">
        <v>6.1454098859999986</v>
      </c>
      <c r="R491">
        <v>4139388564.368959</v>
      </c>
      <c r="S491">
        <v>0</v>
      </c>
      <c r="T491" t="s">
        <v>6242</v>
      </c>
      <c r="U491" t="s">
        <v>6245</v>
      </c>
      <c r="W491" t="s">
        <v>6247</v>
      </c>
      <c r="AN491" t="s">
        <v>6262</v>
      </c>
    </row>
    <row r="492" spans="1:40" x14ac:dyDescent="0.25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11436298.340606101</v>
      </c>
      <c r="L492">
        <v>0.65</v>
      </c>
      <c r="M492" t="s">
        <v>5194</v>
      </c>
      <c r="N492">
        <v>1</v>
      </c>
      <c r="O492">
        <v>28.54</v>
      </c>
      <c r="P492">
        <v>28.5</v>
      </c>
      <c r="Q492">
        <v>28.54</v>
      </c>
      <c r="R492">
        <v>3436943770</v>
      </c>
      <c r="S492">
        <v>1</v>
      </c>
      <c r="T492" t="s">
        <v>6242</v>
      </c>
    </row>
    <row r="493" spans="1:40" x14ac:dyDescent="0.25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416452030.02061099</v>
      </c>
      <c r="L493">
        <v>0.95</v>
      </c>
      <c r="M493" t="s">
        <v>5195</v>
      </c>
      <c r="N493">
        <v>0.85273301000000001</v>
      </c>
      <c r="O493">
        <v>229.55</v>
      </c>
      <c r="P493">
        <v>236.8</v>
      </c>
      <c r="Q493">
        <v>195.74486244549999</v>
      </c>
      <c r="R493">
        <v>43867235036.491386</v>
      </c>
      <c r="S493">
        <v>0</v>
      </c>
      <c r="T493" t="s">
        <v>6243</v>
      </c>
      <c r="AJ493" t="s">
        <v>6258</v>
      </c>
      <c r="AN493" t="s">
        <v>6262</v>
      </c>
    </row>
    <row r="494" spans="1:40" x14ac:dyDescent="0.25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199.36850000000001</v>
      </c>
      <c r="H494" t="s">
        <v>97</v>
      </c>
      <c r="I494">
        <v>39311686179.555</v>
      </c>
      <c r="J494" t="s">
        <v>4700</v>
      </c>
      <c r="K494">
        <v>276207027.13233203</v>
      </c>
      <c r="L494">
        <v>1</v>
      </c>
      <c r="M494" t="s">
        <v>5196</v>
      </c>
      <c r="N494">
        <v>0.85273301000000001</v>
      </c>
      <c r="O494">
        <v>211.61</v>
      </c>
      <c r="P494">
        <v>233.62</v>
      </c>
      <c r="Q494">
        <v>180.4468322461</v>
      </c>
      <c r="R494">
        <v>35580692242.523209</v>
      </c>
      <c r="S494">
        <v>0</v>
      </c>
      <c r="T494" t="s">
        <v>6243</v>
      </c>
      <c r="AJ494" t="s">
        <v>6258</v>
      </c>
    </row>
    <row r="495" spans="1:40" x14ac:dyDescent="0.25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78364485945.900009</v>
      </c>
      <c r="J495" t="s">
        <v>4702</v>
      </c>
      <c r="K495">
        <v>124677928.856923</v>
      </c>
      <c r="L495">
        <v>0.60000000000000009</v>
      </c>
      <c r="M495" t="s">
        <v>5197</v>
      </c>
      <c r="N495">
        <v>1</v>
      </c>
      <c r="O495">
        <v>407.3</v>
      </c>
      <c r="P495">
        <v>404.1</v>
      </c>
      <c r="Q495">
        <v>407.3</v>
      </c>
      <c r="R495">
        <v>47391024685.620003</v>
      </c>
      <c r="S495">
        <v>0</v>
      </c>
      <c r="T495" t="s">
        <v>6242</v>
      </c>
      <c r="AJ495" t="s">
        <v>6258</v>
      </c>
    </row>
    <row r="496" spans="1:40" x14ac:dyDescent="0.25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41948503.844748497</v>
      </c>
      <c r="L496">
        <v>0.65</v>
      </c>
      <c r="M496" t="s">
        <v>5198</v>
      </c>
      <c r="N496">
        <v>1</v>
      </c>
      <c r="O496">
        <v>48.88</v>
      </c>
      <c r="P496">
        <v>47.57</v>
      </c>
      <c r="Q496">
        <v>48.88</v>
      </c>
      <c r="R496">
        <v>23312876568.799999</v>
      </c>
      <c r="S496">
        <v>0</v>
      </c>
      <c r="T496" t="s">
        <v>6242</v>
      </c>
    </row>
    <row r="497" spans="1:40" x14ac:dyDescent="0.25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31990005770.832001</v>
      </c>
      <c r="J497" t="s">
        <v>4700</v>
      </c>
      <c r="K497">
        <v>207790465.59890699</v>
      </c>
      <c r="L497">
        <v>1</v>
      </c>
      <c r="M497" t="s">
        <v>5199</v>
      </c>
      <c r="N497">
        <v>0.85273301000000001</v>
      </c>
      <c r="O497">
        <v>66.84</v>
      </c>
      <c r="P497">
        <v>71.760000000000005</v>
      </c>
      <c r="Q497">
        <v>56.996674388400002</v>
      </c>
      <c r="R497">
        <v>29773842971.668251</v>
      </c>
      <c r="S497">
        <v>0</v>
      </c>
      <c r="T497" t="s">
        <v>6243</v>
      </c>
      <c r="AJ497" t="s">
        <v>6258</v>
      </c>
    </row>
    <row r="498" spans="1:40" x14ac:dyDescent="0.25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177805561.21396399</v>
      </c>
      <c r="L498">
        <v>1</v>
      </c>
      <c r="M498" t="s">
        <v>5200</v>
      </c>
      <c r="N498">
        <v>0.85273301000000001</v>
      </c>
      <c r="O498">
        <v>45.56</v>
      </c>
      <c r="P498">
        <v>44.79</v>
      </c>
      <c r="Q498">
        <v>38.850515935600001</v>
      </c>
      <c r="R498">
        <v>25714661930.70578</v>
      </c>
      <c r="S498">
        <v>0</v>
      </c>
      <c r="T498" t="s">
        <v>6243</v>
      </c>
      <c r="AJ498" t="s">
        <v>6258</v>
      </c>
    </row>
    <row r="499" spans="1:40" x14ac:dyDescent="0.25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11892082116.844999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18.895</v>
      </c>
      <c r="P499">
        <v>19.445</v>
      </c>
      <c r="Q499">
        <v>18.895</v>
      </c>
      <c r="R499">
        <v>11555715690.295</v>
      </c>
      <c r="S499">
        <v>0</v>
      </c>
      <c r="T499" t="s">
        <v>6242</v>
      </c>
      <c r="AJ499" t="s">
        <v>6258</v>
      </c>
    </row>
    <row r="500" spans="1:40" x14ac:dyDescent="0.25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20215834393.797001</v>
      </c>
      <c r="J500" t="s">
        <v>4700</v>
      </c>
      <c r="K500">
        <v>168613691.009855</v>
      </c>
      <c r="L500">
        <v>0.9</v>
      </c>
      <c r="M500" t="s">
        <v>5202</v>
      </c>
      <c r="N500">
        <v>0.85273301000000001</v>
      </c>
      <c r="O500">
        <v>1974.8</v>
      </c>
      <c r="P500">
        <v>1987.99</v>
      </c>
      <c r="Q500">
        <v>1683.977148148</v>
      </c>
      <c r="R500">
        <v>18059661198.972179</v>
      </c>
      <c r="S500">
        <v>0</v>
      </c>
      <c r="T500" t="s">
        <v>6243</v>
      </c>
      <c r="AJ500" t="s">
        <v>6258</v>
      </c>
      <c r="AN500" t="s">
        <v>6262</v>
      </c>
    </row>
    <row r="501" spans="1:40" x14ac:dyDescent="0.25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18513443260.244999</v>
      </c>
      <c r="J501" t="s">
        <v>4700</v>
      </c>
      <c r="K501">
        <v>589008058.11365104</v>
      </c>
      <c r="L501">
        <v>1</v>
      </c>
      <c r="M501" t="s">
        <v>5203</v>
      </c>
      <c r="N501">
        <v>0.85273301000000001</v>
      </c>
      <c r="O501">
        <v>201.7</v>
      </c>
      <c r="P501">
        <v>202.28</v>
      </c>
      <c r="Q501">
        <v>171.99624811699999</v>
      </c>
      <c r="R501">
        <v>18446193419.36517</v>
      </c>
      <c r="S501">
        <v>0</v>
      </c>
      <c r="T501" t="s">
        <v>6243</v>
      </c>
    </row>
    <row r="502" spans="1:40" x14ac:dyDescent="0.25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37.369860000000003</v>
      </c>
      <c r="H502" t="s">
        <v>97</v>
      </c>
      <c r="I502">
        <v>21577504027.549801</v>
      </c>
      <c r="J502" t="s">
        <v>4700</v>
      </c>
      <c r="K502">
        <v>156199008.06531301</v>
      </c>
      <c r="L502">
        <v>0.95</v>
      </c>
      <c r="M502" t="s">
        <v>5204</v>
      </c>
      <c r="N502">
        <v>0.85273301000000001</v>
      </c>
      <c r="O502">
        <v>43.8</v>
      </c>
      <c r="P502">
        <v>43.79</v>
      </c>
      <c r="Q502">
        <v>37.349705837999998</v>
      </c>
      <c r="R502">
        <v>20487573588.444889</v>
      </c>
      <c r="S502">
        <v>0</v>
      </c>
      <c r="T502" t="s">
        <v>6243</v>
      </c>
      <c r="AG502" t="s">
        <v>6255</v>
      </c>
      <c r="AH502" t="s">
        <v>6256</v>
      </c>
      <c r="AJ502" t="s">
        <v>6258</v>
      </c>
    </row>
    <row r="503" spans="1:40" x14ac:dyDescent="0.25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64796961751.839996</v>
      </c>
      <c r="J503" t="s">
        <v>4700</v>
      </c>
      <c r="K503">
        <v>724454572.46918201</v>
      </c>
      <c r="L503">
        <v>1</v>
      </c>
      <c r="M503" t="s">
        <v>5205</v>
      </c>
      <c r="N503">
        <v>0.85273301000000001</v>
      </c>
      <c r="O503">
        <v>134.32</v>
      </c>
      <c r="P503">
        <v>139.68</v>
      </c>
      <c r="Q503">
        <v>114.5390979032</v>
      </c>
      <c r="R503">
        <v>62262674754.313782</v>
      </c>
      <c r="S503">
        <v>0</v>
      </c>
      <c r="T503" t="s">
        <v>6243</v>
      </c>
      <c r="AJ503" t="s">
        <v>6258</v>
      </c>
    </row>
    <row r="504" spans="1:40" x14ac:dyDescent="0.25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18.852309999999999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0.50771730000000004</v>
      </c>
      <c r="O504">
        <v>38</v>
      </c>
      <c r="P504">
        <v>37.65</v>
      </c>
      <c r="Q504">
        <v>19.293257400000002</v>
      </c>
      <c r="R504">
        <v>10745527109.41654</v>
      </c>
      <c r="S504">
        <v>0</v>
      </c>
      <c r="T504" t="s">
        <v>6244</v>
      </c>
      <c r="U504" t="s">
        <v>6245</v>
      </c>
      <c r="W504" t="s">
        <v>6247</v>
      </c>
      <c r="AN504" t="s">
        <v>6262</v>
      </c>
    </row>
    <row r="505" spans="1:40" x14ac:dyDescent="0.25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3141037194.8800001</v>
      </c>
      <c r="J505" t="s">
        <v>4703</v>
      </c>
      <c r="K505">
        <v>7186133.2549999999</v>
      </c>
      <c r="L505">
        <v>0.85</v>
      </c>
      <c r="M505" t="s">
        <v>5207</v>
      </c>
      <c r="N505">
        <v>1</v>
      </c>
      <c r="O505">
        <v>27.44</v>
      </c>
      <c r="P505">
        <v>28.52</v>
      </c>
      <c r="Q505">
        <v>27.44</v>
      </c>
      <c r="R505">
        <v>2568778104.256</v>
      </c>
      <c r="S505">
        <v>0</v>
      </c>
      <c r="T505" t="s">
        <v>6242</v>
      </c>
      <c r="W505" t="s">
        <v>6247</v>
      </c>
      <c r="AJ505" t="s">
        <v>6258</v>
      </c>
    </row>
    <row r="506" spans="1:40" x14ac:dyDescent="0.25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44.307899999999997</v>
      </c>
      <c r="H506" t="s">
        <v>97</v>
      </c>
      <c r="I506">
        <v>16629855035.157</v>
      </c>
      <c r="J506" t="s">
        <v>4700</v>
      </c>
      <c r="K506">
        <v>181121286.14297301</v>
      </c>
      <c r="L506">
        <v>1</v>
      </c>
      <c r="M506" t="s">
        <v>5208</v>
      </c>
      <c r="N506">
        <v>0.85273301000000001</v>
      </c>
      <c r="O506">
        <v>57.29</v>
      </c>
      <c r="P506">
        <v>51.92</v>
      </c>
      <c r="Q506">
        <v>48.853074142899999</v>
      </c>
      <c r="R506">
        <v>18335771747.661339</v>
      </c>
      <c r="S506">
        <v>0</v>
      </c>
      <c r="T506" t="s">
        <v>6243</v>
      </c>
    </row>
    <row r="507" spans="1:40" x14ac:dyDescent="0.25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258.92829999999998</v>
      </c>
      <c r="H507" t="s">
        <v>4694</v>
      </c>
      <c r="I507">
        <v>7949584559.490799</v>
      </c>
      <c r="J507" t="s">
        <v>4699</v>
      </c>
      <c r="K507">
        <v>9018883.4454734102</v>
      </c>
      <c r="L507">
        <v>0.6</v>
      </c>
      <c r="M507" t="s">
        <v>5209</v>
      </c>
      <c r="N507">
        <v>1.07032003</v>
      </c>
      <c r="O507">
        <v>244</v>
      </c>
      <c r="P507">
        <v>243.2</v>
      </c>
      <c r="Q507">
        <v>261.15808731999999</v>
      </c>
      <c r="R507">
        <v>4810825927.9774866</v>
      </c>
      <c r="S507">
        <v>0</v>
      </c>
      <c r="T507" t="s">
        <v>6242</v>
      </c>
      <c r="U507" t="s">
        <v>6245</v>
      </c>
      <c r="W507" t="s">
        <v>6247</v>
      </c>
      <c r="AJ507" t="s">
        <v>6258</v>
      </c>
      <c r="AN507" t="s">
        <v>6262</v>
      </c>
    </row>
    <row r="508" spans="1:40" x14ac:dyDescent="0.25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4768643517.3999996</v>
      </c>
      <c r="J508" t="s">
        <v>4703</v>
      </c>
      <c r="K508">
        <v>7424562.0527272699</v>
      </c>
      <c r="L508">
        <v>0.45</v>
      </c>
      <c r="M508" t="s">
        <v>5210</v>
      </c>
      <c r="N508">
        <v>1</v>
      </c>
      <c r="O508">
        <v>25</v>
      </c>
      <c r="P508">
        <v>24.82</v>
      </c>
      <c r="Q508">
        <v>25</v>
      </c>
      <c r="R508">
        <v>2161452037.5</v>
      </c>
      <c r="S508">
        <v>0</v>
      </c>
      <c r="T508" t="s">
        <v>6242</v>
      </c>
      <c r="W508" t="s">
        <v>6247</v>
      </c>
      <c r="AJ508" t="s">
        <v>6258</v>
      </c>
    </row>
    <row r="509" spans="1:40" x14ac:dyDescent="0.25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641620515.67695904</v>
      </c>
      <c r="L509">
        <v>1</v>
      </c>
      <c r="M509" t="s">
        <v>5211</v>
      </c>
      <c r="N509">
        <v>0.85273301000000001</v>
      </c>
      <c r="O509">
        <v>281.08999999999997</v>
      </c>
      <c r="P509">
        <v>299.42</v>
      </c>
      <c r="Q509">
        <v>239.69472178090001</v>
      </c>
      <c r="R509">
        <v>42210135039.938904</v>
      </c>
      <c r="S509">
        <v>0</v>
      </c>
      <c r="T509" t="s">
        <v>6243</v>
      </c>
    </row>
    <row r="510" spans="1:40" x14ac:dyDescent="0.25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3.0043519999999999</v>
      </c>
      <c r="H510" t="s">
        <v>4697</v>
      </c>
      <c r="I510">
        <v>4834574997.4911985</v>
      </c>
      <c r="J510" t="s">
        <v>4701</v>
      </c>
      <c r="K510">
        <v>381838.858867353</v>
      </c>
      <c r="L510">
        <v>1</v>
      </c>
      <c r="M510" t="s">
        <v>5212</v>
      </c>
      <c r="N510">
        <v>0.50771730000000004</v>
      </c>
      <c r="O510">
        <v>5.86</v>
      </c>
      <c r="P510">
        <v>6</v>
      </c>
      <c r="Q510">
        <v>2.9752233779999999</v>
      </c>
      <c r="R510">
        <v>4787701492.7778473</v>
      </c>
      <c r="S510">
        <v>0</v>
      </c>
      <c r="T510" t="s">
        <v>6244</v>
      </c>
      <c r="U510" t="s">
        <v>6245</v>
      </c>
      <c r="W510" t="s">
        <v>6247</v>
      </c>
    </row>
    <row r="511" spans="1:40" x14ac:dyDescent="0.25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772975729.08465099</v>
      </c>
      <c r="L511">
        <v>1</v>
      </c>
      <c r="M511" t="s">
        <v>5213</v>
      </c>
      <c r="N511">
        <v>0.85273301000000001</v>
      </c>
      <c r="O511">
        <v>11.68</v>
      </c>
      <c r="P511">
        <v>11.74</v>
      </c>
      <c r="Q511">
        <v>9.9599215567999995</v>
      </c>
      <c r="R511">
        <v>38933416032.880119</v>
      </c>
      <c r="S511">
        <v>0</v>
      </c>
      <c r="T511" t="s">
        <v>6243</v>
      </c>
    </row>
    <row r="512" spans="1:40" x14ac:dyDescent="0.25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33268337822.591999</v>
      </c>
      <c r="J512" t="s">
        <v>4701</v>
      </c>
      <c r="K512">
        <v>70468203.803355604</v>
      </c>
      <c r="L512">
        <v>0.55000000000000004</v>
      </c>
      <c r="M512" t="s">
        <v>5214</v>
      </c>
      <c r="N512">
        <v>0.56652409000000004</v>
      </c>
      <c r="O512">
        <v>18.8</v>
      </c>
      <c r="P512">
        <v>19.5</v>
      </c>
      <c r="Q512">
        <v>10.650652892</v>
      </c>
      <c r="R512">
        <v>18036141943.31741</v>
      </c>
      <c r="S512">
        <v>0</v>
      </c>
      <c r="T512" t="s">
        <v>6244</v>
      </c>
      <c r="U512" t="s">
        <v>6245</v>
      </c>
      <c r="AJ512" t="s">
        <v>6258</v>
      </c>
    </row>
    <row r="513" spans="1:40" x14ac:dyDescent="0.25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52326852649.004997</v>
      </c>
      <c r="J513" t="s">
        <v>4700</v>
      </c>
      <c r="K513">
        <v>507688726.97630298</v>
      </c>
      <c r="L513">
        <v>0.85</v>
      </c>
      <c r="M513" t="s">
        <v>5215</v>
      </c>
      <c r="N513">
        <v>0.85273301000000001</v>
      </c>
      <c r="O513">
        <v>79.680000000000007</v>
      </c>
      <c r="P513">
        <v>80.02</v>
      </c>
      <c r="Q513">
        <v>67.945766236800011</v>
      </c>
      <c r="R513">
        <v>44254853822.221687</v>
      </c>
      <c r="S513">
        <v>0</v>
      </c>
      <c r="T513" t="s">
        <v>6243</v>
      </c>
    </row>
    <row r="514" spans="1:40" x14ac:dyDescent="0.25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57375421.265839897</v>
      </c>
      <c r="L514">
        <v>1</v>
      </c>
      <c r="M514" t="s">
        <v>5216</v>
      </c>
      <c r="N514">
        <v>0.61572563000000002</v>
      </c>
      <c r="O514">
        <v>68.37</v>
      </c>
      <c r="P514">
        <v>70.05</v>
      </c>
      <c r="Q514">
        <v>42.097161323100003</v>
      </c>
      <c r="R514">
        <v>21200130442.31316</v>
      </c>
      <c r="S514">
        <v>0</v>
      </c>
      <c r="T514" t="s">
        <v>6243</v>
      </c>
      <c r="AG514" t="s">
        <v>6255</v>
      </c>
      <c r="AH514" t="s">
        <v>6256</v>
      </c>
      <c r="AJ514" t="s">
        <v>6258</v>
      </c>
    </row>
    <row r="515" spans="1:40" x14ac:dyDescent="0.25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13737119035.700001</v>
      </c>
      <c r="J515" t="s">
        <v>4702</v>
      </c>
      <c r="K515">
        <v>18445125.998125002</v>
      </c>
      <c r="L515">
        <v>0.5</v>
      </c>
      <c r="M515" t="s">
        <v>5217</v>
      </c>
      <c r="N515">
        <v>1</v>
      </c>
      <c r="O515">
        <v>15.28</v>
      </c>
      <c r="P515">
        <v>15.31</v>
      </c>
      <c r="Q515">
        <v>15.28</v>
      </c>
      <c r="R515">
        <v>6855100550.7999992</v>
      </c>
      <c r="S515">
        <v>0</v>
      </c>
      <c r="T515" t="s">
        <v>6242</v>
      </c>
    </row>
    <row r="516" spans="1:40" x14ac:dyDescent="0.25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157.82849999999999</v>
      </c>
      <c r="H516" t="s">
        <v>100</v>
      </c>
      <c r="I516">
        <v>30405389059.98</v>
      </c>
      <c r="J516" t="s">
        <v>4700</v>
      </c>
      <c r="K516">
        <v>42496798.356732801</v>
      </c>
      <c r="L516">
        <v>1</v>
      </c>
      <c r="M516" t="s">
        <v>5218</v>
      </c>
      <c r="N516">
        <v>0.61572563000000002</v>
      </c>
      <c r="O516">
        <v>277.77999999999997</v>
      </c>
      <c r="P516">
        <v>255.86</v>
      </c>
      <c r="Q516">
        <v>171.03626550140001</v>
      </c>
      <c r="R516">
        <v>32949842366.46804</v>
      </c>
      <c r="S516">
        <v>0</v>
      </c>
      <c r="T516" t="s">
        <v>6243</v>
      </c>
      <c r="AG516" t="s">
        <v>6255</v>
      </c>
      <c r="AH516" t="s">
        <v>6256</v>
      </c>
      <c r="AJ516" t="s">
        <v>6258</v>
      </c>
    </row>
    <row r="517" spans="1:40" x14ac:dyDescent="0.25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7046115244.8000002</v>
      </c>
      <c r="J517" t="s">
        <v>4703</v>
      </c>
      <c r="K517">
        <v>7361212.2068181802</v>
      </c>
      <c r="L517">
        <v>0.4</v>
      </c>
      <c r="M517" t="s">
        <v>5219</v>
      </c>
      <c r="N517">
        <v>1</v>
      </c>
      <c r="O517">
        <v>74.45</v>
      </c>
      <c r="P517">
        <v>76.2</v>
      </c>
      <c r="Q517">
        <v>74.45</v>
      </c>
      <c r="R517">
        <v>2753718005.1199999</v>
      </c>
      <c r="S517">
        <v>0</v>
      </c>
      <c r="T517" t="s">
        <v>6242</v>
      </c>
      <c r="W517" t="s">
        <v>6247</v>
      </c>
      <c r="AJ517" t="s">
        <v>6258</v>
      </c>
      <c r="AN517" t="s">
        <v>6262</v>
      </c>
    </row>
    <row r="518" spans="1:40" x14ac:dyDescent="0.25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9791491.6845454592</v>
      </c>
      <c r="L518">
        <v>1</v>
      </c>
      <c r="M518" t="s">
        <v>5220</v>
      </c>
      <c r="N518">
        <v>1</v>
      </c>
      <c r="O518">
        <v>27.82</v>
      </c>
      <c r="P518">
        <v>28.54</v>
      </c>
      <c r="Q518">
        <v>27.82</v>
      </c>
      <c r="R518">
        <v>3307814692</v>
      </c>
      <c r="S518">
        <v>0</v>
      </c>
      <c r="T518" t="s">
        <v>6242</v>
      </c>
      <c r="W518" t="s">
        <v>6247</v>
      </c>
    </row>
    <row r="519" spans="1:40" x14ac:dyDescent="0.25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36.934629999999999</v>
      </c>
      <c r="H519" t="s">
        <v>97</v>
      </c>
      <c r="I519">
        <v>53029788840.545998</v>
      </c>
      <c r="J519" t="s">
        <v>4700</v>
      </c>
      <c r="K519">
        <v>527528457.36922902</v>
      </c>
      <c r="L519">
        <v>1</v>
      </c>
      <c r="M519" t="s">
        <v>5221</v>
      </c>
      <c r="N519">
        <v>0.85273301000000001</v>
      </c>
      <c r="O519">
        <v>44.72</v>
      </c>
      <c r="P519">
        <v>43.28</v>
      </c>
      <c r="Q519">
        <v>38.134220207200002</v>
      </c>
      <c r="R519">
        <v>54752129510.616417</v>
      </c>
      <c r="S519">
        <v>0</v>
      </c>
      <c r="T519" t="s">
        <v>6243</v>
      </c>
      <c r="AG519" t="s">
        <v>6255</v>
      </c>
      <c r="AJ519" t="s">
        <v>6258</v>
      </c>
    </row>
    <row r="520" spans="1:40" x14ac:dyDescent="0.25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42.5</v>
      </c>
      <c r="P520">
        <v>43.6</v>
      </c>
      <c r="Q520">
        <v>42.5</v>
      </c>
      <c r="R520">
        <v>8729050137.5</v>
      </c>
      <c r="S520">
        <v>0</v>
      </c>
      <c r="T520" t="s">
        <v>6242</v>
      </c>
    </row>
    <row r="521" spans="1:40" x14ac:dyDescent="0.25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33586705.531287901</v>
      </c>
      <c r="L521">
        <v>0.75</v>
      </c>
      <c r="M521" t="s">
        <v>5223</v>
      </c>
      <c r="N521">
        <v>1</v>
      </c>
      <c r="O521">
        <v>46.54</v>
      </c>
      <c r="P521">
        <v>47.69</v>
      </c>
      <c r="Q521">
        <v>46.54</v>
      </c>
      <c r="R521">
        <v>19659797956.5</v>
      </c>
      <c r="S521">
        <v>0</v>
      </c>
      <c r="T521" t="s">
        <v>6242</v>
      </c>
    </row>
    <row r="522" spans="1:40" x14ac:dyDescent="0.25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19.493839999999999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1.156136E-2</v>
      </c>
      <c r="O522">
        <v>2156</v>
      </c>
      <c r="P522">
        <v>1689</v>
      </c>
      <c r="Q522">
        <v>24.926292159999999</v>
      </c>
      <c r="R522">
        <v>4592005979.529892</v>
      </c>
      <c r="S522">
        <v>0</v>
      </c>
      <c r="T522" t="s">
        <v>6242</v>
      </c>
      <c r="AJ522" t="s">
        <v>6258</v>
      </c>
    </row>
    <row r="523" spans="1:40" x14ac:dyDescent="0.25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4778663.2703030296</v>
      </c>
      <c r="L523">
        <v>1</v>
      </c>
      <c r="M523" t="s">
        <v>5225</v>
      </c>
      <c r="N523">
        <v>1</v>
      </c>
      <c r="O523">
        <v>40.06</v>
      </c>
      <c r="P523">
        <v>42.62</v>
      </c>
      <c r="Q523">
        <v>40.06</v>
      </c>
      <c r="R523">
        <v>2623930000</v>
      </c>
      <c r="S523">
        <v>0</v>
      </c>
      <c r="T523" t="s">
        <v>6242</v>
      </c>
      <c r="W523" t="s">
        <v>6247</v>
      </c>
      <c r="AJ523" t="s">
        <v>6258</v>
      </c>
    </row>
    <row r="524" spans="1:40" x14ac:dyDescent="0.25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55.780679999999997</v>
      </c>
      <c r="H524" t="s">
        <v>99</v>
      </c>
      <c r="I524">
        <v>8327888181.9599991</v>
      </c>
      <c r="J524" t="s">
        <v>4701</v>
      </c>
      <c r="K524">
        <v>36221200.795933098</v>
      </c>
      <c r="L524">
        <v>1</v>
      </c>
      <c r="M524" t="s">
        <v>5226</v>
      </c>
      <c r="N524">
        <v>5.7743899999999999E-3</v>
      </c>
      <c r="O524">
        <v>9890</v>
      </c>
      <c r="P524">
        <v>9599</v>
      </c>
      <c r="Q524">
        <v>57.1087171</v>
      </c>
      <c r="R524">
        <v>8526160136.8787003</v>
      </c>
      <c r="S524">
        <v>0</v>
      </c>
      <c r="T524" t="s">
        <v>6244</v>
      </c>
    </row>
    <row r="525" spans="1:40" x14ac:dyDescent="0.25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19.333500000000001</v>
      </c>
      <c r="H525" t="s">
        <v>99</v>
      </c>
      <c r="I525">
        <v>4527799172.415</v>
      </c>
      <c r="J525" t="s">
        <v>4701</v>
      </c>
      <c r="K525">
        <v>52039668.567258298</v>
      </c>
      <c r="L525">
        <v>0.75</v>
      </c>
      <c r="M525" t="s">
        <v>5227</v>
      </c>
      <c r="N525">
        <v>5.7743899999999999E-3</v>
      </c>
      <c r="O525">
        <v>3563</v>
      </c>
      <c r="P525">
        <v>3327</v>
      </c>
      <c r="Q525">
        <v>20.574151570000001</v>
      </c>
      <c r="R525">
        <v>3613764700.5891371</v>
      </c>
      <c r="S525">
        <v>0</v>
      </c>
      <c r="T525" t="s">
        <v>6244</v>
      </c>
    </row>
    <row r="526" spans="1:40" x14ac:dyDescent="0.25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20.931550000000001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5.7743899999999999E-3</v>
      </c>
      <c r="O526">
        <v>3641</v>
      </c>
      <c r="P526">
        <v>3602</v>
      </c>
      <c r="Q526">
        <v>21.024553990000001</v>
      </c>
      <c r="R526">
        <v>26151963348.330029</v>
      </c>
      <c r="S526">
        <v>0</v>
      </c>
      <c r="T526" t="s">
        <v>6244</v>
      </c>
    </row>
    <row r="527" spans="1:40" x14ac:dyDescent="0.25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66.740390000000005</v>
      </c>
      <c r="H527" t="s">
        <v>99</v>
      </c>
      <c r="I527">
        <v>19746040704.937698</v>
      </c>
      <c r="J527" t="s">
        <v>4701</v>
      </c>
      <c r="K527">
        <v>835573357.34467196</v>
      </c>
      <c r="L527">
        <v>0.95</v>
      </c>
      <c r="M527" t="s">
        <v>5229</v>
      </c>
      <c r="N527">
        <v>5.7743899999999999E-3</v>
      </c>
      <c r="O527">
        <v>14100</v>
      </c>
      <c r="P527">
        <v>11485</v>
      </c>
      <c r="Q527">
        <v>81.418898999999996</v>
      </c>
      <c r="R527">
        <v>22884430988.715389</v>
      </c>
      <c r="S527">
        <v>0</v>
      </c>
      <c r="T527" t="s">
        <v>6244</v>
      </c>
    </row>
    <row r="528" spans="1:40" x14ac:dyDescent="0.25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20.879259999999999</v>
      </c>
      <c r="H528" t="s">
        <v>99</v>
      </c>
      <c r="I528">
        <v>43243210771.783997</v>
      </c>
      <c r="J528" t="s">
        <v>4701</v>
      </c>
      <c r="K528">
        <v>105330461.99722099</v>
      </c>
      <c r="L528">
        <v>0.85</v>
      </c>
      <c r="M528" t="s">
        <v>5230</v>
      </c>
      <c r="N528">
        <v>5.7743899999999999E-3</v>
      </c>
      <c r="O528">
        <v>3780</v>
      </c>
      <c r="P528">
        <v>3593</v>
      </c>
      <c r="Q528">
        <v>21.827194200000001</v>
      </c>
      <c r="R528">
        <v>38425512467.643593</v>
      </c>
      <c r="S528">
        <v>0</v>
      </c>
      <c r="T528" t="s">
        <v>6244</v>
      </c>
      <c r="AA528" t="s">
        <v>6249</v>
      </c>
    </row>
    <row r="529" spans="1:40" x14ac:dyDescent="0.25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26.242889999999999</v>
      </c>
      <c r="H529" t="s">
        <v>99</v>
      </c>
      <c r="I529">
        <v>5065640913.2411985</v>
      </c>
      <c r="J529" t="s">
        <v>4701</v>
      </c>
      <c r="K529">
        <v>17199061.520787802</v>
      </c>
      <c r="L529">
        <v>1</v>
      </c>
      <c r="M529" t="s">
        <v>5231</v>
      </c>
      <c r="N529">
        <v>5.7743899999999999E-3</v>
      </c>
      <c r="O529">
        <v>4492</v>
      </c>
      <c r="P529">
        <v>4516</v>
      </c>
      <c r="Q529">
        <v>25.93855988</v>
      </c>
      <c r="R529">
        <v>5006896350.1613102</v>
      </c>
      <c r="S529">
        <v>0</v>
      </c>
      <c r="T529" t="s">
        <v>6244</v>
      </c>
      <c r="AJ529" t="s">
        <v>6258</v>
      </c>
      <c r="AN529" t="s">
        <v>6262</v>
      </c>
    </row>
    <row r="530" spans="1:40" x14ac:dyDescent="0.25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268632789.46271998</v>
      </c>
      <c r="L530">
        <v>1</v>
      </c>
      <c r="M530" t="s">
        <v>5232</v>
      </c>
      <c r="N530">
        <v>5.7743899999999999E-3</v>
      </c>
      <c r="O530">
        <v>9108</v>
      </c>
      <c r="P530">
        <v>8481</v>
      </c>
      <c r="Q530">
        <v>52.593144119999998</v>
      </c>
      <c r="R530">
        <v>3716595508.07651</v>
      </c>
      <c r="S530">
        <v>0</v>
      </c>
      <c r="T530" t="s">
        <v>6244</v>
      </c>
    </row>
    <row r="531" spans="1:40" x14ac:dyDescent="0.25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4.3773569999999999</v>
      </c>
      <c r="H531" t="s">
        <v>4692</v>
      </c>
      <c r="I531">
        <v>19150475063.836498</v>
      </c>
      <c r="J531" t="s">
        <v>4701</v>
      </c>
      <c r="K531">
        <v>51954320.005533502</v>
      </c>
      <c r="L531">
        <v>0.5</v>
      </c>
      <c r="M531" t="s">
        <v>5233</v>
      </c>
      <c r="N531">
        <v>0.10956983000000001</v>
      </c>
      <c r="O531">
        <v>42.1</v>
      </c>
      <c r="P531">
        <v>40.08</v>
      </c>
      <c r="Q531">
        <v>4.6128898429999996</v>
      </c>
      <c r="R531">
        <v>10090453201.62328</v>
      </c>
      <c r="S531">
        <v>0</v>
      </c>
      <c r="T531" t="s">
        <v>6244</v>
      </c>
      <c r="U531" t="s">
        <v>6245</v>
      </c>
      <c r="AN531" t="s">
        <v>6262</v>
      </c>
    </row>
    <row r="532" spans="1:40" x14ac:dyDescent="0.25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144.05019999999999</v>
      </c>
      <c r="H532" t="s">
        <v>4694</v>
      </c>
      <c r="I532">
        <v>34269201181.026001</v>
      </c>
      <c r="J532" t="s">
        <v>4699</v>
      </c>
      <c r="K532">
        <v>128404716.633818</v>
      </c>
      <c r="L532">
        <v>0.55000000000000004</v>
      </c>
      <c r="M532" t="s">
        <v>5234</v>
      </c>
      <c r="N532">
        <v>1.07032003</v>
      </c>
      <c r="O532">
        <v>145.80000000000001</v>
      </c>
      <c r="P532">
        <v>135.30000000000001</v>
      </c>
      <c r="Q532">
        <v>156.052660374</v>
      </c>
      <c r="R532">
        <v>20418506931.993229</v>
      </c>
      <c r="S532">
        <v>0</v>
      </c>
      <c r="T532" t="s">
        <v>6242</v>
      </c>
      <c r="U532" t="s">
        <v>6245</v>
      </c>
      <c r="AJ532" t="s">
        <v>6258</v>
      </c>
      <c r="AN532" t="s">
        <v>6262</v>
      </c>
    </row>
    <row r="533" spans="1:40" x14ac:dyDescent="0.25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90.656850000000006</v>
      </c>
      <c r="H533" t="s">
        <v>4694</v>
      </c>
      <c r="I533">
        <v>4532842500</v>
      </c>
      <c r="J533" t="s">
        <v>4699</v>
      </c>
      <c r="K533">
        <v>7020378.5306205703</v>
      </c>
      <c r="L533">
        <v>1</v>
      </c>
      <c r="M533" t="s">
        <v>5235</v>
      </c>
      <c r="N533">
        <v>1.07032003</v>
      </c>
      <c r="O533">
        <v>87.6</v>
      </c>
      <c r="P533">
        <v>85.15</v>
      </c>
      <c r="Q533">
        <v>93.760034627999985</v>
      </c>
      <c r="R533">
        <v>4688001731.3999996</v>
      </c>
      <c r="S533">
        <v>0</v>
      </c>
      <c r="T533" t="s">
        <v>6242</v>
      </c>
      <c r="U533" t="s">
        <v>6245</v>
      </c>
      <c r="W533" t="s">
        <v>6247</v>
      </c>
      <c r="AJ533" t="s">
        <v>6258</v>
      </c>
      <c r="AN533" t="s">
        <v>6262</v>
      </c>
    </row>
    <row r="534" spans="1:40" x14ac:dyDescent="0.25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0.60000000000000009</v>
      </c>
      <c r="M534" t="s">
        <v>5236</v>
      </c>
      <c r="N534">
        <v>1</v>
      </c>
      <c r="O534">
        <v>16.07</v>
      </c>
      <c r="P534">
        <v>16.45</v>
      </c>
      <c r="Q534">
        <v>16.07</v>
      </c>
      <c r="R534">
        <v>6705197649.0900011</v>
      </c>
      <c r="S534">
        <v>0</v>
      </c>
      <c r="T534" t="s">
        <v>6242</v>
      </c>
      <c r="AH534" t="s">
        <v>6256</v>
      </c>
      <c r="AJ534" t="s">
        <v>6258</v>
      </c>
    </row>
    <row r="535" spans="1:40" x14ac:dyDescent="0.25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7043310.3490695404</v>
      </c>
      <c r="L535">
        <v>1</v>
      </c>
      <c r="M535" t="s">
        <v>5237</v>
      </c>
      <c r="N535">
        <v>1.156136E-2</v>
      </c>
      <c r="O535">
        <v>14800</v>
      </c>
      <c r="P535">
        <v>15900</v>
      </c>
      <c r="Q535">
        <v>171.10812799999999</v>
      </c>
      <c r="R535">
        <v>5641744685.8716803</v>
      </c>
      <c r="S535">
        <v>0</v>
      </c>
      <c r="T535" t="s">
        <v>6242</v>
      </c>
      <c r="W535" t="s">
        <v>6247</v>
      </c>
      <c r="AJ535" t="s">
        <v>6258</v>
      </c>
      <c r="AN535" t="s">
        <v>6262</v>
      </c>
    </row>
    <row r="536" spans="1:40" x14ac:dyDescent="0.25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38755055182.321999</v>
      </c>
      <c r="J536" t="s">
        <v>4700</v>
      </c>
      <c r="K536">
        <v>158960930.38732299</v>
      </c>
      <c r="L536">
        <v>0.85</v>
      </c>
      <c r="M536" t="s">
        <v>5238</v>
      </c>
      <c r="N536">
        <v>0.85273301000000001</v>
      </c>
      <c r="O536">
        <v>238.08</v>
      </c>
      <c r="P536">
        <v>235.92</v>
      </c>
      <c r="Q536">
        <v>203.0186750208</v>
      </c>
      <c r="R536">
        <v>33217884951.08337</v>
      </c>
      <c r="S536">
        <v>0</v>
      </c>
      <c r="T536" t="s">
        <v>6243</v>
      </c>
      <c r="AJ536" t="s">
        <v>6258</v>
      </c>
    </row>
    <row r="537" spans="1:40" x14ac:dyDescent="0.25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213.26159999999999</v>
      </c>
      <c r="H537" t="s">
        <v>97</v>
      </c>
      <c r="I537">
        <v>16151536605.7104</v>
      </c>
      <c r="J537" t="s">
        <v>4700</v>
      </c>
      <c r="K537">
        <v>328182574.39032203</v>
      </c>
      <c r="L537">
        <v>1</v>
      </c>
      <c r="M537" t="s">
        <v>5239</v>
      </c>
      <c r="N537">
        <v>0.85273301000000001</v>
      </c>
      <c r="O537">
        <v>247.33</v>
      </c>
      <c r="P537">
        <v>249.9</v>
      </c>
      <c r="Q537">
        <v>210.90645536330001</v>
      </c>
      <c r="R537">
        <v>15973167856.665079</v>
      </c>
      <c r="S537">
        <v>0</v>
      </c>
      <c r="T537" t="s">
        <v>6243</v>
      </c>
    </row>
    <row r="538" spans="1:40" x14ac:dyDescent="0.25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6743710.9636363601</v>
      </c>
      <c r="L538">
        <v>0.55000000000000004</v>
      </c>
      <c r="M538" t="s">
        <v>5240</v>
      </c>
      <c r="N538">
        <v>1</v>
      </c>
      <c r="O538">
        <v>76</v>
      </c>
      <c r="P538">
        <v>76.7</v>
      </c>
      <c r="Q538">
        <v>76</v>
      </c>
      <c r="R538">
        <v>5567760000</v>
      </c>
      <c r="S538">
        <v>0</v>
      </c>
      <c r="T538" t="s">
        <v>6242</v>
      </c>
      <c r="W538" t="s">
        <v>6247</v>
      </c>
      <c r="AN538" t="s">
        <v>6262</v>
      </c>
    </row>
    <row r="539" spans="1:40" x14ac:dyDescent="0.25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227.45349999999999</v>
      </c>
      <c r="H539" t="s">
        <v>97</v>
      </c>
      <c r="I539">
        <v>241200630322.54999</v>
      </c>
      <c r="J539" t="s">
        <v>4700</v>
      </c>
      <c r="K539">
        <v>1398586699.16436</v>
      </c>
      <c r="L539">
        <v>1</v>
      </c>
      <c r="M539" t="s">
        <v>5241</v>
      </c>
      <c r="N539">
        <v>0.85273301000000001</v>
      </c>
      <c r="O539">
        <v>281.69</v>
      </c>
      <c r="P539">
        <v>266.52999999999997</v>
      </c>
      <c r="Q539">
        <v>240.20636158689999</v>
      </c>
      <c r="R539">
        <v>254724265936.75919</v>
      </c>
      <c r="S539">
        <v>0</v>
      </c>
      <c r="T539" t="s">
        <v>6243</v>
      </c>
    </row>
    <row r="540" spans="1:40" x14ac:dyDescent="0.25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64.191839999999999</v>
      </c>
      <c r="H540" t="s">
        <v>97</v>
      </c>
      <c r="I540">
        <v>29307557421.753601</v>
      </c>
      <c r="J540" t="s">
        <v>4700</v>
      </c>
      <c r="K540">
        <v>234611520.672593</v>
      </c>
      <c r="L540">
        <v>1</v>
      </c>
      <c r="M540" t="s">
        <v>5242</v>
      </c>
      <c r="N540">
        <v>0.85273301000000001</v>
      </c>
      <c r="O540">
        <v>76.44</v>
      </c>
      <c r="P540">
        <v>75.22</v>
      </c>
      <c r="Q540">
        <v>65.182911284399992</v>
      </c>
      <c r="R540">
        <v>29760042949.14468</v>
      </c>
      <c r="S540">
        <v>0</v>
      </c>
      <c r="T540" t="s">
        <v>6243</v>
      </c>
      <c r="AJ540" t="s">
        <v>6258</v>
      </c>
    </row>
    <row r="541" spans="1:40" x14ac:dyDescent="0.25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518.06619999999998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0.85273301000000001</v>
      </c>
      <c r="O541">
        <v>625.54999999999995</v>
      </c>
      <c r="P541">
        <v>607.07000000000005</v>
      </c>
      <c r="Q541">
        <v>533.42713440549994</v>
      </c>
      <c r="R541">
        <v>145211636230.77469</v>
      </c>
      <c r="S541">
        <v>0</v>
      </c>
      <c r="T541" t="s">
        <v>6243</v>
      </c>
      <c r="AJ541" t="s">
        <v>6258</v>
      </c>
    </row>
    <row r="542" spans="1:40" x14ac:dyDescent="0.25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17931946.346969701</v>
      </c>
      <c r="L542">
        <v>0.8</v>
      </c>
      <c r="M542" t="s">
        <v>5244</v>
      </c>
      <c r="N542">
        <v>1</v>
      </c>
      <c r="O542">
        <v>64.2</v>
      </c>
      <c r="P542">
        <v>64.7</v>
      </c>
      <c r="Q542">
        <v>64.2</v>
      </c>
      <c r="R542">
        <v>8361493771.2000008</v>
      </c>
      <c r="S542">
        <v>0</v>
      </c>
      <c r="T542" t="s">
        <v>6242</v>
      </c>
    </row>
    <row r="543" spans="1:40" x14ac:dyDescent="0.25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646.04309999999998</v>
      </c>
      <c r="H543" t="s">
        <v>4694</v>
      </c>
      <c r="I543">
        <v>21915335685.655499</v>
      </c>
      <c r="J543" t="s">
        <v>4699</v>
      </c>
      <c r="K543">
        <v>46591993.171283104</v>
      </c>
      <c r="L543">
        <v>1</v>
      </c>
      <c r="M543" t="s">
        <v>5245</v>
      </c>
      <c r="N543">
        <v>1.07032003</v>
      </c>
      <c r="O543">
        <v>600.4</v>
      </c>
      <c r="P543">
        <v>606.79999999999995</v>
      </c>
      <c r="Q543">
        <v>642.62014601199996</v>
      </c>
      <c r="R543">
        <v>21799220854.1782</v>
      </c>
      <c r="S543">
        <v>0</v>
      </c>
      <c r="T543" t="s">
        <v>6242</v>
      </c>
      <c r="U543" t="s">
        <v>6245</v>
      </c>
      <c r="AJ543" t="s">
        <v>6258</v>
      </c>
    </row>
    <row r="544" spans="1:40" x14ac:dyDescent="0.25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</v>
      </c>
      <c r="H544" t="s">
        <v>98</v>
      </c>
      <c r="I544">
        <v>6726146266.1500006</v>
      </c>
      <c r="J544" t="s">
        <v>4702</v>
      </c>
      <c r="K544">
        <v>11129856.295833301</v>
      </c>
      <c r="L544">
        <v>0.60000000000000009</v>
      </c>
      <c r="M544" t="s">
        <v>5246</v>
      </c>
      <c r="N544">
        <v>1</v>
      </c>
      <c r="O544">
        <v>84.45</v>
      </c>
      <c r="P544">
        <v>87.65</v>
      </c>
      <c r="Q544">
        <v>84.45</v>
      </c>
      <c r="R544">
        <v>3888349472.9699998</v>
      </c>
      <c r="S544">
        <v>1</v>
      </c>
      <c r="T544" t="s">
        <v>6242</v>
      </c>
    </row>
    <row r="545" spans="1:40" x14ac:dyDescent="0.25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16597667164.308599</v>
      </c>
      <c r="J545" t="s">
        <v>4700</v>
      </c>
      <c r="K545">
        <v>110982088.709226</v>
      </c>
      <c r="L545">
        <v>0.9</v>
      </c>
      <c r="M545" t="s">
        <v>5247</v>
      </c>
      <c r="N545">
        <v>0.85273301000000001</v>
      </c>
      <c r="O545">
        <v>29.14</v>
      </c>
      <c r="P545">
        <v>31.58</v>
      </c>
      <c r="Q545">
        <v>24.848639911399999</v>
      </c>
      <c r="R545">
        <v>13773159443.163231</v>
      </c>
      <c r="S545">
        <v>0</v>
      </c>
      <c r="T545" t="s">
        <v>6243</v>
      </c>
    </row>
    <row r="546" spans="1:40" x14ac:dyDescent="0.25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272.75130000000001</v>
      </c>
      <c r="H546" t="s">
        <v>97</v>
      </c>
      <c r="I546">
        <v>73368285903.855011</v>
      </c>
      <c r="J546" t="s">
        <v>4700</v>
      </c>
      <c r="K546">
        <v>293372083.03913403</v>
      </c>
      <c r="L546">
        <v>0.9</v>
      </c>
      <c r="M546" t="s">
        <v>5248</v>
      </c>
      <c r="N546">
        <v>0.85273301000000001</v>
      </c>
      <c r="O546">
        <v>326.14999999999998</v>
      </c>
      <c r="P546">
        <v>319.61</v>
      </c>
      <c r="Q546">
        <v>278.11887121149999</v>
      </c>
      <c r="R546">
        <v>67330914178.859947</v>
      </c>
      <c r="S546">
        <v>0</v>
      </c>
      <c r="T546" t="s">
        <v>6243</v>
      </c>
      <c r="AA546" t="s">
        <v>6249</v>
      </c>
      <c r="AD546" t="s">
        <v>6252</v>
      </c>
      <c r="AF546" t="s">
        <v>6254</v>
      </c>
      <c r="AJ546" t="s">
        <v>6258</v>
      </c>
    </row>
    <row r="547" spans="1:40" x14ac:dyDescent="0.25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42.823009999999996</v>
      </c>
      <c r="H547" t="s">
        <v>97</v>
      </c>
      <c r="I547">
        <v>23228378256.775002</v>
      </c>
      <c r="J547" t="s">
        <v>4700</v>
      </c>
      <c r="K547">
        <v>250947180.20159701</v>
      </c>
      <c r="L547">
        <v>1</v>
      </c>
      <c r="M547" t="s">
        <v>5249</v>
      </c>
      <c r="N547">
        <v>0.85273301000000001</v>
      </c>
      <c r="O547">
        <v>49.92</v>
      </c>
      <c r="P547">
        <v>50.18</v>
      </c>
      <c r="Q547">
        <v>42.568431859199997</v>
      </c>
      <c r="R547">
        <v>23090288072.30621</v>
      </c>
      <c r="S547">
        <v>0</v>
      </c>
      <c r="T547" t="s">
        <v>6243</v>
      </c>
    </row>
    <row r="548" spans="1:40" x14ac:dyDescent="0.25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49.812249999999999</v>
      </c>
      <c r="H548" t="s">
        <v>97</v>
      </c>
      <c r="I548">
        <v>47425137393.050003</v>
      </c>
      <c r="J548" t="s">
        <v>4700</v>
      </c>
      <c r="K548">
        <v>411080279.26053101</v>
      </c>
      <c r="L548">
        <v>1</v>
      </c>
      <c r="M548" t="s">
        <v>5250</v>
      </c>
      <c r="N548">
        <v>0.85273301000000001</v>
      </c>
      <c r="O548">
        <v>58.5</v>
      </c>
      <c r="P548">
        <v>58.37</v>
      </c>
      <c r="Q548">
        <v>49.884881085000004</v>
      </c>
      <c r="R548">
        <v>47494287836.668419</v>
      </c>
      <c r="S548">
        <v>0</v>
      </c>
      <c r="T548" t="s">
        <v>6243</v>
      </c>
    </row>
    <row r="549" spans="1:40" x14ac:dyDescent="0.25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34.520000000000003</v>
      </c>
      <c r="H549" t="s">
        <v>98</v>
      </c>
      <c r="I549">
        <v>53498575541.960007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33.03</v>
      </c>
      <c r="P549">
        <v>34.520000000000003</v>
      </c>
      <c r="Q549">
        <v>33.03</v>
      </c>
      <c r="R549">
        <v>33273107404.348499</v>
      </c>
      <c r="S549">
        <v>0</v>
      </c>
      <c r="T549" t="s">
        <v>6242</v>
      </c>
      <c r="AJ549" t="s">
        <v>6258</v>
      </c>
    </row>
    <row r="550" spans="1:40" x14ac:dyDescent="0.25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2.2275010000000002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0.56652409000000004</v>
      </c>
      <c r="O550">
        <v>5.69</v>
      </c>
      <c r="P550">
        <v>4.0199999999999996</v>
      </c>
      <c r="Q550">
        <v>3.2235220721000011</v>
      </c>
      <c r="R550">
        <v>3644346753.9207191</v>
      </c>
      <c r="S550">
        <v>0</v>
      </c>
      <c r="T550" t="s">
        <v>6244</v>
      </c>
      <c r="U550" t="s">
        <v>6245</v>
      </c>
      <c r="AJ550" t="s">
        <v>6258</v>
      </c>
      <c r="AN550" t="s">
        <v>6262</v>
      </c>
    </row>
    <row r="551" spans="1:40" x14ac:dyDescent="0.25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13493951493.891001</v>
      </c>
      <c r="J551" t="s">
        <v>4699</v>
      </c>
      <c r="K551">
        <v>23042289.044165902</v>
      </c>
      <c r="L551">
        <v>1</v>
      </c>
      <c r="M551" t="s">
        <v>5253</v>
      </c>
      <c r="N551">
        <v>0.13397104000000001</v>
      </c>
      <c r="O551">
        <v>1800</v>
      </c>
      <c r="P551">
        <v>1570</v>
      </c>
      <c r="Q551">
        <v>241.14787200000001</v>
      </c>
      <c r="R551">
        <v>15471760501.55232</v>
      </c>
      <c r="S551">
        <v>0</v>
      </c>
      <c r="T551" t="s">
        <v>6242</v>
      </c>
      <c r="U551" t="s">
        <v>6245</v>
      </c>
    </row>
    <row r="552" spans="1:40" x14ac:dyDescent="0.25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6002863758.0869999</v>
      </c>
      <c r="J552" t="s">
        <v>4701</v>
      </c>
      <c r="K552">
        <v>15338697.908356501</v>
      </c>
      <c r="L552">
        <v>0.45</v>
      </c>
      <c r="M552" t="s">
        <v>5254</v>
      </c>
      <c r="N552">
        <v>0.66458430000000002</v>
      </c>
      <c r="O552">
        <v>0.76</v>
      </c>
      <c r="P552">
        <v>0.745</v>
      </c>
      <c r="Q552">
        <v>0.50508406800000005</v>
      </c>
      <c r="R552">
        <v>2748824932.7599959</v>
      </c>
      <c r="S552">
        <v>0</v>
      </c>
      <c r="T552" t="s">
        <v>6244</v>
      </c>
      <c r="U552" t="s">
        <v>6245</v>
      </c>
    </row>
    <row r="553" spans="1:40" x14ac:dyDescent="0.25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0.85273301000000001</v>
      </c>
      <c r="O553">
        <v>141.28</v>
      </c>
      <c r="P553">
        <v>139.5</v>
      </c>
      <c r="Q553">
        <v>120.4741196528</v>
      </c>
      <c r="R553">
        <v>16757022392.98315</v>
      </c>
      <c r="S553">
        <v>0</v>
      </c>
      <c r="T553" t="s">
        <v>6243</v>
      </c>
      <c r="AJ553" t="s">
        <v>6258</v>
      </c>
    </row>
    <row r="554" spans="1:40" x14ac:dyDescent="0.25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70.321600000000004</v>
      </c>
      <c r="H554" t="s">
        <v>4694</v>
      </c>
      <c r="I554">
        <v>5767634175.9359999</v>
      </c>
      <c r="J554" t="s">
        <v>4699</v>
      </c>
      <c r="K554">
        <v>9350478.6516977698</v>
      </c>
      <c r="L554">
        <v>0.95</v>
      </c>
      <c r="M554" t="s">
        <v>5256</v>
      </c>
      <c r="N554">
        <v>1.07032003</v>
      </c>
      <c r="O554">
        <v>64.900000000000006</v>
      </c>
      <c r="P554">
        <v>66.05</v>
      </c>
      <c r="Q554">
        <v>69.463769947000003</v>
      </c>
      <c r="R554">
        <v>5412412869.7141361</v>
      </c>
      <c r="S554">
        <v>0</v>
      </c>
      <c r="T554" t="s">
        <v>6242</v>
      </c>
      <c r="U554" t="s">
        <v>6245</v>
      </c>
      <c r="W554" t="s">
        <v>6247</v>
      </c>
    </row>
    <row r="555" spans="1:40" x14ac:dyDescent="0.25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4754316558.5472002</v>
      </c>
      <c r="J555" t="s">
        <v>4699</v>
      </c>
      <c r="K555">
        <v>10063306.677234201</v>
      </c>
      <c r="L555">
        <v>0.85</v>
      </c>
      <c r="M555" t="s">
        <v>5257</v>
      </c>
      <c r="N555">
        <v>9.1395149999999994E-2</v>
      </c>
      <c r="O555">
        <v>211.8</v>
      </c>
      <c r="P555">
        <v>208.4</v>
      </c>
      <c r="Q555">
        <v>19.35749277</v>
      </c>
      <c r="R555">
        <v>4181789765.04036</v>
      </c>
      <c r="S555">
        <v>0</v>
      </c>
      <c r="T555" t="s">
        <v>6242</v>
      </c>
      <c r="U555" t="s">
        <v>6245</v>
      </c>
    </row>
    <row r="556" spans="1:40" x14ac:dyDescent="0.25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8105700.6210606098</v>
      </c>
      <c r="L556">
        <v>0.55000000000000004</v>
      </c>
      <c r="M556" t="s">
        <v>5258</v>
      </c>
      <c r="N556">
        <v>1</v>
      </c>
      <c r="O556">
        <v>15.87</v>
      </c>
      <c r="P556">
        <v>17.05</v>
      </c>
      <c r="Q556">
        <v>15.87</v>
      </c>
      <c r="R556">
        <v>4800675000</v>
      </c>
      <c r="S556">
        <v>1</v>
      </c>
      <c r="T556" t="s">
        <v>6242</v>
      </c>
      <c r="W556" t="s">
        <v>6247</v>
      </c>
    </row>
    <row r="557" spans="1:40" x14ac:dyDescent="0.25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97.943330000000003</v>
      </c>
      <c r="H557" t="s">
        <v>97</v>
      </c>
      <c r="I557">
        <v>121528759672.97701</v>
      </c>
      <c r="J557" t="s">
        <v>4700</v>
      </c>
      <c r="K557">
        <v>691046479.12710404</v>
      </c>
      <c r="L557">
        <v>1</v>
      </c>
      <c r="M557" t="s">
        <v>5259</v>
      </c>
      <c r="N557">
        <v>0.85273301000000001</v>
      </c>
      <c r="O557">
        <v>114.55</v>
      </c>
      <c r="P557">
        <v>114.77</v>
      </c>
      <c r="Q557">
        <v>97.6805662955</v>
      </c>
      <c r="R557">
        <v>121202720655.3638</v>
      </c>
      <c r="S557">
        <v>0</v>
      </c>
      <c r="T557" t="s">
        <v>6243</v>
      </c>
    </row>
    <row r="558" spans="1:40" x14ac:dyDescent="0.25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33719449428.035999</v>
      </c>
      <c r="J558" t="s">
        <v>4699</v>
      </c>
      <c r="K558">
        <v>59727064.162425198</v>
      </c>
      <c r="L558">
        <v>0.9</v>
      </c>
      <c r="M558" t="s">
        <v>5260</v>
      </c>
      <c r="N558">
        <v>1.07032003</v>
      </c>
      <c r="O558">
        <v>3411</v>
      </c>
      <c r="P558">
        <v>3430</v>
      </c>
      <c r="Q558">
        <v>3650.86162233</v>
      </c>
      <c r="R558">
        <v>30339490287.49522</v>
      </c>
      <c r="S558">
        <v>0</v>
      </c>
      <c r="T558" t="s">
        <v>6242</v>
      </c>
      <c r="U558" t="s">
        <v>6245</v>
      </c>
    </row>
    <row r="559" spans="1:40" x14ac:dyDescent="0.25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7004838.0225643003</v>
      </c>
      <c r="L559">
        <v>0.4</v>
      </c>
      <c r="M559" t="s">
        <v>5261</v>
      </c>
      <c r="N559">
        <v>8.6344599999999994E-2</v>
      </c>
      <c r="O559">
        <v>283.2</v>
      </c>
      <c r="P559">
        <v>289</v>
      </c>
      <c r="Q559">
        <v>24.452790719999999</v>
      </c>
      <c r="R559">
        <v>4890558143.999999</v>
      </c>
      <c r="S559">
        <v>0</v>
      </c>
      <c r="T559" t="s">
        <v>6242</v>
      </c>
      <c r="U559" t="s">
        <v>6245</v>
      </c>
      <c r="W559" t="s">
        <v>6247</v>
      </c>
    </row>
    <row r="560" spans="1:40" x14ac:dyDescent="0.25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3605240333.4400001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13.93</v>
      </c>
      <c r="P560">
        <v>14.29</v>
      </c>
      <c r="Q560">
        <v>13.93</v>
      </c>
      <c r="R560">
        <v>2635811643.3600001</v>
      </c>
      <c r="S560">
        <v>0</v>
      </c>
      <c r="T560" t="s">
        <v>6242</v>
      </c>
      <c r="W560" t="s">
        <v>6247</v>
      </c>
    </row>
    <row r="561" spans="1:40" x14ac:dyDescent="0.25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40412618735.246002</v>
      </c>
      <c r="J561" t="s">
        <v>4699</v>
      </c>
      <c r="K561">
        <v>100959281.64128</v>
      </c>
      <c r="L561">
        <v>0.8</v>
      </c>
      <c r="M561" t="s">
        <v>5263</v>
      </c>
      <c r="N561">
        <v>1.156136E-2</v>
      </c>
      <c r="O561">
        <v>303.5</v>
      </c>
      <c r="P561">
        <v>294.3</v>
      </c>
      <c r="Q561">
        <v>3.50887276</v>
      </c>
      <c r="R561">
        <v>33397706375.616928</v>
      </c>
      <c r="S561">
        <v>0</v>
      </c>
      <c r="T561" t="s">
        <v>6242</v>
      </c>
      <c r="AH561" t="s">
        <v>6256</v>
      </c>
      <c r="AJ561" t="s">
        <v>6258</v>
      </c>
      <c r="AN561" t="s">
        <v>6262</v>
      </c>
    </row>
    <row r="562" spans="1:40" x14ac:dyDescent="0.25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76.813450000000003</v>
      </c>
      <c r="H562" t="s">
        <v>97</v>
      </c>
      <c r="I562">
        <v>18635488345.494999</v>
      </c>
      <c r="J562" t="s">
        <v>4700</v>
      </c>
      <c r="K562">
        <v>184188024.65941799</v>
      </c>
      <c r="L562">
        <v>1</v>
      </c>
      <c r="M562" t="s">
        <v>5264</v>
      </c>
      <c r="N562">
        <v>0.85273301000000001</v>
      </c>
      <c r="O562">
        <v>85.35</v>
      </c>
      <c r="P562">
        <v>90.01</v>
      </c>
      <c r="Q562">
        <v>72.780762403499992</v>
      </c>
      <c r="R562">
        <v>17657129702.502159</v>
      </c>
      <c r="S562">
        <v>0</v>
      </c>
      <c r="T562" t="s">
        <v>6243</v>
      </c>
      <c r="AJ562" t="s">
        <v>6258</v>
      </c>
    </row>
    <row r="563" spans="1:40" x14ac:dyDescent="0.25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802.51179999999999</v>
      </c>
      <c r="H563" t="s">
        <v>99</v>
      </c>
      <c r="I563">
        <v>3850235740.7258</v>
      </c>
      <c r="J563" t="s">
        <v>4701</v>
      </c>
      <c r="K563">
        <v>8032992.8954473501</v>
      </c>
      <c r="L563">
        <v>1</v>
      </c>
      <c r="M563" t="s">
        <v>5265</v>
      </c>
      <c r="N563">
        <v>5.7743899999999999E-3</v>
      </c>
      <c r="O563">
        <v>135600</v>
      </c>
      <c r="P563">
        <v>138100</v>
      </c>
      <c r="Q563">
        <v>783.00728400000003</v>
      </c>
      <c r="R563">
        <v>3756658319.6726041</v>
      </c>
      <c r="S563">
        <v>0</v>
      </c>
      <c r="T563" t="s">
        <v>6244</v>
      </c>
      <c r="W563" t="s">
        <v>6247</v>
      </c>
    </row>
    <row r="564" spans="1:40" x14ac:dyDescent="0.25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17376431912.355999</v>
      </c>
      <c r="J564" t="s">
        <v>4700</v>
      </c>
      <c r="K564">
        <v>238431254.09926</v>
      </c>
      <c r="L564">
        <v>1</v>
      </c>
      <c r="M564" t="s">
        <v>5266</v>
      </c>
      <c r="N564">
        <v>0.85273301000000001</v>
      </c>
      <c r="O564">
        <v>145.09</v>
      </c>
      <c r="P564">
        <v>147.07</v>
      </c>
      <c r="Q564">
        <v>123.7230324209</v>
      </c>
      <c r="R564">
        <v>17129332590.10183</v>
      </c>
      <c r="S564">
        <v>0</v>
      </c>
      <c r="T564" t="s">
        <v>6243</v>
      </c>
    </row>
    <row r="565" spans="1:40" x14ac:dyDescent="0.25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0.85273301000000001</v>
      </c>
      <c r="O565">
        <v>780.06</v>
      </c>
      <c r="P565">
        <v>741.89</v>
      </c>
      <c r="Q565">
        <v>665.18291178059997</v>
      </c>
      <c r="R565">
        <v>201364902755.42621</v>
      </c>
      <c r="S565">
        <v>0</v>
      </c>
      <c r="T565" t="s">
        <v>6243</v>
      </c>
      <c r="AJ565" t="s">
        <v>6258</v>
      </c>
    </row>
    <row r="566" spans="1:40" x14ac:dyDescent="0.25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38153454448.724998</v>
      </c>
      <c r="J566" t="s">
        <v>4701</v>
      </c>
      <c r="K566">
        <v>61009410.448150396</v>
      </c>
      <c r="L566">
        <v>1</v>
      </c>
      <c r="M566" t="s">
        <v>5268</v>
      </c>
      <c r="N566">
        <v>0.56652409000000004</v>
      </c>
      <c r="O566">
        <v>34.369999999999997</v>
      </c>
      <c r="P566">
        <v>33.9</v>
      </c>
      <c r="Q566">
        <v>19.471432973300001</v>
      </c>
      <c r="R566">
        <v>39549430290.86776</v>
      </c>
      <c r="S566">
        <v>0</v>
      </c>
      <c r="T566" t="s">
        <v>6244</v>
      </c>
      <c r="U566" t="s">
        <v>6245</v>
      </c>
      <c r="AN566" t="s">
        <v>6262</v>
      </c>
    </row>
    <row r="567" spans="1:40" x14ac:dyDescent="0.25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3.0697410000000001</v>
      </c>
      <c r="H567" t="s">
        <v>4691</v>
      </c>
      <c r="I567">
        <v>5880326483.4533997</v>
      </c>
      <c r="J567" t="s">
        <v>4701</v>
      </c>
      <c r="K567">
        <v>26724305.160612501</v>
      </c>
      <c r="L567">
        <v>1</v>
      </c>
      <c r="M567" t="s">
        <v>5269</v>
      </c>
      <c r="N567">
        <v>0.56652409000000004</v>
      </c>
      <c r="O567">
        <v>5.51</v>
      </c>
      <c r="P567">
        <v>5.54</v>
      </c>
      <c r="Q567">
        <v>3.1215477359000001</v>
      </c>
      <c r="R567">
        <v>5979566295.9112091</v>
      </c>
      <c r="S567">
        <v>0</v>
      </c>
      <c r="T567" t="s">
        <v>6244</v>
      </c>
      <c r="U567" t="s">
        <v>6245</v>
      </c>
    </row>
    <row r="568" spans="1:40" x14ac:dyDescent="0.25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0.98353599999999997</v>
      </c>
      <c r="H568" t="s">
        <v>4691</v>
      </c>
      <c r="I568">
        <v>2906634892.2687998</v>
      </c>
      <c r="J568" t="s">
        <v>4701</v>
      </c>
      <c r="K568">
        <v>5772770.0750458296</v>
      </c>
      <c r="L568">
        <v>1</v>
      </c>
      <c r="M568" t="s">
        <v>5270</v>
      </c>
      <c r="N568">
        <v>0.56652409000000004</v>
      </c>
      <c r="O568">
        <v>1.6850000000000001</v>
      </c>
      <c r="P568">
        <v>1.7749999999999999</v>
      </c>
      <c r="Q568">
        <v>0.95459309165000006</v>
      </c>
      <c r="R568">
        <v>2821100181.4968019</v>
      </c>
      <c r="S568">
        <v>0</v>
      </c>
      <c r="T568" t="s">
        <v>6244</v>
      </c>
      <c r="U568" t="s">
        <v>6245</v>
      </c>
      <c r="W568" t="s">
        <v>6247</v>
      </c>
      <c r="AJ568" t="s">
        <v>6258</v>
      </c>
    </row>
    <row r="569" spans="1:40" x14ac:dyDescent="0.25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21530335.949189398</v>
      </c>
      <c r="L569">
        <v>0.7</v>
      </c>
      <c r="M569" t="s">
        <v>5271</v>
      </c>
      <c r="N569">
        <v>1</v>
      </c>
      <c r="O569">
        <v>12.05</v>
      </c>
      <c r="P569">
        <v>12.395</v>
      </c>
      <c r="Q569">
        <v>12.05</v>
      </c>
      <c r="R569">
        <v>3594404863</v>
      </c>
      <c r="S569">
        <v>0</v>
      </c>
      <c r="T569" t="s">
        <v>6242</v>
      </c>
    </row>
    <row r="570" spans="1:40" x14ac:dyDescent="0.25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3354768.5965909101</v>
      </c>
      <c r="L570">
        <v>0.4</v>
      </c>
      <c r="M570" t="s">
        <v>5272</v>
      </c>
      <c r="N570">
        <v>1</v>
      </c>
      <c r="O570">
        <v>48.8</v>
      </c>
      <c r="P570">
        <v>48.9</v>
      </c>
      <c r="Q570">
        <v>48.8</v>
      </c>
      <c r="R570">
        <v>2342400000</v>
      </c>
      <c r="S570">
        <v>0</v>
      </c>
      <c r="T570" t="s">
        <v>6242</v>
      </c>
      <c r="W570" t="s">
        <v>6247</v>
      </c>
      <c r="AJ570" t="s">
        <v>6258</v>
      </c>
    </row>
    <row r="571" spans="1:40" x14ac:dyDescent="0.25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17.075859999999999</v>
      </c>
      <c r="H571" t="s">
        <v>96</v>
      </c>
      <c r="I571">
        <v>69536795216.080002</v>
      </c>
      <c r="J571" t="s">
        <v>4699</v>
      </c>
      <c r="K571">
        <v>107929853.296655</v>
      </c>
      <c r="L571">
        <v>1</v>
      </c>
      <c r="M571" t="s">
        <v>5273</v>
      </c>
      <c r="N571">
        <v>1.156136E-2</v>
      </c>
      <c r="O571">
        <v>1503.5</v>
      </c>
      <c r="P571">
        <v>1479.5</v>
      </c>
      <c r="Q571">
        <v>17.38250476</v>
      </c>
      <c r="R571">
        <v>70785522593.805283</v>
      </c>
      <c r="S571">
        <v>0</v>
      </c>
      <c r="T571" t="s">
        <v>6242</v>
      </c>
    </row>
    <row r="572" spans="1:40" x14ac:dyDescent="0.25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159.1</v>
      </c>
      <c r="P572">
        <v>158.5</v>
      </c>
      <c r="Q572">
        <v>159.1</v>
      </c>
      <c r="R572">
        <v>5905437525.1999998</v>
      </c>
      <c r="S572">
        <v>1</v>
      </c>
      <c r="T572" t="s">
        <v>6242</v>
      </c>
      <c r="AJ572" t="s">
        <v>6258</v>
      </c>
    </row>
    <row r="573" spans="1:40" x14ac:dyDescent="0.25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15375436393.129999</v>
      </c>
      <c r="J573" t="s">
        <v>4700</v>
      </c>
      <c r="K573">
        <v>169921910.16146699</v>
      </c>
      <c r="L573">
        <v>1</v>
      </c>
      <c r="M573" t="s">
        <v>5275</v>
      </c>
      <c r="N573">
        <v>0.85273301000000001</v>
      </c>
      <c r="O573">
        <v>252.94</v>
      </c>
      <c r="P573">
        <v>213.99</v>
      </c>
      <c r="Q573">
        <v>215.69028754940001</v>
      </c>
      <c r="R573">
        <v>18160091212.084999</v>
      </c>
      <c r="S573">
        <v>0</v>
      </c>
      <c r="T573" t="s">
        <v>6243</v>
      </c>
    </row>
    <row r="574" spans="1:40" x14ac:dyDescent="0.25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9.1524710000000002</v>
      </c>
      <c r="H574" t="s">
        <v>99</v>
      </c>
      <c r="I574">
        <v>3714879796.69278</v>
      </c>
      <c r="J574" t="s">
        <v>4701</v>
      </c>
      <c r="K574">
        <v>8844218.3856414296</v>
      </c>
      <c r="L574">
        <v>0.95</v>
      </c>
      <c r="M574" t="s">
        <v>5276</v>
      </c>
      <c r="N574">
        <v>5.7743899999999999E-3</v>
      </c>
      <c r="O574">
        <v>1613.5</v>
      </c>
      <c r="P574">
        <v>1575</v>
      </c>
      <c r="Q574">
        <v>9.3169782649999995</v>
      </c>
      <c r="R574">
        <v>3592568783.5263872</v>
      </c>
      <c r="S574">
        <v>0</v>
      </c>
      <c r="T574" t="s">
        <v>6244</v>
      </c>
      <c r="W574" t="s">
        <v>6247</v>
      </c>
      <c r="AJ574" t="s">
        <v>6258</v>
      </c>
    </row>
    <row r="575" spans="1:40" x14ac:dyDescent="0.25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8.3737840000000006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5.7743899999999999E-3</v>
      </c>
      <c r="O575">
        <v>1493.5</v>
      </c>
      <c r="P575">
        <v>1441</v>
      </c>
      <c r="Q575">
        <v>8.6240514649999991</v>
      </c>
      <c r="R575">
        <v>4045361941.6577449</v>
      </c>
      <c r="S575">
        <v>0</v>
      </c>
      <c r="T575" t="s">
        <v>6244</v>
      </c>
      <c r="AJ575" t="s">
        <v>6258</v>
      </c>
    </row>
    <row r="576" spans="1:40" x14ac:dyDescent="0.25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142.19999999999999</v>
      </c>
      <c r="P576">
        <v>129.6</v>
      </c>
      <c r="Q576">
        <v>142.19999999999999</v>
      </c>
      <c r="R576">
        <v>3212684215.1999998</v>
      </c>
      <c r="S576">
        <v>0</v>
      </c>
      <c r="T576" t="s">
        <v>6242</v>
      </c>
      <c r="W576" t="s">
        <v>6247</v>
      </c>
      <c r="AJ576" t="s">
        <v>6258</v>
      </c>
    </row>
    <row r="577" spans="1:40" x14ac:dyDescent="0.25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4.2069289999999997</v>
      </c>
      <c r="H577" t="s">
        <v>96</v>
      </c>
      <c r="I577">
        <v>37722754061.134987</v>
      </c>
      <c r="J577" t="s">
        <v>4699</v>
      </c>
      <c r="K577">
        <v>67116184.481418699</v>
      </c>
      <c r="L577">
        <v>1</v>
      </c>
      <c r="M577" t="s">
        <v>5279</v>
      </c>
      <c r="N577">
        <v>1.156136E-2</v>
      </c>
      <c r="O577">
        <v>361.9</v>
      </c>
      <c r="P577">
        <v>364.5</v>
      </c>
      <c r="Q577">
        <v>4.1840561839999992</v>
      </c>
      <c r="R577">
        <v>37517657751.533951</v>
      </c>
      <c r="S577">
        <v>0</v>
      </c>
      <c r="T577" t="s">
        <v>6242</v>
      </c>
    </row>
    <row r="578" spans="1:40" x14ac:dyDescent="0.25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19.004950000000001</v>
      </c>
      <c r="H578" t="s">
        <v>97</v>
      </c>
      <c r="I578">
        <v>16203660280.395</v>
      </c>
      <c r="J578" t="s">
        <v>4700</v>
      </c>
      <c r="K578">
        <v>274381611.50481099</v>
      </c>
      <c r="L578">
        <v>1</v>
      </c>
      <c r="M578" t="s">
        <v>5280</v>
      </c>
      <c r="N578">
        <v>0.85273301000000001</v>
      </c>
      <c r="O578">
        <v>22.23</v>
      </c>
      <c r="P578">
        <v>22.27</v>
      </c>
      <c r="Q578">
        <v>18.956254812299999</v>
      </c>
      <c r="R578">
        <v>16162142661.102091</v>
      </c>
      <c r="S578">
        <v>0</v>
      </c>
      <c r="T578" t="s">
        <v>6243</v>
      </c>
      <c r="AJ578" t="s">
        <v>6258</v>
      </c>
    </row>
    <row r="579" spans="1:40" x14ac:dyDescent="0.25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18441925.440422401</v>
      </c>
      <c r="L579">
        <v>1</v>
      </c>
      <c r="M579" t="s">
        <v>5281</v>
      </c>
      <c r="N579">
        <v>1.156136E-2</v>
      </c>
      <c r="O579">
        <v>3306</v>
      </c>
      <c r="P579">
        <v>3260</v>
      </c>
      <c r="Q579">
        <v>38.221856160000002</v>
      </c>
      <c r="R579">
        <v>14510750341.731421</v>
      </c>
      <c r="S579">
        <v>0</v>
      </c>
      <c r="T579" t="s">
        <v>6242</v>
      </c>
      <c r="AJ579" t="s">
        <v>6258</v>
      </c>
      <c r="AN579" t="s">
        <v>6262</v>
      </c>
    </row>
    <row r="580" spans="1:40" x14ac:dyDescent="0.25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9.6086419999999997</v>
      </c>
      <c r="H580" t="s">
        <v>99</v>
      </c>
      <c r="I580">
        <v>3066993009.4861999</v>
      </c>
      <c r="J580" t="s">
        <v>4701</v>
      </c>
      <c r="K580">
        <v>19188665.423366699</v>
      </c>
      <c r="L580">
        <v>0.9</v>
      </c>
      <c r="M580" t="s">
        <v>5282</v>
      </c>
      <c r="N580">
        <v>5.7743899999999999E-3</v>
      </c>
      <c r="O580">
        <v>1613</v>
      </c>
      <c r="P580">
        <v>1653.5</v>
      </c>
      <c r="Q580">
        <v>9.3140910699999999</v>
      </c>
      <c r="R580">
        <v>2675677476.720129</v>
      </c>
      <c r="S580">
        <v>0</v>
      </c>
      <c r="T580" t="s">
        <v>6244</v>
      </c>
    </row>
    <row r="581" spans="1:40" x14ac:dyDescent="0.25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12.319509999999999</v>
      </c>
      <c r="H581" t="s">
        <v>4692</v>
      </c>
      <c r="I581">
        <v>23188614520.875999</v>
      </c>
      <c r="J581" t="s">
        <v>4701</v>
      </c>
      <c r="K581">
        <v>25639661.465057701</v>
      </c>
      <c r="L581">
        <v>0.35</v>
      </c>
      <c r="M581" t="s">
        <v>5283</v>
      </c>
      <c r="N581">
        <v>0.10956983000000001</v>
      </c>
      <c r="O581">
        <v>119.3</v>
      </c>
      <c r="P581">
        <v>112.8</v>
      </c>
      <c r="Q581">
        <v>13.071680719</v>
      </c>
      <c r="R581">
        <v>8611540383.2214413</v>
      </c>
      <c r="S581">
        <v>0</v>
      </c>
      <c r="T581" t="s">
        <v>6244</v>
      </c>
      <c r="U581" t="s">
        <v>6245</v>
      </c>
      <c r="AJ581" t="s">
        <v>6258</v>
      </c>
    </row>
    <row r="582" spans="1:40" x14ac:dyDescent="0.25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13859201.478859499</v>
      </c>
      <c r="L582">
        <v>0.95</v>
      </c>
      <c r="M582" t="s">
        <v>5284</v>
      </c>
      <c r="N582">
        <v>5.7743899999999999E-3</v>
      </c>
      <c r="O582">
        <v>4411</v>
      </c>
      <c r="P582">
        <v>4454</v>
      </c>
      <c r="Q582">
        <v>25.470834289999999</v>
      </c>
      <c r="R582">
        <v>6122126989.8844604</v>
      </c>
      <c r="S582">
        <v>0</v>
      </c>
      <c r="T582" t="s">
        <v>6244</v>
      </c>
      <c r="AJ582" t="s">
        <v>6258</v>
      </c>
    </row>
    <row r="583" spans="1:40" x14ac:dyDescent="0.25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23658187.318181802</v>
      </c>
      <c r="L583">
        <v>0.5</v>
      </c>
      <c r="M583" t="s">
        <v>5285</v>
      </c>
      <c r="N583">
        <v>1</v>
      </c>
      <c r="O583">
        <v>249.8</v>
      </c>
      <c r="P583">
        <v>252.6</v>
      </c>
      <c r="Q583">
        <v>249.8</v>
      </c>
      <c r="R583">
        <v>15062582786</v>
      </c>
      <c r="S583">
        <v>0</v>
      </c>
      <c r="T583" t="s">
        <v>6242</v>
      </c>
      <c r="AJ583" t="s">
        <v>6258</v>
      </c>
    </row>
    <row r="584" spans="1:40" x14ac:dyDescent="0.25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32157912043.026001</v>
      </c>
      <c r="J584" t="s">
        <v>4700</v>
      </c>
      <c r="K584">
        <v>170904868.88745701</v>
      </c>
      <c r="L584">
        <v>1</v>
      </c>
      <c r="M584" t="s">
        <v>5286</v>
      </c>
      <c r="N584">
        <v>0.85273301000000001</v>
      </c>
      <c r="O584">
        <v>132.52000000000001</v>
      </c>
      <c r="P584">
        <v>134.02000000000001</v>
      </c>
      <c r="Q584">
        <v>113.0041784852</v>
      </c>
      <c r="R584">
        <v>31773572451.619968</v>
      </c>
      <c r="S584">
        <v>0</v>
      </c>
      <c r="T584" t="s">
        <v>6243</v>
      </c>
      <c r="AJ584" t="s">
        <v>6258</v>
      </c>
    </row>
    <row r="585" spans="1:40" x14ac:dyDescent="0.25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14.428940000000001</v>
      </c>
      <c r="H585" t="s">
        <v>99</v>
      </c>
      <c r="I585">
        <v>4340144349.9359999</v>
      </c>
      <c r="J585" t="s">
        <v>4701</v>
      </c>
      <c r="K585">
        <v>10042145.8368784</v>
      </c>
      <c r="L585">
        <v>0.9</v>
      </c>
      <c r="M585" t="s">
        <v>5287</v>
      </c>
      <c r="N585">
        <v>5.7743899999999999E-3</v>
      </c>
      <c r="O585">
        <v>2544</v>
      </c>
      <c r="P585">
        <v>2483</v>
      </c>
      <c r="Q585">
        <v>14.69004816</v>
      </c>
      <c r="R585">
        <v>3976815800.032474</v>
      </c>
      <c r="S585">
        <v>0</v>
      </c>
      <c r="T585" t="s">
        <v>6244</v>
      </c>
    </row>
    <row r="586" spans="1:40" x14ac:dyDescent="0.25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345.59649999999999</v>
      </c>
      <c r="H586" t="s">
        <v>97</v>
      </c>
      <c r="I586">
        <v>80867334622.75</v>
      </c>
      <c r="J586" t="s">
        <v>4700</v>
      </c>
      <c r="K586">
        <v>455259013.23098397</v>
      </c>
      <c r="L586">
        <v>0.7</v>
      </c>
      <c r="M586" t="s">
        <v>5288</v>
      </c>
      <c r="N586">
        <v>0.85273301000000001</v>
      </c>
      <c r="O586">
        <v>405.13</v>
      </c>
      <c r="P586">
        <v>404.97</v>
      </c>
      <c r="Q586">
        <v>345.46772434130003</v>
      </c>
      <c r="R586">
        <v>56586041368.95919</v>
      </c>
      <c r="S586">
        <v>0</v>
      </c>
      <c r="T586" t="s">
        <v>6243</v>
      </c>
      <c r="AN586" t="s">
        <v>6262</v>
      </c>
    </row>
    <row r="587" spans="1:40" x14ac:dyDescent="0.25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71202877.939772695</v>
      </c>
      <c r="L587">
        <v>0.7</v>
      </c>
      <c r="M587" t="s">
        <v>5289</v>
      </c>
      <c r="N587">
        <v>1</v>
      </c>
      <c r="O587">
        <v>203.1</v>
      </c>
      <c r="P587">
        <v>202.9</v>
      </c>
      <c r="Q587">
        <v>203.1</v>
      </c>
      <c r="R587">
        <v>25367501149.200001</v>
      </c>
      <c r="S587">
        <v>0</v>
      </c>
      <c r="T587" t="s">
        <v>6242</v>
      </c>
    </row>
    <row r="588" spans="1:40" x14ac:dyDescent="0.25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59216991.126363598</v>
      </c>
      <c r="L588">
        <v>0.5</v>
      </c>
      <c r="M588" t="s">
        <v>5290</v>
      </c>
      <c r="N588">
        <v>1</v>
      </c>
      <c r="O588">
        <v>66</v>
      </c>
      <c r="P588">
        <v>70.86</v>
      </c>
      <c r="Q588">
        <v>66</v>
      </c>
      <c r="R588">
        <v>19008086229</v>
      </c>
      <c r="S588">
        <v>0</v>
      </c>
      <c r="T588" t="s">
        <v>6242</v>
      </c>
    </row>
    <row r="589" spans="1:40" x14ac:dyDescent="0.25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228.26570000000001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1.07032003</v>
      </c>
      <c r="O589">
        <v>198.2</v>
      </c>
      <c r="P589">
        <v>214.4</v>
      </c>
      <c r="Q589">
        <v>212.137429946</v>
      </c>
      <c r="R589">
        <v>7311676011.1776762</v>
      </c>
      <c r="S589">
        <v>0</v>
      </c>
      <c r="T589" t="s">
        <v>6242</v>
      </c>
      <c r="U589" t="s">
        <v>6245</v>
      </c>
      <c r="AJ589" t="s">
        <v>6258</v>
      </c>
    </row>
    <row r="590" spans="1:40" x14ac:dyDescent="0.25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14371545957.599001</v>
      </c>
      <c r="J590" t="s">
        <v>4701</v>
      </c>
      <c r="K590">
        <v>26680143.502050102</v>
      </c>
      <c r="L590">
        <v>0.3</v>
      </c>
      <c r="M590" t="s">
        <v>5292</v>
      </c>
      <c r="N590">
        <v>0.10956983000000001</v>
      </c>
      <c r="O590">
        <v>28.16</v>
      </c>
      <c r="P590">
        <v>27.18</v>
      </c>
      <c r="Q590">
        <v>3.0854864127999999</v>
      </c>
      <c r="R590">
        <v>4481410142.2819662</v>
      </c>
      <c r="S590">
        <v>0</v>
      </c>
      <c r="T590" t="s">
        <v>6244</v>
      </c>
      <c r="U590" t="s">
        <v>6245</v>
      </c>
      <c r="AG590" t="s">
        <v>6255</v>
      </c>
      <c r="AH590" t="s">
        <v>6256</v>
      </c>
    </row>
    <row r="591" spans="1:40" x14ac:dyDescent="0.25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31048927.618333299</v>
      </c>
      <c r="L591">
        <v>0.9</v>
      </c>
      <c r="M591" t="s">
        <v>5293</v>
      </c>
      <c r="N591">
        <v>1</v>
      </c>
      <c r="O591">
        <v>73.819999999999993</v>
      </c>
      <c r="P591">
        <v>73.92</v>
      </c>
      <c r="Q591">
        <v>73.819999999999993</v>
      </c>
      <c r="R591">
        <v>11836784757.059999</v>
      </c>
      <c r="S591">
        <v>0</v>
      </c>
      <c r="T591" t="s">
        <v>6242</v>
      </c>
    </row>
    <row r="592" spans="1:40" x14ac:dyDescent="0.25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13.029059999999999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9.1395149999999994E-2</v>
      </c>
      <c r="O592">
        <v>146.15</v>
      </c>
      <c r="P592">
        <v>145.15</v>
      </c>
      <c r="Q592">
        <v>13.357401172499999</v>
      </c>
      <c r="R592">
        <v>6592304781.8922577</v>
      </c>
      <c r="S592">
        <v>0</v>
      </c>
      <c r="T592" t="s">
        <v>6242</v>
      </c>
      <c r="U592" t="s">
        <v>6245</v>
      </c>
    </row>
    <row r="593" spans="1:40" x14ac:dyDescent="0.25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67381563.282575801</v>
      </c>
      <c r="L593">
        <v>0.5</v>
      </c>
      <c r="M593" t="s">
        <v>5295</v>
      </c>
      <c r="N593">
        <v>1</v>
      </c>
      <c r="O593">
        <v>93.3</v>
      </c>
      <c r="P593">
        <v>86.55</v>
      </c>
      <c r="Q593">
        <v>93.3</v>
      </c>
      <c r="R593">
        <v>5388075000</v>
      </c>
      <c r="S593">
        <v>0</v>
      </c>
      <c r="T593" t="s">
        <v>6242</v>
      </c>
      <c r="AJ593" t="s">
        <v>6258</v>
      </c>
      <c r="AN593" t="s">
        <v>6262</v>
      </c>
    </row>
    <row r="594" spans="1:40" x14ac:dyDescent="0.25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3.7360000000000002</v>
      </c>
      <c r="H594" t="s">
        <v>98</v>
      </c>
      <c r="I594">
        <v>5564916751.3200006</v>
      </c>
      <c r="J594" t="s">
        <v>4702</v>
      </c>
      <c r="K594">
        <v>10792846.102384601</v>
      </c>
      <c r="L594">
        <v>0.55000000000000004</v>
      </c>
      <c r="M594" t="s">
        <v>5296</v>
      </c>
      <c r="N594">
        <v>1</v>
      </c>
      <c r="O594">
        <v>3.714</v>
      </c>
      <c r="P594">
        <v>3.7360000000000002</v>
      </c>
      <c r="Q594">
        <v>3.714</v>
      </c>
      <c r="R594">
        <v>3042680794.4115</v>
      </c>
      <c r="S594">
        <v>0</v>
      </c>
      <c r="T594" t="s">
        <v>6242</v>
      </c>
      <c r="AH594" t="s">
        <v>6256</v>
      </c>
    </row>
    <row r="595" spans="1:40" x14ac:dyDescent="0.25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124022566.03787901</v>
      </c>
      <c r="L595">
        <v>0.3</v>
      </c>
      <c r="M595" t="s">
        <v>5297</v>
      </c>
      <c r="N595">
        <v>1</v>
      </c>
      <c r="O595">
        <v>2090</v>
      </c>
      <c r="P595">
        <v>2095</v>
      </c>
      <c r="Q595">
        <v>2090</v>
      </c>
      <c r="R595">
        <v>66192021324.000008</v>
      </c>
      <c r="S595">
        <v>1</v>
      </c>
      <c r="T595" t="s">
        <v>6242</v>
      </c>
    </row>
    <row r="596" spans="1:40" x14ac:dyDescent="0.25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154.83019999999999</v>
      </c>
      <c r="H596" t="s">
        <v>97</v>
      </c>
      <c r="I596">
        <v>22932012399.743999</v>
      </c>
      <c r="J596" t="s">
        <v>4700</v>
      </c>
      <c r="K596">
        <v>264514011.841115</v>
      </c>
      <c r="L596">
        <v>1</v>
      </c>
      <c r="M596" t="s">
        <v>5298</v>
      </c>
      <c r="N596">
        <v>0.85273301000000001</v>
      </c>
      <c r="O596">
        <v>185.01</v>
      </c>
      <c r="P596">
        <v>181.43</v>
      </c>
      <c r="Q596">
        <v>157.7641341801</v>
      </c>
      <c r="R596">
        <v>23366559503.591221</v>
      </c>
      <c r="S596">
        <v>0</v>
      </c>
      <c r="T596" t="s">
        <v>6243</v>
      </c>
    </row>
    <row r="597" spans="1:40" x14ac:dyDescent="0.25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19.158560000000001</v>
      </c>
      <c r="H597" t="s">
        <v>97</v>
      </c>
      <c r="I597">
        <v>25140161305.535999</v>
      </c>
      <c r="J597" t="s">
        <v>4700</v>
      </c>
      <c r="K597">
        <v>304641433.156645</v>
      </c>
      <c r="L597">
        <v>1</v>
      </c>
      <c r="M597" t="s">
        <v>5299</v>
      </c>
      <c r="N597">
        <v>0.85273301000000001</v>
      </c>
      <c r="O597">
        <v>24.73</v>
      </c>
      <c r="P597">
        <v>22.45</v>
      </c>
      <c r="Q597">
        <v>21.088087337299999</v>
      </c>
      <c r="R597">
        <v>27672117178.167519</v>
      </c>
      <c r="S597">
        <v>0</v>
      </c>
      <c r="T597" t="s">
        <v>6243</v>
      </c>
      <c r="AA597" t="s">
        <v>6249</v>
      </c>
    </row>
    <row r="598" spans="1:40" x14ac:dyDescent="0.25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9.8020929999999993</v>
      </c>
      <c r="H598" t="s">
        <v>4693</v>
      </c>
      <c r="I598">
        <v>25438664251.7854</v>
      </c>
      <c r="J598" t="s">
        <v>4699</v>
      </c>
      <c r="K598">
        <v>30587449.667252701</v>
      </c>
      <c r="L598">
        <v>0.8</v>
      </c>
      <c r="M598" t="s">
        <v>5300</v>
      </c>
      <c r="N598">
        <v>9.1395149999999994E-2</v>
      </c>
      <c r="O598">
        <v>108.15</v>
      </c>
      <c r="P598">
        <v>109.2</v>
      </c>
      <c r="Q598">
        <v>9.8843854725</v>
      </c>
      <c r="R598">
        <v>20521785571.318508</v>
      </c>
      <c r="S598">
        <v>0</v>
      </c>
      <c r="T598" t="s">
        <v>6242</v>
      </c>
      <c r="U598" t="s">
        <v>6245</v>
      </c>
    </row>
    <row r="599" spans="1:40" x14ac:dyDescent="0.25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3808243.6695312499</v>
      </c>
      <c r="L599">
        <v>0.7</v>
      </c>
      <c r="M599" t="s">
        <v>5301</v>
      </c>
      <c r="N599">
        <v>1</v>
      </c>
      <c r="O599">
        <v>52.8</v>
      </c>
      <c r="P599">
        <v>58.85</v>
      </c>
      <c r="Q599">
        <v>52.8</v>
      </c>
      <c r="R599">
        <v>2039529676.8</v>
      </c>
      <c r="S599">
        <v>0</v>
      </c>
      <c r="T599" t="s">
        <v>6242</v>
      </c>
      <c r="W599" t="s">
        <v>6247</v>
      </c>
    </row>
    <row r="600" spans="1:40" x14ac:dyDescent="0.25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19598170.522216499</v>
      </c>
      <c r="L600">
        <v>0.5</v>
      </c>
      <c r="M600" t="s">
        <v>5302</v>
      </c>
      <c r="N600">
        <v>5.7743899999999999E-3</v>
      </c>
      <c r="O600">
        <v>41300</v>
      </c>
      <c r="P600">
        <v>41910</v>
      </c>
      <c r="Q600">
        <v>238.48230699999999</v>
      </c>
      <c r="R600">
        <v>5278762938.6297398</v>
      </c>
      <c r="S600">
        <v>0</v>
      </c>
      <c r="T600" t="s">
        <v>6244</v>
      </c>
      <c r="AJ600" t="s">
        <v>6258</v>
      </c>
      <c r="AN600" t="s">
        <v>6262</v>
      </c>
    </row>
    <row r="601" spans="1:40" x14ac:dyDescent="0.25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21.190460000000002</v>
      </c>
      <c r="H601" t="s">
        <v>96</v>
      </c>
      <c r="I601">
        <v>4701876155.1716003</v>
      </c>
      <c r="J601" t="s">
        <v>4699</v>
      </c>
      <c r="K601">
        <v>8866191.0083966795</v>
      </c>
      <c r="L601">
        <v>0.75</v>
      </c>
      <c r="M601" t="s">
        <v>5303</v>
      </c>
      <c r="N601">
        <v>1.156136E-2</v>
      </c>
      <c r="O601">
        <v>1632</v>
      </c>
      <c r="P601">
        <v>1836</v>
      </c>
      <c r="Q601">
        <v>18.86813952</v>
      </c>
      <c r="R601">
        <v>3139938513.659174</v>
      </c>
      <c r="S601">
        <v>0</v>
      </c>
      <c r="T601" t="s">
        <v>6242</v>
      </c>
      <c r="W601" t="s">
        <v>6247</v>
      </c>
      <c r="AJ601" t="s">
        <v>6258</v>
      </c>
      <c r="AN601" t="s">
        <v>6262</v>
      </c>
    </row>
    <row r="602" spans="1:40" x14ac:dyDescent="0.25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418123851.92793101</v>
      </c>
      <c r="L602">
        <v>1</v>
      </c>
      <c r="M602" t="s">
        <v>5304</v>
      </c>
      <c r="N602">
        <v>0.85273301000000001</v>
      </c>
      <c r="O602">
        <v>274.73</v>
      </c>
      <c r="P602">
        <v>277.5</v>
      </c>
      <c r="Q602">
        <v>234.27133983729999</v>
      </c>
      <c r="R602">
        <v>55099157276.57238</v>
      </c>
      <c r="S602">
        <v>0</v>
      </c>
      <c r="T602" t="s">
        <v>6243</v>
      </c>
    </row>
    <row r="603" spans="1:40" x14ac:dyDescent="0.25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8.1994509999999998</v>
      </c>
      <c r="H603" t="s">
        <v>99</v>
      </c>
      <c r="I603">
        <v>2503521154.9829001</v>
      </c>
      <c r="J603" t="s">
        <v>4701</v>
      </c>
      <c r="K603">
        <v>7902807.6526051201</v>
      </c>
      <c r="L603">
        <v>1</v>
      </c>
      <c r="M603" t="s">
        <v>5305</v>
      </c>
      <c r="N603">
        <v>5.7743899999999999E-3</v>
      </c>
      <c r="O603">
        <v>1424.5</v>
      </c>
      <c r="P603">
        <v>1411</v>
      </c>
      <c r="Q603">
        <v>8.2256185550000005</v>
      </c>
      <c r="R603">
        <v>2511510839.599185</v>
      </c>
      <c r="S603">
        <v>0</v>
      </c>
      <c r="T603" t="s">
        <v>6244</v>
      </c>
      <c r="W603" t="s">
        <v>6247</v>
      </c>
      <c r="AJ603" t="s">
        <v>6258</v>
      </c>
      <c r="AN603" t="s">
        <v>6262</v>
      </c>
    </row>
    <row r="604" spans="1:40" x14ac:dyDescent="0.25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110.20740000000001</v>
      </c>
      <c r="H604" t="s">
        <v>99</v>
      </c>
      <c r="I604">
        <v>3933739629.3779998</v>
      </c>
      <c r="J604" t="s">
        <v>4701</v>
      </c>
      <c r="K604">
        <v>9700816.5113781709</v>
      </c>
      <c r="L604">
        <v>0.9</v>
      </c>
      <c r="M604" t="s">
        <v>5306</v>
      </c>
      <c r="N604">
        <v>5.7743899999999999E-3</v>
      </c>
      <c r="O604">
        <v>19175</v>
      </c>
      <c r="P604">
        <v>18965</v>
      </c>
      <c r="Q604">
        <v>110.72392825</v>
      </c>
      <c r="R604">
        <v>3556958915.913887</v>
      </c>
      <c r="S604">
        <v>0</v>
      </c>
      <c r="T604" t="s">
        <v>6244</v>
      </c>
      <c r="W604" t="s">
        <v>6247</v>
      </c>
      <c r="AJ604" t="s">
        <v>6258</v>
      </c>
      <c r="AN604" t="s">
        <v>6262</v>
      </c>
    </row>
    <row r="605" spans="1:40" x14ac:dyDescent="0.25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5176574246.7360001</v>
      </c>
      <c r="J605" t="s">
        <v>4699</v>
      </c>
      <c r="K605">
        <v>10739345.101773201</v>
      </c>
      <c r="L605">
        <v>1</v>
      </c>
      <c r="M605" t="s">
        <v>5307</v>
      </c>
      <c r="N605">
        <v>1.156136E-2</v>
      </c>
      <c r="O605">
        <v>1306</v>
      </c>
      <c r="P605">
        <v>1338</v>
      </c>
      <c r="Q605">
        <v>15.09913616</v>
      </c>
      <c r="R605">
        <v>5061401061.0706081</v>
      </c>
      <c r="S605">
        <v>0</v>
      </c>
      <c r="T605" t="s">
        <v>6242</v>
      </c>
      <c r="AJ605" t="s">
        <v>6258</v>
      </c>
      <c r="AN605" t="s">
        <v>6262</v>
      </c>
    </row>
    <row r="606" spans="1:40" x14ac:dyDescent="0.25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23.964939999999999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5.7743899999999999E-3</v>
      </c>
      <c r="O606">
        <v>4091</v>
      </c>
      <c r="P606">
        <v>4124</v>
      </c>
      <c r="Q606">
        <v>23.62302949</v>
      </c>
      <c r="R606">
        <v>108230350613.2339</v>
      </c>
      <c r="S606">
        <v>0</v>
      </c>
      <c r="T606" t="s">
        <v>6244</v>
      </c>
    </row>
    <row r="607" spans="1:40" x14ac:dyDescent="0.25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26.765889999999999</v>
      </c>
      <c r="H607" t="s">
        <v>99</v>
      </c>
      <c r="I607">
        <v>5757745497.9856005</v>
      </c>
      <c r="J607" t="s">
        <v>4701</v>
      </c>
      <c r="K607">
        <v>20046615.946534</v>
      </c>
      <c r="L607">
        <v>0.45</v>
      </c>
      <c r="M607" t="s">
        <v>5309</v>
      </c>
      <c r="N607">
        <v>5.7743899999999999E-3</v>
      </c>
      <c r="O607">
        <v>4900</v>
      </c>
      <c r="P607">
        <v>4606</v>
      </c>
      <c r="Q607">
        <v>28.294511</v>
      </c>
      <c r="R607">
        <v>2738958689.4954481</v>
      </c>
      <c r="S607">
        <v>0</v>
      </c>
      <c r="T607" t="s">
        <v>6244</v>
      </c>
      <c r="AG607" t="s">
        <v>6255</v>
      </c>
    </row>
    <row r="608" spans="1:40" x14ac:dyDescent="0.25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1.3149550000000001</v>
      </c>
      <c r="H608" t="s">
        <v>4692</v>
      </c>
      <c r="I608">
        <v>9967064876.0620003</v>
      </c>
      <c r="J608" t="s">
        <v>4701</v>
      </c>
      <c r="K608">
        <v>10424814.8610474</v>
      </c>
      <c r="L608">
        <v>0.5</v>
      </c>
      <c r="M608" t="s">
        <v>5310</v>
      </c>
      <c r="N608">
        <v>0.10956983000000001</v>
      </c>
      <c r="O608">
        <v>11.84</v>
      </c>
      <c r="P608">
        <v>12.04</v>
      </c>
      <c r="Q608">
        <v>1.2973067871999999</v>
      </c>
      <c r="R608">
        <v>4916647684.5891895</v>
      </c>
      <c r="S608">
        <v>0</v>
      </c>
      <c r="T608" t="s">
        <v>6244</v>
      </c>
      <c r="U608" t="s">
        <v>6245</v>
      </c>
    </row>
    <row r="609" spans="1:40" x14ac:dyDescent="0.25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9951735.3106060605</v>
      </c>
      <c r="L609">
        <v>0.2</v>
      </c>
      <c r="M609" t="s">
        <v>5311</v>
      </c>
      <c r="N609">
        <v>1</v>
      </c>
      <c r="O609">
        <v>233.2</v>
      </c>
      <c r="P609">
        <v>226</v>
      </c>
      <c r="Q609">
        <v>233.2</v>
      </c>
      <c r="R609">
        <v>3624455032</v>
      </c>
      <c r="S609">
        <v>0</v>
      </c>
      <c r="T609" t="s">
        <v>6242</v>
      </c>
      <c r="W609" t="s">
        <v>6247</v>
      </c>
      <c r="AG609" t="s">
        <v>6255</v>
      </c>
      <c r="AJ609" t="s">
        <v>6258</v>
      </c>
    </row>
    <row r="610" spans="1:40" x14ac:dyDescent="0.25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20.948989999999998</v>
      </c>
      <c r="H610" t="s">
        <v>99</v>
      </c>
      <c r="I610">
        <v>2586335490.6928</v>
      </c>
      <c r="J610" t="s">
        <v>4701</v>
      </c>
      <c r="K610">
        <v>8056381.5206234502</v>
      </c>
      <c r="L610">
        <v>1</v>
      </c>
      <c r="M610" t="s">
        <v>5312</v>
      </c>
      <c r="N610">
        <v>5.7743899999999999E-3</v>
      </c>
      <c r="O610">
        <v>3867</v>
      </c>
      <c r="P610">
        <v>3605</v>
      </c>
      <c r="Q610">
        <v>22.32956613</v>
      </c>
      <c r="R610">
        <v>2756779652.5651541</v>
      </c>
      <c r="S610">
        <v>0</v>
      </c>
      <c r="T610" t="s">
        <v>6244</v>
      </c>
      <c r="W610" t="s">
        <v>6247</v>
      </c>
      <c r="AJ610" t="s">
        <v>6258</v>
      </c>
    </row>
    <row r="611" spans="1:40" x14ac:dyDescent="0.25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71.396919999999994</v>
      </c>
      <c r="H611" t="s">
        <v>4694</v>
      </c>
      <c r="I611">
        <v>40473164723.459999</v>
      </c>
      <c r="J611" t="s">
        <v>4699</v>
      </c>
      <c r="K611">
        <v>101471073.635574</v>
      </c>
      <c r="L611">
        <v>0.95</v>
      </c>
      <c r="M611" t="s">
        <v>5313</v>
      </c>
      <c r="N611">
        <v>1.07032003</v>
      </c>
      <c r="O611">
        <v>69.52</v>
      </c>
      <c r="P611">
        <v>67.06</v>
      </c>
      <c r="Q611">
        <v>74.408648485599997</v>
      </c>
      <c r="R611">
        <v>40071417823.868797</v>
      </c>
      <c r="S611">
        <v>0</v>
      </c>
      <c r="T611" t="s">
        <v>6242</v>
      </c>
      <c r="U611" t="s">
        <v>6245</v>
      </c>
    </row>
    <row r="612" spans="1:40" x14ac:dyDescent="0.25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0.85273301000000001</v>
      </c>
      <c r="O612">
        <v>422.69</v>
      </c>
      <c r="P612">
        <v>412.79</v>
      </c>
      <c r="Q612">
        <v>360.44171599689997</v>
      </c>
      <c r="R612">
        <v>358613555613.36377</v>
      </c>
      <c r="S612">
        <v>0</v>
      </c>
      <c r="T612" t="s">
        <v>6243</v>
      </c>
    </row>
    <row r="613" spans="1:40" x14ac:dyDescent="0.25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9.7568239999999999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5.7743899999999999E-3</v>
      </c>
      <c r="O613">
        <v>1649.5</v>
      </c>
      <c r="P613">
        <v>1679</v>
      </c>
      <c r="Q613">
        <v>9.5248563050000001</v>
      </c>
      <c r="R613">
        <v>37718430967.800003</v>
      </c>
      <c r="S613">
        <v>0</v>
      </c>
      <c r="T613" t="s">
        <v>6244</v>
      </c>
      <c r="AJ613" t="s">
        <v>6258</v>
      </c>
      <c r="AN613" t="s">
        <v>6262</v>
      </c>
    </row>
    <row r="614" spans="1:40" x14ac:dyDescent="0.25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190.16040000000001</v>
      </c>
      <c r="H614" t="s">
        <v>97</v>
      </c>
      <c r="I614">
        <v>120732181906.62</v>
      </c>
      <c r="J614" t="s">
        <v>4700</v>
      </c>
      <c r="K614">
        <v>665768271.66303504</v>
      </c>
      <c r="L614">
        <v>1</v>
      </c>
      <c r="M614" t="s">
        <v>5316</v>
      </c>
      <c r="N614">
        <v>0.85273301000000001</v>
      </c>
      <c r="O614">
        <v>211.46</v>
      </c>
      <c r="P614">
        <v>222.83</v>
      </c>
      <c r="Q614">
        <v>180.31892229459999</v>
      </c>
      <c r="R614">
        <v>114483861664.5596</v>
      </c>
      <c r="S614">
        <v>0</v>
      </c>
      <c r="T614" t="s">
        <v>6243</v>
      </c>
      <c r="AA614" t="s">
        <v>6249</v>
      </c>
    </row>
    <row r="615" spans="1:40" x14ac:dyDescent="0.25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48.928539999999998</v>
      </c>
      <c r="H615" t="s">
        <v>4692</v>
      </c>
      <c r="I615">
        <v>62033408475.125999</v>
      </c>
      <c r="J615" t="s">
        <v>4701</v>
      </c>
      <c r="K615">
        <v>283837650.71889901</v>
      </c>
      <c r="L615">
        <v>0.95</v>
      </c>
      <c r="M615" t="s">
        <v>5317</v>
      </c>
      <c r="N615">
        <v>0.10956983000000001</v>
      </c>
      <c r="O615">
        <v>448.4</v>
      </c>
      <c r="P615">
        <v>448</v>
      </c>
      <c r="Q615">
        <v>49.131111771999997</v>
      </c>
      <c r="R615">
        <v>59175724620.437683</v>
      </c>
      <c r="S615">
        <v>0</v>
      </c>
      <c r="T615" t="s">
        <v>6244</v>
      </c>
      <c r="U615" t="s">
        <v>6245</v>
      </c>
      <c r="AN615" t="s">
        <v>6262</v>
      </c>
    </row>
    <row r="616" spans="1:40" x14ac:dyDescent="0.25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5.2568700000000002</v>
      </c>
      <c r="H616" t="s">
        <v>97</v>
      </c>
      <c r="I616">
        <v>11453820279.542999</v>
      </c>
      <c r="J616" t="s">
        <v>4701</v>
      </c>
      <c r="K616">
        <v>14289642.2575143</v>
      </c>
      <c r="L616">
        <v>0.45</v>
      </c>
      <c r="M616" t="s">
        <v>5318</v>
      </c>
      <c r="N616">
        <v>0.85273301000000001</v>
      </c>
      <c r="O616">
        <v>6.42</v>
      </c>
      <c r="P616">
        <v>6.16</v>
      </c>
      <c r="Q616">
        <v>5.4745459242000001</v>
      </c>
      <c r="R616">
        <v>5367644493.3108768</v>
      </c>
      <c r="S616">
        <v>0</v>
      </c>
      <c r="T616" t="s">
        <v>6244</v>
      </c>
    </row>
    <row r="617" spans="1:40" x14ac:dyDescent="0.25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65.578180000000003</v>
      </c>
      <c r="H617" t="s">
        <v>99</v>
      </c>
      <c r="I617">
        <v>2769579867.2195401</v>
      </c>
      <c r="J617" t="s">
        <v>4701</v>
      </c>
      <c r="K617">
        <v>9233966.4447050802</v>
      </c>
      <c r="L617">
        <v>1</v>
      </c>
      <c r="M617" t="s">
        <v>5319</v>
      </c>
      <c r="N617">
        <v>5.7743899999999999E-3</v>
      </c>
      <c r="O617">
        <v>12200</v>
      </c>
      <c r="P617">
        <v>11285</v>
      </c>
      <c r="Q617">
        <v>70.447558000000001</v>
      </c>
      <c r="R617">
        <v>2975229540.2461739</v>
      </c>
      <c r="S617">
        <v>0</v>
      </c>
      <c r="T617" t="s">
        <v>6244</v>
      </c>
      <c r="W617" t="s">
        <v>6247</v>
      </c>
      <c r="AJ617" t="s">
        <v>6258</v>
      </c>
    </row>
    <row r="618" spans="1:40" x14ac:dyDescent="0.25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33.471890000000002</v>
      </c>
      <c r="H618" t="s">
        <v>99</v>
      </c>
      <c r="I618">
        <v>4849745489.2890015</v>
      </c>
      <c r="J618" t="s">
        <v>4701</v>
      </c>
      <c r="K618">
        <v>17797784.667116199</v>
      </c>
      <c r="L618">
        <v>0.85</v>
      </c>
      <c r="M618" t="s">
        <v>5320</v>
      </c>
      <c r="N618">
        <v>5.7743899999999999E-3</v>
      </c>
      <c r="O618">
        <v>5677</v>
      </c>
      <c r="P618">
        <v>5760</v>
      </c>
      <c r="Q618">
        <v>32.781212029999999</v>
      </c>
      <c r="R618">
        <v>4037222125.7757168</v>
      </c>
      <c r="S618">
        <v>0</v>
      </c>
      <c r="T618" t="s">
        <v>6244</v>
      </c>
      <c r="AJ618" t="s">
        <v>6258</v>
      </c>
      <c r="AN618" t="s">
        <v>6262</v>
      </c>
    </row>
    <row r="619" spans="1:40" x14ac:dyDescent="0.25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10.191269999999999</v>
      </c>
      <c r="H619" t="s">
        <v>96</v>
      </c>
      <c r="I619">
        <v>5532983772.2561998</v>
      </c>
      <c r="J619" t="s">
        <v>4699</v>
      </c>
      <c r="K619">
        <v>12907751.951090099</v>
      </c>
      <c r="L619">
        <v>1</v>
      </c>
      <c r="M619" t="s">
        <v>5321</v>
      </c>
      <c r="N619">
        <v>1.156136E-2</v>
      </c>
      <c r="O619">
        <v>838</v>
      </c>
      <c r="P619">
        <v>883</v>
      </c>
      <c r="Q619">
        <v>9.6884196799999991</v>
      </c>
      <c r="R619">
        <v>5259979263.4527006</v>
      </c>
      <c r="S619">
        <v>0</v>
      </c>
      <c r="T619" t="s">
        <v>6242</v>
      </c>
    </row>
    <row r="620" spans="1:40" x14ac:dyDescent="0.25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145.92930000000001</v>
      </c>
      <c r="H620" t="s">
        <v>97</v>
      </c>
      <c r="I620">
        <v>58827938770.589996</v>
      </c>
      <c r="J620" t="s">
        <v>4700</v>
      </c>
      <c r="K620">
        <v>484731122.74571002</v>
      </c>
      <c r="L620">
        <v>1</v>
      </c>
      <c r="M620" t="s">
        <v>5322</v>
      </c>
      <c r="N620">
        <v>0.85273301000000001</v>
      </c>
      <c r="O620">
        <v>185.77</v>
      </c>
      <c r="P620">
        <v>171</v>
      </c>
      <c r="Q620">
        <v>158.4122112677</v>
      </c>
      <c r="R620">
        <v>63860128603.166206</v>
      </c>
      <c r="S620">
        <v>0</v>
      </c>
      <c r="T620" t="s">
        <v>6243</v>
      </c>
      <c r="AJ620" t="s">
        <v>6258</v>
      </c>
    </row>
    <row r="621" spans="1:40" x14ac:dyDescent="0.25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38093782082.758003</v>
      </c>
      <c r="J621" t="s">
        <v>4701</v>
      </c>
      <c r="K621">
        <v>117140656.71339799</v>
      </c>
      <c r="L621">
        <v>1</v>
      </c>
      <c r="M621" t="s">
        <v>5323</v>
      </c>
      <c r="N621">
        <v>5.7743899999999999E-3</v>
      </c>
      <c r="O621">
        <v>21195</v>
      </c>
      <c r="P621">
        <v>19105</v>
      </c>
      <c r="Q621">
        <v>122.38819605</v>
      </c>
      <c r="R621">
        <v>41994158485.749649</v>
      </c>
      <c r="S621">
        <v>0</v>
      </c>
      <c r="T621" t="s">
        <v>6244</v>
      </c>
      <c r="AJ621" t="s">
        <v>6258</v>
      </c>
    </row>
    <row r="622" spans="1:40" x14ac:dyDescent="0.25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23.672979999999999</v>
      </c>
      <c r="H622" t="s">
        <v>97</v>
      </c>
      <c r="I622">
        <v>22235388576.242001</v>
      </c>
      <c r="J622" t="s">
        <v>4700</v>
      </c>
      <c r="K622">
        <v>192343975.40389901</v>
      </c>
      <c r="L622">
        <v>1</v>
      </c>
      <c r="M622" t="s">
        <v>5324</v>
      </c>
      <c r="N622">
        <v>0.85273301000000001</v>
      </c>
      <c r="O622">
        <v>27.97</v>
      </c>
      <c r="P622">
        <v>27.74</v>
      </c>
      <c r="Q622">
        <v>23.850942289700001</v>
      </c>
      <c r="R622">
        <v>22402543732.179161</v>
      </c>
      <c r="S622">
        <v>0</v>
      </c>
      <c r="T622" t="s">
        <v>6243</v>
      </c>
    </row>
    <row r="623" spans="1:40" x14ac:dyDescent="0.25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193778678861.45999</v>
      </c>
      <c r="J623" t="s">
        <v>4699</v>
      </c>
      <c r="K623">
        <v>151173236.44833899</v>
      </c>
      <c r="L623">
        <v>0.9</v>
      </c>
      <c r="M623" t="s">
        <v>5325</v>
      </c>
      <c r="N623">
        <v>1.156136E-2</v>
      </c>
      <c r="O623">
        <v>1007</v>
      </c>
      <c r="P623">
        <v>967.3</v>
      </c>
      <c r="Q623">
        <v>11.64228952</v>
      </c>
      <c r="R623">
        <v>181868766040.95389</v>
      </c>
      <c r="S623">
        <v>0</v>
      </c>
      <c r="T623" t="s">
        <v>6242</v>
      </c>
      <c r="AJ623" t="s">
        <v>6258</v>
      </c>
    </row>
    <row r="624" spans="1:40" x14ac:dyDescent="0.25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60.585819999999998</v>
      </c>
      <c r="H624" t="s">
        <v>4691</v>
      </c>
      <c r="I624">
        <v>4917921861.4124002</v>
      </c>
      <c r="J624" t="s">
        <v>4701</v>
      </c>
      <c r="K624">
        <v>15352710.1982248</v>
      </c>
      <c r="L624">
        <v>0.85</v>
      </c>
      <c r="M624" t="s">
        <v>5326</v>
      </c>
      <c r="N624">
        <v>0.56652409000000004</v>
      </c>
      <c r="O624">
        <v>103.4</v>
      </c>
      <c r="P624">
        <v>109.34</v>
      </c>
      <c r="Q624">
        <v>58.578590906000009</v>
      </c>
      <c r="R624">
        <v>4041741003.146419</v>
      </c>
      <c r="S624">
        <v>0</v>
      </c>
      <c r="T624" t="s">
        <v>6244</v>
      </c>
      <c r="U624" t="s">
        <v>6245</v>
      </c>
    </row>
    <row r="625" spans="1:40" x14ac:dyDescent="0.25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376.21609999999998</v>
      </c>
      <c r="H625" t="s">
        <v>97</v>
      </c>
      <c r="I625">
        <v>19992127316.160999</v>
      </c>
      <c r="J625" t="s">
        <v>4700</v>
      </c>
      <c r="K625">
        <v>194501746.813503</v>
      </c>
      <c r="L625">
        <v>1</v>
      </c>
      <c r="M625" t="s">
        <v>5327</v>
      </c>
      <c r="N625">
        <v>0.85273301000000001</v>
      </c>
      <c r="O625">
        <v>437.43</v>
      </c>
      <c r="P625">
        <v>440.85</v>
      </c>
      <c r="Q625">
        <v>373.01100056429999</v>
      </c>
      <c r="R625">
        <v>19821808300.096909</v>
      </c>
      <c r="S625">
        <v>0</v>
      </c>
      <c r="T625" t="s">
        <v>6243</v>
      </c>
      <c r="AJ625" t="s">
        <v>6258</v>
      </c>
    </row>
    <row r="626" spans="1:40" x14ac:dyDescent="0.25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404.76190000000003</v>
      </c>
      <c r="H626" t="s">
        <v>97</v>
      </c>
      <c r="I626">
        <v>21328163320.508999</v>
      </c>
      <c r="J626" t="s">
        <v>4700</v>
      </c>
      <c r="K626">
        <v>399359442.55773503</v>
      </c>
      <c r="L626">
        <v>1</v>
      </c>
      <c r="M626" t="s">
        <v>5328</v>
      </c>
      <c r="N626">
        <v>0.85273301000000001</v>
      </c>
      <c r="O626">
        <v>491.48</v>
      </c>
      <c r="P626">
        <v>474.3</v>
      </c>
      <c r="Q626">
        <v>419.10121975480001</v>
      </c>
      <c r="R626">
        <v>22083746673.673851</v>
      </c>
      <c r="S626">
        <v>0</v>
      </c>
      <c r="T626" t="s">
        <v>6243</v>
      </c>
    </row>
    <row r="627" spans="1:40" x14ac:dyDescent="0.25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5808747.1560937501</v>
      </c>
      <c r="L627">
        <v>0.9</v>
      </c>
      <c r="M627" t="s">
        <v>5329</v>
      </c>
      <c r="N627">
        <v>1</v>
      </c>
      <c r="O627">
        <v>30.08</v>
      </c>
      <c r="P627">
        <v>31.4</v>
      </c>
      <c r="Q627">
        <v>30.08</v>
      </c>
      <c r="R627">
        <v>2917289007.3600001</v>
      </c>
      <c r="S627">
        <v>0</v>
      </c>
      <c r="T627" t="s">
        <v>6242</v>
      </c>
      <c r="W627" t="s">
        <v>6247</v>
      </c>
    </row>
    <row r="628" spans="1:40" x14ac:dyDescent="0.25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9.2105820000000005</v>
      </c>
      <c r="H628" t="s">
        <v>99</v>
      </c>
      <c r="I628">
        <v>7072876839.2814007</v>
      </c>
      <c r="J628" t="s">
        <v>4701</v>
      </c>
      <c r="K628">
        <v>22228103.930950399</v>
      </c>
      <c r="L628">
        <v>0.9</v>
      </c>
      <c r="M628" t="s">
        <v>5330</v>
      </c>
      <c r="N628">
        <v>5.7743899999999999E-3</v>
      </c>
      <c r="O628">
        <v>1614</v>
      </c>
      <c r="P628">
        <v>1585</v>
      </c>
      <c r="Q628">
        <v>9.319865459999999</v>
      </c>
      <c r="R628">
        <v>6441116804.7282372</v>
      </c>
      <c r="S628">
        <v>0</v>
      </c>
      <c r="T628" t="s">
        <v>6244</v>
      </c>
    </row>
    <row r="629" spans="1:40" x14ac:dyDescent="0.25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255.59819999999999</v>
      </c>
      <c r="H629" t="s">
        <v>97</v>
      </c>
      <c r="I629">
        <v>30741260702.723999</v>
      </c>
      <c r="J629" t="s">
        <v>4700</v>
      </c>
      <c r="K629">
        <v>361117466.67885202</v>
      </c>
      <c r="L629">
        <v>1</v>
      </c>
      <c r="M629" t="s">
        <v>5331</v>
      </c>
      <c r="N629">
        <v>0.85273301000000001</v>
      </c>
      <c r="O629">
        <v>276.44</v>
      </c>
      <c r="P629">
        <v>299.51</v>
      </c>
      <c r="Q629">
        <v>235.72951328440001</v>
      </c>
      <c r="R629">
        <v>28351617590.42897</v>
      </c>
      <c r="S629">
        <v>0</v>
      </c>
      <c r="T629" t="s">
        <v>6243</v>
      </c>
    </row>
    <row r="630" spans="1:40" x14ac:dyDescent="0.25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14.814819999999999</v>
      </c>
      <c r="H630" t="s">
        <v>97</v>
      </c>
      <c r="I630">
        <v>21716843156.448002</v>
      </c>
      <c r="J630" t="s">
        <v>4700</v>
      </c>
      <c r="K630">
        <v>443286130.65054202</v>
      </c>
      <c r="L630">
        <v>1</v>
      </c>
      <c r="M630" t="s">
        <v>5332</v>
      </c>
      <c r="N630">
        <v>0.85273301000000001</v>
      </c>
      <c r="O630">
        <v>17.77</v>
      </c>
      <c r="P630">
        <v>17.36</v>
      </c>
      <c r="Q630">
        <v>15.1530655877</v>
      </c>
      <c r="R630">
        <v>22212672763.31744</v>
      </c>
      <c r="S630">
        <v>0</v>
      </c>
      <c r="T630" t="s">
        <v>6243</v>
      </c>
      <c r="AJ630" t="s">
        <v>6258</v>
      </c>
    </row>
    <row r="631" spans="1:40" x14ac:dyDescent="0.25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16.614999999999998</v>
      </c>
      <c r="H631" t="s">
        <v>98</v>
      </c>
      <c r="I631">
        <v>111008594912.5</v>
      </c>
      <c r="J631" t="s">
        <v>4702</v>
      </c>
      <c r="K631">
        <v>152417983.14689499</v>
      </c>
      <c r="L631">
        <v>0.9</v>
      </c>
      <c r="M631" t="s">
        <v>5333</v>
      </c>
      <c r="N631">
        <v>1</v>
      </c>
      <c r="O631">
        <v>15.695</v>
      </c>
      <c r="P631">
        <v>16.614999999999998</v>
      </c>
      <c r="Q631">
        <v>15.695</v>
      </c>
      <c r="R631">
        <v>94375679051.25</v>
      </c>
      <c r="S631">
        <v>0</v>
      </c>
      <c r="T631" t="s">
        <v>6242</v>
      </c>
      <c r="AH631" t="s">
        <v>6256</v>
      </c>
    </row>
    <row r="632" spans="1:40" x14ac:dyDescent="0.25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41.014690000000002</v>
      </c>
      <c r="H632" t="s">
        <v>99</v>
      </c>
      <c r="I632">
        <v>5777352611.7733002</v>
      </c>
      <c r="J632" t="s">
        <v>4701</v>
      </c>
      <c r="K632">
        <v>78970741.237568498</v>
      </c>
      <c r="L632">
        <v>1</v>
      </c>
      <c r="M632" t="s">
        <v>5334</v>
      </c>
      <c r="N632">
        <v>5.7743899999999999E-3</v>
      </c>
      <c r="O632">
        <v>8387</v>
      </c>
      <c r="P632">
        <v>7058</v>
      </c>
      <c r="Q632">
        <v>48.42980893</v>
      </c>
      <c r="R632">
        <v>6821850490.8708897</v>
      </c>
      <c r="S632">
        <v>0</v>
      </c>
      <c r="T632" t="s">
        <v>6244</v>
      </c>
      <c r="AJ632" t="s">
        <v>6258</v>
      </c>
    </row>
    <row r="633" spans="1:40" x14ac:dyDescent="0.25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192448792706.64001</v>
      </c>
      <c r="J633" t="s">
        <v>4700</v>
      </c>
      <c r="K633">
        <v>1053160944.5447299</v>
      </c>
      <c r="L633">
        <v>1</v>
      </c>
      <c r="M633" t="s">
        <v>5335</v>
      </c>
      <c r="N633">
        <v>0.85273301000000001</v>
      </c>
      <c r="O633">
        <v>253.44</v>
      </c>
      <c r="P633">
        <v>242.09</v>
      </c>
      <c r="Q633">
        <v>216.11665405439999</v>
      </c>
      <c r="R633">
        <v>201316812691.43149</v>
      </c>
      <c r="S633">
        <v>0</v>
      </c>
      <c r="T633" t="s">
        <v>6243</v>
      </c>
      <c r="AA633" t="s">
        <v>6249</v>
      </c>
    </row>
    <row r="634" spans="1:40" x14ac:dyDescent="0.25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7406604260.1000004</v>
      </c>
      <c r="J634" t="s">
        <v>4699</v>
      </c>
      <c r="K634">
        <v>12207477.1366219</v>
      </c>
      <c r="L634">
        <v>1</v>
      </c>
      <c r="M634" t="s">
        <v>5336</v>
      </c>
      <c r="N634">
        <v>1.156136E-2</v>
      </c>
      <c r="O634">
        <v>2250</v>
      </c>
      <c r="P634">
        <v>2208</v>
      </c>
      <c r="Q634">
        <v>26.013059999999999</v>
      </c>
      <c r="R634">
        <v>7560383732.2799997</v>
      </c>
      <c r="S634">
        <v>0</v>
      </c>
      <c r="T634" t="s">
        <v>6242</v>
      </c>
    </row>
    <row r="635" spans="1:40" x14ac:dyDescent="0.25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5.7983079999999996</v>
      </c>
      <c r="H635" t="s">
        <v>99</v>
      </c>
      <c r="I635">
        <v>7472554359.3991985</v>
      </c>
      <c r="J635" t="s">
        <v>4701</v>
      </c>
      <c r="K635">
        <v>26341860.067774199</v>
      </c>
      <c r="L635">
        <v>0.75</v>
      </c>
      <c r="M635" t="s">
        <v>5337</v>
      </c>
      <c r="N635">
        <v>5.7743899999999999E-3</v>
      </c>
      <c r="O635">
        <v>1001</v>
      </c>
      <c r="P635">
        <v>997.8</v>
      </c>
      <c r="Q635">
        <v>5.7801643899999986</v>
      </c>
      <c r="R635">
        <v>5586878871.888814</v>
      </c>
      <c r="S635">
        <v>0</v>
      </c>
      <c r="T635" t="s">
        <v>6244</v>
      </c>
      <c r="AG635" t="s">
        <v>6255</v>
      </c>
      <c r="AH635" t="s">
        <v>6256</v>
      </c>
      <c r="AJ635" t="s">
        <v>6258</v>
      </c>
    </row>
    <row r="636" spans="1:40" x14ac:dyDescent="0.25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550.90459999999996</v>
      </c>
      <c r="H636" t="s">
        <v>97</v>
      </c>
      <c r="I636">
        <v>44074951742.573997</v>
      </c>
      <c r="J636" t="s">
        <v>4700</v>
      </c>
      <c r="K636">
        <v>290810634.85887402</v>
      </c>
      <c r="L636">
        <v>1</v>
      </c>
      <c r="M636" t="s">
        <v>5338</v>
      </c>
      <c r="N636">
        <v>0.85273301000000001</v>
      </c>
      <c r="O636">
        <v>641.14</v>
      </c>
      <c r="P636">
        <v>645.54999999999995</v>
      </c>
      <c r="Q636">
        <v>546.72124203140004</v>
      </c>
      <c r="R636">
        <v>43740263485.137131</v>
      </c>
      <c r="S636">
        <v>0</v>
      </c>
      <c r="T636" t="s">
        <v>6243</v>
      </c>
      <c r="AJ636" t="s">
        <v>6258</v>
      </c>
    </row>
    <row r="637" spans="1:40" x14ac:dyDescent="0.25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4637080265.3375998</v>
      </c>
      <c r="J637" t="s">
        <v>4699</v>
      </c>
      <c r="K637">
        <v>8924799.9645825196</v>
      </c>
      <c r="L637">
        <v>1</v>
      </c>
      <c r="M637" t="s">
        <v>5339</v>
      </c>
      <c r="N637">
        <v>1.156136E-2</v>
      </c>
      <c r="O637">
        <v>1157</v>
      </c>
      <c r="P637">
        <v>1153</v>
      </c>
      <c r="Q637">
        <v>13.37649352</v>
      </c>
      <c r="R637">
        <v>4661114476.7025185</v>
      </c>
      <c r="S637">
        <v>0</v>
      </c>
      <c r="T637" t="s">
        <v>6242</v>
      </c>
      <c r="W637" t="s">
        <v>6247</v>
      </c>
      <c r="AJ637" t="s">
        <v>6258</v>
      </c>
      <c r="AN637" t="s">
        <v>6262</v>
      </c>
    </row>
    <row r="638" spans="1:40" x14ac:dyDescent="0.25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91.379429999999999</v>
      </c>
      <c r="H638" t="s">
        <v>99</v>
      </c>
      <c r="I638">
        <v>14134565663.428499</v>
      </c>
      <c r="J638" t="s">
        <v>4701</v>
      </c>
      <c r="K638">
        <v>472314354.55637199</v>
      </c>
      <c r="L638">
        <v>1</v>
      </c>
      <c r="M638" t="s">
        <v>5340</v>
      </c>
      <c r="N638">
        <v>5.7743899999999999E-3</v>
      </c>
      <c r="O638">
        <v>16125</v>
      </c>
      <c r="P638">
        <v>15725</v>
      </c>
      <c r="Q638">
        <v>93.112038749999996</v>
      </c>
      <c r="R638">
        <v>14402565498.24806</v>
      </c>
      <c r="S638">
        <v>0</v>
      </c>
      <c r="T638" t="s">
        <v>6244</v>
      </c>
      <c r="AJ638" t="s">
        <v>6258</v>
      </c>
    </row>
    <row r="639" spans="1:40" x14ac:dyDescent="0.25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229.91130000000001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0.85273301000000001</v>
      </c>
      <c r="O639">
        <v>263.36</v>
      </c>
      <c r="P639">
        <v>269.41000000000003</v>
      </c>
      <c r="Q639">
        <v>224.5757655136</v>
      </c>
      <c r="R639">
        <v>58917452082.492973</v>
      </c>
      <c r="S639">
        <v>0</v>
      </c>
      <c r="T639" t="s">
        <v>6243</v>
      </c>
      <c r="AJ639" t="s">
        <v>6258</v>
      </c>
    </row>
    <row r="640" spans="1:40" x14ac:dyDescent="0.25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5656635504.3000002</v>
      </c>
      <c r="J640" t="s">
        <v>4702</v>
      </c>
      <c r="K640">
        <v>17984743.224469699</v>
      </c>
      <c r="L640">
        <v>0.95000000000000007</v>
      </c>
      <c r="M640" t="s">
        <v>5342</v>
      </c>
      <c r="N640">
        <v>1</v>
      </c>
      <c r="O640">
        <v>91.66</v>
      </c>
      <c r="P640">
        <v>95.7</v>
      </c>
      <c r="Q640">
        <v>91.66</v>
      </c>
      <c r="R640">
        <v>5146947228.9230003</v>
      </c>
      <c r="S640">
        <v>0</v>
      </c>
      <c r="T640" t="s">
        <v>6242</v>
      </c>
      <c r="AJ640" t="s">
        <v>6258</v>
      </c>
    </row>
    <row r="641" spans="1:40" x14ac:dyDescent="0.25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26.892029999999998</v>
      </c>
      <c r="H641" t="s">
        <v>96</v>
      </c>
      <c r="I641">
        <v>6640989228.7826996</v>
      </c>
      <c r="J641" t="s">
        <v>4699</v>
      </c>
      <c r="K641">
        <v>14356523.1832477</v>
      </c>
      <c r="L641">
        <v>1</v>
      </c>
      <c r="M641" t="s">
        <v>5343</v>
      </c>
      <c r="N641">
        <v>1.156136E-2</v>
      </c>
      <c r="O641">
        <v>2288</v>
      </c>
      <c r="P641">
        <v>2330</v>
      </c>
      <c r="Q641">
        <v>26.452391680000002</v>
      </c>
      <c r="R641">
        <v>6532420506.0912504</v>
      </c>
      <c r="S641">
        <v>0</v>
      </c>
      <c r="T641" t="s">
        <v>6242</v>
      </c>
    </row>
    <row r="642" spans="1:40" x14ac:dyDescent="0.25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36.044559999999997</v>
      </c>
      <c r="H642" t="s">
        <v>96</v>
      </c>
      <c r="I642">
        <v>29142255642.956001</v>
      </c>
      <c r="J642" t="s">
        <v>4699</v>
      </c>
      <c r="K642">
        <v>32907235.721519601</v>
      </c>
      <c r="L642">
        <v>0.95</v>
      </c>
      <c r="M642" t="s">
        <v>5344</v>
      </c>
      <c r="N642">
        <v>1.156136E-2</v>
      </c>
      <c r="O642">
        <v>3190</v>
      </c>
      <c r="P642">
        <v>3123</v>
      </c>
      <c r="Q642">
        <v>36.880738399999998</v>
      </c>
      <c r="R642">
        <v>28327395629.634399</v>
      </c>
      <c r="S642">
        <v>0</v>
      </c>
      <c r="T642" t="s">
        <v>6242</v>
      </c>
      <c r="AK642" t="s">
        <v>6259</v>
      </c>
      <c r="AL642" t="s">
        <v>6260</v>
      </c>
    </row>
    <row r="643" spans="1:40" x14ac:dyDescent="0.25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92018774.594924197</v>
      </c>
      <c r="L643">
        <v>0.35</v>
      </c>
      <c r="M643" t="s">
        <v>5345</v>
      </c>
      <c r="N643">
        <v>1</v>
      </c>
      <c r="O643">
        <v>46.2</v>
      </c>
      <c r="P643">
        <v>44.01</v>
      </c>
      <c r="Q643">
        <v>46.2</v>
      </c>
      <c r="R643">
        <v>50396262840</v>
      </c>
      <c r="S643">
        <v>0</v>
      </c>
      <c r="T643" t="s">
        <v>6242</v>
      </c>
    </row>
    <row r="644" spans="1:40" x14ac:dyDescent="0.25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35782223.119999997</v>
      </c>
      <c r="L644">
        <v>0.45</v>
      </c>
      <c r="M644" t="s">
        <v>5346</v>
      </c>
      <c r="N644">
        <v>1</v>
      </c>
      <c r="O644">
        <v>33.979999999999997</v>
      </c>
      <c r="P644">
        <v>33.86</v>
      </c>
      <c r="Q644">
        <v>33.979999999999997</v>
      </c>
      <c r="R644">
        <v>2701222430.4000001</v>
      </c>
      <c r="S644">
        <v>0</v>
      </c>
      <c r="T644" t="s">
        <v>6242</v>
      </c>
    </row>
    <row r="645" spans="1:40" x14ac:dyDescent="0.25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34.091889999999999</v>
      </c>
      <c r="H645" t="s">
        <v>4693</v>
      </c>
      <c r="I645">
        <v>6642821130.6071997</v>
      </c>
      <c r="J645" t="s">
        <v>4699</v>
      </c>
      <c r="K645">
        <v>9995137.4338185601</v>
      </c>
      <c r="L645">
        <v>0.8</v>
      </c>
      <c r="M645" t="s">
        <v>5347</v>
      </c>
      <c r="N645">
        <v>9.1395149999999994E-2</v>
      </c>
      <c r="O645">
        <v>370.7</v>
      </c>
      <c r="P645">
        <v>379.8</v>
      </c>
      <c r="Q645">
        <v>33.880182105000003</v>
      </c>
      <c r="R645">
        <v>5281255796.5173283</v>
      </c>
      <c r="S645">
        <v>0</v>
      </c>
      <c r="T645" t="s">
        <v>6242</v>
      </c>
      <c r="U645" t="s">
        <v>6245</v>
      </c>
      <c r="W645" t="s">
        <v>6247</v>
      </c>
      <c r="AJ645" t="s">
        <v>6258</v>
      </c>
    </row>
    <row r="646" spans="1:40" x14ac:dyDescent="0.25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7829009811.6000004</v>
      </c>
      <c r="J646" t="s">
        <v>4699</v>
      </c>
      <c r="K646">
        <v>7497290.7057575099</v>
      </c>
      <c r="L646">
        <v>0.75</v>
      </c>
      <c r="M646" t="s">
        <v>5348</v>
      </c>
      <c r="N646">
        <v>9.1395149999999994E-2</v>
      </c>
      <c r="O646">
        <v>233.6</v>
      </c>
      <c r="P646">
        <v>239.4</v>
      </c>
      <c r="Q646">
        <v>21.349907040000002</v>
      </c>
      <c r="R646">
        <v>5833696636.9004393</v>
      </c>
      <c r="S646">
        <v>0</v>
      </c>
      <c r="T646" t="s">
        <v>6242</v>
      </c>
      <c r="U646" t="s">
        <v>6245</v>
      </c>
      <c r="W646" t="s">
        <v>6247</v>
      </c>
      <c r="AN646" t="s">
        <v>6262</v>
      </c>
    </row>
    <row r="647" spans="1:40" x14ac:dyDescent="0.25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31.754999999999999</v>
      </c>
      <c r="P647">
        <v>36.85</v>
      </c>
      <c r="Q647">
        <v>31.754999999999999</v>
      </c>
      <c r="R647">
        <v>41469524530.5</v>
      </c>
      <c r="S647">
        <v>0</v>
      </c>
      <c r="T647" t="s">
        <v>6242</v>
      </c>
    </row>
    <row r="648" spans="1:40" x14ac:dyDescent="0.25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13367181816.629999</v>
      </c>
      <c r="J648" t="s">
        <v>4699</v>
      </c>
      <c r="K648">
        <v>21235646.267633699</v>
      </c>
      <c r="L648">
        <v>1</v>
      </c>
      <c r="M648" t="s">
        <v>5350</v>
      </c>
      <c r="N648">
        <v>1.156136E-2</v>
      </c>
      <c r="O648">
        <v>891.2</v>
      </c>
      <c r="P648">
        <v>890.8</v>
      </c>
      <c r="Q648">
        <v>10.303484032</v>
      </c>
      <c r="R648">
        <v>13396024277.133039</v>
      </c>
      <c r="S648">
        <v>0</v>
      </c>
      <c r="T648" t="s">
        <v>6242</v>
      </c>
    </row>
    <row r="649" spans="1:40" x14ac:dyDescent="0.25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5.9636389999999997</v>
      </c>
      <c r="H649" t="s">
        <v>4697</v>
      </c>
      <c r="I649">
        <v>5841918384.7360601</v>
      </c>
      <c r="J649" t="s">
        <v>4701</v>
      </c>
      <c r="K649">
        <v>5818900.44385368</v>
      </c>
      <c r="L649">
        <v>1</v>
      </c>
      <c r="M649" t="s">
        <v>5351</v>
      </c>
      <c r="N649">
        <v>0.50771730000000004</v>
      </c>
      <c r="O649">
        <v>12.48</v>
      </c>
      <c r="P649">
        <v>11.91</v>
      </c>
      <c r="Q649">
        <v>6.3363119040000004</v>
      </c>
      <c r="R649">
        <v>6206984863.335885</v>
      </c>
      <c r="S649">
        <v>0</v>
      </c>
      <c r="T649" t="s">
        <v>6244</v>
      </c>
      <c r="U649" t="s">
        <v>6245</v>
      </c>
      <c r="W649" t="s">
        <v>6247</v>
      </c>
    </row>
    <row r="650" spans="1:40" x14ac:dyDescent="0.25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64419293945.760002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21.585000000000001</v>
      </c>
      <c r="P650">
        <v>21.32</v>
      </c>
      <c r="Q650">
        <v>21.585000000000001</v>
      </c>
      <c r="R650">
        <v>65220002805.779999</v>
      </c>
      <c r="S650">
        <v>0</v>
      </c>
      <c r="T650" t="s">
        <v>6242</v>
      </c>
      <c r="AJ650" t="s">
        <v>6258</v>
      </c>
      <c r="AN650" t="s">
        <v>6262</v>
      </c>
    </row>
    <row r="651" spans="1:40" x14ac:dyDescent="0.25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68.808670000000006</v>
      </c>
      <c r="H651" t="s">
        <v>97</v>
      </c>
      <c r="I651">
        <v>27348177913.174999</v>
      </c>
      <c r="J651" t="s">
        <v>4700</v>
      </c>
      <c r="K651">
        <v>199576325.16361901</v>
      </c>
      <c r="L651">
        <v>1</v>
      </c>
      <c r="M651" t="s">
        <v>5353</v>
      </c>
      <c r="N651">
        <v>0.85273301000000001</v>
      </c>
      <c r="O651">
        <v>78.790000000000006</v>
      </c>
      <c r="P651">
        <v>80.63</v>
      </c>
      <c r="Q651">
        <v>67.186833857900012</v>
      </c>
      <c r="R651">
        <v>26703575083.907009</v>
      </c>
      <c r="S651">
        <v>0</v>
      </c>
      <c r="T651" t="s">
        <v>6243</v>
      </c>
    </row>
    <row r="652" spans="1:40" x14ac:dyDescent="0.25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17769230835.863998</v>
      </c>
      <c r="J652" t="s">
        <v>4701</v>
      </c>
      <c r="K652">
        <v>83606446.958566606</v>
      </c>
      <c r="L652">
        <v>0.8</v>
      </c>
      <c r="M652" t="s">
        <v>5354</v>
      </c>
      <c r="N652">
        <v>5.7743899999999999E-3</v>
      </c>
      <c r="O652">
        <v>2646.5</v>
      </c>
      <c r="P652">
        <v>2428.5</v>
      </c>
      <c r="Q652">
        <v>15.281923135</v>
      </c>
      <c r="R652">
        <v>15393616877.36294</v>
      </c>
      <c r="S652">
        <v>0</v>
      </c>
      <c r="T652" t="s">
        <v>6244</v>
      </c>
      <c r="AH652" t="s">
        <v>6256</v>
      </c>
      <c r="AJ652" t="s">
        <v>6258</v>
      </c>
    </row>
    <row r="653" spans="1:40" x14ac:dyDescent="0.25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7885826.7208333304</v>
      </c>
      <c r="L653">
        <v>0.5</v>
      </c>
      <c r="M653" t="s">
        <v>5355</v>
      </c>
      <c r="N653">
        <v>1</v>
      </c>
      <c r="O653">
        <v>10.99</v>
      </c>
      <c r="P653">
        <v>13.13</v>
      </c>
      <c r="Q653">
        <v>10.99</v>
      </c>
      <c r="R653">
        <v>2747500000</v>
      </c>
      <c r="S653">
        <v>0</v>
      </c>
      <c r="T653" t="s">
        <v>6242</v>
      </c>
      <c r="W653" t="s">
        <v>6247</v>
      </c>
    </row>
    <row r="654" spans="1:40" x14ac:dyDescent="0.25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23789133465.591999</v>
      </c>
      <c r="J654" t="s">
        <v>4700</v>
      </c>
      <c r="K654">
        <v>336921158.65460002</v>
      </c>
      <c r="L654">
        <v>0.9</v>
      </c>
      <c r="M654" t="s">
        <v>5356</v>
      </c>
      <c r="N654">
        <v>0.85273301000000001</v>
      </c>
      <c r="O654">
        <v>145.93</v>
      </c>
      <c r="P654">
        <v>131.88</v>
      </c>
      <c r="Q654">
        <v>124.4393281493</v>
      </c>
      <c r="R654">
        <v>23673003169.76944</v>
      </c>
      <c r="S654">
        <v>0</v>
      </c>
      <c r="T654" t="s">
        <v>6243</v>
      </c>
      <c r="AN654" t="s">
        <v>6262</v>
      </c>
    </row>
    <row r="655" spans="1:40" x14ac:dyDescent="0.25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282.27510000000001</v>
      </c>
      <c r="H655" t="s">
        <v>97</v>
      </c>
      <c r="I655">
        <v>19870058445.002998</v>
      </c>
      <c r="J655" t="s">
        <v>4700</v>
      </c>
      <c r="K655">
        <v>189595071.030031</v>
      </c>
      <c r="L655">
        <v>1</v>
      </c>
      <c r="M655" t="s">
        <v>5357</v>
      </c>
      <c r="N655">
        <v>0.85273301000000001</v>
      </c>
      <c r="O655">
        <v>341.78</v>
      </c>
      <c r="P655">
        <v>330.77</v>
      </c>
      <c r="Q655">
        <v>291.44708815780001</v>
      </c>
      <c r="R655">
        <v>20515697896.560581</v>
      </c>
      <c r="S655">
        <v>0</v>
      </c>
      <c r="T655" t="s">
        <v>6243</v>
      </c>
      <c r="AJ655" t="s">
        <v>6258</v>
      </c>
    </row>
    <row r="656" spans="1:40" x14ac:dyDescent="0.25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4.8040890000000003</v>
      </c>
      <c r="H656" t="s">
        <v>4691</v>
      </c>
      <c r="I656">
        <v>11363034846.275999</v>
      </c>
      <c r="J656" t="s">
        <v>4701</v>
      </c>
      <c r="K656">
        <v>20391751.327621002</v>
      </c>
      <c r="L656">
        <v>1</v>
      </c>
      <c r="M656" t="s">
        <v>5358</v>
      </c>
      <c r="N656">
        <v>0.56652409000000004</v>
      </c>
      <c r="O656">
        <v>8.67</v>
      </c>
      <c r="P656">
        <v>8.67</v>
      </c>
      <c r="Q656">
        <v>4.9117638603000007</v>
      </c>
      <c r="R656">
        <v>11617716470.54583</v>
      </c>
      <c r="S656">
        <v>0</v>
      </c>
      <c r="T656" t="s">
        <v>6244</v>
      </c>
      <c r="U656" t="s">
        <v>6245</v>
      </c>
      <c r="AJ656" t="s">
        <v>6258</v>
      </c>
    </row>
    <row r="657" spans="1:40" x14ac:dyDescent="0.25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172.40479999999999</v>
      </c>
      <c r="H657" t="s">
        <v>100</v>
      </c>
      <c r="I657">
        <v>30747149593.296001</v>
      </c>
      <c r="J657" t="s">
        <v>4700</v>
      </c>
      <c r="K657">
        <v>53923655.063131802</v>
      </c>
      <c r="L657">
        <v>0.9</v>
      </c>
      <c r="M657" t="s">
        <v>5359</v>
      </c>
      <c r="N657">
        <v>0.61572563000000002</v>
      </c>
      <c r="O657">
        <v>277.97000000000003</v>
      </c>
      <c r="P657">
        <v>279.49</v>
      </c>
      <c r="Q657">
        <v>171.15325337109999</v>
      </c>
      <c r="R657">
        <v>27471550770.642441</v>
      </c>
      <c r="S657">
        <v>0</v>
      </c>
      <c r="T657" t="s">
        <v>6243</v>
      </c>
      <c r="AJ657" t="s">
        <v>6258</v>
      </c>
    </row>
    <row r="658" spans="1:40" x14ac:dyDescent="0.25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21.164020000000001</v>
      </c>
      <c r="H658" t="s">
        <v>97</v>
      </c>
      <c r="I658">
        <v>92634915540</v>
      </c>
      <c r="J658" t="s">
        <v>4700</v>
      </c>
      <c r="K658">
        <v>1942264757.5983701</v>
      </c>
      <c r="L658">
        <v>1</v>
      </c>
      <c r="M658" t="s">
        <v>5360</v>
      </c>
      <c r="N658">
        <v>0.85273301000000001</v>
      </c>
      <c r="O658">
        <v>24.08</v>
      </c>
      <c r="P658">
        <v>24.8</v>
      </c>
      <c r="Q658">
        <v>20.533810880800001</v>
      </c>
      <c r="R658">
        <v>89876490225.261581</v>
      </c>
      <c r="S658">
        <v>0</v>
      </c>
      <c r="T658" t="s">
        <v>6243</v>
      </c>
      <c r="AJ658" t="s">
        <v>6258</v>
      </c>
    </row>
    <row r="659" spans="1:40" x14ac:dyDescent="0.25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23710029483.241798</v>
      </c>
      <c r="J659" t="s">
        <v>4700</v>
      </c>
      <c r="K659">
        <v>258125103.979112</v>
      </c>
      <c r="L659">
        <v>1</v>
      </c>
      <c r="M659" t="s">
        <v>5361</v>
      </c>
      <c r="N659">
        <v>0.85273301000000001</v>
      </c>
      <c r="O659">
        <v>63.7</v>
      </c>
      <c r="P659">
        <v>62.4</v>
      </c>
      <c r="Q659">
        <v>54.319092737000013</v>
      </c>
      <c r="R659">
        <v>24185411997.489189</v>
      </c>
      <c r="S659">
        <v>0</v>
      </c>
      <c r="T659" t="s">
        <v>6243</v>
      </c>
      <c r="AJ659" t="s">
        <v>6258</v>
      </c>
    </row>
    <row r="660" spans="1:40" x14ac:dyDescent="0.25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88257109434.960007</v>
      </c>
      <c r="J660" t="s">
        <v>4700</v>
      </c>
      <c r="K660">
        <v>395827563.03732198</v>
      </c>
      <c r="L660">
        <v>1</v>
      </c>
      <c r="M660" t="s">
        <v>5362</v>
      </c>
      <c r="N660">
        <v>0.85273301000000001</v>
      </c>
      <c r="O660">
        <v>173.97</v>
      </c>
      <c r="P660">
        <v>180.67</v>
      </c>
      <c r="Q660">
        <v>148.34996174969999</v>
      </c>
      <c r="R660">
        <v>84918944989.644699</v>
      </c>
      <c r="S660">
        <v>0</v>
      </c>
      <c r="T660" t="s">
        <v>6243</v>
      </c>
      <c r="AJ660" t="s">
        <v>6258</v>
      </c>
    </row>
    <row r="661" spans="1:40" x14ac:dyDescent="0.25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1.156136E-2</v>
      </c>
      <c r="O661">
        <v>8888</v>
      </c>
      <c r="P661">
        <v>8940</v>
      </c>
      <c r="Q661">
        <v>102.75736768</v>
      </c>
      <c r="R661">
        <v>15016065668.509029</v>
      </c>
      <c r="S661">
        <v>0</v>
      </c>
      <c r="T661" t="s">
        <v>6242</v>
      </c>
    </row>
    <row r="662" spans="1:40" x14ac:dyDescent="0.25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41.722140000000003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0.85273301000000001</v>
      </c>
      <c r="O662">
        <v>45.99</v>
      </c>
      <c r="P662">
        <v>48.89</v>
      </c>
      <c r="Q662">
        <v>39.217191129900002</v>
      </c>
      <c r="R662">
        <v>20705974928.865971</v>
      </c>
      <c r="S662">
        <v>0</v>
      </c>
      <c r="T662" t="s">
        <v>6243</v>
      </c>
    </row>
    <row r="663" spans="1:40" x14ac:dyDescent="0.25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17.116569999999999</v>
      </c>
      <c r="H663" t="s">
        <v>99</v>
      </c>
      <c r="I663">
        <v>3140015082.4445</v>
      </c>
      <c r="J663" t="s">
        <v>4701</v>
      </c>
      <c r="K663">
        <v>7852998.6278641503</v>
      </c>
      <c r="L663">
        <v>0.7</v>
      </c>
      <c r="M663" t="s">
        <v>5365</v>
      </c>
      <c r="N663">
        <v>5.7743899999999999E-3</v>
      </c>
      <c r="O663">
        <v>2820</v>
      </c>
      <c r="P663">
        <v>2945.5</v>
      </c>
      <c r="Q663">
        <v>16.283779800000001</v>
      </c>
      <c r="R663">
        <v>2091068474.574261</v>
      </c>
      <c r="S663">
        <v>0</v>
      </c>
      <c r="T663" t="s">
        <v>6244</v>
      </c>
      <c r="W663" t="s">
        <v>6247</v>
      </c>
    </row>
    <row r="664" spans="1:40" x14ac:dyDescent="0.25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41.04</v>
      </c>
      <c r="P664">
        <v>41.5</v>
      </c>
      <c r="Q664">
        <v>41.04</v>
      </c>
      <c r="R664">
        <v>3351304669.3200002</v>
      </c>
      <c r="S664">
        <v>0</v>
      </c>
      <c r="T664" t="s">
        <v>6242</v>
      </c>
      <c r="AJ664" t="s">
        <v>6258</v>
      </c>
    </row>
    <row r="665" spans="1:40" x14ac:dyDescent="0.25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54.938220000000001</v>
      </c>
      <c r="H665" t="s">
        <v>96</v>
      </c>
      <c r="I665">
        <v>8584353436.4874001</v>
      </c>
      <c r="J665" t="s">
        <v>4699</v>
      </c>
      <c r="K665">
        <v>17555659.1336818</v>
      </c>
      <c r="L665">
        <v>1</v>
      </c>
      <c r="M665" t="s">
        <v>5367</v>
      </c>
      <c r="N665">
        <v>1.156136E-2</v>
      </c>
      <c r="O665">
        <v>4670</v>
      </c>
      <c r="P665">
        <v>4760</v>
      </c>
      <c r="Q665">
        <v>53.991551200000004</v>
      </c>
      <c r="R665">
        <v>8436432015.5441036</v>
      </c>
      <c r="S665">
        <v>0</v>
      </c>
      <c r="T665" t="s">
        <v>6242</v>
      </c>
      <c r="AG665" t="s">
        <v>6255</v>
      </c>
    </row>
    <row r="666" spans="1:40" x14ac:dyDescent="0.25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5.6420000000000003</v>
      </c>
      <c r="H666" t="s">
        <v>98</v>
      </c>
      <c r="I666">
        <v>100448308966.642</v>
      </c>
      <c r="J666" t="s">
        <v>4702</v>
      </c>
      <c r="K666">
        <v>253687919.83470801</v>
      </c>
      <c r="L666">
        <v>0.8</v>
      </c>
      <c r="M666" t="s">
        <v>5368</v>
      </c>
      <c r="N666">
        <v>1</v>
      </c>
      <c r="O666">
        <v>5.4740000000000002</v>
      </c>
      <c r="P666">
        <v>5.6420000000000003</v>
      </c>
      <c r="Q666">
        <v>5.4740000000000002</v>
      </c>
      <c r="R666">
        <v>77965833857.979202</v>
      </c>
      <c r="S666">
        <v>0</v>
      </c>
      <c r="T666" t="s">
        <v>6242</v>
      </c>
    </row>
    <row r="667" spans="1:40" x14ac:dyDescent="0.25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4.5543329999999997</v>
      </c>
      <c r="H667" t="s">
        <v>96</v>
      </c>
      <c r="I667">
        <v>21096693359.191799</v>
      </c>
      <c r="J667" t="s">
        <v>4699</v>
      </c>
      <c r="K667">
        <v>57258696.691733703</v>
      </c>
      <c r="L667">
        <v>0.7</v>
      </c>
      <c r="M667" t="s">
        <v>5369</v>
      </c>
      <c r="N667">
        <v>1.156136E-2</v>
      </c>
      <c r="O667">
        <v>382</v>
      </c>
      <c r="P667">
        <v>394.6</v>
      </c>
      <c r="Q667">
        <v>4.41643952</v>
      </c>
      <c r="R667">
        <v>14320557852.269329</v>
      </c>
      <c r="S667">
        <v>0</v>
      </c>
      <c r="T667" t="s">
        <v>6242</v>
      </c>
      <c r="AJ667" t="s">
        <v>6258</v>
      </c>
    </row>
    <row r="668" spans="1:40" x14ac:dyDescent="0.25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565.50599999999997</v>
      </c>
      <c r="H668" t="s">
        <v>97</v>
      </c>
      <c r="I668">
        <v>157746202182</v>
      </c>
      <c r="J668" t="s">
        <v>4700</v>
      </c>
      <c r="K668">
        <v>1166426486.6809599</v>
      </c>
      <c r="L668">
        <v>1</v>
      </c>
      <c r="M668" t="s">
        <v>5370</v>
      </c>
      <c r="N668">
        <v>0.85273301000000001</v>
      </c>
      <c r="O668">
        <v>646.03</v>
      </c>
      <c r="P668">
        <v>662.66</v>
      </c>
      <c r="Q668">
        <v>550.89110645029996</v>
      </c>
      <c r="R668">
        <v>153669421470.99179</v>
      </c>
      <c r="S668">
        <v>0</v>
      </c>
      <c r="T668" t="s">
        <v>6243</v>
      </c>
    </row>
    <row r="669" spans="1:40" x14ac:dyDescent="0.25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145666638993.79999</v>
      </c>
      <c r="J669" t="s">
        <v>4700</v>
      </c>
      <c r="K669">
        <v>818145025.43019795</v>
      </c>
      <c r="L669">
        <v>1</v>
      </c>
      <c r="M669" t="s">
        <v>5371</v>
      </c>
      <c r="N669">
        <v>0.85273301000000001</v>
      </c>
      <c r="O669">
        <v>449.68</v>
      </c>
      <c r="P669">
        <v>476.16</v>
      </c>
      <c r="Q669">
        <v>383.4569799368</v>
      </c>
      <c r="R669">
        <v>137460316068.3143</v>
      </c>
      <c r="S669">
        <v>0</v>
      </c>
      <c r="T669" t="s">
        <v>6243</v>
      </c>
      <c r="AJ669" t="s">
        <v>6258</v>
      </c>
    </row>
    <row r="670" spans="1:40" x14ac:dyDescent="0.25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6.4517790000000002</v>
      </c>
      <c r="H670" t="s">
        <v>96</v>
      </c>
      <c r="I670">
        <v>4162444578.7316999</v>
      </c>
      <c r="J670" t="s">
        <v>4699</v>
      </c>
      <c r="K670">
        <v>5750082.1537210504</v>
      </c>
      <c r="L670">
        <v>0.8</v>
      </c>
      <c r="M670" t="s">
        <v>5372</v>
      </c>
      <c r="N670">
        <v>1.156136E-2</v>
      </c>
      <c r="O670">
        <v>574</v>
      </c>
      <c r="P670">
        <v>559</v>
      </c>
      <c r="Q670">
        <v>6.6362206399999986</v>
      </c>
      <c r="R670">
        <v>3425151497.1278968</v>
      </c>
      <c r="S670">
        <v>0</v>
      </c>
      <c r="T670" t="s">
        <v>6242</v>
      </c>
      <c r="W670" t="s">
        <v>6247</v>
      </c>
      <c r="AJ670" t="s">
        <v>6258</v>
      </c>
      <c r="AN670" t="s">
        <v>6262</v>
      </c>
    </row>
    <row r="671" spans="1:40" x14ac:dyDescent="0.25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26.767250000000001</v>
      </c>
      <c r="H671" t="s">
        <v>4693</v>
      </c>
      <c r="I671">
        <v>48768237809.800003</v>
      </c>
      <c r="J671" t="s">
        <v>4699</v>
      </c>
      <c r="K671">
        <v>66189893.257436603</v>
      </c>
      <c r="L671">
        <v>1</v>
      </c>
      <c r="M671" t="s">
        <v>5373</v>
      </c>
      <c r="N671">
        <v>9.1395149999999994E-2</v>
      </c>
      <c r="O671">
        <v>285.64999999999998</v>
      </c>
      <c r="P671">
        <v>298.2</v>
      </c>
      <c r="Q671">
        <v>26.107024597500001</v>
      </c>
      <c r="R671">
        <v>47565348852.69043</v>
      </c>
      <c r="S671">
        <v>0</v>
      </c>
      <c r="T671" t="s">
        <v>6242</v>
      </c>
      <c r="U671" t="s">
        <v>6245</v>
      </c>
      <c r="AJ671" t="s">
        <v>6258</v>
      </c>
      <c r="AN671" t="s">
        <v>6262</v>
      </c>
    </row>
    <row r="672" spans="1:40" x14ac:dyDescent="0.25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5.7743899999999999E-3</v>
      </c>
      <c r="O672">
        <v>66300</v>
      </c>
      <c r="P672">
        <v>68500</v>
      </c>
      <c r="Q672">
        <v>382.84205700000001</v>
      </c>
      <c r="R672">
        <v>2927383795.2738209</v>
      </c>
      <c r="S672">
        <v>0</v>
      </c>
      <c r="T672" t="s">
        <v>6244</v>
      </c>
    </row>
    <row r="673" spans="1:36" x14ac:dyDescent="0.25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9822120705.3999996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10.14</v>
      </c>
      <c r="P673">
        <v>10.54</v>
      </c>
      <c r="Q673">
        <v>10.14</v>
      </c>
      <c r="R673">
        <v>2834809410.4200001</v>
      </c>
      <c r="S673">
        <v>0</v>
      </c>
      <c r="T673" t="s">
        <v>6242</v>
      </c>
    </row>
    <row r="674" spans="1:36" x14ac:dyDescent="0.25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9781155184.2000008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119</v>
      </c>
      <c r="P674">
        <v>116.7</v>
      </c>
      <c r="Q674">
        <v>119</v>
      </c>
      <c r="R674">
        <v>3989571437.5999999</v>
      </c>
      <c r="S674">
        <v>1</v>
      </c>
      <c r="T674" t="s">
        <v>6242</v>
      </c>
      <c r="W674" t="s">
        <v>6247</v>
      </c>
    </row>
    <row r="675" spans="1:36" x14ac:dyDescent="0.25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302860502.23228902</v>
      </c>
      <c r="L675">
        <v>1</v>
      </c>
      <c r="M675" t="s">
        <v>5377</v>
      </c>
      <c r="N675">
        <v>0.85273301000000001</v>
      </c>
      <c r="O675">
        <v>187.22</v>
      </c>
      <c r="P675">
        <v>191.15</v>
      </c>
      <c r="Q675">
        <v>159.6486741322</v>
      </c>
      <c r="R675">
        <v>27140274602.473999</v>
      </c>
      <c r="S675">
        <v>0</v>
      </c>
      <c r="T675" t="s">
        <v>6243</v>
      </c>
    </row>
    <row r="676" spans="1:36" x14ac:dyDescent="0.25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80.098990000000001</v>
      </c>
      <c r="H676" t="s">
        <v>97</v>
      </c>
      <c r="I676">
        <v>23657095722.277599</v>
      </c>
      <c r="J676" t="s">
        <v>4700</v>
      </c>
      <c r="K676">
        <v>129338805.052735</v>
      </c>
      <c r="L676">
        <v>1</v>
      </c>
      <c r="M676" t="s">
        <v>5378</v>
      </c>
      <c r="N676">
        <v>0.85273301000000001</v>
      </c>
      <c r="O676">
        <v>96.69</v>
      </c>
      <c r="P676">
        <v>93.86</v>
      </c>
      <c r="Q676">
        <v>82.450754736899995</v>
      </c>
      <c r="R676">
        <v>24351685298.21508</v>
      </c>
      <c r="S676">
        <v>0</v>
      </c>
      <c r="T676" t="s">
        <v>6243</v>
      </c>
    </row>
    <row r="677" spans="1:36" x14ac:dyDescent="0.25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5657116613.1479998</v>
      </c>
      <c r="J677" t="s">
        <v>4701</v>
      </c>
      <c r="K677">
        <v>34445624.762102403</v>
      </c>
      <c r="L677">
        <v>0.95</v>
      </c>
      <c r="M677" t="s">
        <v>5379</v>
      </c>
      <c r="N677">
        <v>5.7743899999999999E-3</v>
      </c>
      <c r="O677">
        <v>2942.5</v>
      </c>
      <c r="P677">
        <v>2560</v>
      </c>
      <c r="Q677">
        <v>16.991142575000001</v>
      </c>
      <c r="R677">
        <v>6138234464.6909771</v>
      </c>
      <c r="S677">
        <v>0</v>
      </c>
      <c r="T677" t="s">
        <v>6244</v>
      </c>
      <c r="AJ677" t="s">
        <v>6258</v>
      </c>
    </row>
    <row r="678" spans="1:36" x14ac:dyDescent="0.25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25.894950000000001</v>
      </c>
      <c r="H678" t="s">
        <v>4696</v>
      </c>
      <c r="I678">
        <v>4510900290</v>
      </c>
      <c r="J678" t="s">
        <v>4699</v>
      </c>
      <c r="K678">
        <v>9423893.0049755406</v>
      </c>
      <c r="L678">
        <v>0.9</v>
      </c>
      <c r="M678" t="s">
        <v>5380</v>
      </c>
      <c r="N678">
        <v>0.13397104000000001</v>
      </c>
      <c r="O678">
        <v>202.6</v>
      </c>
      <c r="P678">
        <v>193.3</v>
      </c>
      <c r="Q678">
        <v>27.142532704000001</v>
      </c>
      <c r="R678">
        <v>4255406277.3331199</v>
      </c>
      <c r="S678">
        <v>0</v>
      </c>
      <c r="T678" t="s">
        <v>6242</v>
      </c>
      <c r="U678" t="s">
        <v>6245</v>
      </c>
      <c r="W678" t="s">
        <v>6247</v>
      </c>
    </row>
    <row r="679" spans="1:36" x14ac:dyDescent="0.25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8272006052.6015015</v>
      </c>
      <c r="J679" t="s">
        <v>4701</v>
      </c>
      <c r="K679">
        <v>36035854.615027197</v>
      </c>
      <c r="L679">
        <v>0.8</v>
      </c>
      <c r="M679" t="s">
        <v>5381</v>
      </c>
      <c r="N679">
        <v>5.7743899999999999E-3</v>
      </c>
      <c r="O679">
        <v>1975.5</v>
      </c>
      <c r="P679">
        <v>1995</v>
      </c>
      <c r="Q679">
        <v>11.407307445000001</v>
      </c>
      <c r="R679">
        <v>6511533380.8161316</v>
      </c>
      <c r="S679">
        <v>0</v>
      </c>
      <c r="T679" t="s">
        <v>6244</v>
      </c>
      <c r="AJ679" t="s">
        <v>6258</v>
      </c>
    </row>
    <row r="680" spans="1:36" x14ac:dyDescent="0.25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7813131410.6999998</v>
      </c>
      <c r="J680" t="s">
        <v>4702</v>
      </c>
      <c r="K680">
        <v>24246150.630846102</v>
      </c>
      <c r="L680">
        <v>0.60000000000000009</v>
      </c>
      <c r="M680" t="s">
        <v>5382</v>
      </c>
      <c r="N680">
        <v>1</v>
      </c>
      <c r="O680">
        <v>7.66</v>
      </c>
      <c r="P680">
        <v>7.7</v>
      </c>
      <c r="Q680">
        <v>7.66</v>
      </c>
      <c r="R680">
        <v>4663526229.0360012</v>
      </c>
      <c r="S680">
        <v>0</v>
      </c>
      <c r="T680" t="s">
        <v>6242</v>
      </c>
      <c r="AH680" t="s">
        <v>6256</v>
      </c>
      <c r="AJ680" t="s">
        <v>6258</v>
      </c>
    </row>
    <row r="681" spans="1:36" x14ac:dyDescent="0.25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47.453380000000003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5.7743899999999999E-3</v>
      </c>
      <c r="O681">
        <v>8580</v>
      </c>
      <c r="P681">
        <v>8166</v>
      </c>
      <c r="Q681">
        <v>49.544266200000003</v>
      </c>
      <c r="R681">
        <v>62817749828.467934</v>
      </c>
      <c r="S681">
        <v>0</v>
      </c>
      <c r="T681" t="s">
        <v>6244</v>
      </c>
      <c r="AG681" t="s">
        <v>6255</v>
      </c>
      <c r="AH681" t="s">
        <v>6256</v>
      </c>
      <c r="AJ681" t="s">
        <v>6258</v>
      </c>
    </row>
    <row r="682" spans="1:36" x14ac:dyDescent="0.25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0.96488149999999995</v>
      </c>
      <c r="H682" t="s">
        <v>96</v>
      </c>
      <c r="I682">
        <v>3626207232.5798001</v>
      </c>
      <c r="J682" t="s">
        <v>4699</v>
      </c>
      <c r="K682">
        <v>6146769.1942170998</v>
      </c>
      <c r="L682">
        <v>0.85</v>
      </c>
      <c r="M682" t="s">
        <v>5384</v>
      </c>
      <c r="N682">
        <v>1.156136E-2</v>
      </c>
      <c r="O682">
        <v>81.3</v>
      </c>
      <c r="P682">
        <v>83.6</v>
      </c>
      <c r="Q682">
        <v>0.93993856799999997</v>
      </c>
      <c r="R682">
        <v>3002596928.6829062</v>
      </c>
      <c r="S682">
        <v>0</v>
      </c>
      <c r="T682" t="s">
        <v>6242</v>
      </c>
      <c r="W682" t="s">
        <v>6247</v>
      </c>
    </row>
    <row r="683" spans="1:36" x14ac:dyDescent="0.25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50167371.287038498</v>
      </c>
      <c r="L683">
        <v>0.65</v>
      </c>
      <c r="M683" t="s">
        <v>5385</v>
      </c>
      <c r="N683">
        <v>1</v>
      </c>
      <c r="O683">
        <v>18.27</v>
      </c>
      <c r="P683">
        <v>18.34</v>
      </c>
      <c r="Q683">
        <v>18.27</v>
      </c>
      <c r="R683">
        <v>3220818482.6999998</v>
      </c>
      <c r="S683">
        <v>0</v>
      </c>
      <c r="T683" t="s">
        <v>6242</v>
      </c>
      <c r="AJ683" t="s">
        <v>6258</v>
      </c>
    </row>
    <row r="684" spans="1:36" x14ac:dyDescent="0.25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11.904019999999999</v>
      </c>
      <c r="H684" t="s">
        <v>99</v>
      </c>
      <c r="I684">
        <v>3730825099.5367999</v>
      </c>
      <c r="J684" t="s">
        <v>4701</v>
      </c>
      <c r="K684">
        <v>8690910.3561252691</v>
      </c>
      <c r="L684">
        <v>0.95</v>
      </c>
      <c r="M684" t="s">
        <v>5386</v>
      </c>
      <c r="N684">
        <v>5.7743899999999999E-3</v>
      </c>
      <c r="O684">
        <v>2067</v>
      </c>
      <c r="P684">
        <v>2048.5</v>
      </c>
      <c r="Q684">
        <v>11.935664129999999</v>
      </c>
      <c r="R684">
        <v>3553705517.1322632</v>
      </c>
      <c r="S684">
        <v>0</v>
      </c>
      <c r="T684" t="s">
        <v>6244</v>
      </c>
      <c r="W684" t="s">
        <v>6247</v>
      </c>
      <c r="AJ684" t="s">
        <v>6258</v>
      </c>
    </row>
    <row r="685" spans="1:36" x14ac:dyDescent="0.25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3.5109680000000001</v>
      </c>
      <c r="H685" t="s">
        <v>96</v>
      </c>
      <c r="I685">
        <v>8048211958.9176006</v>
      </c>
      <c r="J685" t="s">
        <v>4699</v>
      </c>
      <c r="K685">
        <v>18326160.703340501</v>
      </c>
      <c r="L685">
        <v>0.75</v>
      </c>
      <c r="M685" t="s">
        <v>5387</v>
      </c>
      <c r="N685">
        <v>1.156136E-2</v>
      </c>
      <c r="O685">
        <v>307.2</v>
      </c>
      <c r="P685">
        <v>304.2</v>
      </c>
      <c r="Q685">
        <v>3.5516497920000001</v>
      </c>
      <c r="R685">
        <v>6106100296.9540596</v>
      </c>
      <c r="S685">
        <v>0</v>
      </c>
      <c r="T685" t="s">
        <v>6242</v>
      </c>
      <c r="AH685" t="s">
        <v>6256</v>
      </c>
    </row>
    <row r="686" spans="1:36" x14ac:dyDescent="0.25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15851191.920158699</v>
      </c>
      <c r="L686">
        <v>0.95</v>
      </c>
      <c r="M686" t="s">
        <v>5388</v>
      </c>
      <c r="N686">
        <v>5.7743899999999999E-3</v>
      </c>
      <c r="O686">
        <v>2500</v>
      </c>
      <c r="P686">
        <v>2343.5</v>
      </c>
      <c r="Q686">
        <v>14.435974999999999</v>
      </c>
      <c r="R686">
        <v>3710586656.9969621</v>
      </c>
      <c r="S686">
        <v>0</v>
      </c>
      <c r="T686" t="s">
        <v>6244</v>
      </c>
    </row>
    <row r="687" spans="1:36" x14ac:dyDescent="0.25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21.66</v>
      </c>
      <c r="P687">
        <v>20.9</v>
      </c>
      <c r="Q687">
        <v>21.66</v>
      </c>
      <c r="R687">
        <v>6133721015.3400002</v>
      </c>
      <c r="S687">
        <v>0</v>
      </c>
      <c r="T687" t="s">
        <v>6242</v>
      </c>
    </row>
    <row r="688" spans="1:36" x14ac:dyDescent="0.25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179.07490000000001</v>
      </c>
      <c r="H688" t="s">
        <v>97</v>
      </c>
      <c r="I688">
        <v>19218110541.116001</v>
      </c>
      <c r="J688" t="s">
        <v>4700</v>
      </c>
      <c r="K688">
        <v>265993213.893971</v>
      </c>
      <c r="L688">
        <v>0.95</v>
      </c>
      <c r="M688" t="s">
        <v>5390</v>
      </c>
      <c r="N688">
        <v>0.85273301000000001</v>
      </c>
      <c r="O688">
        <v>214.06</v>
      </c>
      <c r="P688">
        <v>209.84</v>
      </c>
      <c r="Q688">
        <v>182.53602812060001</v>
      </c>
      <c r="R688">
        <v>18610077056.304661</v>
      </c>
      <c r="S688">
        <v>0</v>
      </c>
      <c r="T688" t="s">
        <v>6243</v>
      </c>
      <c r="AJ688" t="s">
        <v>6258</v>
      </c>
    </row>
    <row r="689" spans="1:40" x14ac:dyDescent="0.25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80562301.276089504</v>
      </c>
      <c r="L689">
        <v>1</v>
      </c>
      <c r="M689" t="s">
        <v>5391</v>
      </c>
      <c r="N689">
        <v>0.85273301000000001</v>
      </c>
      <c r="O689">
        <v>146.69999999999999</v>
      </c>
      <c r="P689">
        <v>148.49</v>
      </c>
      <c r="Q689">
        <v>125.09593256700001</v>
      </c>
      <c r="R689">
        <v>14953526190.417219</v>
      </c>
      <c r="S689">
        <v>0</v>
      </c>
      <c r="T689" t="s">
        <v>6243</v>
      </c>
      <c r="AA689" t="s">
        <v>6249</v>
      </c>
      <c r="AD689" t="s">
        <v>6252</v>
      </c>
    </row>
    <row r="690" spans="1:40" x14ac:dyDescent="0.25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2791362718.1199999</v>
      </c>
      <c r="J690" t="s">
        <v>4701</v>
      </c>
      <c r="K690">
        <v>6688246.14663665</v>
      </c>
      <c r="L690">
        <v>1</v>
      </c>
      <c r="M690" t="s">
        <v>5392</v>
      </c>
      <c r="N690">
        <v>5.7743899999999999E-3</v>
      </c>
      <c r="O690">
        <v>4810</v>
      </c>
      <c r="P690">
        <v>5157</v>
      </c>
      <c r="Q690">
        <v>27.7748159</v>
      </c>
      <c r="R690">
        <v>2587096336.93186</v>
      </c>
      <c r="S690">
        <v>0</v>
      </c>
      <c r="T690" t="s">
        <v>6244</v>
      </c>
      <c r="W690" t="s">
        <v>6247</v>
      </c>
      <c r="AJ690" t="s">
        <v>6258</v>
      </c>
      <c r="AN690" t="s">
        <v>6262</v>
      </c>
    </row>
    <row r="691" spans="1:40" x14ac:dyDescent="0.25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18.438600000000001</v>
      </c>
      <c r="H691" t="s">
        <v>99</v>
      </c>
      <c r="I691">
        <v>8060314139.1000004</v>
      </c>
      <c r="J691" t="s">
        <v>4701</v>
      </c>
      <c r="K691">
        <v>41523337.429740302</v>
      </c>
      <c r="L691">
        <v>1</v>
      </c>
      <c r="M691" t="s">
        <v>5393</v>
      </c>
      <c r="N691">
        <v>5.7743899999999999E-3</v>
      </c>
      <c r="O691">
        <v>3146</v>
      </c>
      <c r="P691">
        <v>3173</v>
      </c>
      <c r="Q691">
        <v>18.166230939999998</v>
      </c>
      <c r="R691">
        <v>7941249774.9198895</v>
      </c>
      <c r="S691">
        <v>0</v>
      </c>
      <c r="T691" t="s">
        <v>6244</v>
      </c>
      <c r="AJ691" t="s">
        <v>6258</v>
      </c>
    </row>
    <row r="692" spans="1:40" x14ac:dyDescent="0.25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9.4749859999999995</v>
      </c>
      <c r="H692" t="s">
        <v>99</v>
      </c>
      <c r="I692">
        <v>9897365715.9023991</v>
      </c>
      <c r="J692" t="s">
        <v>4701</v>
      </c>
      <c r="K692">
        <v>29350607.314574402</v>
      </c>
      <c r="L692">
        <v>1</v>
      </c>
      <c r="M692" t="s">
        <v>5394</v>
      </c>
      <c r="N692">
        <v>5.7743899999999999E-3</v>
      </c>
      <c r="O692">
        <v>1573</v>
      </c>
      <c r="P692">
        <v>1630.5</v>
      </c>
      <c r="Q692">
        <v>9.0831154699999992</v>
      </c>
      <c r="R692">
        <v>9488026224.6678467</v>
      </c>
      <c r="S692">
        <v>0</v>
      </c>
      <c r="T692" t="s">
        <v>6244</v>
      </c>
      <c r="AJ692" t="s">
        <v>6258</v>
      </c>
    </row>
    <row r="693" spans="1:40" x14ac:dyDescent="0.25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6868868.1986849401</v>
      </c>
      <c r="L693">
        <v>1</v>
      </c>
      <c r="M693" t="s">
        <v>5395</v>
      </c>
      <c r="N693">
        <v>5.7743899999999999E-3</v>
      </c>
      <c r="O693">
        <v>87600</v>
      </c>
      <c r="P693">
        <v>84000</v>
      </c>
      <c r="Q693">
        <v>505.83656400000001</v>
      </c>
      <c r="R693">
        <v>2578252001.7273841</v>
      </c>
      <c r="S693">
        <v>0</v>
      </c>
      <c r="T693" t="s">
        <v>6244</v>
      </c>
      <c r="W693" t="s">
        <v>6247</v>
      </c>
    </row>
    <row r="694" spans="1:40" x14ac:dyDescent="0.25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664.78899999999999</v>
      </c>
      <c r="H694" t="s">
        <v>99</v>
      </c>
      <c r="I694">
        <v>4781700302.3009996</v>
      </c>
      <c r="J694" t="s">
        <v>4701</v>
      </c>
      <c r="K694">
        <v>10359530.013715301</v>
      </c>
      <c r="L694">
        <v>1</v>
      </c>
      <c r="M694" t="s">
        <v>5396</v>
      </c>
      <c r="N694">
        <v>5.7743899999999999E-3</v>
      </c>
      <c r="O694">
        <v>114900</v>
      </c>
      <c r="P694">
        <v>114400</v>
      </c>
      <c r="Q694">
        <v>663.47741099999996</v>
      </c>
      <c r="R694">
        <v>4772266293.1374989</v>
      </c>
      <c r="S694">
        <v>0</v>
      </c>
      <c r="T694" t="s">
        <v>6244</v>
      </c>
      <c r="AN694" t="s">
        <v>6262</v>
      </c>
    </row>
    <row r="695" spans="1:40" x14ac:dyDescent="0.25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39824418046.751999</v>
      </c>
      <c r="J695" t="s">
        <v>4701</v>
      </c>
      <c r="K695">
        <v>73597297.769773096</v>
      </c>
      <c r="L695">
        <v>0.5</v>
      </c>
      <c r="M695" t="s">
        <v>5397</v>
      </c>
      <c r="N695">
        <v>5.7743899999999999E-3</v>
      </c>
      <c r="O695">
        <v>1889.5</v>
      </c>
      <c r="P695">
        <v>1916.5</v>
      </c>
      <c r="Q695">
        <v>10.910709904999999</v>
      </c>
      <c r="R695">
        <v>19507687575.584259</v>
      </c>
      <c r="S695">
        <v>0</v>
      </c>
      <c r="T695" t="s">
        <v>6244</v>
      </c>
      <c r="AJ695" t="s">
        <v>6258</v>
      </c>
    </row>
    <row r="696" spans="1:40" x14ac:dyDescent="0.25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8.9839490000000009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5.7743899999999999E-3</v>
      </c>
      <c r="O696">
        <v>1548</v>
      </c>
      <c r="P696">
        <v>1546</v>
      </c>
      <c r="Q696">
        <v>8.9387557199999996</v>
      </c>
      <c r="R696">
        <v>15944602769.212231</v>
      </c>
      <c r="S696">
        <v>0</v>
      </c>
      <c r="T696" t="s">
        <v>6244</v>
      </c>
      <c r="AJ696" t="s">
        <v>6258</v>
      </c>
    </row>
    <row r="697" spans="1:40" x14ac:dyDescent="0.25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24.580919999999999</v>
      </c>
      <c r="H697" t="s">
        <v>99</v>
      </c>
      <c r="I697">
        <v>9139744042.8839989</v>
      </c>
      <c r="J697" t="s">
        <v>4701</v>
      </c>
      <c r="K697">
        <v>18938231.990834799</v>
      </c>
      <c r="L697">
        <v>0.5</v>
      </c>
      <c r="M697" t="s">
        <v>5399</v>
      </c>
      <c r="N697">
        <v>5.7743899999999999E-3</v>
      </c>
      <c r="O697">
        <v>4280</v>
      </c>
      <c r="P697">
        <v>4230</v>
      </c>
      <c r="Q697">
        <v>24.714389199999999</v>
      </c>
      <c r="R697">
        <v>4594685460.5974197</v>
      </c>
      <c r="S697">
        <v>0</v>
      </c>
      <c r="T697" t="s">
        <v>6244</v>
      </c>
      <c r="AJ697" t="s">
        <v>6258</v>
      </c>
    </row>
    <row r="698" spans="1:40" x14ac:dyDescent="0.25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2385412779.7087998</v>
      </c>
      <c r="J698" t="s">
        <v>4701</v>
      </c>
      <c r="K698">
        <v>4274069.8627543896</v>
      </c>
      <c r="L698">
        <v>0.95</v>
      </c>
      <c r="M698" t="s">
        <v>5400</v>
      </c>
      <c r="N698">
        <v>5.7743899999999999E-3</v>
      </c>
      <c r="O698">
        <v>105200</v>
      </c>
      <c r="P698">
        <v>104100</v>
      </c>
      <c r="Q698">
        <v>607.46582799999999</v>
      </c>
      <c r="R698">
        <v>2275623607.50317</v>
      </c>
      <c r="S698">
        <v>0</v>
      </c>
      <c r="T698" t="s">
        <v>6244</v>
      </c>
      <c r="W698" t="s">
        <v>6247</v>
      </c>
      <c r="AN698" t="s">
        <v>6262</v>
      </c>
    </row>
    <row r="699" spans="1:40" x14ac:dyDescent="0.25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748.46870000000001</v>
      </c>
      <c r="H699" t="s">
        <v>99</v>
      </c>
      <c r="I699">
        <v>5324845841.7840004</v>
      </c>
      <c r="J699" t="s">
        <v>4701</v>
      </c>
      <c r="K699">
        <v>11976556.159286</v>
      </c>
      <c r="L699">
        <v>0.9</v>
      </c>
      <c r="M699" t="s">
        <v>5401</v>
      </c>
      <c r="N699">
        <v>5.7743899999999999E-3</v>
      </c>
      <c r="O699">
        <v>130900</v>
      </c>
      <c r="P699">
        <v>128800</v>
      </c>
      <c r="Q699">
        <v>755.86765100000002</v>
      </c>
      <c r="R699">
        <v>4839735912.1760883</v>
      </c>
      <c r="S699">
        <v>0</v>
      </c>
      <c r="T699" t="s">
        <v>6244</v>
      </c>
    </row>
    <row r="700" spans="1:40" x14ac:dyDescent="0.25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52.497410000000002</v>
      </c>
      <c r="H700" t="s">
        <v>99</v>
      </c>
      <c r="I700">
        <v>3906642537.7930999</v>
      </c>
      <c r="J700" t="s">
        <v>4701</v>
      </c>
      <c r="K700">
        <v>60111695.808074102</v>
      </c>
      <c r="L700">
        <v>1</v>
      </c>
      <c r="M700" t="s">
        <v>5402</v>
      </c>
      <c r="N700">
        <v>5.7743899999999999E-3</v>
      </c>
      <c r="O700">
        <v>8949</v>
      </c>
      <c r="P700">
        <v>9034</v>
      </c>
      <c r="Q700">
        <v>51.675016110000001</v>
      </c>
      <c r="R700">
        <v>3845443348.0903101</v>
      </c>
      <c r="S700">
        <v>0</v>
      </c>
      <c r="T700" t="s">
        <v>6244</v>
      </c>
      <c r="AJ700" t="s">
        <v>6258</v>
      </c>
    </row>
    <row r="701" spans="1:40" x14ac:dyDescent="0.25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0.55000000000000004</v>
      </c>
      <c r="M701" t="s">
        <v>5403</v>
      </c>
      <c r="N701">
        <v>5.7743899999999999E-3</v>
      </c>
      <c r="O701">
        <v>4744</v>
      </c>
      <c r="P701">
        <v>4830</v>
      </c>
      <c r="Q701">
        <v>27.393706160000001</v>
      </c>
      <c r="R701">
        <v>30133076776</v>
      </c>
      <c r="S701">
        <v>0</v>
      </c>
      <c r="T701" t="s">
        <v>6244</v>
      </c>
      <c r="AK701" t="s">
        <v>6259</v>
      </c>
    </row>
    <row r="702" spans="1:40" x14ac:dyDescent="0.25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49.146610000000003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0.85273301000000001</v>
      </c>
      <c r="O702">
        <v>61.41</v>
      </c>
      <c r="P702">
        <v>57.59</v>
      </c>
      <c r="Q702">
        <v>52.366334144100001</v>
      </c>
      <c r="R702">
        <v>10043418586.676331</v>
      </c>
      <c r="S702">
        <v>0</v>
      </c>
      <c r="T702" t="s">
        <v>6244</v>
      </c>
      <c r="AG702" t="s">
        <v>6255</v>
      </c>
      <c r="AJ702" t="s">
        <v>6258</v>
      </c>
    </row>
    <row r="703" spans="1:40" x14ac:dyDescent="0.25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65.434229999999999</v>
      </c>
      <c r="H703" t="s">
        <v>4691</v>
      </c>
      <c r="I703">
        <v>7154185055.8723202</v>
      </c>
      <c r="J703" t="s">
        <v>4701</v>
      </c>
      <c r="K703">
        <v>22608364.121027801</v>
      </c>
      <c r="L703">
        <v>1</v>
      </c>
      <c r="M703" t="s">
        <v>5405</v>
      </c>
      <c r="N703">
        <v>0.56652409000000004</v>
      </c>
      <c r="O703">
        <v>114.35</v>
      </c>
      <c r="P703">
        <v>118.09</v>
      </c>
      <c r="Q703">
        <v>64.7820296915</v>
      </c>
      <c r="R703">
        <v>7082877397.7779856</v>
      </c>
      <c r="S703">
        <v>0</v>
      </c>
      <c r="T703" t="s">
        <v>6244</v>
      </c>
      <c r="U703" t="s">
        <v>6245</v>
      </c>
      <c r="AJ703" t="s">
        <v>6258</v>
      </c>
    </row>
    <row r="704" spans="1:40" x14ac:dyDescent="0.25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8682473.5759090893</v>
      </c>
      <c r="L704">
        <v>0.3</v>
      </c>
      <c r="M704" t="s">
        <v>5406</v>
      </c>
      <c r="N704">
        <v>1</v>
      </c>
      <c r="O704">
        <v>31.24</v>
      </c>
      <c r="P704">
        <v>26.54</v>
      </c>
      <c r="Q704">
        <v>31.24</v>
      </c>
      <c r="R704">
        <v>4575210232.8240004</v>
      </c>
      <c r="S704">
        <v>0</v>
      </c>
      <c r="T704" t="s">
        <v>6242</v>
      </c>
      <c r="W704" t="s">
        <v>6247</v>
      </c>
    </row>
    <row r="705" spans="1:40" x14ac:dyDescent="0.25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10.628489999999999</v>
      </c>
      <c r="H705" t="s">
        <v>99</v>
      </c>
      <c r="I705">
        <v>6796264640.0159998</v>
      </c>
      <c r="J705" t="s">
        <v>4701</v>
      </c>
      <c r="K705">
        <v>33794045.979525499</v>
      </c>
      <c r="L705">
        <v>1</v>
      </c>
      <c r="M705" t="s">
        <v>5407</v>
      </c>
      <c r="N705">
        <v>5.7743899999999999E-3</v>
      </c>
      <c r="O705">
        <v>1920</v>
      </c>
      <c r="P705">
        <v>1829</v>
      </c>
      <c r="Q705">
        <v>11.086828799999999</v>
      </c>
      <c r="R705">
        <v>7089344068.94592</v>
      </c>
      <c r="S705">
        <v>0</v>
      </c>
      <c r="T705" t="s">
        <v>6244</v>
      </c>
      <c r="AG705" t="s">
        <v>6255</v>
      </c>
      <c r="AJ705" t="s">
        <v>6258</v>
      </c>
    </row>
    <row r="706" spans="1:40" x14ac:dyDescent="0.25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153.00389999999999</v>
      </c>
      <c r="H706" t="s">
        <v>97</v>
      </c>
      <c r="I706">
        <v>368485244221.71002</v>
      </c>
      <c r="J706" t="s">
        <v>4700</v>
      </c>
      <c r="K706">
        <v>1178015848.98422</v>
      </c>
      <c r="L706">
        <v>1</v>
      </c>
      <c r="M706" t="s">
        <v>5408</v>
      </c>
      <c r="N706">
        <v>0.85273301000000001</v>
      </c>
      <c r="O706">
        <v>178.06</v>
      </c>
      <c r="P706">
        <v>179.29</v>
      </c>
      <c r="Q706">
        <v>151.83763976060001</v>
      </c>
      <c r="R706">
        <v>365676494319.63971</v>
      </c>
      <c r="S706">
        <v>0</v>
      </c>
      <c r="T706" t="s">
        <v>6243</v>
      </c>
    </row>
    <row r="707" spans="1:40" x14ac:dyDescent="0.25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91.534390000000002</v>
      </c>
      <c r="H707" t="s">
        <v>97</v>
      </c>
      <c r="I707">
        <v>59898772075.281601</v>
      </c>
      <c r="J707" t="s">
        <v>4700</v>
      </c>
      <c r="K707">
        <v>443364823.041798</v>
      </c>
      <c r="L707">
        <v>1</v>
      </c>
      <c r="M707" t="s">
        <v>5409</v>
      </c>
      <c r="N707">
        <v>0.85273301000000001</v>
      </c>
      <c r="O707">
        <v>107.53</v>
      </c>
      <c r="P707">
        <v>107.26</v>
      </c>
      <c r="Q707">
        <v>91.694380565300008</v>
      </c>
      <c r="R707">
        <v>60003467571.751297</v>
      </c>
      <c r="S707">
        <v>0</v>
      </c>
      <c r="T707" t="s">
        <v>6243</v>
      </c>
    </row>
    <row r="708" spans="1:40" x14ac:dyDescent="0.25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22.021460000000001</v>
      </c>
      <c r="H708" t="s">
        <v>96</v>
      </c>
      <c r="I708">
        <v>3696055200.4334002</v>
      </c>
      <c r="J708" t="s">
        <v>4699</v>
      </c>
      <c r="K708">
        <v>7931413.3536374597</v>
      </c>
      <c r="L708">
        <v>1</v>
      </c>
      <c r="M708" t="s">
        <v>5410</v>
      </c>
      <c r="N708">
        <v>1.156136E-2</v>
      </c>
      <c r="O708">
        <v>1915</v>
      </c>
      <c r="P708">
        <v>1908</v>
      </c>
      <c r="Q708">
        <v>22.140004399999999</v>
      </c>
      <c r="R708">
        <v>3715951549.0906758</v>
      </c>
      <c r="S708">
        <v>0</v>
      </c>
      <c r="T708" t="s">
        <v>6242</v>
      </c>
      <c r="W708" t="s">
        <v>6247</v>
      </c>
    </row>
    <row r="709" spans="1:40" x14ac:dyDescent="0.25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252.80760000000001</v>
      </c>
      <c r="H709" t="s">
        <v>97</v>
      </c>
      <c r="I709">
        <v>695158709330.40002</v>
      </c>
      <c r="J709" t="s">
        <v>4700</v>
      </c>
      <c r="K709">
        <v>2040660200.90467</v>
      </c>
      <c r="L709">
        <v>1</v>
      </c>
      <c r="M709" t="s">
        <v>5411</v>
      </c>
      <c r="N709">
        <v>0.85273301000000001</v>
      </c>
      <c r="O709">
        <v>306.91000000000003</v>
      </c>
      <c r="P709">
        <v>296.24</v>
      </c>
      <c r="Q709">
        <v>261.71228809910002</v>
      </c>
      <c r="R709">
        <v>719644411049.65271</v>
      </c>
      <c r="S709">
        <v>0</v>
      </c>
      <c r="T709" t="s">
        <v>6243</v>
      </c>
      <c r="AJ709" t="s">
        <v>6258</v>
      </c>
      <c r="AN709" t="s">
        <v>6262</v>
      </c>
    </row>
    <row r="710" spans="1:40" x14ac:dyDescent="0.25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23.790610000000001</v>
      </c>
      <c r="H710" t="s">
        <v>99</v>
      </c>
      <c r="I710">
        <v>3742301017.9759998</v>
      </c>
      <c r="J710" t="s">
        <v>4701</v>
      </c>
      <c r="K710">
        <v>12018443.463515099</v>
      </c>
      <c r="L710">
        <v>1</v>
      </c>
      <c r="M710" t="s">
        <v>5412</v>
      </c>
      <c r="N710">
        <v>5.7743899999999999E-3</v>
      </c>
      <c r="O710">
        <v>4150</v>
      </c>
      <c r="P710">
        <v>4094</v>
      </c>
      <c r="Q710">
        <v>23.963718499999999</v>
      </c>
      <c r="R710">
        <v>3769531261.9995999</v>
      </c>
      <c r="S710">
        <v>0</v>
      </c>
      <c r="T710" t="s">
        <v>6244</v>
      </c>
      <c r="AJ710" t="s">
        <v>6258</v>
      </c>
    </row>
    <row r="711" spans="1:40" x14ac:dyDescent="0.25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63.497050000000002</v>
      </c>
      <c r="H711" t="s">
        <v>4694</v>
      </c>
      <c r="I711">
        <v>13080505959.7195</v>
      </c>
      <c r="J711" t="s">
        <v>4699</v>
      </c>
      <c r="K711">
        <v>31173194.158963598</v>
      </c>
      <c r="L711">
        <v>1</v>
      </c>
      <c r="M711" t="s">
        <v>5413</v>
      </c>
      <c r="N711">
        <v>1.07032003</v>
      </c>
      <c r="O711">
        <v>57.7</v>
      </c>
      <c r="P711">
        <v>59.64</v>
      </c>
      <c r="Q711">
        <v>61.757465731000003</v>
      </c>
      <c r="R711">
        <v>12722148486.449659</v>
      </c>
      <c r="S711">
        <v>0</v>
      </c>
      <c r="T711" t="s">
        <v>6242</v>
      </c>
      <c r="U711" t="s">
        <v>6245</v>
      </c>
    </row>
    <row r="712" spans="1:40" x14ac:dyDescent="0.25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20.149999999999999</v>
      </c>
      <c r="H712" t="s">
        <v>98</v>
      </c>
      <c r="I712">
        <v>4210700283.4000001</v>
      </c>
      <c r="J712" t="s">
        <v>4702</v>
      </c>
      <c r="K712">
        <v>18826189.3424621</v>
      </c>
      <c r="L712">
        <v>0.85000000000000009</v>
      </c>
      <c r="M712" t="s">
        <v>5414</v>
      </c>
      <c r="N712">
        <v>1</v>
      </c>
      <c r="O712">
        <v>20.23</v>
      </c>
      <c r="P712">
        <v>20.149999999999999</v>
      </c>
      <c r="Q712">
        <v>20.23</v>
      </c>
      <c r="R712">
        <v>3593305048.2979999</v>
      </c>
      <c r="S712">
        <v>0</v>
      </c>
      <c r="T712" t="s">
        <v>6242</v>
      </c>
      <c r="AN712" t="s">
        <v>6262</v>
      </c>
    </row>
    <row r="713" spans="1:40" x14ac:dyDescent="0.25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7.0227050000000002</v>
      </c>
      <c r="H713" t="s">
        <v>99</v>
      </c>
      <c r="I713">
        <v>6520322454.6855001</v>
      </c>
      <c r="J713" t="s">
        <v>4701</v>
      </c>
      <c r="K713">
        <v>45043316.752024002</v>
      </c>
      <c r="L713">
        <v>0.5</v>
      </c>
      <c r="M713" t="s">
        <v>5415</v>
      </c>
      <c r="N713">
        <v>5.7743899999999999E-3</v>
      </c>
      <c r="O713">
        <v>1640</v>
      </c>
      <c r="P713">
        <v>1208.5</v>
      </c>
      <c r="Q713">
        <v>9.4699995999999995</v>
      </c>
      <c r="R713">
        <v>4396272592.8073797</v>
      </c>
      <c r="S713">
        <v>0</v>
      </c>
      <c r="T713" t="s">
        <v>6244</v>
      </c>
      <c r="AJ713" t="s">
        <v>6258</v>
      </c>
    </row>
    <row r="714" spans="1:40" x14ac:dyDescent="0.25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95.515259999999998</v>
      </c>
      <c r="H714" t="s">
        <v>4696</v>
      </c>
      <c r="I714">
        <v>5874854899.9690199</v>
      </c>
      <c r="J714" t="s">
        <v>4699</v>
      </c>
      <c r="K714">
        <v>7386411.8709789803</v>
      </c>
      <c r="L714">
        <v>0.7</v>
      </c>
      <c r="M714" t="s">
        <v>5416</v>
      </c>
      <c r="N714">
        <v>0.13397104000000001</v>
      </c>
      <c r="O714">
        <v>694</v>
      </c>
      <c r="P714">
        <v>713</v>
      </c>
      <c r="Q714">
        <v>92.975901760000013</v>
      </c>
      <c r="R714">
        <v>4003066655.7746062</v>
      </c>
      <c r="S714">
        <v>0</v>
      </c>
      <c r="T714" t="s">
        <v>6242</v>
      </c>
      <c r="U714" t="s">
        <v>6245</v>
      </c>
      <c r="W714" t="s">
        <v>6247</v>
      </c>
      <c r="AJ714" t="s">
        <v>6258</v>
      </c>
    </row>
    <row r="715" spans="1:40" x14ac:dyDescent="0.25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3013836874.4229999</v>
      </c>
      <c r="J715" t="s">
        <v>4701</v>
      </c>
      <c r="K715">
        <v>15820342.6429819</v>
      </c>
      <c r="L715">
        <v>0.75</v>
      </c>
      <c r="M715" t="s">
        <v>5417</v>
      </c>
      <c r="N715">
        <v>5.7743899999999999E-3</v>
      </c>
      <c r="O715">
        <v>3403</v>
      </c>
      <c r="P715">
        <v>3481</v>
      </c>
      <c r="Q715">
        <v>19.650249169999999</v>
      </c>
      <c r="R715">
        <v>2195772389.1847882</v>
      </c>
      <c r="S715">
        <v>0</v>
      </c>
      <c r="T715" t="s">
        <v>6244</v>
      </c>
      <c r="AN715" t="s">
        <v>6262</v>
      </c>
    </row>
    <row r="716" spans="1:40" x14ac:dyDescent="0.25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25.005130000000001</v>
      </c>
      <c r="H716" t="s">
        <v>99</v>
      </c>
      <c r="I716">
        <v>13219112005.280001</v>
      </c>
      <c r="J716" t="s">
        <v>4701</v>
      </c>
      <c r="K716">
        <v>35107310.230457403</v>
      </c>
      <c r="L716">
        <v>0.9</v>
      </c>
      <c r="M716" t="s">
        <v>5418</v>
      </c>
      <c r="N716">
        <v>5.7743899999999999E-3</v>
      </c>
      <c r="O716">
        <v>4574</v>
      </c>
      <c r="P716">
        <v>4303</v>
      </c>
      <c r="Q716">
        <v>26.412059859999999</v>
      </c>
      <c r="R716">
        <v>12566604525.61334</v>
      </c>
      <c r="S716">
        <v>0</v>
      </c>
      <c r="T716" t="s">
        <v>6244</v>
      </c>
    </row>
    <row r="717" spans="1:40" x14ac:dyDescent="0.25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25.870979999999999</v>
      </c>
      <c r="H717" t="s">
        <v>99</v>
      </c>
      <c r="I717">
        <v>2757247192.6192799</v>
      </c>
      <c r="J717" t="s">
        <v>4701</v>
      </c>
      <c r="K717">
        <v>5788227.7196913799</v>
      </c>
      <c r="L717">
        <v>0.95</v>
      </c>
      <c r="M717" t="s">
        <v>5419</v>
      </c>
      <c r="N717">
        <v>5.7743899999999999E-3</v>
      </c>
      <c r="O717">
        <v>4581</v>
      </c>
      <c r="P717">
        <v>4452</v>
      </c>
      <c r="Q717">
        <v>26.45248059</v>
      </c>
      <c r="R717">
        <v>2678260601.351933</v>
      </c>
      <c r="S717">
        <v>0</v>
      </c>
      <c r="T717" t="s">
        <v>6244</v>
      </c>
      <c r="W717" t="s">
        <v>6247</v>
      </c>
      <c r="AJ717" t="s">
        <v>6258</v>
      </c>
      <c r="AN717" t="s">
        <v>6262</v>
      </c>
    </row>
    <row r="718" spans="1:40" x14ac:dyDescent="0.25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22.849209999999999</v>
      </c>
      <c r="H718" t="s">
        <v>99</v>
      </c>
      <c r="I718">
        <v>4690676162.7193003</v>
      </c>
      <c r="J718" t="s">
        <v>4701</v>
      </c>
      <c r="K718">
        <v>17007777.962923702</v>
      </c>
      <c r="L718">
        <v>0.55000000000000004</v>
      </c>
      <c r="M718" t="s">
        <v>5420</v>
      </c>
      <c r="N718">
        <v>5.7743899999999999E-3</v>
      </c>
      <c r="O718">
        <v>4080</v>
      </c>
      <c r="P718">
        <v>3932</v>
      </c>
      <c r="Q718">
        <v>23.559511199999999</v>
      </c>
      <c r="R718">
        <v>2660070990.4253631</v>
      </c>
      <c r="S718">
        <v>0</v>
      </c>
      <c r="T718" t="s">
        <v>6244</v>
      </c>
      <c r="AJ718" t="s">
        <v>6258</v>
      </c>
    </row>
    <row r="719" spans="1:40" x14ac:dyDescent="0.25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12.136469999999999</v>
      </c>
      <c r="H719" t="s">
        <v>99</v>
      </c>
      <c r="I719">
        <v>13531284155.924999</v>
      </c>
      <c r="J719" t="s">
        <v>4701</v>
      </c>
      <c r="K719">
        <v>52048979.334760197</v>
      </c>
      <c r="L719">
        <v>0.9</v>
      </c>
      <c r="M719" t="s">
        <v>5421</v>
      </c>
      <c r="N719">
        <v>5.7743899999999999E-3</v>
      </c>
      <c r="O719">
        <v>2283</v>
      </c>
      <c r="P719">
        <v>2088.5</v>
      </c>
      <c r="Q719">
        <v>13.18293237</v>
      </c>
      <c r="R719">
        <v>13228212446.957861</v>
      </c>
      <c r="S719">
        <v>0</v>
      </c>
      <c r="T719" t="s">
        <v>6244</v>
      </c>
      <c r="AG719" t="s">
        <v>6255</v>
      </c>
      <c r="AH719" t="s">
        <v>6256</v>
      </c>
      <c r="AJ719" t="s">
        <v>6258</v>
      </c>
      <c r="AN719" t="s">
        <v>6262</v>
      </c>
    </row>
    <row r="720" spans="1:40" x14ac:dyDescent="0.25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14.806660000000001</v>
      </c>
      <c r="H720" t="s">
        <v>99</v>
      </c>
      <c r="I720">
        <v>2635234117.9582</v>
      </c>
      <c r="J720" t="s">
        <v>4701</v>
      </c>
      <c r="K720">
        <v>10894363.053664001</v>
      </c>
      <c r="L720">
        <v>0.85</v>
      </c>
      <c r="M720" t="s">
        <v>5422</v>
      </c>
      <c r="N720">
        <v>5.7743899999999999E-3</v>
      </c>
      <c r="O720">
        <v>2519</v>
      </c>
      <c r="P720">
        <v>2548</v>
      </c>
      <c r="Q720">
        <v>14.54568841</v>
      </c>
      <c r="R720">
        <v>2200469262.6249261</v>
      </c>
      <c r="S720">
        <v>0</v>
      </c>
      <c r="T720" t="s">
        <v>6244</v>
      </c>
      <c r="AJ720" t="s">
        <v>6258</v>
      </c>
      <c r="AN720" t="s">
        <v>6262</v>
      </c>
    </row>
    <row r="721" spans="1:40" x14ac:dyDescent="0.25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39.259740000000001</v>
      </c>
      <c r="H721" t="s">
        <v>99</v>
      </c>
      <c r="I721">
        <v>18291112866</v>
      </c>
      <c r="J721" t="s">
        <v>4701</v>
      </c>
      <c r="K721">
        <v>51312441.176802002</v>
      </c>
      <c r="L721">
        <v>0.95</v>
      </c>
      <c r="M721" t="s">
        <v>5423</v>
      </c>
      <c r="N721">
        <v>5.7743899999999999E-3</v>
      </c>
      <c r="O721">
        <v>6746</v>
      </c>
      <c r="P721">
        <v>6756</v>
      </c>
      <c r="Q721">
        <v>38.95403494</v>
      </c>
      <c r="R721">
        <v>17241250634.618698</v>
      </c>
      <c r="S721">
        <v>0</v>
      </c>
      <c r="T721" t="s">
        <v>6244</v>
      </c>
    </row>
    <row r="722" spans="1:40" x14ac:dyDescent="0.25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55.205379999999998</v>
      </c>
      <c r="H722" t="s">
        <v>99</v>
      </c>
      <c r="I722">
        <v>9270186779.2840004</v>
      </c>
      <c r="J722" t="s">
        <v>4701</v>
      </c>
      <c r="K722">
        <v>421629969.08340597</v>
      </c>
      <c r="L722">
        <v>1</v>
      </c>
      <c r="M722" t="s">
        <v>5424</v>
      </c>
      <c r="N722">
        <v>5.7743899999999999E-3</v>
      </c>
      <c r="O722">
        <v>9217</v>
      </c>
      <c r="P722">
        <v>9500</v>
      </c>
      <c r="Q722">
        <v>53.222552630000003</v>
      </c>
      <c r="R722">
        <v>8937226838.2243328</v>
      </c>
      <c r="S722">
        <v>0</v>
      </c>
      <c r="T722" t="s">
        <v>6244</v>
      </c>
    </row>
    <row r="723" spans="1:40" x14ac:dyDescent="0.25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8468575982.8374004</v>
      </c>
      <c r="J723" t="s">
        <v>4701</v>
      </c>
      <c r="K723">
        <v>58056238.678488404</v>
      </c>
      <c r="L723">
        <v>0.6</v>
      </c>
      <c r="M723" t="s">
        <v>5425</v>
      </c>
      <c r="N723">
        <v>5.7743899999999999E-3</v>
      </c>
      <c r="O723">
        <v>2331</v>
      </c>
      <c r="P723">
        <v>2280</v>
      </c>
      <c r="Q723">
        <v>13.46010309</v>
      </c>
      <c r="R723">
        <v>5161993091.9085989</v>
      </c>
      <c r="S723">
        <v>0</v>
      </c>
      <c r="T723" t="s">
        <v>6244</v>
      </c>
    </row>
    <row r="724" spans="1:40" x14ac:dyDescent="0.25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43800381439.900002</v>
      </c>
      <c r="J724" t="s">
        <v>4702</v>
      </c>
      <c r="K724">
        <v>35010652.282424301</v>
      </c>
      <c r="L724">
        <v>0.55000000000000004</v>
      </c>
      <c r="M724" t="s">
        <v>5426</v>
      </c>
      <c r="N724">
        <v>1</v>
      </c>
      <c r="O724">
        <v>101.85</v>
      </c>
      <c r="P724">
        <v>104.9</v>
      </c>
      <c r="Q724">
        <v>101.85</v>
      </c>
      <c r="R724">
        <v>23389779478.642502</v>
      </c>
      <c r="S724">
        <v>0</v>
      </c>
      <c r="T724" t="s">
        <v>6242</v>
      </c>
      <c r="AJ724" t="s">
        <v>6258</v>
      </c>
      <c r="AN724" t="s">
        <v>6262</v>
      </c>
    </row>
    <row r="725" spans="1:40" x14ac:dyDescent="0.25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65123041901.896004</v>
      </c>
      <c r="J725" t="s">
        <v>4701</v>
      </c>
      <c r="K725">
        <v>113746571.291697</v>
      </c>
      <c r="L725">
        <v>0.7</v>
      </c>
      <c r="M725" t="s">
        <v>5427</v>
      </c>
      <c r="N725">
        <v>5.7743899999999999E-3</v>
      </c>
      <c r="O725">
        <v>2495.5</v>
      </c>
      <c r="P725">
        <v>2676</v>
      </c>
      <c r="Q725">
        <v>14.409990244999999</v>
      </c>
      <c r="R725">
        <v>42242791153.181976</v>
      </c>
      <c r="S725">
        <v>0</v>
      </c>
      <c r="T725" t="s">
        <v>6244</v>
      </c>
    </row>
    <row r="726" spans="1:40" x14ac:dyDescent="0.25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9.2774099999999997</v>
      </c>
      <c r="H726" t="s">
        <v>99</v>
      </c>
      <c r="I726">
        <v>2558343776.9496002</v>
      </c>
      <c r="J726" t="s">
        <v>4701</v>
      </c>
      <c r="K726">
        <v>5356657.2031634301</v>
      </c>
      <c r="L726">
        <v>0.95</v>
      </c>
      <c r="M726" t="s">
        <v>5428</v>
      </c>
      <c r="N726">
        <v>5.7743899999999999E-3</v>
      </c>
      <c r="O726">
        <v>1582.5</v>
      </c>
      <c r="P726">
        <v>1596.5</v>
      </c>
      <c r="Q726">
        <v>9.1379721749999998</v>
      </c>
      <c r="R726">
        <v>2393897708.0302968</v>
      </c>
      <c r="S726">
        <v>0</v>
      </c>
      <c r="T726" t="s">
        <v>6244</v>
      </c>
      <c r="W726" t="s">
        <v>6247</v>
      </c>
      <c r="AJ726" t="s">
        <v>6258</v>
      </c>
      <c r="AN726" t="s">
        <v>6262</v>
      </c>
    </row>
    <row r="727" spans="1:40" x14ac:dyDescent="0.25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21.710239999999999</v>
      </c>
      <c r="H727" t="s">
        <v>99</v>
      </c>
      <c r="I727">
        <v>2598753286.7151999</v>
      </c>
      <c r="J727" t="s">
        <v>4701</v>
      </c>
      <c r="K727">
        <v>8796746.9328144304</v>
      </c>
      <c r="L727">
        <v>0.85</v>
      </c>
      <c r="M727" t="s">
        <v>5429</v>
      </c>
      <c r="N727">
        <v>5.7743899999999999E-3</v>
      </c>
      <c r="O727">
        <v>3905</v>
      </c>
      <c r="P727">
        <v>3736</v>
      </c>
      <c r="Q727">
        <v>22.548992949999999</v>
      </c>
      <c r="R727">
        <v>2294280445.9918828</v>
      </c>
      <c r="S727">
        <v>0</v>
      </c>
      <c r="T727" t="s">
        <v>6244</v>
      </c>
      <c r="W727" t="s">
        <v>6247</v>
      </c>
      <c r="AJ727" t="s">
        <v>6258</v>
      </c>
      <c r="AN727" t="s">
        <v>6262</v>
      </c>
    </row>
    <row r="728" spans="1:40" x14ac:dyDescent="0.25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8.0396459999999994</v>
      </c>
      <c r="H728" t="s">
        <v>99</v>
      </c>
      <c r="I728">
        <v>4158375043.3056002</v>
      </c>
      <c r="J728" t="s">
        <v>4701</v>
      </c>
      <c r="K728">
        <v>16420386.815922201</v>
      </c>
      <c r="L728">
        <v>0.95</v>
      </c>
      <c r="M728" t="s">
        <v>5430</v>
      </c>
      <c r="N728">
        <v>5.7743899999999999E-3</v>
      </c>
      <c r="O728">
        <v>1381</v>
      </c>
      <c r="P728">
        <v>1383.5</v>
      </c>
      <c r="Q728">
        <v>7.9744325900000002</v>
      </c>
      <c r="R728">
        <v>3918412252.6588731</v>
      </c>
      <c r="S728">
        <v>0</v>
      </c>
      <c r="T728" t="s">
        <v>6244</v>
      </c>
      <c r="AJ728" t="s">
        <v>6258</v>
      </c>
      <c r="AN728" t="s">
        <v>6262</v>
      </c>
    </row>
    <row r="729" spans="1:40" x14ac:dyDescent="0.25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68.399050000000003</v>
      </c>
      <c r="H729" t="s">
        <v>97</v>
      </c>
      <c r="I729">
        <v>23780242994.259998</v>
      </c>
      <c r="J729" t="s">
        <v>4700</v>
      </c>
      <c r="K729">
        <v>224395147.993139</v>
      </c>
      <c r="L729">
        <v>0.85</v>
      </c>
      <c r="M729" t="s">
        <v>5431</v>
      </c>
      <c r="N729">
        <v>0.85273301000000001</v>
      </c>
      <c r="O729">
        <v>79.430000000000007</v>
      </c>
      <c r="P729">
        <v>80.150000000000006</v>
      </c>
      <c r="Q729">
        <v>67.732582984300009</v>
      </c>
      <c r="R729">
        <v>20016252999.072418</v>
      </c>
      <c r="S729">
        <v>0</v>
      </c>
      <c r="T729" t="s">
        <v>6243</v>
      </c>
    </row>
    <row r="730" spans="1:40" x14ac:dyDescent="0.25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3156560819.1999998</v>
      </c>
      <c r="J730" t="s">
        <v>4703</v>
      </c>
      <c r="K730">
        <v>3132196.6460937499</v>
      </c>
      <c r="L730">
        <v>0.75</v>
      </c>
      <c r="M730" t="s">
        <v>5432</v>
      </c>
      <c r="N730">
        <v>1</v>
      </c>
      <c r="O730">
        <v>19.55</v>
      </c>
      <c r="P730">
        <v>20.32</v>
      </c>
      <c r="Q730">
        <v>19.55</v>
      </c>
      <c r="R730">
        <v>2277710286</v>
      </c>
      <c r="S730">
        <v>0</v>
      </c>
      <c r="T730" t="s">
        <v>6242</v>
      </c>
      <c r="W730" t="s">
        <v>6247</v>
      </c>
    </row>
    <row r="731" spans="1:40" x14ac:dyDescent="0.25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3989591941.3011999</v>
      </c>
      <c r="J731" t="s">
        <v>4701</v>
      </c>
      <c r="K731">
        <v>8525835.0862976704</v>
      </c>
      <c r="L731">
        <v>1</v>
      </c>
      <c r="M731" t="s">
        <v>5433</v>
      </c>
      <c r="N731">
        <v>5.7743899999999999E-3</v>
      </c>
      <c r="O731">
        <v>170000</v>
      </c>
      <c r="P731">
        <v>168300</v>
      </c>
      <c r="Q731">
        <v>981.6463</v>
      </c>
      <c r="R731">
        <v>4004438586.4067001</v>
      </c>
      <c r="S731">
        <v>0</v>
      </c>
      <c r="T731" t="s">
        <v>6244</v>
      </c>
      <c r="W731" t="s">
        <v>6247</v>
      </c>
    </row>
    <row r="732" spans="1:40" x14ac:dyDescent="0.25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35390932409.699997</v>
      </c>
      <c r="J732" t="s">
        <v>4700</v>
      </c>
      <c r="K732">
        <v>353147070.32849699</v>
      </c>
      <c r="L732">
        <v>1</v>
      </c>
      <c r="M732" t="s">
        <v>5434</v>
      </c>
      <c r="N732">
        <v>0.85273301000000001</v>
      </c>
      <c r="O732">
        <v>18.989999999999998</v>
      </c>
      <c r="P732">
        <v>21.61</v>
      </c>
      <c r="Q732">
        <v>16.193399859900001</v>
      </c>
      <c r="R732">
        <v>31076267869.13829</v>
      </c>
      <c r="S732">
        <v>0</v>
      </c>
      <c r="T732" t="s">
        <v>6243</v>
      </c>
      <c r="AN732" t="s">
        <v>6262</v>
      </c>
    </row>
    <row r="733" spans="1:40" x14ac:dyDescent="0.25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5.5697739999999998</v>
      </c>
      <c r="H733" t="s">
        <v>4698</v>
      </c>
      <c r="I733">
        <v>10140094942.959801</v>
      </c>
      <c r="J733" t="s">
        <v>4701</v>
      </c>
      <c r="K733">
        <v>26457747.342179399</v>
      </c>
      <c r="L733">
        <v>0.8</v>
      </c>
      <c r="M733" t="s">
        <v>5435</v>
      </c>
      <c r="N733">
        <v>0.66458430000000002</v>
      </c>
      <c r="O733">
        <v>8.65</v>
      </c>
      <c r="P733">
        <v>8.36</v>
      </c>
      <c r="Q733">
        <v>5.7486541950000003</v>
      </c>
      <c r="R733">
        <v>8372605327.4756432</v>
      </c>
      <c r="S733">
        <v>0</v>
      </c>
      <c r="T733" t="s">
        <v>6244</v>
      </c>
      <c r="U733" t="s">
        <v>6245</v>
      </c>
      <c r="AJ733" t="s">
        <v>6258</v>
      </c>
    </row>
    <row r="734" spans="1:40" x14ac:dyDescent="0.25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1.5390159999999999</v>
      </c>
      <c r="H734" t="s">
        <v>4698</v>
      </c>
      <c r="I734">
        <v>3473607591.0040002</v>
      </c>
      <c r="J734" t="s">
        <v>4701</v>
      </c>
      <c r="K734">
        <v>13824064.1941972</v>
      </c>
      <c r="L734">
        <v>0.8</v>
      </c>
      <c r="M734" t="s">
        <v>5436</v>
      </c>
      <c r="N734">
        <v>0.66458430000000002</v>
      </c>
      <c r="O734">
        <v>2.36</v>
      </c>
      <c r="P734">
        <v>2.31</v>
      </c>
      <c r="Q734">
        <v>1.5684189479999999</v>
      </c>
      <c r="R734">
        <v>2831976776.6662898</v>
      </c>
      <c r="S734">
        <v>0</v>
      </c>
      <c r="T734" t="s">
        <v>6244</v>
      </c>
      <c r="U734" t="s">
        <v>6245</v>
      </c>
    </row>
    <row r="735" spans="1:40" x14ac:dyDescent="0.25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27621570116.400002</v>
      </c>
      <c r="J735" t="s">
        <v>4702</v>
      </c>
      <c r="K735">
        <v>68218505.263712093</v>
      </c>
      <c r="L735">
        <v>0.60000000000000009</v>
      </c>
      <c r="M735" t="s">
        <v>5437</v>
      </c>
      <c r="N735">
        <v>1</v>
      </c>
      <c r="O735">
        <v>241.3</v>
      </c>
      <c r="P735">
        <v>223.8</v>
      </c>
      <c r="Q735">
        <v>241.3</v>
      </c>
      <c r="R735">
        <v>17868860238.84</v>
      </c>
      <c r="S735">
        <v>1</v>
      </c>
      <c r="T735" t="s">
        <v>6242</v>
      </c>
    </row>
    <row r="736" spans="1:40" x14ac:dyDescent="0.25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27632670.986207601</v>
      </c>
      <c r="L736">
        <v>1</v>
      </c>
      <c r="M736" t="s">
        <v>5438</v>
      </c>
      <c r="N736">
        <v>1</v>
      </c>
      <c r="O736">
        <v>79.400000000000006</v>
      </c>
      <c r="P736">
        <v>81</v>
      </c>
      <c r="Q736">
        <v>79.400000000000006</v>
      </c>
      <c r="R736">
        <v>12947234674.6</v>
      </c>
      <c r="S736">
        <v>0</v>
      </c>
      <c r="T736" t="s">
        <v>6242</v>
      </c>
    </row>
    <row r="737" spans="1:40" x14ac:dyDescent="0.25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5375217686.3999996</v>
      </c>
      <c r="J737" t="s">
        <v>4702</v>
      </c>
      <c r="K737">
        <v>8891669.5451562498</v>
      </c>
      <c r="L737">
        <v>1</v>
      </c>
      <c r="M737" t="s">
        <v>5439</v>
      </c>
      <c r="N737">
        <v>1</v>
      </c>
      <c r="O737">
        <v>18.940000000000001</v>
      </c>
      <c r="P737">
        <v>19.68</v>
      </c>
      <c r="Q737">
        <v>18.940000000000001</v>
      </c>
      <c r="R737">
        <v>5173100761.2000008</v>
      </c>
      <c r="S737">
        <v>0</v>
      </c>
      <c r="T737" t="s">
        <v>6242</v>
      </c>
      <c r="W737" t="s">
        <v>6247</v>
      </c>
    </row>
    <row r="738" spans="1:40" x14ac:dyDescent="0.25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29.983779999999999</v>
      </c>
      <c r="H738" t="s">
        <v>97</v>
      </c>
      <c r="I738">
        <v>40731025179.433998</v>
      </c>
      <c r="J738" t="s">
        <v>4700</v>
      </c>
      <c r="K738">
        <v>284747391.839293</v>
      </c>
      <c r="L738">
        <v>1</v>
      </c>
      <c r="M738" t="s">
        <v>5440</v>
      </c>
      <c r="N738">
        <v>0.85273301000000001</v>
      </c>
      <c r="O738">
        <v>27.23</v>
      </c>
      <c r="P738">
        <v>35.134999999999998</v>
      </c>
      <c r="Q738">
        <v>23.219919862299999</v>
      </c>
      <c r="R738">
        <v>31542758804.119461</v>
      </c>
      <c r="S738">
        <v>0</v>
      </c>
      <c r="T738" t="s">
        <v>6243</v>
      </c>
    </row>
    <row r="739" spans="1:40" x14ac:dyDescent="0.25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5.7743899999999999E-3</v>
      </c>
      <c r="O739">
        <v>4179</v>
      </c>
      <c r="P739">
        <v>4248</v>
      </c>
      <c r="Q739">
        <v>24.131175809999998</v>
      </c>
      <c r="R739">
        <v>2902377170.54775</v>
      </c>
      <c r="S739">
        <v>0</v>
      </c>
      <c r="T739" t="s">
        <v>6244</v>
      </c>
      <c r="AJ739" t="s">
        <v>6258</v>
      </c>
    </row>
    <row r="740" spans="1:40" x14ac:dyDescent="0.25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16.197299999999998</v>
      </c>
      <c r="H740" t="s">
        <v>97</v>
      </c>
      <c r="I740">
        <v>17760596987.07</v>
      </c>
      <c r="J740" t="s">
        <v>4700</v>
      </c>
      <c r="K740">
        <v>339242125.71722698</v>
      </c>
      <c r="L740">
        <v>1</v>
      </c>
      <c r="M740" t="s">
        <v>5442</v>
      </c>
      <c r="N740">
        <v>0.85273301000000001</v>
      </c>
      <c r="O740">
        <v>19.059999999999999</v>
      </c>
      <c r="P740">
        <v>18.98</v>
      </c>
      <c r="Q740">
        <v>16.253091170600001</v>
      </c>
      <c r="R740">
        <v>17821772892.712509</v>
      </c>
      <c r="S740">
        <v>0</v>
      </c>
      <c r="T740" t="s">
        <v>6243</v>
      </c>
      <c r="AJ740" t="s">
        <v>6258</v>
      </c>
    </row>
    <row r="741" spans="1:40" x14ac:dyDescent="0.25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327.28070000000002</v>
      </c>
      <c r="H741" t="s">
        <v>99</v>
      </c>
      <c r="I741">
        <v>79597183028.583008</v>
      </c>
      <c r="J741" t="s">
        <v>4701</v>
      </c>
      <c r="K741">
        <v>219684471.14504099</v>
      </c>
      <c r="L741">
        <v>0.85</v>
      </c>
      <c r="M741" t="s">
        <v>5443</v>
      </c>
      <c r="N741">
        <v>5.7743899999999999E-3</v>
      </c>
      <c r="O741">
        <v>56210</v>
      </c>
      <c r="P741">
        <v>56320</v>
      </c>
      <c r="Q741">
        <v>324.57846189999998</v>
      </c>
      <c r="R741">
        <v>67098981251.084213</v>
      </c>
      <c r="S741">
        <v>0</v>
      </c>
      <c r="T741" t="s">
        <v>6244</v>
      </c>
      <c r="AJ741" t="s">
        <v>6258</v>
      </c>
      <c r="AN741" t="s">
        <v>6262</v>
      </c>
    </row>
    <row r="742" spans="1:40" x14ac:dyDescent="0.25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142.40479999999999</v>
      </c>
      <c r="H742" t="s">
        <v>97</v>
      </c>
      <c r="I742">
        <v>24509127786.528</v>
      </c>
      <c r="J742" t="s">
        <v>4700</v>
      </c>
      <c r="K742">
        <v>125861042.15158001</v>
      </c>
      <c r="L742">
        <v>1</v>
      </c>
      <c r="M742" t="s">
        <v>5444</v>
      </c>
      <c r="N742">
        <v>0.85273301000000001</v>
      </c>
      <c r="O742">
        <v>170.54</v>
      </c>
      <c r="P742">
        <v>166.87</v>
      </c>
      <c r="Q742">
        <v>145.42508752539999</v>
      </c>
      <c r="R742">
        <v>25028946029.396809</v>
      </c>
      <c r="S742">
        <v>0</v>
      </c>
      <c r="T742" t="s">
        <v>6243</v>
      </c>
    </row>
    <row r="743" spans="1:40" x14ac:dyDescent="0.25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7.5863810000000003</v>
      </c>
      <c r="H743" t="s">
        <v>99</v>
      </c>
      <c r="I743">
        <v>7354359123.4960003</v>
      </c>
      <c r="J743" t="s">
        <v>4701</v>
      </c>
      <c r="K743">
        <v>24100029.952978902</v>
      </c>
      <c r="L743">
        <v>1</v>
      </c>
      <c r="M743" t="s">
        <v>5445</v>
      </c>
      <c r="N743">
        <v>5.7743899999999999E-3</v>
      </c>
      <c r="O743">
        <v>1299</v>
      </c>
      <c r="P743">
        <v>1305.5</v>
      </c>
      <c r="Q743">
        <v>7.5009326099999996</v>
      </c>
      <c r="R743">
        <v>7271524087.0557594</v>
      </c>
      <c r="S743">
        <v>0</v>
      </c>
      <c r="T743" t="s">
        <v>6244</v>
      </c>
      <c r="AN743" t="s">
        <v>6262</v>
      </c>
    </row>
    <row r="744" spans="1:40" x14ac:dyDescent="0.25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37795972628.872002</v>
      </c>
      <c r="J744" t="s">
        <v>4700</v>
      </c>
      <c r="K744">
        <v>269455073.58852601</v>
      </c>
      <c r="L744">
        <v>1</v>
      </c>
      <c r="M744" t="s">
        <v>5446</v>
      </c>
      <c r="N744">
        <v>0.85273301000000001</v>
      </c>
      <c r="O744">
        <v>127.99</v>
      </c>
      <c r="P744">
        <v>133.49</v>
      </c>
      <c r="Q744">
        <v>109.14129794989999</v>
      </c>
      <c r="R744">
        <v>36210893285.339943</v>
      </c>
      <c r="S744">
        <v>0</v>
      </c>
      <c r="T744" t="s">
        <v>6243</v>
      </c>
    </row>
    <row r="745" spans="1:40" x14ac:dyDescent="0.25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6217607219.7687998</v>
      </c>
      <c r="J745" t="s">
        <v>4701</v>
      </c>
      <c r="K745">
        <v>13370072.5900317</v>
      </c>
      <c r="L745">
        <v>0.65</v>
      </c>
      <c r="M745" t="s">
        <v>5447</v>
      </c>
      <c r="N745">
        <v>5.7743899999999999E-3</v>
      </c>
      <c r="O745">
        <v>5270</v>
      </c>
      <c r="P745">
        <v>5351</v>
      </c>
      <c r="Q745">
        <v>30.431035300000001</v>
      </c>
      <c r="R745">
        <v>3955128261.4756598</v>
      </c>
      <c r="S745">
        <v>0</v>
      </c>
      <c r="T745" t="s">
        <v>6244</v>
      </c>
      <c r="AJ745" t="s">
        <v>6258</v>
      </c>
      <c r="AN745" t="s">
        <v>6262</v>
      </c>
    </row>
    <row r="746" spans="1:40" x14ac:dyDescent="0.25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50631060271.695999</v>
      </c>
      <c r="J746" t="s">
        <v>4700</v>
      </c>
      <c r="K746">
        <v>350978408.92813998</v>
      </c>
      <c r="L746">
        <v>0.85</v>
      </c>
      <c r="M746" t="s">
        <v>5448</v>
      </c>
      <c r="N746">
        <v>0.85273301000000001</v>
      </c>
      <c r="O746">
        <v>27.58</v>
      </c>
      <c r="P746">
        <v>26.7</v>
      </c>
      <c r="Q746">
        <v>23.518376415799999</v>
      </c>
      <c r="R746">
        <v>44420708808.629837</v>
      </c>
      <c r="S746">
        <v>0</v>
      </c>
      <c r="T746" t="s">
        <v>6243</v>
      </c>
      <c r="AH746" t="s">
        <v>6256</v>
      </c>
      <c r="AJ746" t="s">
        <v>6258</v>
      </c>
    </row>
    <row r="747" spans="1:40" x14ac:dyDescent="0.25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3.2455099999999999</v>
      </c>
      <c r="H747" t="s">
        <v>96</v>
      </c>
      <c r="I747">
        <v>5681265904.1020002</v>
      </c>
      <c r="J747" t="s">
        <v>4699</v>
      </c>
      <c r="K747">
        <v>15373077.293843601</v>
      </c>
      <c r="L747">
        <v>0.85</v>
      </c>
      <c r="M747" t="s">
        <v>5449</v>
      </c>
      <c r="N747">
        <v>1.156136E-2</v>
      </c>
      <c r="O747">
        <v>244.1</v>
      </c>
      <c r="P747">
        <v>281.2</v>
      </c>
      <c r="Q747">
        <v>2.822127976</v>
      </c>
      <c r="R747">
        <v>4199115248.4515562</v>
      </c>
      <c r="S747">
        <v>0</v>
      </c>
      <c r="T747" t="s">
        <v>6242</v>
      </c>
    </row>
    <row r="748" spans="1:40" x14ac:dyDescent="0.25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69.900000000000006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0.85000000000000009</v>
      </c>
      <c r="M748" t="s">
        <v>5450</v>
      </c>
      <c r="N748">
        <v>1</v>
      </c>
      <c r="O748">
        <v>69.349999999999994</v>
      </c>
      <c r="P748">
        <v>69.900000000000006</v>
      </c>
      <c r="Q748">
        <v>69.349999999999994</v>
      </c>
      <c r="R748">
        <v>10708747339.190001</v>
      </c>
      <c r="S748">
        <v>0</v>
      </c>
      <c r="T748" t="s">
        <v>6242</v>
      </c>
      <c r="AN748" t="s">
        <v>6262</v>
      </c>
    </row>
    <row r="749" spans="1:40" x14ac:dyDescent="0.25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20374100045.817001</v>
      </c>
      <c r="J749" t="s">
        <v>4700</v>
      </c>
      <c r="K749">
        <v>48199187.378110103</v>
      </c>
      <c r="L749">
        <v>1</v>
      </c>
      <c r="M749" t="s">
        <v>5451</v>
      </c>
      <c r="N749">
        <v>0.61572563000000002</v>
      </c>
      <c r="O749">
        <v>32.22</v>
      </c>
      <c r="P749">
        <v>27.1</v>
      </c>
      <c r="Q749">
        <v>19.838679798600001</v>
      </c>
      <c r="R749">
        <v>24179027826.165291</v>
      </c>
      <c r="S749">
        <v>0</v>
      </c>
      <c r="T749" t="s">
        <v>6243</v>
      </c>
      <c r="AJ749" t="s">
        <v>6258</v>
      </c>
    </row>
    <row r="750" spans="1:40" x14ac:dyDescent="0.25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17.006160000000001</v>
      </c>
      <c r="H750" t="s">
        <v>99</v>
      </c>
      <c r="I750">
        <v>3242429498.2895999</v>
      </c>
      <c r="J750" t="s">
        <v>4701</v>
      </c>
      <c r="K750">
        <v>13934861.3641965</v>
      </c>
      <c r="L750">
        <v>1</v>
      </c>
      <c r="M750" t="s">
        <v>5452</v>
      </c>
      <c r="N750">
        <v>5.7743899999999999E-3</v>
      </c>
      <c r="O750">
        <v>3093</v>
      </c>
      <c r="P750">
        <v>2926.5</v>
      </c>
      <c r="Q750">
        <v>17.860188269999998</v>
      </c>
      <c r="R750">
        <v>3405260287.5460358</v>
      </c>
      <c r="S750">
        <v>0</v>
      </c>
      <c r="T750" t="s">
        <v>6244</v>
      </c>
      <c r="AJ750" t="s">
        <v>6258</v>
      </c>
    </row>
    <row r="751" spans="1:40" x14ac:dyDescent="0.25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0.55000000000000004</v>
      </c>
      <c r="M751" t="s">
        <v>5453</v>
      </c>
      <c r="N751">
        <v>1</v>
      </c>
      <c r="O751">
        <v>57.3</v>
      </c>
      <c r="P751">
        <v>59.4</v>
      </c>
      <c r="Q751">
        <v>57.3</v>
      </c>
      <c r="R751">
        <v>4134725454.75</v>
      </c>
      <c r="S751">
        <v>0</v>
      </c>
      <c r="T751" t="s">
        <v>6242</v>
      </c>
    </row>
    <row r="752" spans="1:40" x14ac:dyDescent="0.25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5.7743899999999999E-3</v>
      </c>
      <c r="O752">
        <v>2150.5</v>
      </c>
      <c r="P752">
        <v>2221.5</v>
      </c>
      <c r="Q752">
        <v>12.417825694999999</v>
      </c>
      <c r="R752">
        <v>10214903416.707001</v>
      </c>
      <c r="S752">
        <v>0</v>
      </c>
      <c r="T752" t="s">
        <v>6244</v>
      </c>
    </row>
    <row r="753" spans="1:40" x14ac:dyDescent="0.25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120.98480000000001</v>
      </c>
      <c r="H753" t="s">
        <v>97</v>
      </c>
      <c r="I753">
        <v>107791250279.75999</v>
      </c>
      <c r="J753" t="s">
        <v>4700</v>
      </c>
      <c r="K753">
        <v>401780922.35903001</v>
      </c>
      <c r="L753">
        <v>0.75</v>
      </c>
      <c r="M753" t="s">
        <v>5455</v>
      </c>
      <c r="N753">
        <v>0.85273301000000001</v>
      </c>
      <c r="O753">
        <v>143.34</v>
      </c>
      <c r="P753">
        <v>141.77000000000001</v>
      </c>
      <c r="Q753">
        <v>122.2307496534</v>
      </c>
      <c r="R753">
        <v>81675995627.791641</v>
      </c>
      <c r="S753">
        <v>0</v>
      </c>
      <c r="T753" t="s">
        <v>6243</v>
      </c>
      <c r="AJ753" t="s">
        <v>6258</v>
      </c>
      <c r="AN753" t="s">
        <v>6262</v>
      </c>
    </row>
    <row r="754" spans="1:40" x14ac:dyDescent="0.25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742.68650000000002</v>
      </c>
      <c r="H754" t="s">
        <v>97</v>
      </c>
      <c r="I754">
        <v>98005920593.639999</v>
      </c>
      <c r="J754" t="s">
        <v>4700</v>
      </c>
      <c r="K754">
        <v>825264472.31555998</v>
      </c>
      <c r="L754">
        <v>1</v>
      </c>
      <c r="M754" t="s">
        <v>5456</v>
      </c>
      <c r="N754">
        <v>0.85273301000000001</v>
      </c>
      <c r="O754">
        <v>964.02</v>
      </c>
      <c r="P754">
        <v>870.28</v>
      </c>
      <c r="Q754">
        <v>822.05167630020003</v>
      </c>
      <c r="R754">
        <v>108479057194.8542</v>
      </c>
      <c r="S754">
        <v>0</v>
      </c>
      <c r="T754" t="s">
        <v>6243</v>
      </c>
    </row>
    <row r="755" spans="1:40" x14ac:dyDescent="0.25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35.380000000000003</v>
      </c>
      <c r="H755" t="s">
        <v>98</v>
      </c>
      <c r="I755">
        <v>10149148265.360001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33.6</v>
      </c>
      <c r="P755">
        <v>35.380000000000003</v>
      </c>
      <c r="Q755">
        <v>33.6</v>
      </c>
      <c r="R755">
        <v>7228901534.4000006</v>
      </c>
      <c r="S755">
        <v>1</v>
      </c>
      <c r="T755" t="s">
        <v>6242</v>
      </c>
    </row>
    <row r="756" spans="1:40" x14ac:dyDescent="0.25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10771758.198484801</v>
      </c>
      <c r="L756">
        <v>0.4</v>
      </c>
      <c r="M756" t="s">
        <v>5458</v>
      </c>
      <c r="N756">
        <v>1</v>
      </c>
      <c r="O756">
        <v>85.75</v>
      </c>
      <c r="P756">
        <v>91.05</v>
      </c>
      <c r="Q756">
        <v>85.75</v>
      </c>
      <c r="R756">
        <v>5529160000</v>
      </c>
      <c r="S756">
        <v>0</v>
      </c>
      <c r="T756" t="s">
        <v>6242</v>
      </c>
    </row>
    <row r="757" spans="1:40" x14ac:dyDescent="0.25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24.702950000000001</v>
      </c>
      <c r="H757" t="s">
        <v>99</v>
      </c>
      <c r="I757">
        <v>6758727120</v>
      </c>
      <c r="J757" t="s">
        <v>4701</v>
      </c>
      <c r="K757">
        <v>34264234.531550303</v>
      </c>
      <c r="L757">
        <v>0.55000000000000004</v>
      </c>
      <c r="M757" t="s">
        <v>5459</v>
      </c>
      <c r="N757">
        <v>5.7743899999999999E-3</v>
      </c>
      <c r="O757">
        <v>4249</v>
      </c>
      <c r="P757">
        <v>4251</v>
      </c>
      <c r="Q757">
        <v>24.535383110000001</v>
      </c>
      <c r="R757">
        <v>3692084450.3927999</v>
      </c>
      <c r="S757">
        <v>0</v>
      </c>
      <c r="T757" t="s">
        <v>6244</v>
      </c>
      <c r="AJ757" t="s">
        <v>6258</v>
      </c>
      <c r="AN757" t="s">
        <v>6262</v>
      </c>
    </row>
    <row r="758" spans="1:40" x14ac:dyDescent="0.25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4138854786.5293999</v>
      </c>
      <c r="J758" t="s">
        <v>4701</v>
      </c>
      <c r="K758">
        <v>20272871.306949999</v>
      </c>
      <c r="L758">
        <v>1</v>
      </c>
      <c r="M758" t="s">
        <v>5460</v>
      </c>
      <c r="N758">
        <v>5.7743899999999999E-3</v>
      </c>
      <c r="O758">
        <v>1860</v>
      </c>
      <c r="P758">
        <v>1797</v>
      </c>
      <c r="Q758">
        <v>10.7403654</v>
      </c>
      <c r="R758">
        <v>4256900650.0210919</v>
      </c>
      <c r="S758">
        <v>0</v>
      </c>
      <c r="T758" t="s">
        <v>6244</v>
      </c>
      <c r="AG758" t="s">
        <v>6255</v>
      </c>
      <c r="AH758" t="s">
        <v>6256</v>
      </c>
      <c r="AJ758" t="s">
        <v>6258</v>
      </c>
    </row>
    <row r="759" spans="1:40" x14ac:dyDescent="0.25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12.133559999999999</v>
      </c>
      <c r="H759" t="s">
        <v>99</v>
      </c>
      <c r="I759">
        <v>3735112116.8495998</v>
      </c>
      <c r="J759" t="s">
        <v>4701</v>
      </c>
      <c r="K759">
        <v>12327737.532307301</v>
      </c>
      <c r="L759">
        <v>0.7</v>
      </c>
      <c r="M759" t="s">
        <v>5461</v>
      </c>
      <c r="N759">
        <v>5.7743899999999999E-3</v>
      </c>
      <c r="O759">
        <v>2211</v>
      </c>
      <c r="P759">
        <v>2088</v>
      </c>
      <c r="Q759">
        <v>12.76717629</v>
      </c>
      <c r="R759">
        <v>2751112155.1394429</v>
      </c>
      <c r="S759">
        <v>0</v>
      </c>
      <c r="T759" t="s">
        <v>6244</v>
      </c>
      <c r="AJ759" t="s">
        <v>6258</v>
      </c>
    </row>
    <row r="760" spans="1:40" x14ac:dyDescent="0.25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3917980604.1982002</v>
      </c>
      <c r="J760" t="s">
        <v>4701</v>
      </c>
      <c r="K760">
        <v>58861551.557456098</v>
      </c>
      <c r="L760">
        <v>0.75</v>
      </c>
      <c r="M760" t="s">
        <v>5462</v>
      </c>
      <c r="N760">
        <v>5.7743899999999999E-3</v>
      </c>
      <c r="O760">
        <v>3415</v>
      </c>
      <c r="P760">
        <v>2831.5</v>
      </c>
      <c r="Q760">
        <v>19.719541849999999</v>
      </c>
      <c r="R760">
        <v>3521648200.2965231</v>
      </c>
      <c r="S760">
        <v>0</v>
      </c>
      <c r="T760" t="s">
        <v>6244</v>
      </c>
    </row>
    <row r="761" spans="1:40" x14ac:dyDescent="0.25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28.700980000000001</v>
      </c>
      <c r="H761" t="s">
        <v>99</v>
      </c>
      <c r="I761">
        <v>27293285904.037998</v>
      </c>
      <c r="J761" t="s">
        <v>4701</v>
      </c>
      <c r="K761">
        <v>86139183.100192204</v>
      </c>
      <c r="L761">
        <v>1</v>
      </c>
      <c r="M761" t="s">
        <v>5463</v>
      </c>
      <c r="N761">
        <v>5.7743899999999999E-3</v>
      </c>
      <c r="O761">
        <v>5227</v>
      </c>
      <c r="P761">
        <v>4939</v>
      </c>
      <c r="Q761">
        <v>30.18273653</v>
      </c>
      <c r="R761">
        <v>28702366869.686741</v>
      </c>
      <c r="S761">
        <v>0</v>
      </c>
      <c r="T761" t="s">
        <v>6244</v>
      </c>
      <c r="AF761" t="s">
        <v>6254</v>
      </c>
      <c r="AG761" t="s">
        <v>6255</v>
      </c>
    </row>
    <row r="762" spans="1:40" x14ac:dyDescent="0.25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65706382.413720697</v>
      </c>
      <c r="L762">
        <v>0.7</v>
      </c>
      <c r="M762" t="s">
        <v>5464</v>
      </c>
      <c r="N762">
        <v>5.7743899999999999E-3</v>
      </c>
      <c r="O762">
        <v>22190</v>
      </c>
      <c r="P762">
        <v>24345</v>
      </c>
      <c r="Q762">
        <v>128.13371409999999</v>
      </c>
      <c r="R762">
        <v>12871031581.344999</v>
      </c>
      <c r="S762">
        <v>0</v>
      </c>
      <c r="T762" t="s">
        <v>6244</v>
      </c>
    </row>
    <row r="763" spans="1:40" x14ac:dyDescent="0.25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23473039.445781201</v>
      </c>
      <c r="L763">
        <v>0.85</v>
      </c>
      <c r="M763" t="s">
        <v>5465</v>
      </c>
      <c r="N763">
        <v>1</v>
      </c>
      <c r="O763">
        <v>57.34</v>
      </c>
      <c r="P763">
        <v>54</v>
      </c>
      <c r="Q763">
        <v>57.34</v>
      </c>
      <c r="R763">
        <v>22087887529.07</v>
      </c>
      <c r="S763">
        <v>0</v>
      </c>
      <c r="T763" t="s">
        <v>6242</v>
      </c>
    </row>
    <row r="764" spans="1:40" x14ac:dyDescent="0.25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7940863.2864062497</v>
      </c>
      <c r="L764">
        <v>0.9</v>
      </c>
      <c r="M764" t="s">
        <v>5466</v>
      </c>
      <c r="N764">
        <v>1</v>
      </c>
      <c r="O764">
        <v>75.900000000000006</v>
      </c>
      <c r="P764">
        <v>73.95</v>
      </c>
      <c r="Q764">
        <v>75.900000000000006</v>
      </c>
      <c r="R764">
        <v>5411647989</v>
      </c>
      <c r="S764">
        <v>0</v>
      </c>
      <c r="T764" t="s">
        <v>6242</v>
      </c>
      <c r="W764" t="s">
        <v>6247</v>
      </c>
    </row>
    <row r="765" spans="1:40" x14ac:dyDescent="0.25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25.032879999999999</v>
      </c>
      <c r="H765" t="s">
        <v>4695</v>
      </c>
      <c r="I765">
        <v>22019152676.975601</v>
      </c>
      <c r="J765" t="s">
        <v>4699</v>
      </c>
      <c r="K765">
        <v>37046057.631830603</v>
      </c>
      <c r="L765">
        <v>0.5</v>
      </c>
      <c r="M765" t="s">
        <v>5467</v>
      </c>
      <c r="N765">
        <v>8.6344599999999994E-2</v>
      </c>
      <c r="O765">
        <v>309.2</v>
      </c>
      <c r="P765">
        <v>295</v>
      </c>
      <c r="Q765">
        <v>26.697750320000001</v>
      </c>
      <c r="R765">
        <v>11741794001.086849</v>
      </c>
      <c r="S765">
        <v>0</v>
      </c>
      <c r="T765" t="s">
        <v>6242</v>
      </c>
      <c r="U765" t="s">
        <v>6245</v>
      </c>
      <c r="AA765" t="s">
        <v>6249</v>
      </c>
    </row>
    <row r="766" spans="1:40" x14ac:dyDescent="0.25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4.0620000000000003</v>
      </c>
      <c r="H766" t="s">
        <v>98</v>
      </c>
      <c r="I766">
        <v>15796835374.164</v>
      </c>
      <c r="J766" t="s">
        <v>4702</v>
      </c>
      <c r="K766">
        <v>37551902.463431798</v>
      </c>
      <c r="L766">
        <v>1</v>
      </c>
      <c r="M766" t="s">
        <v>5468</v>
      </c>
      <c r="N766">
        <v>1</v>
      </c>
      <c r="O766">
        <v>4.2549999999999999</v>
      </c>
      <c r="P766">
        <v>4.0620000000000003</v>
      </c>
      <c r="Q766">
        <v>4.2549999999999999</v>
      </c>
      <c r="R766">
        <v>16547398945.610001</v>
      </c>
      <c r="S766">
        <v>0</v>
      </c>
      <c r="T766" t="s">
        <v>6242</v>
      </c>
    </row>
    <row r="767" spans="1:40" x14ac:dyDescent="0.25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23.946069999999999</v>
      </c>
      <c r="H767" t="s">
        <v>97</v>
      </c>
      <c r="I767">
        <v>28342549295.144001</v>
      </c>
      <c r="J767" t="s">
        <v>4700</v>
      </c>
      <c r="K767">
        <v>339601934.055085</v>
      </c>
      <c r="L767">
        <v>0.7</v>
      </c>
      <c r="M767" t="s">
        <v>5469</v>
      </c>
      <c r="N767">
        <v>0.85273301000000001</v>
      </c>
      <c r="O767">
        <v>26.13</v>
      </c>
      <c r="P767">
        <v>28.06</v>
      </c>
      <c r="Q767">
        <v>22.281913551300001</v>
      </c>
      <c r="R767">
        <v>18460998537.651489</v>
      </c>
      <c r="S767">
        <v>0</v>
      </c>
      <c r="T767" t="s">
        <v>6243</v>
      </c>
    </row>
    <row r="768" spans="1:40" x14ac:dyDescent="0.25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59.361660000000001</v>
      </c>
      <c r="H768" t="s">
        <v>97</v>
      </c>
      <c r="I768">
        <v>39247305806.627998</v>
      </c>
      <c r="J768" t="s">
        <v>4700</v>
      </c>
      <c r="K768">
        <v>440022700.63175702</v>
      </c>
      <c r="L768">
        <v>0.9</v>
      </c>
      <c r="M768" t="s">
        <v>5470</v>
      </c>
      <c r="N768">
        <v>0.85273301000000001</v>
      </c>
      <c r="O768">
        <v>68.290000000000006</v>
      </c>
      <c r="P768">
        <v>69.56</v>
      </c>
      <c r="Q768">
        <v>58.233137252900008</v>
      </c>
      <c r="R768">
        <v>34651058802.255814</v>
      </c>
      <c r="S768">
        <v>0</v>
      </c>
      <c r="T768" t="s">
        <v>6243</v>
      </c>
      <c r="AH768" t="s">
        <v>6256</v>
      </c>
      <c r="AJ768" t="s">
        <v>6258</v>
      </c>
      <c r="AN768" t="s">
        <v>6262</v>
      </c>
    </row>
    <row r="769" spans="1:40" x14ac:dyDescent="0.25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43339467.826348297</v>
      </c>
      <c r="L769">
        <v>0.9</v>
      </c>
      <c r="M769" t="s">
        <v>5471</v>
      </c>
      <c r="N769">
        <v>5.7743899999999999E-3</v>
      </c>
      <c r="O769">
        <v>1831.5</v>
      </c>
      <c r="P769">
        <v>1765.5</v>
      </c>
      <c r="Q769">
        <v>10.575795285</v>
      </c>
      <c r="R769">
        <v>10954485007.68701</v>
      </c>
      <c r="S769">
        <v>0</v>
      </c>
      <c r="T769" t="s">
        <v>6244</v>
      </c>
      <c r="AJ769" t="s">
        <v>6258</v>
      </c>
    </row>
    <row r="770" spans="1:40" x14ac:dyDescent="0.25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21740040331.602402</v>
      </c>
      <c r="J770" t="s">
        <v>4699</v>
      </c>
      <c r="K770">
        <v>35972068.025905602</v>
      </c>
      <c r="L770">
        <v>0.45</v>
      </c>
      <c r="M770" t="s">
        <v>5472</v>
      </c>
      <c r="N770">
        <v>1.07032003</v>
      </c>
      <c r="O770">
        <v>165.35</v>
      </c>
      <c r="P770">
        <v>169.1</v>
      </c>
      <c r="Q770">
        <v>176.97741696049999</v>
      </c>
      <c r="R770">
        <v>9616811751.2367687</v>
      </c>
      <c r="S770">
        <v>0</v>
      </c>
      <c r="T770" t="s">
        <v>6242</v>
      </c>
      <c r="U770" t="s">
        <v>6245</v>
      </c>
      <c r="AN770" t="s">
        <v>6262</v>
      </c>
    </row>
    <row r="771" spans="1:40" x14ac:dyDescent="0.25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3392398097.7586002</v>
      </c>
      <c r="J771" t="s">
        <v>4701</v>
      </c>
      <c r="K771">
        <v>14058360.1926699</v>
      </c>
      <c r="L771">
        <v>1</v>
      </c>
      <c r="M771" t="s">
        <v>5473</v>
      </c>
      <c r="N771">
        <v>5.7743899999999999E-3</v>
      </c>
      <c r="O771">
        <v>1756</v>
      </c>
      <c r="P771">
        <v>1797</v>
      </c>
      <c r="Q771">
        <v>10.13982884</v>
      </c>
      <c r="R771">
        <v>3294061503.1428008</v>
      </c>
      <c r="S771">
        <v>0</v>
      </c>
      <c r="T771" t="s">
        <v>6244</v>
      </c>
      <c r="AJ771" t="s">
        <v>6258</v>
      </c>
    </row>
    <row r="772" spans="1:40" x14ac:dyDescent="0.25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29.543589999999998</v>
      </c>
      <c r="H772" t="s">
        <v>99</v>
      </c>
      <c r="I772">
        <v>3432985543.0770998</v>
      </c>
      <c r="J772" t="s">
        <v>4701</v>
      </c>
      <c r="K772">
        <v>14755399.582146</v>
      </c>
      <c r="L772">
        <v>0.9</v>
      </c>
      <c r="M772" t="s">
        <v>5474</v>
      </c>
      <c r="N772">
        <v>5.7743899999999999E-3</v>
      </c>
      <c r="O772">
        <v>5170</v>
      </c>
      <c r="P772">
        <v>5084</v>
      </c>
      <c r="Q772">
        <v>29.8535963</v>
      </c>
      <c r="R772">
        <v>3122107640.1373019</v>
      </c>
      <c r="S772">
        <v>0</v>
      </c>
      <c r="T772" t="s">
        <v>6244</v>
      </c>
    </row>
    <row r="773" spans="1:40" x14ac:dyDescent="0.25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11.410080000000001</v>
      </c>
      <c r="H773" t="s">
        <v>99</v>
      </c>
      <c r="I773">
        <v>17234633741.952</v>
      </c>
      <c r="J773" t="s">
        <v>4701</v>
      </c>
      <c r="K773">
        <v>44640009.084916301</v>
      </c>
      <c r="L773">
        <v>0.95</v>
      </c>
      <c r="M773" t="s">
        <v>5475</v>
      </c>
      <c r="N773">
        <v>5.7743899999999999E-3</v>
      </c>
      <c r="O773">
        <v>2060</v>
      </c>
      <c r="P773">
        <v>1963.5</v>
      </c>
      <c r="Q773">
        <v>11.8952434</v>
      </c>
      <c r="R773">
        <v>17069087605.59551</v>
      </c>
      <c r="S773">
        <v>0</v>
      </c>
      <c r="T773" t="s">
        <v>6244</v>
      </c>
      <c r="AA773" t="s">
        <v>6249</v>
      </c>
    </row>
    <row r="774" spans="1:40" x14ac:dyDescent="0.25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17.075900000000001</v>
      </c>
      <c r="H774" t="s">
        <v>99</v>
      </c>
      <c r="I774">
        <v>5146040353.4840002</v>
      </c>
      <c r="J774" t="s">
        <v>4701</v>
      </c>
      <c r="K774">
        <v>12638432.710955599</v>
      </c>
      <c r="L774">
        <v>0.85</v>
      </c>
      <c r="M774" t="s">
        <v>5476</v>
      </c>
      <c r="N774">
        <v>5.7743899999999999E-3</v>
      </c>
      <c r="O774">
        <v>2949</v>
      </c>
      <c r="P774">
        <v>2938.5</v>
      </c>
      <c r="Q774">
        <v>17.028676109999999</v>
      </c>
      <c r="R774">
        <v>4362037506.9073143</v>
      </c>
      <c r="S774">
        <v>0</v>
      </c>
      <c r="T774" t="s">
        <v>6244</v>
      </c>
      <c r="AJ774" t="s">
        <v>6258</v>
      </c>
    </row>
    <row r="775" spans="1:40" x14ac:dyDescent="0.25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15.335470000000001</v>
      </c>
      <c r="H775" t="s">
        <v>99</v>
      </c>
      <c r="I775">
        <v>8060852105.7150002</v>
      </c>
      <c r="J775" t="s">
        <v>4701</v>
      </c>
      <c r="K775">
        <v>14650510.2163986</v>
      </c>
      <c r="L775">
        <v>0.45</v>
      </c>
      <c r="M775" t="s">
        <v>5477</v>
      </c>
      <c r="N775">
        <v>5.7743899999999999E-3</v>
      </c>
      <c r="O775">
        <v>2449</v>
      </c>
      <c r="P775">
        <v>2639</v>
      </c>
      <c r="Q775">
        <v>14.141481110000001</v>
      </c>
      <c r="R775">
        <v>3344962658.631433</v>
      </c>
      <c r="S775">
        <v>0</v>
      </c>
      <c r="T775" t="s">
        <v>6244</v>
      </c>
    </row>
    <row r="776" spans="1:40" x14ac:dyDescent="0.25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41.700400000000002</v>
      </c>
      <c r="H776" t="s">
        <v>99</v>
      </c>
      <c r="I776">
        <v>2955097177.9840002</v>
      </c>
      <c r="J776" t="s">
        <v>4701</v>
      </c>
      <c r="K776">
        <v>9676157.4168505296</v>
      </c>
      <c r="L776">
        <v>0.75</v>
      </c>
      <c r="M776" t="s">
        <v>5478</v>
      </c>
      <c r="N776">
        <v>5.7743899999999999E-3</v>
      </c>
      <c r="O776">
        <v>7366</v>
      </c>
      <c r="P776">
        <v>7176</v>
      </c>
      <c r="Q776">
        <v>42.53415674</v>
      </c>
      <c r="R776">
        <v>2260635987.0103731</v>
      </c>
      <c r="S776">
        <v>0</v>
      </c>
      <c r="T776" t="s">
        <v>6244</v>
      </c>
      <c r="W776" t="s">
        <v>6247</v>
      </c>
      <c r="AJ776" t="s">
        <v>6258</v>
      </c>
      <c r="AN776" t="s">
        <v>6262</v>
      </c>
    </row>
    <row r="777" spans="1:40" x14ac:dyDescent="0.25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9.0711150000000007</v>
      </c>
      <c r="H777" t="s">
        <v>99</v>
      </c>
      <c r="I777">
        <v>4301376960.1819506</v>
      </c>
      <c r="J777" t="s">
        <v>4701</v>
      </c>
      <c r="K777">
        <v>18548684.784020901</v>
      </c>
      <c r="L777">
        <v>1</v>
      </c>
      <c r="M777" t="s">
        <v>5479</v>
      </c>
      <c r="N777">
        <v>5.7743899999999999E-3</v>
      </c>
      <c r="O777">
        <v>1577.5</v>
      </c>
      <c r="P777">
        <v>1561</v>
      </c>
      <c r="Q777">
        <v>9.1091002250000006</v>
      </c>
      <c r="R777">
        <v>4319388943.4543848</v>
      </c>
      <c r="S777">
        <v>0</v>
      </c>
      <c r="T777" t="s">
        <v>6244</v>
      </c>
      <c r="AG777" t="s">
        <v>6255</v>
      </c>
      <c r="AH777" t="s">
        <v>6256</v>
      </c>
      <c r="AN777" t="s">
        <v>6262</v>
      </c>
    </row>
    <row r="778" spans="1:40" x14ac:dyDescent="0.25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5.1474659999999997</v>
      </c>
      <c r="H778" t="s">
        <v>99</v>
      </c>
      <c r="I778">
        <v>2385212102.2666798</v>
      </c>
      <c r="J778" t="s">
        <v>4701</v>
      </c>
      <c r="K778">
        <v>5369902.0305546997</v>
      </c>
      <c r="L778">
        <v>0.95</v>
      </c>
      <c r="M778" t="s">
        <v>5480</v>
      </c>
      <c r="N778">
        <v>5.7743899999999999E-3</v>
      </c>
      <c r="O778">
        <v>882</v>
      </c>
      <c r="P778">
        <v>885.8</v>
      </c>
      <c r="Q778">
        <v>5.09301198</v>
      </c>
      <c r="R778">
        <v>2241980446.515028</v>
      </c>
      <c r="S778">
        <v>0</v>
      </c>
      <c r="T778" t="s">
        <v>6244</v>
      </c>
      <c r="W778" t="s">
        <v>6247</v>
      </c>
      <c r="AJ778" t="s">
        <v>6258</v>
      </c>
    </row>
    <row r="779" spans="1:40" x14ac:dyDescent="0.25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235.33879999999999</v>
      </c>
      <c r="H779" t="s">
        <v>97</v>
      </c>
      <c r="I779">
        <v>44030665718.239998</v>
      </c>
      <c r="J779" t="s">
        <v>4700</v>
      </c>
      <c r="K779">
        <v>310926678.12981498</v>
      </c>
      <c r="L779">
        <v>1</v>
      </c>
      <c r="M779" t="s">
        <v>5481</v>
      </c>
      <c r="N779">
        <v>0.85273301000000001</v>
      </c>
      <c r="O779">
        <v>279.2</v>
      </c>
      <c r="P779">
        <v>275.77</v>
      </c>
      <c r="Q779">
        <v>238.083056392</v>
      </c>
      <c r="R779">
        <v>44544101819.049957</v>
      </c>
      <c r="S779">
        <v>0</v>
      </c>
      <c r="T779" t="s">
        <v>6243</v>
      </c>
      <c r="AA779" t="s">
        <v>6249</v>
      </c>
      <c r="AF779" t="s">
        <v>6254</v>
      </c>
      <c r="AJ779" t="s">
        <v>6258</v>
      </c>
    </row>
    <row r="780" spans="1:40" x14ac:dyDescent="0.25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157147340.54576001</v>
      </c>
      <c r="L780">
        <v>1</v>
      </c>
      <c r="M780" t="s">
        <v>5482</v>
      </c>
      <c r="N780">
        <v>0.85273301000000001</v>
      </c>
      <c r="O780">
        <v>277.95</v>
      </c>
      <c r="P780">
        <v>278.18</v>
      </c>
      <c r="Q780">
        <v>237.01714012950001</v>
      </c>
      <c r="R780">
        <v>19696124344.761452</v>
      </c>
      <c r="S780">
        <v>0</v>
      </c>
      <c r="T780" t="s">
        <v>6243</v>
      </c>
      <c r="AN780" t="s">
        <v>6262</v>
      </c>
    </row>
    <row r="781" spans="1:40" x14ac:dyDescent="0.25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20.860859999999999</v>
      </c>
      <c r="H781" t="s">
        <v>4693</v>
      </c>
      <c r="I781">
        <v>4160549163.2424002</v>
      </c>
      <c r="J781" t="s">
        <v>4699</v>
      </c>
      <c r="K781">
        <v>4082292.7879819698</v>
      </c>
      <c r="L781">
        <v>1</v>
      </c>
      <c r="M781" t="s">
        <v>5483</v>
      </c>
      <c r="N781">
        <v>9.1395149999999994E-2</v>
      </c>
      <c r="O781">
        <v>232.2</v>
      </c>
      <c r="P781">
        <v>232.4</v>
      </c>
      <c r="Q781">
        <v>21.22195383</v>
      </c>
      <c r="R781">
        <v>4232566742.2040768</v>
      </c>
      <c r="S781">
        <v>0</v>
      </c>
      <c r="T781" t="s">
        <v>6242</v>
      </c>
      <c r="U781" t="s">
        <v>6245</v>
      </c>
      <c r="W781" t="s">
        <v>6247</v>
      </c>
      <c r="AJ781" t="s">
        <v>6258</v>
      </c>
      <c r="AN781" t="s">
        <v>6262</v>
      </c>
    </row>
    <row r="782" spans="1:40" x14ac:dyDescent="0.25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85.407070000000004</v>
      </c>
      <c r="H782" t="s">
        <v>97</v>
      </c>
      <c r="I782">
        <v>108092981340.47</v>
      </c>
      <c r="J782" t="s">
        <v>4700</v>
      </c>
      <c r="K782">
        <v>902763373.92982197</v>
      </c>
      <c r="L782">
        <v>1</v>
      </c>
      <c r="M782" t="s">
        <v>5484</v>
      </c>
      <c r="N782">
        <v>0.85273301000000001</v>
      </c>
      <c r="O782">
        <v>116.96</v>
      </c>
      <c r="P782">
        <v>100.08</v>
      </c>
      <c r="Q782">
        <v>99.735652849600001</v>
      </c>
      <c r="R782">
        <v>126227536695.1636</v>
      </c>
      <c r="S782">
        <v>0</v>
      </c>
      <c r="T782" t="s">
        <v>6243</v>
      </c>
    </row>
    <row r="783" spans="1:40" x14ac:dyDescent="0.25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6.6710700000000003</v>
      </c>
      <c r="H783" t="s">
        <v>96</v>
      </c>
      <c r="I783">
        <v>4969594917.5040007</v>
      </c>
      <c r="J783" t="s">
        <v>4699</v>
      </c>
      <c r="K783">
        <v>12427600.8156082</v>
      </c>
      <c r="L783">
        <v>1</v>
      </c>
      <c r="M783" t="s">
        <v>5485</v>
      </c>
      <c r="N783">
        <v>1.156136E-2</v>
      </c>
      <c r="O783">
        <v>544.5</v>
      </c>
      <c r="P783">
        <v>578</v>
      </c>
      <c r="Q783">
        <v>6.2951605199999996</v>
      </c>
      <c r="R783">
        <v>4689562202.9245434</v>
      </c>
      <c r="S783">
        <v>0</v>
      </c>
      <c r="T783" t="s">
        <v>6242</v>
      </c>
    </row>
    <row r="784" spans="1:40" x14ac:dyDescent="0.25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93.238979999999998</v>
      </c>
      <c r="H784" t="s">
        <v>99</v>
      </c>
      <c r="I784">
        <v>8791167763.8719997</v>
      </c>
      <c r="J784" t="s">
        <v>4701</v>
      </c>
      <c r="K784">
        <v>871886433.67603505</v>
      </c>
      <c r="L784">
        <v>1</v>
      </c>
      <c r="M784" t="s">
        <v>5486</v>
      </c>
      <c r="N784">
        <v>5.7743899999999999E-3</v>
      </c>
      <c r="O784">
        <v>16685</v>
      </c>
      <c r="P784">
        <v>16045</v>
      </c>
      <c r="Q784">
        <v>96.345697149999992</v>
      </c>
      <c r="R784">
        <v>9084088939.7637596</v>
      </c>
      <c r="S784">
        <v>0</v>
      </c>
      <c r="T784" t="s">
        <v>6244</v>
      </c>
      <c r="AJ784" t="s">
        <v>6258</v>
      </c>
    </row>
    <row r="785" spans="1:40" x14ac:dyDescent="0.25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22.512499999999999</v>
      </c>
      <c r="H785" t="s">
        <v>4693</v>
      </c>
      <c r="I785">
        <v>13333110520.75</v>
      </c>
      <c r="J785" t="s">
        <v>4699</v>
      </c>
      <c r="K785">
        <v>4548084.2668467602</v>
      </c>
      <c r="L785">
        <v>0.25</v>
      </c>
      <c r="M785" t="s">
        <v>5487</v>
      </c>
      <c r="N785">
        <v>9.1395149999999994E-2</v>
      </c>
      <c r="O785">
        <v>236.3</v>
      </c>
      <c r="P785">
        <v>250.8</v>
      </c>
      <c r="Q785">
        <v>21.596673944999999</v>
      </c>
      <c r="R785">
        <v>3197677296.9382219</v>
      </c>
      <c r="S785">
        <v>0</v>
      </c>
      <c r="T785" t="s">
        <v>6242</v>
      </c>
      <c r="U785" t="s">
        <v>6245</v>
      </c>
      <c r="W785" t="s">
        <v>6247</v>
      </c>
      <c r="AN785" t="s">
        <v>6262</v>
      </c>
    </row>
    <row r="786" spans="1:40" x14ac:dyDescent="0.25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12942440.171969701</v>
      </c>
      <c r="L786">
        <v>1</v>
      </c>
      <c r="M786" t="s">
        <v>5488</v>
      </c>
      <c r="N786">
        <v>1</v>
      </c>
      <c r="O786">
        <v>67.7</v>
      </c>
      <c r="P786">
        <v>73.55</v>
      </c>
      <c r="Q786">
        <v>67.7</v>
      </c>
      <c r="R786">
        <v>5116143160</v>
      </c>
      <c r="S786">
        <v>0</v>
      </c>
      <c r="T786" t="s">
        <v>6242</v>
      </c>
    </row>
    <row r="787" spans="1:40" x14ac:dyDescent="0.25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41514247.726059802</v>
      </c>
      <c r="L787">
        <v>1</v>
      </c>
      <c r="M787" t="s">
        <v>5489</v>
      </c>
      <c r="N787">
        <v>1.156136E-2</v>
      </c>
      <c r="O787">
        <v>239.3</v>
      </c>
      <c r="P787">
        <v>256.5</v>
      </c>
      <c r="Q787">
        <v>2.7666334479999999</v>
      </c>
      <c r="R787">
        <v>15797386519.16625</v>
      </c>
      <c r="S787">
        <v>0</v>
      </c>
      <c r="T787" t="s">
        <v>6242</v>
      </c>
      <c r="AJ787" t="s">
        <v>6258</v>
      </c>
    </row>
    <row r="788" spans="1:40" x14ac:dyDescent="0.25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34642661329.300003</v>
      </c>
      <c r="J788" t="s">
        <v>4702</v>
      </c>
      <c r="K788">
        <v>60250024.703030303</v>
      </c>
      <c r="L788">
        <v>1</v>
      </c>
      <c r="M788" t="s">
        <v>5490</v>
      </c>
      <c r="N788">
        <v>1</v>
      </c>
      <c r="O788">
        <v>139.1</v>
      </c>
      <c r="P788">
        <v>132.1</v>
      </c>
      <c r="Q788">
        <v>139.1</v>
      </c>
      <c r="R788">
        <v>36478381460.300003</v>
      </c>
      <c r="S788">
        <v>1</v>
      </c>
      <c r="T788" t="s">
        <v>6242</v>
      </c>
    </row>
    <row r="789" spans="1:40" x14ac:dyDescent="0.25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155.09469999999999</v>
      </c>
      <c r="H789" t="s">
        <v>97</v>
      </c>
      <c r="I789">
        <v>19898235907.151001</v>
      </c>
      <c r="J789" t="s">
        <v>4700</v>
      </c>
      <c r="K789">
        <v>144765612.90722901</v>
      </c>
      <c r="L789">
        <v>1</v>
      </c>
      <c r="M789" t="s">
        <v>5491</v>
      </c>
      <c r="N789">
        <v>0.85273301000000001</v>
      </c>
      <c r="O789">
        <v>183.86</v>
      </c>
      <c r="P789">
        <v>181.74</v>
      </c>
      <c r="Q789">
        <v>156.78349121860001</v>
      </c>
      <c r="R789">
        <v>20114903311.424831</v>
      </c>
      <c r="S789">
        <v>0</v>
      </c>
      <c r="T789" t="s">
        <v>6243</v>
      </c>
      <c r="AA789" t="s">
        <v>6249</v>
      </c>
    </row>
    <row r="790" spans="1:40" x14ac:dyDescent="0.25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115.84739999999999</v>
      </c>
      <c r="H790" t="s">
        <v>97</v>
      </c>
      <c r="I790">
        <v>26367058229.736</v>
      </c>
      <c r="J790" t="s">
        <v>4700</v>
      </c>
      <c r="K790">
        <v>316789648.88520497</v>
      </c>
      <c r="L790">
        <v>1</v>
      </c>
      <c r="M790" t="s">
        <v>5492</v>
      </c>
      <c r="N790">
        <v>0.85273301000000001</v>
      </c>
      <c r="O790">
        <v>137.27000000000001</v>
      </c>
      <c r="P790">
        <v>135.75</v>
      </c>
      <c r="Q790">
        <v>117.0546602827</v>
      </c>
      <c r="R790">
        <v>26641832649.98539</v>
      </c>
      <c r="S790">
        <v>0</v>
      </c>
      <c r="T790" t="s">
        <v>6243</v>
      </c>
      <c r="AJ790" t="s">
        <v>6258</v>
      </c>
      <c r="AN790" t="s">
        <v>6262</v>
      </c>
    </row>
    <row r="791" spans="1:40" x14ac:dyDescent="0.25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505.13740000000001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0.85273301000000001</v>
      </c>
      <c r="O791">
        <v>544.48</v>
      </c>
      <c r="P791">
        <v>591.91999999999996</v>
      </c>
      <c r="Q791">
        <v>464.29606928480001</v>
      </c>
      <c r="R791">
        <v>14677259880.01223</v>
      </c>
      <c r="S791">
        <v>0</v>
      </c>
      <c r="T791" t="s">
        <v>6243</v>
      </c>
    </row>
    <row r="792" spans="1:40" x14ac:dyDescent="0.25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1.1718820000000001</v>
      </c>
      <c r="H792" t="s">
        <v>4692</v>
      </c>
      <c r="I792">
        <v>14536796598.238001</v>
      </c>
      <c r="J792" t="s">
        <v>4701</v>
      </c>
      <c r="K792">
        <v>80059217.971028596</v>
      </c>
      <c r="L792">
        <v>0.55000000000000004</v>
      </c>
      <c r="M792" t="s">
        <v>5494</v>
      </c>
      <c r="N792">
        <v>0.10956983000000001</v>
      </c>
      <c r="O792">
        <v>11.83</v>
      </c>
      <c r="P792">
        <v>10.73</v>
      </c>
      <c r="Q792">
        <v>1.2962110889</v>
      </c>
      <c r="R792">
        <v>8843481102.4027519</v>
      </c>
      <c r="S792">
        <v>0</v>
      </c>
      <c r="T792" t="s">
        <v>6244</v>
      </c>
      <c r="U792" t="s">
        <v>6245</v>
      </c>
    </row>
    <row r="793" spans="1:40" x14ac:dyDescent="0.25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165076471.19299999</v>
      </c>
      <c r="L793">
        <v>0.70000000000000007</v>
      </c>
      <c r="M793" t="s">
        <v>5495</v>
      </c>
      <c r="N793">
        <v>1</v>
      </c>
      <c r="O793">
        <v>50.5</v>
      </c>
      <c r="P793">
        <v>47.35</v>
      </c>
      <c r="Q793">
        <v>50.5</v>
      </c>
      <c r="R793">
        <v>20437616463.25</v>
      </c>
      <c r="S793">
        <v>0</v>
      </c>
      <c r="T793" t="s">
        <v>6242</v>
      </c>
      <c r="AA793" t="s">
        <v>6249</v>
      </c>
    </row>
    <row r="794" spans="1:40" x14ac:dyDescent="0.25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87.847759999999994</v>
      </c>
      <c r="H794" t="s">
        <v>97</v>
      </c>
      <c r="I794">
        <v>19645133660.952801</v>
      </c>
      <c r="J794" t="s">
        <v>4700</v>
      </c>
      <c r="K794">
        <v>87621311.402251497</v>
      </c>
      <c r="L794">
        <v>1</v>
      </c>
      <c r="M794" t="s">
        <v>5496</v>
      </c>
      <c r="N794">
        <v>0.85273301000000001</v>
      </c>
      <c r="O794">
        <v>99.44</v>
      </c>
      <c r="P794">
        <v>102.94</v>
      </c>
      <c r="Q794">
        <v>84.795770514400004</v>
      </c>
      <c r="R794">
        <v>18962626316.69685</v>
      </c>
      <c r="S794">
        <v>0</v>
      </c>
      <c r="T794" t="s">
        <v>6243</v>
      </c>
      <c r="AN794" t="s">
        <v>6262</v>
      </c>
    </row>
    <row r="795" spans="1:40" x14ac:dyDescent="0.25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31.434920000000002</v>
      </c>
      <c r="H795" t="s">
        <v>4693</v>
      </c>
      <c r="I795">
        <v>13323265213.183201</v>
      </c>
      <c r="J795" t="s">
        <v>4699</v>
      </c>
      <c r="K795">
        <v>9938741.5204257295</v>
      </c>
      <c r="L795">
        <v>0.55000000000000004</v>
      </c>
      <c r="M795" t="s">
        <v>5497</v>
      </c>
      <c r="N795">
        <v>9.1395149999999994E-2</v>
      </c>
      <c r="O795">
        <v>333.8</v>
      </c>
      <c r="P795">
        <v>350.2</v>
      </c>
      <c r="Q795">
        <v>30.50770107</v>
      </c>
      <c r="R795">
        <v>7111651813.3358564</v>
      </c>
      <c r="S795">
        <v>0</v>
      </c>
      <c r="T795" t="s">
        <v>6242</v>
      </c>
      <c r="U795" t="s">
        <v>6245</v>
      </c>
      <c r="W795" t="s">
        <v>6247</v>
      </c>
      <c r="AN795" t="s">
        <v>6262</v>
      </c>
    </row>
    <row r="796" spans="1:40" x14ac:dyDescent="0.25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0.85273301000000001</v>
      </c>
      <c r="O796">
        <v>482.04</v>
      </c>
      <c r="P796">
        <v>481.67</v>
      </c>
      <c r="Q796">
        <v>411.05142014040001</v>
      </c>
      <c r="R796">
        <v>192745936444.8959</v>
      </c>
      <c r="S796">
        <v>0</v>
      </c>
      <c r="T796" t="s">
        <v>6243</v>
      </c>
    </row>
    <row r="797" spans="1:40" x14ac:dyDescent="0.25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12579162326.639999</v>
      </c>
      <c r="J797" t="s">
        <v>4699</v>
      </c>
      <c r="K797">
        <v>31385203.818388801</v>
      </c>
      <c r="L797">
        <v>1</v>
      </c>
      <c r="M797" t="s">
        <v>5499</v>
      </c>
      <c r="N797">
        <v>1.07032003</v>
      </c>
      <c r="O797">
        <v>12710</v>
      </c>
      <c r="P797">
        <v>11980</v>
      </c>
      <c r="Q797">
        <v>13603.767581300001</v>
      </c>
      <c r="R797">
        <v>13416470909.24066</v>
      </c>
      <c r="S797">
        <v>0</v>
      </c>
      <c r="T797" t="s">
        <v>6242</v>
      </c>
      <c r="U797" t="s">
        <v>6245</v>
      </c>
      <c r="AN797" t="s">
        <v>6262</v>
      </c>
    </row>
    <row r="798" spans="1:40" x14ac:dyDescent="0.25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4.6176310000000003</v>
      </c>
      <c r="H798" t="s">
        <v>4692</v>
      </c>
      <c r="I798">
        <v>12027480204.1553</v>
      </c>
      <c r="J798" t="s">
        <v>4701</v>
      </c>
      <c r="K798">
        <v>43472716.492516302</v>
      </c>
      <c r="L798">
        <v>1</v>
      </c>
      <c r="M798" t="s">
        <v>5500</v>
      </c>
      <c r="N798">
        <v>0.10956983000000001</v>
      </c>
      <c r="O798">
        <v>42.34</v>
      </c>
      <c r="P798">
        <v>42.28</v>
      </c>
      <c r="Q798">
        <v>4.6391866021999997</v>
      </c>
      <c r="R798">
        <v>12083625785.89389</v>
      </c>
      <c r="S798">
        <v>0</v>
      </c>
      <c r="T798" t="s">
        <v>6244</v>
      </c>
      <c r="U798" t="s">
        <v>6245</v>
      </c>
    </row>
    <row r="799" spans="1:40" x14ac:dyDescent="0.25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9.7335799999999999</v>
      </c>
      <c r="H799" t="s">
        <v>99</v>
      </c>
      <c r="I799">
        <v>2723287779.7449999</v>
      </c>
      <c r="J799" t="s">
        <v>4701</v>
      </c>
      <c r="K799">
        <v>11630893.7916889</v>
      </c>
      <c r="L799">
        <v>1</v>
      </c>
      <c r="M799" t="s">
        <v>5501</v>
      </c>
      <c r="N799">
        <v>5.7743899999999999E-3</v>
      </c>
      <c r="O799">
        <v>1611</v>
      </c>
      <c r="P799">
        <v>1675</v>
      </c>
      <c r="Q799">
        <v>9.3025422899999999</v>
      </c>
      <c r="R799">
        <v>2602690863.8874969</v>
      </c>
      <c r="S799">
        <v>0</v>
      </c>
      <c r="T799" t="s">
        <v>6244</v>
      </c>
    </row>
    <row r="800" spans="1:40" x14ac:dyDescent="0.25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87.081699999999998</v>
      </c>
      <c r="H800" t="s">
        <v>96</v>
      </c>
      <c r="I800">
        <v>3817335171.625</v>
      </c>
      <c r="J800" t="s">
        <v>4699</v>
      </c>
      <c r="K800">
        <v>3798208.6737901098</v>
      </c>
      <c r="L800">
        <v>0.8</v>
      </c>
      <c r="M800" t="s">
        <v>5502</v>
      </c>
      <c r="N800">
        <v>1.156136E-2</v>
      </c>
      <c r="O800">
        <v>7605</v>
      </c>
      <c r="P800">
        <v>7545</v>
      </c>
      <c r="Q800">
        <v>87.924142799999998</v>
      </c>
      <c r="R800">
        <v>3083411763.8532</v>
      </c>
      <c r="S800">
        <v>0</v>
      </c>
      <c r="T800" t="s">
        <v>6242</v>
      </c>
      <c r="W800" t="s">
        <v>6247</v>
      </c>
      <c r="AJ800" t="s">
        <v>6258</v>
      </c>
      <c r="AN800" t="s">
        <v>6262</v>
      </c>
    </row>
    <row r="801" spans="1:40" x14ac:dyDescent="0.25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141.42339999999999</v>
      </c>
      <c r="H801" t="s">
        <v>97</v>
      </c>
      <c r="I801">
        <v>32803171772.34</v>
      </c>
      <c r="J801" t="s">
        <v>4700</v>
      </c>
      <c r="K801">
        <v>330768860.76126802</v>
      </c>
      <c r="L801">
        <v>0.7</v>
      </c>
      <c r="M801" t="s">
        <v>5503</v>
      </c>
      <c r="N801">
        <v>0.85273301000000001</v>
      </c>
      <c r="O801">
        <v>173.73</v>
      </c>
      <c r="P801">
        <v>165.72</v>
      </c>
      <c r="Q801">
        <v>148.14530582730001</v>
      </c>
      <c r="R801">
        <v>24053622950.820969</v>
      </c>
      <c r="S801">
        <v>0</v>
      </c>
      <c r="T801" t="s">
        <v>6243</v>
      </c>
      <c r="AN801" t="s">
        <v>6262</v>
      </c>
    </row>
    <row r="802" spans="1:40" x14ac:dyDescent="0.25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14949768.280226599</v>
      </c>
      <c r="L802">
        <v>1</v>
      </c>
      <c r="M802" t="s">
        <v>5504</v>
      </c>
      <c r="N802">
        <v>5.7743899999999999E-3</v>
      </c>
      <c r="O802">
        <v>1950</v>
      </c>
      <c r="P802">
        <v>1941</v>
      </c>
      <c r="Q802">
        <v>11.2600605</v>
      </c>
      <c r="R802">
        <v>3237435731.6544752</v>
      </c>
      <c r="S802">
        <v>0</v>
      </c>
      <c r="T802" t="s">
        <v>6244</v>
      </c>
    </row>
    <row r="803" spans="1:40" x14ac:dyDescent="0.25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0.97065230000000002</v>
      </c>
      <c r="H803" t="s">
        <v>96</v>
      </c>
      <c r="I803">
        <v>57960017224.612</v>
      </c>
      <c r="J803" t="s">
        <v>4699</v>
      </c>
      <c r="K803">
        <v>81075756.708678797</v>
      </c>
      <c r="L803">
        <v>1</v>
      </c>
      <c r="M803" t="s">
        <v>5505</v>
      </c>
      <c r="N803">
        <v>1.156136E-2</v>
      </c>
      <c r="O803">
        <v>82.6</v>
      </c>
      <c r="P803">
        <v>84.1</v>
      </c>
      <c r="Q803">
        <v>0.95496833599999986</v>
      </c>
      <c r="R803">
        <v>57023489465.299843</v>
      </c>
      <c r="S803">
        <v>0</v>
      </c>
      <c r="T803" t="s">
        <v>6242</v>
      </c>
      <c r="AJ803" t="s">
        <v>6258</v>
      </c>
    </row>
    <row r="804" spans="1:40" x14ac:dyDescent="0.25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35.086709999999997</v>
      </c>
      <c r="H804" t="s">
        <v>100</v>
      </c>
      <c r="I804">
        <v>41653391279.417999</v>
      </c>
      <c r="J804" t="s">
        <v>4700</v>
      </c>
      <c r="K804">
        <v>47890619.981242701</v>
      </c>
      <c r="L804">
        <v>0.45</v>
      </c>
      <c r="M804" t="s">
        <v>5506</v>
      </c>
      <c r="N804">
        <v>0.61572563000000002</v>
      </c>
      <c r="O804">
        <v>55.58</v>
      </c>
      <c r="P804">
        <v>56.88</v>
      </c>
      <c r="Q804">
        <v>34.2220305154</v>
      </c>
      <c r="R804">
        <v>18282096906.360352</v>
      </c>
      <c r="S804">
        <v>0</v>
      </c>
      <c r="T804" t="s">
        <v>6243</v>
      </c>
    </row>
    <row r="805" spans="1:40" x14ac:dyDescent="0.25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88899222437.401993</v>
      </c>
      <c r="J805" t="s">
        <v>4700</v>
      </c>
      <c r="K805">
        <v>683485069.37221098</v>
      </c>
      <c r="L805">
        <v>1</v>
      </c>
      <c r="M805" t="s">
        <v>5507</v>
      </c>
      <c r="N805">
        <v>0.85273301000000001</v>
      </c>
      <c r="O805">
        <v>471.31</v>
      </c>
      <c r="P805">
        <v>446.2</v>
      </c>
      <c r="Q805">
        <v>401.90159494310001</v>
      </c>
      <c r="R805">
        <v>93829979977.486542</v>
      </c>
      <c r="S805">
        <v>0</v>
      </c>
      <c r="T805" t="s">
        <v>6243</v>
      </c>
      <c r="AA805" t="s">
        <v>6249</v>
      </c>
      <c r="AC805" t="s">
        <v>6251</v>
      </c>
      <c r="AE805" t="s">
        <v>6253</v>
      </c>
      <c r="AJ805" t="s">
        <v>6258</v>
      </c>
    </row>
    <row r="806" spans="1:40" x14ac:dyDescent="0.25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87.941929999999999</v>
      </c>
      <c r="H806" t="s">
        <v>4694</v>
      </c>
      <c r="I806">
        <v>14861670830.290199</v>
      </c>
      <c r="J806" t="s">
        <v>4699</v>
      </c>
      <c r="K806">
        <v>40736948.160534598</v>
      </c>
      <c r="L806">
        <v>0.9</v>
      </c>
      <c r="M806" t="s">
        <v>5508</v>
      </c>
      <c r="N806">
        <v>1.07032003</v>
      </c>
      <c r="O806">
        <v>85.86</v>
      </c>
      <c r="P806">
        <v>82.6</v>
      </c>
      <c r="Q806">
        <v>91.897677775799991</v>
      </c>
      <c r="R806">
        <v>13977152121.34659</v>
      </c>
      <c r="S806">
        <v>0</v>
      </c>
      <c r="T806" t="s">
        <v>6242</v>
      </c>
      <c r="U806" t="s">
        <v>6245</v>
      </c>
    </row>
    <row r="807" spans="1:40" x14ac:dyDescent="0.25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109.23009999999999</v>
      </c>
      <c r="H807" t="s">
        <v>96</v>
      </c>
      <c r="I807">
        <v>57467604984.509987</v>
      </c>
      <c r="J807" t="s">
        <v>4699</v>
      </c>
      <c r="K807">
        <v>104406702.882532</v>
      </c>
      <c r="L807">
        <v>0.95</v>
      </c>
      <c r="M807" t="s">
        <v>5509</v>
      </c>
      <c r="N807">
        <v>1.156136E-2</v>
      </c>
      <c r="O807">
        <v>8632</v>
      </c>
      <c r="P807">
        <v>9464</v>
      </c>
      <c r="Q807">
        <v>99.797659519999996</v>
      </c>
      <c r="R807">
        <v>49879802837.224213</v>
      </c>
      <c r="S807">
        <v>0</v>
      </c>
      <c r="T807" t="s">
        <v>6242</v>
      </c>
    </row>
    <row r="808" spans="1:40" x14ac:dyDescent="0.25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2.2159960000000001</v>
      </c>
      <c r="H808" t="s">
        <v>96</v>
      </c>
      <c r="I808">
        <v>5191870989.1747999</v>
      </c>
      <c r="J808" t="s">
        <v>4699</v>
      </c>
      <c r="K808">
        <v>12281262.997352401</v>
      </c>
      <c r="L808">
        <v>0.95</v>
      </c>
      <c r="M808" t="s">
        <v>5510</v>
      </c>
      <c r="N808">
        <v>1.156136E-2</v>
      </c>
      <c r="O808">
        <v>179.2</v>
      </c>
      <c r="P808">
        <v>192</v>
      </c>
      <c r="Q808">
        <v>2.0717957120000001</v>
      </c>
      <c r="R808">
        <v>4611322064.6598949</v>
      </c>
      <c r="S808">
        <v>0</v>
      </c>
      <c r="T808" t="s">
        <v>6242</v>
      </c>
      <c r="AN808" t="s">
        <v>6262</v>
      </c>
    </row>
    <row r="809" spans="1:40" x14ac:dyDescent="0.25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603.24329999999998</v>
      </c>
      <c r="H809" t="s">
        <v>4694</v>
      </c>
      <c r="I809">
        <v>42365185780.566002</v>
      </c>
      <c r="J809" t="s">
        <v>4699</v>
      </c>
      <c r="K809">
        <v>70388128.013471797</v>
      </c>
      <c r="L809">
        <v>1</v>
      </c>
      <c r="M809" t="s">
        <v>5511</v>
      </c>
      <c r="N809">
        <v>1.07032003</v>
      </c>
      <c r="O809">
        <v>547.6</v>
      </c>
      <c r="P809">
        <v>566.6</v>
      </c>
      <c r="Q809">
        <v>586.10724842800005</v>
      </c>
      <c r="R809">
        <v>41161737671.994987</v>
      </c>
      <c r="S809">
        <v>0</v>
      </c>
      <c r="T809" t="s">
        <v>6242</v>
      </c>
      <c r="U809" t="s">
        <v>6245</v>
      </c>
    </row>
    <row r="810" spans="1:40" x14ac:dyDescent="0.25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381.05</v>
      </c>
      <c r="P810">
        <v>399</v>
      </c>
      <c r="Q810">
        <v>381.05</v>
      </c>
      <c r="R810">
        <v>91429979444.392502</v>
      </c>
      <c r="S810">
        <v>1</v>
      </c>
      <c r="T810" t="s">
        <v>6242</v>
      </c>
    </row>
    <row r="811" spans="1:40" x14ac:dyDescent="0.25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3.2470539999999999</v>
      </c>
      <c r="H811" t="s">
        <v>4691</v>
      </c>
      <c r="I811">
        <v>7227200901.5717993</v>
      </c>
      <c r="J811" t="s">
        <v>4701</v>
      </c>
      <c r="K811">
        <v>12041125.885635201</v>
      </c>
      <c r="L811">
        <v>1</v>
      </c>
      <c r="M811" t="s">
        <v>5513</v>
      </c>
      <c r="N811">
        <v>0.56652409000000004</v>
      </c>
      <c r="O811">
        <v>5.97</v>
      </c>
      <c r="P811">
        <v>5.86</v>
      </c>
      <c r="Q811">
        <v>3.3821488173000001</v>
      </c>
      <c r="R811">
        <v>7527891122.7348108</v>
      </c>
      <c r="S811">
        <v>0</v>
      </c>
      <c r="T811" t="s">
        <v>6244</v>
      </c>
      <c r="U811" t="s">
        <v>6245</v>
      </c>
    </row>
    <row r="812" spans="1:40" x14ac:dyDescent="0.25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5968673372.6399994</v>
      </c>
      <c r="J812" t="s">
        <v>4702</v>
      </c>
      <c r="K812">
        <v>18215430.590923101</v>
      </c>
      <c r="L812">
        <v>1</v>
      </c>
      <c r="M812" t="s">
        <v>5514</v>
      </c>
      <c r="N812">
        <v>1</v>
      </c>
      <c r="O812">
        <v>22.48</v>
      </c>
      <c r="P812">
        <v>23.72</v>
      </c>
      <c r="Q812">
        <v>22.48</v>
      </c>
      <c r="R812">
        <v>5656651661.7600002</v>
      </c>
      <c r="S812">
        <v>0</v>
      </c>
      <c r="T812" t="s">
        <v>6242</v>
      </c>
    </row>
    <row r="813" spans="1:40" x14ac:dyDescent="0.25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5938836.3636363596</v>
      </c>
      <c r="L813">
        <v>0.5</v>
      </c>
      <c r="M813" t="s">
        <v>5515</v>
      </c>
      <c r="N813">
        <v>1</v>
      </c>
      <c r="O813">
        <v>8350</v>
      </c>
      <c r="P813">
        <v>8220</v>
      </c>
      <c r="Q813">
        <v>8350</v>
      </c>
      <c r="R813">
        <v>3406854275</v>
      </c>
      <c r="S813">
        <v>0</v>
      </c>
      <c r="T813" t="s">
        <v>6242</v>
      </c>
      <c r="W813" t="s">
        <v>6247</v>
      </c>
    </row>
    <row r="814" spans="1:40" x14ac:dyDescent="0.25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225.06399999999999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0.85273301000000001</v>
      </c>
      <c r="O814">
        <v>271.83</v>
      </c>
      <c r="P814">
        <v>263.73</v>
      </c>
      <c r="Q814">
        <v>231.79841410829999</v>
      </c>
      <c r="R814">
        <v>129908570066.5032</v>
      </c>
      <c r="S814">
        <v>0</v>
      </c>
      <c r="T814" t="s">
        <v>6243</v>
      </c>
      <c r="AJ814" t="s">
        <v>6258</v>
      </c>
    </row>
    <row r="815" spans="1:40" x14ac:dyDescent="0.25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309.30189999999999</v>
      </c>
      <c r="H815" t="s">
        <v>97</v>
      </c>
      <c r="I815">
        <v>24745421684.2995</v>
      </c>
      <c r="J815" t="s">
        <v>4700</v>
      </c>
      <c r="K815">
        <v>242716252.67557701</v>
      </c>
      <c r="L815">
        <v>1</v>
      </c>
      <c r="M815" t="s">
        <v>5517</v>
      </c>
      <c r="N815">
        <v>0.85273301000000001</v>
      </c>
      <c r="O815">
        <v>350.64</v>
      </c>
      <c r="P815">
        <v>362.44</v>
      </c>
      <c r="Q815">
        <v>299.00230262640002</v>
      </c>
      <c r="R815">
        <v>23921411614.564281</v>
      </c>
      <c r="S815">
        <v>0</v>
      </c>
      <c r="T815" t="s">
        <v>6243</v>
      </c>
      <c r="AJ815" t="s">
        <v>6258</v>
      </c>
    </row>
    <row r="816" spans="1:40" x14ac:dyDescent="0.25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8.2720000000000002</v>
      </c>
      <c r="H816" t="s">
        <v>98</v>
      </c>
      <c r="I816">
        <v>9926524080</v>
      </c>
      <c r="J816" t="s">
        <v>4702</v>
      </c>
      <c r="K816">
        <v>39022845.055348501</v>
      </c>
      <c r="L816">
        <v>0.85</v>
      </c>
      <c r="M816" t="s">
        <v>5518</v>
      </c>
      <c r="N816">
        <v>1</v>
      </c>
      <c r="O816">
        <v>7.4420000000000002</v>
      </c>
      <c r="P816">
        <v>8.2720000000000002</v>
      </c>
      <c r="Q816">
        <v>7.4420000000000002</v>
      </c>
      <c r="R816">
        <v>7590934885.5</v>
      </c>
      <c r="S816">
        <v>0</v>
      </c>
      <c r="T816" t="s">
        <v>6242</v>
      </c>
    </row>
    <row r="817" spans="1:40" x14ac:dyDescent="0.25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177.15479999999999</v>
      </c>
      <c r="H817" t="s">
        <v>97</v>
      </c>
      <c r="I817">
        <v>20324869225.764</v>
      </c>
      <c r="J817" t="s">
        <v>4700</v>
      </c>
      <c r="K817">
        <v>742487969.26993501</v>
      </c>
      <c r="L817">
        <v>0.9</v>
      </c>
      <c r="M817" t="s">
        <v>5519</v>
      </c>
      <c r="N817">
        <v>0.85273301000000001</v>
      </c>
      <c r="O817">
        <v>159.86500000000001</v>
      </c>
      <c r="P817">
        <v>207.59</v>
      </c>
      <c r="Q817">
        <v>136.32216264364999</v>
      </c>
      <c r="R817">
        <v>14076147614.82593</v>
      </c>
      <c r="S817">
        <v>0</v>
      </c>
      <c r="T817" t="s">
        <v>6243</v>
      </c>
    </row>
    <row r="818" spans="1:40" x14ac:dyDescent="0.25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44.019649999999999</v>
      </c>
      <c r="H818" t="s">
        <v>4693</v>
      </c>
      <c r="I818">
        <v>6690986800</v>
      </c>
      <c r="J818" t="s">
        <v>4699</v>
      </c>
      <c r="K818">
        <v>5593055.9917983199</v>
      </c>
      <c r="L818">
        <v>0.5</v>
      </c>
      <c r="M818" t="s">
        <v>5520</v>
      </c>
      <c r="N818">
        <v>9.1395149999999994E-2</v>
      </c>
      <c r="O818">
        <v>483.2</v>
      </c>
      <c r="P818">
        <v>490.4</v>
      </c>
      <c r="Q818">
        <v>44.162136479999987</v>
      </c>
      <c r="R818">
        <v>3356322372.48</v>
      </c>
      <c r="S818">
        <v>0</v>
      </c>
      <c r="T818" t="s">
        <v>6242</v>
      </c>
      <c r="U818" t="s">
        <v>6245</v>
      </c>
      <c r="W818" t="s">
        <v>6247</v>
      </c>
      <c r="AJ818" t="s">
        <v>6258</v>
      </c>
      <c r="AN818" t="s">
        <v>6262</v>
      </c>
    </row>
    <row r="819" spans="1:40" x14ac:dyDescent="0.25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490.65</v>
      </c>
      <c r="P819">
        <v>495.1</v>
      </c>
      <c r="Q819">
        <v>490.65</v>
      </c>
      <c r="R819">
        <v>122697262552.5</v>
      </c>
      <c r="S819">
        <v>1</v>
      </c>
      <c r="T819" t="s">
        <v>6242</v>
      </c>
    </row>
    <row r="820" spans="1:40" x14ac:dyDescent="0.25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2.7079689999999998</v>
      </c>
      <c r="H820" t="s">
        <v>99</v>
      </c>
      <c r="I820">
        <v>18805031990.551399</v>
      </c>
      <c r="J820" t="s">
        <v>4701</v>
      </c>
      <c r="K820">
        <v>52429132.717635296</v>
      </c>
      <c r="L820">
        <v>0.4</v>
      </c>
      <c r="M820" t="s">
        <v>5522</v>
      </c>
      <c r="N820">
        <v>5.7743899999999999E-3</v>
      </c>
      <c r="O820">
        <v>492.1</v>
      </c>
      <c r="P820">
        <v>466</v>
      </c>
      <c r="Q820">
        <v>2.8415773190000002</v>
      </c>
      <c r="R820">
        <v>7893140931.4390659</v>
      </c>
      <c r="S820">
        <v>0</v>
      </c>
      <c r="T820" t="s">
        <v>6244</v>
      </c>
    </row>
    <row r="821" spans="1:40" x14ac:dyDescent="0.25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7.9292400000000001</v>
      </c>
      <c r="H821" t="s">
        <v>4691</v>
      </c>
      <c r="I821">
        <v>7417382977.3559999</v>
      </c>
      <c r="J821" t="s">
        <v>4701</v>
      </c>
      <c r="K821">
        <v>33205261.0159829</v>
      </c>
      <c r="L821">
        <v>0.9</v>
      </c>
      <c r="M821" t="s">
        <v>5523</v>
      </c>
      <c r="N821">
        <v>0.56652409000000004</v>
      </c>
      <c r="O821">
        <v>14.41</v>
      </c>
      <c r="P821">
        <v>14.31</v>
      </c>
      <c r="Q821">
        <v>8.1636121369000012</v>
      </c>
      <c r="R821">
        <v>6872963099.6389341</v>
      </c>
      <c r="S821">
        <v>0</v>
      </c>
      <c r="T821" t="s">
        <v>6244</v>
      </c>
      <c r="U821" t="s">
        <v>6245</v>
      </c>
      <c r="AJ821" t="s">
        <v>6258</v>
      </c>
    </row>
    <row r="822" spans="1:40" x14ac:dyDescent="0.25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7444334567.8376999</v>
      </c>
      <c r="J822" t="s">
        <v>4699</v>
      </c>
      <c r="K822">
        <v>16308310.7576278</v>
      </c>
      <c r="L822">
        <v>0.85</v>
      </c>
      <c r="M822" t="s">
        <v>5524</v>
      </c>
      <c r="N822">
        <v>1.156136E-2</v>
      </c>
      <c r="O822">
        <v>253.8</v>
      </c>
      <c r="P822">
        <v>268.2</v>
      </c>
      <c r="Q822">
        <v>2.9342731679999998</v>
      </c>
      <c r="R822">
        <v>5998171682.4228849</v>
      </c>
      <c r="S822">
        <v>0</v>
      </c>
      <c r="T822" t="s">
        <v>6242</v>
      </c>
      <c r="AJ822" t="s">
        <v>6258</v>
      </c>
    </row>
    <row r="823" spans="1:40" x14ac:dyDescent="0.25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170.45570000000001</v>
      </c>
      <c r="H823" t="s">
        <v>97</v>
      </c>
      <c r="I823">
        <v>26636991215.452999</v>
      </c>
      <c r="J823" t="s">
        <v>4700</v>
      </c>
      <c r="K823">
        <v>183457385.34686899</v>
      </c>
      <c r="L823">
        <v>1</v>
      </c>
      <c r="M823" t="s">
        <v>5525</v>
      </c>
      <c r="N823">
        <v>0.85273301000000001</v>
      </c>
      <c r="O823">
        <v>198.8</v>
      </c>
      <c r="P823">
        <v>199.74</v>
      </c>
      <c r="Q823">
        <v>169.523322388</v>
      </c>
      <c r="R823">
        <v>26491289228.01387</v>
      </c>
      <c r="S823">
        <v>0</v>
      </c>
      <c r="T823" t="s">
        <v>6243</v>
      </c>
      <c r="AJ823" t="s">
        <v>6258</v>
      </c>
    </row>
    <row r="824" spans="1:40" x14ac:dyDescent="0.25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46849938.779061697</v>
      </c>
      <c r="L824">
        <v>0.65</v>
      </c>
      <c r="M824" t="s">
        <v>5526</v>
      </c>
      <c r="N824">
        <v>5.7743899999999999E-3</v>
      </c>
      <c r="O824">
        <v>2370</v>
      </c>
      <c r="P824">
        <v>2252</v>
      </c>
      <c r="Q824">
        <v>13.6853043</v>
      </c>
      <c r="R824">
        <v>6041014238.4058352</v>
      </c>
      <c r="S824">
        <v>0</v>
      </c>
      <c r="T824" t="s">
        <v>6244</v>
      </c>
      <c r="AN824" t="s">
        <v>6262</v>
      </c>
    </row>
    <row r="825" spans="1:40" x14ac:dyDescent="0.25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123.99760000000001</v>
      </c>
      <c r="H825" t="s">
        <v>4691</v>
      </c>
      <c r="I825">
        <v>47260250587.768013</v>
      </c>
      <c r="J825" t="s">
        <v>4701</v>
      </c>
      <c r="K825">
        <v>83189647.485159397</v>
      </c>
      <c r="L825">
        <v>1</v>
      </c>
      <c r="M825" t="s">
        <v>5527</v>
      </c>
      <c r="N825">
        <v>0.56652409000000004</v>
      </c>
      <c r="O825">
        <v>224.09</v>
      </c>
      <c r="P825">
        <v>223.78</v>
      </c>
      <c r="Q825">
        <v>126.9523833281</v>
      </c>
      <c r="R825">
        <v>48386432066.430206</v>
      </c>
      <c r="S825">
        <v>0</v>
      </c>
      <c r="T825" t="s">
        <v>6244</v>
      </c>
      <c r="U825" t="s">
        <v>6245</v>
      </c>
      <c r="AJ825" t="s">
        <v>6258</v>
      </c>
    </row>
    <row r="826" spans="1:40" x14ac:dyDescent="0.25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29.763110000000001</v>
      </c>
      <c r="H826" t="s">
        <v>4697</v>
      </c>
      <c r="I826">
        <v>2997102020.4905</v>
      </c>
      <c r="J826" t="s">
        <v>4701</v>
      </c>
      <c r="K826">
        <v>2511403.6536314799</v>
      </c>
      <c r="L826">
        <v>0.8</v>
      </c>
      <c r="M826" t="s">
        <v>5528</v>
      </c>
      <c r="N826">
        <v>0.50771730000000004</v>
      </c>
      <c r="O826">
        <v>62</v>
      </c>
      <c r="P826">
        <v>59.44</v>
      </c>
      <c r="Q826">
        <v>31.4784726</v>
      </c>
      <c r="R826">
        <v>2535869237.6277838</v>
      </c>
      <c r="S826">
        <v>0</v>
      </c>
      <c r="T826" t="s">
        <v>6244</v>
      </c>
      <c r="U826" t="s">
        <v>6245</v>
      </c>
      <c r="W826" t="s">
        <v>6247</v>
      </c>
      <c r="AJ826" t="s">
        <v>6258</v>
      </c>
      <c r="AN826" t="s">
        <v>6262</v>
      </c>
    </row>
    <row r="827" spans="1:40" x14ac:dyDescent="0.25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29.927129999999998</v>
      </c>
      <c r="H827" t="s">
        <v>99</v>
      </c>
      <c r="I827">
        <v>8380121621.1314993</v>
      </c>
      <c r="J827" t="s">
        <v>4701</v>
      </c>
      <c r="K827">
        <v>22156595.902647998</v>
      </c>
      <c r="L827">
        <v>0.95</v>
      </c>
      <c r="M827" t="s">
        <v>5529</v>
      </c>
      <c r="N827">
        <v>5.7743899999999999E-3</v>
      </c>
      <c r="O827">
        <v>5044</v>
      </c>
      <c r="P827">
        <v>5150</v>
      </c>
      <c r="Q827">
        <v>29.126023159999999</v>
      </c>
      <c r="R827">
        <v>7748007764.1811342</v>
      </c>
      <c r="S827">
        <v>0</v>
      </c>
      <c r="T827" t="s">
        <v>6244</v>
      </c>
      <c r="AJ827" t="s">
        <v>6258</v>
      </c>
      <c r="AN827" t="s">
        <v>6262</v>
      </c>
    </row>
    <row r="828" spans="1:40" x14ac:dyDescent="0.25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6.0279999999999996</v>
      </c>
      <c r="H828" t="s">
        <v>98</v>
      </c>
      <c r="I828">
        <v>3030256009</v>
      </c>
      <c r="J828" t="s">
        <v>4703</v>
      </c>
      <c r="K828">
        <v>8008518.4421875002</v>
      </c>
      <c r="L828">
        <v>0.8</v>
      </c>
      <c r="M828" t="s">
        <v>5530</v>
      </c>
      <c r="N828">
        <v>1</v>
      </c>
      <c r="O828">
        <v>5.95</v>
      </c>
      <c r="P828">
        <v>6.0279999999999996</v>
      </c>
      <c r="Q828">
        <v>5.95</v>
      </c>
      <c r="R828">
        <v>2392836530</v>
      </c>
      <c r="S828">
        <v>0</v>
      </c>
      <c r="T828" t="s">
        <v>6242</v>
      </c>
      <c r="W828" t="s">
        <v>6247</v>
      </c>
      <c r="AJ828" t="s">
        <v>6258</v>
      </c>
    </row>
    <row r="829" spans="1:40" x14ac:dyDescent="0.25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26.210170000000002</v>
      </c>
      <c r="H829" t="s">
        <v>100</v>
      </c>
      <c r="I829">
        <v>44518917311.120003</v>
      </c>
      <c r="J829" t="s">
        <v>4700</v>
      </c>
      <c r="K829">
        <v>201888159.99373299</v>
      </c>
      <c r="L829">
        <v>1</v>
      </c>
      <c r="M829" t="s">
        <v>5531</v>
      </c>
      <c r="N829">
        <v>0.61572563000000002</v>
      </c>
      <c r="O829">
        <v>44.14</v>
      </c>
      <c r="P829">
        <v>42.49</v>
      </c>
      <c r="Q829">
        <v>27.178129308199999</v>
      </c>
      <c r="R829">
        <v>46163031042.632797</v>
      </c>
      <c r="S829">
        <v>0</v>
      </c>
      <c r="T829" t="s">
        <v>6243</v>
      </c>
      <c r="AJ829" t="s">
        <v>6258</v>
      </c>
    </row>
    <row r="830" spans="1:40" x14ac:dyDescent="0.25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1.3391439999999999</v>
      </c>
      <c r="H830" t="s">
        <v>4698</v>
      </c>
      <c r="I830">
        <v>3820008695.8000002</v>
      </c>
      <c r="J830" t="s">
        <v>4701</v>
      </c>
      <c r="K830">
        <v>12450673.870899901</v>
      </c>
      <c r="L830">
        <v>0.75</v>
      </c>
      <c r="M830" t="s">
        <v>5532</v>
      </c>
      <c r="N830">
        <v>0.66458430000000002</v>
      </c>
      <c r="O830">
        <v>2.14</v>
      </c>
      <c r="P830">
        <v>2.0099999999999998</v>
      </c>
      <c r="Q830">
        <v>1.4222104019999999</v>
      </c>
      <c r="R830">
        <v>3042721378.113863</v>
      </c>
      <c r="S830">
        <v>0</v>
      </c>
      <c r="T830" t="s">
        <v>6244</v>
      </c>
      <c r="U830" t="s">
        <v>6245</v>
      </c>
    </row>
    <row r="831" spans="1:40" x14ac:dyDescent="0.25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0.78616430000000004</v>
      </c>
      <c r="H831" t="s">
        <v>4698</v>
      </c>
      <c r="I831">
        <v>4004665912.6989999</v>
      </c>
      <c r="J831" t="s">
        <v>4701</v>
      </c>
      <c r="K831">
        <v>11279222.3657222</v>
      </c>
      <c r="L831">
        <v>0.75</v>
      </c>
      <c r="M831" t="s">
        <v>5533</v>
      </c>
      <c r="N831">
        <v>0.66458430000000002</v>
      </c>
      <c r="O831">
        <v>1.26</v>
      </c>
      <c r="P831">
        <v>1.18</v>
      </c>
      <c r="Q831">
        <v>0.83737621800000006</v>
      </c>
      <c r="R831">
        <v>3199151878.6175551</v>
      </c>
      <c r="S831">
        <v>0</v>
      </c>
      <c r="T831" t="s">
        <v>6244</v>
      </c>
      <c r="U831" t="s">
        <v>6245</v>
      </c>
      <c r="AN831" t="s">
        <v>6262</v>
      </c>
    </row>
    <row r="832" spans="1:40" x14ac:dyDescent="0.25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145.82689999999999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0.85273301000000001</v>
      </c>
      <c r="O832">
        <v>180.28</v>
      </c>
      <c r="P832">
        <v>170.88</v>
      </c>
      <c r="Q832">
        <v>153.73070704279999</v>
      </c>
      <c r="R832">
        <v>46737255674.364166</v>
      </c>
      <c r="S832">
        <v>0</v>
      </c>
      <c r="T832" t="s">
        <v>6243</v>
      </c>
      <c r="AH832" t="s">
        <v>6256</v>
      </c>
      <c r="AJ832" t="s">
        <v>6258</v>
      </c>
      <c r="AN832" t="s">
        <v>6262</v>
      </c>
    </row>
    <row r="833" spans="1:40" x14ac:dyDescent="0.25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81703829.671257302</v>
      </c>
      <c r="L833">
        <v>1</v>
      </c>
      <c r="M833" t="s">
        <v>5535</v>
      </c>
      <c r="N833">
        <v>0.85273301000000001</v>
      </c>
      <c r="O833">
        <v>1954.07</v>
      </c>
      <c r="P833">
        <v>1992.32</v>
      </c>
      <c r="Q833">
        <v>1666.2999928506999</v>
      </c>
      <c r="R833">
        <v>21082029175.84705</v>
      </c>
      <c r="S833">
        <v>0</v>
      </c>
      <c r="T833" t="s">
        <v>6243</v>
      </c>
      <c r="AJ833" t="s">
        <v>6258</v>
      </c>
      <c r="AN833" t="s">
        <v>6262</v>
      </c>
    </row>
    <row r="834" spans="1:40" x14ac:dyDescent="0.25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4.1365259999999999</v>
      </c>
      <c r="H834" t="s">
        <v>96</v>
      </c>
      <c r="I834">
        <v>8508592822.5341997</v>
      </c>
      <c r="J834" t="s">
        <v>4699</v>
      </c>
      <c r="K834">
        <v>23408797.203564301</v>
      </c>
      <c r="L834">
        <v>1</v>
      </c>
      <c r="M834" t="s">
        <v>5536</v>
      </c>
      <c r="N834">
        <v>1.156136E-2</v>
      </c>
      <c r="O834">
        <v>338.2</v>
      </c>
      <c r="P834">
        <v>358.4</v>
      </c>
      <c r="Q834">
        <v>3.9100519519999999</v>
      </c>
      <c r="R834">
        <v>8042748909.235198</v>
      </c>
      <c r="S834">
        <v>0</v>
      </c>
      <c r="T834" t="s">
        <v>6242</v>
      </c>
    </row>
    <row r="835" spans="1:40" x14ac:dyDescent="0.25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63432824651.153999</v>
      </c>
      <c r="J835" t="s">
        <v>4700</v>
      </c>
      <c r="K835">
        <v>326202356.98335499</v>
      </c>
      <c r="L835">
        <v>0.85</v>
      </c>
      <c r="M835" t="s">
        <v>5537</v>
      </c>
      <c r="N835">
        <v>0.85273301000000001</v>
      </c>
      <c r="O835">
        <v>266.5</v>
      </c>
      <c r="P835">
        <v>273.82</v>
      </c>
      <c r="Q835">
        <v>227.25334716500001</v>
      </c>
      <c r="R835">
        <v>52436243477.746971</v>
      </c>
      <c r="S835">
        <v>0</v>
      </c>
      <c r="T835" t="s">
        <v>6243</v>
      </c>
    </row>
    <row r="836" spans="1:40" x14ac:dyDescent="0.25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88335402603.240005</v>
      </c>
      <c r="J836" t="s">
        <v>4700</v>
      </c>
      <c r="K836">
        <v>436421333.98908401</v>
      </c>
      <c r="L836">
        <v>1</v>
      </c>
      <c r="M836" t="s">
        <v>5538</v>
      </c>
      <c r="N836">
        <v>0.85273301000000001</v>
      </c>
      <c r="O836">
        <v>202.93</v>
      </c>
      <c r="P836">
        <v>210.55</v>
      </c>
      <c r="Q836">
        <v>173.0451097193</v>
      </c>
      <c r="R836">
        <v>85073137672.896637</v>
      </c>
      <c r="S836">
        <v>0</v>
      </c>
      <c r="T836" t="s">
        <v>6243</v>
      </c>
    </row>
    <row r="837" spans="1:40" x14ac:dyDescent="0.25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518.76599999999996</v>
      </c>
      <c r="H837" t="s">
        <v>97</v>
      </c>
      <c r="I837">
        <v>31284704471.063999</v>
      </c>
      <c r="J837" t="s">
        <v>4700</v>
      </c>
      <c r="K837">
        <v>200468479.998092</v>
      </c>
      <c r="L837">
        <v>1</v>
      </c>
      <c r="M837" t="s">
        <v>5539</v>
      </c>
      <c r="N837">
        <v>0.85273301000000001</v>
      </c>
      <c r="O837">
        <v>615.86</v>
      </c>
      <c r="P837">
        <v>607.89</v>
      </c>
      <c r="Q837">
        <v>525.16415153859998</v>
      </c>
      <c r="R837">
        <v>31670551423.343418</v>
      </c>
      <c r="S837">
        <v>0</v>
      </c>
      <c r="T837" t="s">
        <v>6243</v>
      </c>
      <c r="AJ837" t="s">
        <v>6258</v>
      </c>
      <c r="AN837" t="s">
        <v>6262</v>
      </c>
    </row>
    <row r="838" spans="1:40" x14ac:dyDescent="0.25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19.205660000000002</v>
      </c>
      <c r="H838" t="s">
        <v>99</v>
      </c>
      <c r="I838">
        <v>32195974707.970001</v>
      </c>
      <c r="J838" t="s">
        <v>4701</v>
      </c>
      <c r="K838">
        <v>76474456.830800205</v>
      </c>
      <c r="L838">
        <v>0.9</v>
      </c>
      <c r="M838" t="s">
        <v>5540</v>
      </c>
      <c r="N838">
        <v>5.7743899999999999E-3</v>
      </c>
      <c r="O838">
        <v>3514</v>
      </c>
      <c r="P838">
        <v>3305</v>
      </c>
      <c r="Q838">
        <v>20.291206460000001</v>
      </c>
      <c r="R838">
        <v>30614186285.83041</v>
      </c>
      <c r="S838">
        <v>0</v>
      </c>
      <c r="T838" t="s">
        <v>6244</v>
      </c>
      <c r="AG838" t="s">
        <v>6255</v>
      </c>
      <c r="AH838" t="s">
        <v>6256</v>
      </c>
      <c r="AJ838" t="s">
        <v>6258</v>
      </c>
    </row>
    <row r="839" spans="1:40" x14ac:dyDescent="0.25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3520915343.1318002</v>
      </c>
      <c r="J839" t="s">
        <v>4701</v>
      </c>
      <c r="K839">
        <v>19647442.1752255</v>
      </c>
      <c r="L839">
        <v>1</v>
      </c>
      <c r="M839" t="s">
        <v>5541</v>
      </c>
      <c r="N839">
        <v>5.7743899999999999E-3</v>
      </c>
      <c r="O839">
        <v>3343</v>
      </c>
      <c r="P839">
        <v>3299</v>
      </c>
      <c r="Q839">
        <v>19.303785770000001</v>
      </c>
      <c r="R839">
        <v>3545341402.108223</v>
      </c>
      <c r="S839">
        <v>0</v>
      </c>
      <c r="T839" t="s">
        <v>6244</v>
      </c>
    </row>
    <row r="840" spans="1:40" x14ac:dyDescent="0.25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62.297319999999999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0.85273301000000001</v>
      </c>
      <c r="O840">
        <v>67.349999999999994</v>
      </c>
      <c r="P840">
        <v>73</v>
      </c>
      <c r="Q840">
        <v>57.431568223499987</v>
      </c>
      <c r="R840">
        <v>49517498122.301697</v>
      </c>
      <c r="S840">
        <v>0</v>
      </c>
      <c r="T840" t="s">
        <v>6243</v>
      </c>
    </row>
    <row r="841" spans="1:40" x14ac:dyDescent="0.25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511.14530000000002</v>
      </c>
      <c r="H841" t="s">
        <v>97</v>
      </c>
      <c r="I841">
        <v>458637490141.26001</v>
      </c>
      <c r="J841" t="s">
        <v>4700</v>
      </c>
      <c r="K841">
        <v>1368972489.76139</v>
      </c>
      <c r="L841">
        <v>0.9</v>
      </c>
      <c r="M841" t="s">
        <v>5543</v>
      </c>
      <c r="N841">
        <v>0.85273301000000001</v>
      </c>
      <c r="O841">
        <v>580.41</v>
      </c>
      <c r="P841">
        <v>598.96</v>
      </c>
      <c r="Q841">
        <v>494.9347663341</v>
      </c>
      <c r="R841">
        <v>399682976863.15479</v>
      </c>
      <c r="S841">
        <v>0</v>
      </c>
      <c r="T841" t="s">
        <v>6243</v>
      </c>
    </row>
    <row r="842" spans="1:40" x14ac:dyDescent="0.25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7398019736.5923996</v>
      </c>
      <c r="J842" t="s">
        <v>4701</v>
      </c>
      <c r="K842">
        <v>26468947.7542523</v>
      </c>
      <c r="L842">
        <v>0.9</v>
      </c>
      <c r="M842" t="s">
        <v>5544</v>
      </c>
      <c r="N842">
        <v>5.7743899999999999E-3</v>
      </c>
      <c r="O842">
        <v>3112</v>
      </c>
      <c r="P842">
        <v>3103</v>
      </c>
      <c r="Q842">
        <v>17.96990168</v>
      </c>
      <c r="R842">
        <v>6635354532.3732405</v>
      </c>
      <c r="S842">
        <v>0</v>
      </c>
      <c r="T842" t="s">
        <v>6244</v>
      </c>
      <c r="AJ842" t="s">
        <v>6258</v>
      </c>
    </row>
    <row r="843" spans="1:40" x14ac:dyDescent="0.25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3695336068.5054002</v>
      </c>
      <c r="J843" t="s">
        <v>4701</v>
      </c>
      <c r="K843">
        <v>52598266.307174496</v>
      </c>
      <c r="L843">
        <v>0.95</v>
      </c>
      <c r="M843" t="s">
        <v>5545</v>
      </c>
      <c r="N843">
        <v>5.7743899999999999E-3</v>
      </c>
      <c r="O843">
        <v>1098</v>
      </c>
      <c r="P843">
        <v>1006.5</v>
      </c>
      <c r="Q843">
        <v>6.3402802199999986</v>
      </c>
      <c r="R843">
        <v>3805523442.9803872</v>
      </c>
      <c r="S843">
        <v>0</v>
      </c>
      <c r="T843" t="s">
        <v>6244</v>
      </c>
      <c r="AJ843" t="s">
        <v>6258</v>
      </c>
    </row>
    <row r="844" spans="1:40" x14ac:dyDescent="0.25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146716694.56168199</v>
      </c>
      <c r="L844">
        <v>1</v>
      </c>
      <c r="M844" t="s">
        <v>5546</v>
      </c>
      <c r="N844">
        <v>0.85273301000000001</v>
      </c>
      <c r="O844">
        <v>68.95</v>
      </c>
      <c r="P844">
        <v>72.260000000000005</v>
      </c>
      <c r="Q844">
        <v>58.795941039500001</v>
      </c>
      <c r="R844">
        <v>14877795475.76433</v>
      </c>
      <c r="S844">
        <v>0</v>
      </c>
      <c r="T844" t="s">
        <v>6243</v>
      </c>
    </row>
    <row r="845" spans="1:40" x14ac:dyDescent="0.25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268.02359999999999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0.85273301000000001</v>
      </c>
      <c r="O845">
        <v>305.39999999999998</v>
      </c>
      <c r="P845">
        <v>314.07</v>
      </c>
      <c r="Q845">
        <v>260.424661254</v>
      </c>
      <c r="R845">
        <v>185840191952.10379</v>
      </c>
      <c r="S845">
        <v>0</v>
      </c>
      <c r="T845" t="s">
        <v>6243</v>
      </c>
      <c r="AN845" t="s">
        <v>6262</v>
      </c>
    </row>
    <row r="846" spans="1:40" x14ac:dyDescent="0.25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38.295099999999998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5.7743899999999999E-3</v>
      </c>
      <c r="O846">
        <v>6470</v>
      </c>
      <c r="P846">
        <v>6590</v>
      </c>
      <c r="Q846">
        <v>37.360303299999998</v>
      </c>
      <c r="R846">
        <v>3228826852.3992</v>
      </c>
      <c r="S846">
        <v>0</v>
      </c>
      <c r="T846" t="s">
        <v>6244</v>
      </c>
    </row>
    <row r="847" spans="1:40" x14ac:dyDescent="0.25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588.36829999999998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0.85273301000000001</v>
      </c>
      <c r="O847">
        <v>711.42</v>
      </c>
      <c r="P847">
        <v>689.45</v>
      </c>
      <c r="Q847">
        <v>606.65131797419997</v>
      </c>
      <c r="R847">
        <v>75457954128.916901</v>
      </c>
      <c r="S847">
        <v>0</v>
      </c>
      <c r="T847" t="s">
        <v>6243</v>
      </c>
    </row>
    <row r="848" spans="1:40" x14ac:dyDescent="0.25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5.3816519999999999</v>
      </c>
      <c r="H848" t="s">
        <v>99</v>
      </c>
      <c r="I848">
        <v>5096721726.45648</v>
      </c>
      <c r="J848" t="s">
        <v>4701</v>
      </c>
      <c r="K848">
        <v>12857554.428326201</v>
      </c>
      <c r="L848">
        <v>1</v>
      </c>
      <c r="M848" t="s">
        <v>5550</v>
      </c>
      <c r="N848">
        <v>5.7743899999999999E-3</v>
      </c>
      <c r="O848">
        <v>928.1</v>
      </c>
      <c r="P848">
        <v>926.1</v>
      </c>
      <c r="Q848">
        <v>5.3592113589999997</v>
      </c>
      <c r="R848">
        <v>5075469199.8084707</v>
      </c>
      <c r="S848">
        <v>0</v>
      </c>
      <c r="T848" t="s">
        <v>6244</v>
      </c>
      <c r="AJ848" t="s">
        <v>6258</v>
      </c>
    </row>
    <row r="849" spans="1:36" x14ac:dyDescent="0.25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2.8924270000000001</v>
      </c>
      <c r="H849" t="s">
        <v>4691</v>
      </c>
      <c r="I849">
        <v>7965753213.7664003</v>
      </c>
      <c r="J849" t="s">
        <v>4701</v>
      </c>
      <c r="K849">
        <v>15248445.3260116</v>
      </c>
      <c r="L849">
        <v>1</v>
      </c>
      <c r="M849" t="s">
        <v>5551</v>
      </c>
      <c r="N849">
        <v>0.56652409000000004</v>
      </c>
      <c r="O849">
        <v>4.88</v>
      </c>
      <c r="P849">
        <v>5.22</v>
      </c>
      <c r="Q849">
        <v>2.7646375592000001</v>
      </c>
      <c r="R849">
        <v>7613820684.8769894</v>
      </c>
      <c r="S849">
        <v>0</v>
      </c>
      <c r="T849" t="s">
        <v>6244</v>
      </c>
      <c r="U849" t="s">
        <v>6245</v>
      </c>
      <c r="AJ849" t="s">
        <v>6258</v>
      </c>
    </row>
    <row r="850" spans="1:36" x14ac:dyDescent="0.25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15.602779999999999</v>
      </c>
      <c r="H850" t="s">
        <v>99</v>
      </c>
      <c r="I850">
        <v>3420535672.3912001</v>
      </c>
      <c r="J850" t="s">
        <v>4701</v>
      </c>
      <c r="K850">
        <v>5967052.6908590999</v>
      </c>
      <c r="L850">
        <v>0.9</v>
      </c>
      <c r="M850" t="s">
        <v>5552</v>
      </c>
      <c r="N850">
        <v>5.7743899999999999E-3</v>
      </c>
      <c r="O850">
        <v>2696.5</v>
      </c>
      <c r="P850">
        <v>2685</v>
      </c>
      <c r="Q850">
        <v>15.570642635</v>
      </c>
      <c r="R850">
        <v>3072141292.6135941</v>
      </c>
      <c r="S850">
        <v>0</v>
      </c>
      <c r="T850" t="s">
        <v>6244</v>
      </c>
      <c r="W850" t="s">
        <v>6247</v>
      </c>
      <c r="AJ850" t="s">
        <v>6258</v>
      </c>
    </row>
    <row r="851" spans="1:36" x14ac:dyDescent="0.25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79.117599999999996</v>
      </c>
      <c r="H851" t="s">
        <v>97</v>
      </c>
      <c r="I851">
        <v>101370580116.96001</v>
      </c>
      <c r="J851" t="s">
        <v>4700</v>
      </c>
      <c r="K851">
        <v>602171385.75414395</v>
      </c>
      <c r="L851">
        <v>1</v>
      </c>
      <c r="M851" t="s">
        <v>5553</v>
      </c>
      <c r="N851">
        <v>0.85273301000000001</v>
      </c>
      <c r="O851">
        <v>94.03</v>
      </c>
      <c r="P851">
        <v>92.71</v>
      </c>
      <c r="Q851">
        <v>80.182484930300006</v>
      </c>
      <c r="R851">
        <v>102734979481.2269</v>
      </c>
      <c r="S851">
        <v>0</v>
      </c>
      <c r="T851" t="s">
        <v>6243</v>
      </c>
      <c r="AJ851" t="s">
        <v>6258</v>
      </c>
    </row>
    <row r="852" spans="1:36" x14ac:dyDescent="0.25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17.944649999999999</v>
      </c>
      <c r="H852" t="s">
        <v>99</v>
      </c>
      <c r="I852">
        <v>5063980230</v>
      </c>
      <c r="J852" t="s">
        <v>4701</v>
      </c>
      <c r="K852">
        <v>21048653.269448198</v>
      </c>
      <c r="L852">
        <v>1</v>
      </c>
      <c r="M852" t="s">
        <v>5554</v>
      </c>
      <c r="N852">
        <v>5.7743899999999999E-3</v>
      </c>
      <c r="O852">
        <v>3145</v>
      </c>
      <c r="P852">
        <v>3088</v>
      </c>
      <c r="Q852">
        <v>18.160456549999999</v>
      </c>
      <c r="R852">
        <v>5124880838.4099998</v>
      </c>
      <c r="S852">
        <v>0</v>
      </c>
      <c r="T852" t="s">
        <v>6244</v>
      </c>
    </row>
    <row r="853" spans="1:36" x14ac:dyDescent="0.25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6.8188029999999999</v>
      </c>
      <c r="H853" t="s">
        <v>96</v>
      </c>
      <c r="I853">
        <v>8640519864.5223999</v>
      </c>
      <c r="J853" t="s">
        <v>4699</v>
      </c>
      <c r="K853">
        <v>15327251.0992293</v>
      </c>
      <c r="L853">
        <v>0.95</v>
      </c>
      <c r="M853" t="s">
        <v>5555</v>
      </c>
      <c r="N853">
        <v>1.156136E-2</v>
      </c>
      <c r="O853">
        <v>594.4</v>
      </c>
      <c r="P853">
        <v>590.79999999999995</v>
      </c>
      <c r="Q853">
        <v>6.872072384</v>
      </c>
      <c r="R853">
        <v>8272619702.7789793</v>
      </c>
      <c r="S853">
        <v>0</v>
      </c>
      <c r="T853" t="s">
        <v>6242</v>
      </c>
      <c r="AJ853" t="s">
        <v>6258</v>
      </c>
    </row>
    <row r="854" spans="1:36" x14ac:dyDescent="0.25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2074.2620000000002</v>
      </c>
      <c r="H854" t="s">
        <v>97</v>
      </c>
      <c r="I854">
        <v>105159640536.51199</v>
      </c>
      <c r="J854" t="s">
        <v>4700</v>
      </c>
      <c r="K854">
        <v>717824613.48043001</v>
      </c>
      <c r="L854">
        <v>0.95</v>
      </c>
      <c r="M854" t="s">
        <v>5556</v>
      </c>
      <c r="N854">
        <v>0.85273301000000001</v>
      </c>
      <c r="O854">
        <v>2339.36</v>
      </c>
      <c r="P854">
        <v>2430.62</v>
      </c>
      <c r="Q854">
        <v>1994.8494942735999</v>
      </c>
      <c r="R854">
        <v>96076953130.868622</v>
      </c>
      <c r="S854">
        <v>0</v>
      </c>
      <c r="T854" t="s">
        <v>6243</v>
      </c>
      <c r="AJ854" t="s">
        <v>6258</v>
      </c>
    </row>
    <row r="855" spans="1:36" x14ac:dyDescent="0.25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51.69</v>
      </c>
      <c r="P855">
        <v>55.14</v>
      </c>
      <c r="Q855">
        <v>51.69</v>
      </c>
      <c r="R855">
        <v>37329369189.75</v>
      </c>
      <c r="S855">
        <v>0</v>
      </c>
      <c r="T855" t="s">
        <v>6242</v>
      </c>
    </row>
    <row r="856" spans="1:36" x14ac:dyDescent="0.25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74.560509999999994</v>
      </c>
      <c r="H856" t="s">
        <v>97</v>
      </c>
      <c r="I856">
        <v>186235989261.43201</v>
      </c>
      <c r="J856" t="s">
        <v>4700</v>
      </c>
      <c r="K856">
        <v>983157347.68014002</v>
      </c>
      <c r="L856">
        <v>1</v>
      </c>
      <c r="M856" t="s">
        <v>5558</v>
      </c>
      <c r="N856">
        <v>0.85273301000000001</v>
      </c>
      <c r="O856">
        <v>82.81</v>
      </c>
      <c r="P856">
        <v>87.37</v>
      </c>
      <c r="Q856">
        <v>70.614820558100007</v>
      </c>
      <c r="R856">
        <v>176380512461.0368</v>
      </c>
      <c r="S856">
        <v>0</v>
      </c>
      <c r="T856" t="s">
        <v>6243</v>
      </c>
    </row>
    <row r="857" spans="1:36" x14ac:dyDescent="0.25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36278032.215151504</v>
      </c>
      <c r="L857">
        <v>1</v>
      </c>
      <c r="M857" t="s">
        <v>5559</v>
      </c>
      <c r="N857">
        <v>1</v>
      </c>
      <c r="O857">
        <v>106.75</v>
      </c>
      <c r="P857">
        <v>112.15</v>
      </c>
      <c r="Q857">
        <v>106.75</v>
      </c>
      <c r="R857">
        <v>13796610187.5</v>
      </c>
      <c r="S857">
        <v>0</v>
      </c>
      <c r="T857" t="s">
        <v>6242</v>
      </c>
    </row>
    <row r="858" spans="1:36" x14ac:dyDescent="0.25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3.2847580000000001</v>
      </c>
      <c r="H858" t="s">
        <v>4697</v>
      </c>
      <c r="I858">
        <v>4621540196.4216003</v>
      </c>
      <c r="J858" t="s">
        <v>4701</v>
      </c>
      <c r="K858">
        <v>2080905.1343302601</v>
      </c>
      <c r="L858">
        <v>0.5</v>
      </c>
      <c r="M858" t="s">
        <v>5560</v>
      </c>
      <c r="N858">
        <v>0.50771730000000004</v>
      </c>
      <c r="O858">
        <v>6.92</v>
      </c>
      <c r="P858">
        <v>6.56</v>
      </c>
      <c r="Q858">
        <v>3.513403716</v>
      </c>
      <c r="R858">
        <v>2471618380.9813418</v>
      </c>
      <c r="S858">
        <v>0</v>
      </c>
      <c r="T858" t="s">
        <v>6244</v>
      </c>
      <c r="U858" t="s">
        <v>6245</v>
      </c>
      <c r="W858" t="s">
        <v>6247</v>
      </c>
      <c r="AJ858" t="s">
        <v>6258</v>
      </c>
    </row>
    <row r="859" spans="1:36" x14ac:dyDescent="0.25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2.8466230000000001</v>
      </c>
      <c r="H859" t="s">
        <v>4697</v>
      </c>
      <c r="I859">
        <v>7445254780.5115995</v>
      </c>
      <c r="J859" t="s">
        <v>4701</v>
      </c>
      <c r="K859">
        <v>3567185.4530479801</v>
      </c>
      <c r="L859">
        <v>0.5</v>
      </c>
      <c r="M859" t="s">
        <v>5561</v>
      </c>
      <c r="N859">
        <v>0.50771730000000004</v>
      </c>
      <c r="O859">
        <v>5.7</v>
      </c>
      <c r="P859">
        <v>5.6849999999999996</v>
      </c>
      <c r="Q859">
        <v>2.893988610000001</v>
      </c>
      <c r="R859">
        <v>3784569037.302907</v>
      </c>
      <c r="S859">
        <v>0</v>
      </c>
      <c r="T859" t="s">
        <v>6244</v>
      </c>
      <c r="U859" t="s">
        <v>6245</v>
      </c>
      <c r="W859" t="s">
        <v>6247</v>
      </c>
    </row>
    <row r="860" spans="1:36" x14ac:dyDescent="0.25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9241324.3784242403</v>
      </c>
      <c r="L860">
        <v>0.65</v>
      </c>
      <c r="M860" t="s">
        <v>5562</v>
      </c>
      <c r="N860">
        <v>1</v>
      </c>
      <c r="O860">
        <v>12.98</v>
      </c>
      <c r="P860">
        <v>13.03</v>
      </c>
      <c r="Q860">
        <v>12.98</v>
      </c>
      <c r="R860">
        <v>4756146981.3000002</v>
      </c>
      <c r="S860">
        <v>0</v>
      </c>
      <c r="T860" t="s">
        <v>6242</v>
      </c>
      <c r="W860" t="s">
        <v>6247</v>
      </c>
    </row>
    <row r="861" spans="1:36" x14ac:dyDescent="0.25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644.12869999999998</v>
      </c>
      <c r="H861" t="s">
        <v>97</v>
      </c>
      <c r="I861">
        <v>1397090931060.8799</v>
      </c>
      <c r="J861" t="s">
        <v>4700</v>
      </c>
      <c r="K861">
        <v>7554075680.2125902</v>
      </c>
      <c r="L861">
        <v>1</v>
      </c>
      <c r="M861" t="s">
        <v>5563</v>
      </c>
      <c r="N861">
        <v>0.85273301000000001</v>
      </c>
      <c r="O861">
        <v>755.59</v>
      </c>
      <c r="P861">
        <v>754.79</v>
      </c>
      <c r="Q861">
        <v>644.31653502590007</v>
      </c>
      <c r="R861">
        <v>1397498338169.46</v>
      </c>
      <c r="S861">
        <v>0</v>
      </c>
      <c r="T861" t="s">
        <v>6243</v>
      </c>
    </row>
    <row r="862" spans="1:36" x14ac:dyDescent="0.25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4.8522619999999996</v>
      </c>
      <c r="H862" t="s">
        <v>99</v>
      </c>
      <c r="I862">
        <v>3479626467.5465999</v>
      </c>
      <c r="J862" t="s">
        <v>4701</v>
      </c>
      <c r="K862">
        <v>338370661.51135701</v>
      </c>
      <c r="L862">
        <v>0.9</v>
      </c>
      <c r="M862" t="s">
        <v>5564</v>
      </c>
      <c r="N862">
        <v>5.7743899999999999E-3</v>
      </c>
      <c r="O862">
        <v>591</v>
      </c>
      <c r="P862">
        <v>835</v>
      </c>
      <c r="Q862">
        <v>3.4126644900000001</v>
      </c>
      <c r="R862">
        <v>2202543456.1930861</v>
      </c>
      <c r="S862">
        <v>0</v>
      </c>
      <c r="T862" t="s">
        <v>6244</v>
      </c>
      <c r="AJ862" t="s">
        <v>6258</v>
      </c>
    </row>
    <row r="863" spans="1:36" x14ac:dyDescent="0.25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2.3106170000000001</v>
      </c>
      <c r="H863" t="s">
        <v>4691</v>
      </c>
      <c r="I863">
        <v>2538401782.9706001</v>
      </c>
      <c r="J863" t="s">
        <v>4701</v>
      </c>
      <c r="K863">
        <v>7893764.1618981399</v>
      </c>
      <c r="L863">
        <v>0.95</v>
      </c>
      <c r="M863" t="s">
        <v>5565</v>
      </c>
      <c r="N863">
        <v>0.56652409000000004</v>
      </c>
      <c r="O863">
        <v>3.93</v>
      </c>
      <c r="P863">
        <v>4.17</v>
      </c>
      <c r="Q863">
        <v>2.2264396736999998</v>
      </c>
      <c r="R863">
        <v>2323629799.108521</v>
      </c>
      <c r="S863">
        <v>0</v>
      </c>
      <c r="T863" t="s">
        <v>6244</v>
      </c>
      <c r="U863" t="s">
        <v>6245</v>
      </c>
      <c r="W863" t="s">
        <v>6247</v>
      </c>
      <c r="AJ863" t="s">
        <v>6258</v>
      </c>
    </row>
    <row r="864" spans="1:36" x14ac:dyDescent="0.25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8003805.1238733297</v>
      </c>
      <c r="L864">
        <v>1</v>
      </c>
      <c r="M864" t="s">
        <v>5566</v>
      </c>
      <c r="N864">
        <v>1</v>
      </c>
      <c r="O864">
        <v>50.2</v>
      </c>
      <c r="Q864">
        <v>50.2</v>
      </c>
      <c r="R864">
        <v>6477016346</v>
      </c>
      <c r="S864">
        <v>0</v>
      </c>
      <c r="T864" t="s">
        <v>6242</v>
      </c>
      <c r="W864" t="s">
        <v>6247</v>
      </c>
      <c r="AH864" t="s">
        <v>6256</v>
      </c>
      <c r="AJ864" t="s">
        <v>6258</v>
      </c>
    </row>
    <row r="865" spans="1:40" x14ac:dyDescent="0.25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69.542580000000001</v>
      </c>
      <c r="H865" t="s">
        <v>97</v>
      </c>
      <c r="I865">
        <v>46247627979.634804</v>
      </c>
      <c r="J865" t="s">
        <v>4700</v>
      </c>
      <c r="K865">
        <v>203034286.39108399</v>
      </c>
      <c r="L865">
        <v>0.85</v>
      </c>
      <c r="M865" t="s">
        <v>5567</v>
      </c>
      <c r="N865">
        <v>0.85273301000000001</v>
      </c>
      <c r="O865">
        <v>80.819999999999993</v>
      </c>
      <c r="P865">
        <v>81.489999999999995</v>
      </c>
      <c r="Q865">
        <v>68.917881868199999</v>
      </c>
      <c r="R865">
        <v>38957359326.001312</v>
      </c>
      <c r="S865">
        <v>0</v>
      </c>
      <c r="T865" t="s">
        <v>6243</v>
      </c>
      <c r="AJ865" t="s">
        <v>6258</v>
      </c>
    </row>
    <row r="866" spans="1:40" x14ac:dyDescent="0.25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11.265000000000001</v>
      </c>
      <c r="H866" t="s">
        <v>98</v>
      </c>
      <c r="I866">
        <v>9338374086</v>
      </c>
      <c r="J866" t="s">
        <v>4702</v>
      </c>
      <c r="K866">
        <v>12453793.586562499</v>
      </c>
      <c r="L866">
        <v>0.85</v>
      </c>
      <c r="M866" t="s">
        <v>5568</v>
      </c>
      <c r="N866">
        <v>1</v>
      </c>
      <c r="O866">
        <v>12.154999999999999</v>
      </c>
      <c r="P866">
        <v>11.265000000000001</v>
      </c>
      <c r="Q866">
        <v>12.154999999999999</v>
      </c>
      <c r="R866">
        <v>8564735593.6999998</v>
      </c>
      <c r="S866">
        <v>0</v>
      </c>
      <c r="T866" t="s">
        <v>6242</v>
      </c>
    </row>
    <row r="867" spans="1:40" x14ac:dyDescent="0.25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1127.7090000000001</v>
      </c>
      <c r="H867" t="s">
        <v>97</v>
      </c>
      <c r="I867">
        <v>23229722799.360001</v>
      </c>
      <c r="J867" t="s">
        <v>4700</v>
      </c>
      <c r="K867">
        <v>169412684.22620401</v>
      </c>
      <c r="L867">
        <v>1</v>
      </c>
      <c r="M867" t="s">
        <v>5569</v>
      </c>
      <c r="N867">
        <v>0.85273301000000001</v>
      </c>
      <c r="O867">
        <v>1259.54</v>
      </c>
      <c r="P867">
        <v>1321.45</v>
      </c>
      <c r="Q867">
        <v>1074.0513354154</v>
      </c>
      <c r="R867">
        <v>22124426420.275242</v>
      </c>
      <c r="S867">
        <v>0</v>
      </c>
      <c r="T867" t="s">
        <v>6243</v>
      </c>
    </row>
    <row r="868" spans="1:40" x14ac:dyDescent="0.25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32.549999999999997</v>
      </c>
      <c r="H868" t="s">
        <v>98</v>
      </c>
      <c r="I868">
        <v>22972122984.299999</v>
      </c>
      <c r="J868" t="s">
        <v>4702</v>
      </c>
      <c r="K868">
        <v>40403281.460681804</v>
      </c>
      <c r="L868">
        <v>1</v>
      </c>
      <c r="M868" t="s">
        <v>5570</v>
      </c>
      <c r="N868">
        <v>1</v>
      </c>
      <c r="O868">
        <v>31.46</v>
      </c>
      <c r="P868">
        <v>32.549999999999997</v>
      </c>
      <c r="Q868">
        <v>31.46</v>
      </c>
      <c r="R868">
        <v>22202856807.560001</v>
      </c>
      <c r="S868">
        <v>1</v>
      </c>
      <c r="T868" t="s">
        <v>6242</v>
      </c>
      <c r="AM868" t="s">
        <v>6261</v>
      </c>
    </row>
    <row r="869" spans="1:40" x14ac:dyDescent="0.25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59.003239999999998</v>
      </c>
      <c r="H869" t="s">
        <v>97</v>
      </c>
      <c r="I869">
        <v>31842850862.228001</v>
      </c>
      <c r="J869" t="s">
        <v>4700</v>
      </c>
      <c r="K869">
        <v>531145964.402363</v>
      </c>
      <c r="L869">
        <v>1</v>
      </c>
      <c r="M869" t="s">
        <v>5571</v>
      </c>
      <c r="N869">
        <v>0.85273301000000001</v>
      </c>
      <c r="O869">
        <v>64.7</v>
      </c>
      <c r="P869">
        <v>69.14</v>
      </c>
      <c r="Q869">
        <v>55.171825747</v>
      </c>
      <c r="R869">
        <v>29775114367.593239</v>
      </c>
      <c r="S869">
        <v>0</v>
      </c>
      <c r="T869" t="s">
        <v>6243</v>
      </c>
      <c r="AJ869" t="s">
        <v>6258</v>
      </c>
    </row>
    <row r="870" spans="1:40" x14ac:dyDescent="0.25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2196468541.3365202</v>
      </c>
      <c r="L870">
        <v>1</v>
      </c>
      <c r="M870" t="s">
        <v>5572</v>
      </c>
      <c r="N870">
        <v>0.85273301000000001</v>
      </c>
      <c r="O870">
        <v>157.22999999999999</v>
      </c>
      <c r="P870">
        <v>117.68</v>
      </c>
      <c r="Q870">
        <v>134.07521116230001</v>
      </c>
      <c r="R870">
        <v>150046934099.53009</v>
      </c>
      <c r="S870">
        <v>0</v>
      </c>
      <c r="T870" t="s">
        <v>6243</v>
      </c>
      <c r="AJ870" t="s">
        <v>6258</v>
      </c>
    </row>
    <row r="871" spans="1:40" x14ac:dyDescent="0.25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432.86399999999998</v>
      </c>
      <c r="H871" t="s">
        <v>97</v>
      </c>
      <c r="I871">
        <v>3217550183856</v>
      </c>
      <c r="J871" t="s">
        <v>4700</v>
      </c>
      <c r="K871">
        <v>8529722043.0490904</v>
      </c>
      <c r="L871">
        <v>1</v>
      </c>
      <c r="M871" t="s">
        <v>5573</v>
      </c>
      <c r="N871">
        <v>0.85273301000000001</v>
      </c>
      <c r="O871">
        <v>509.9</v>
      </c>
      <c r="P871">
        <v>507.23</v>
      </c>
      <c r="Q871">
        <v>434.80856179900002</v>
      </c>
      <c r="R871">
        <v>3232004435477.5059</v>
      </c>
      <c r="S871">
        <v>0</v>
      </c>
      <c r="T871" t="s">
        <v>6243</v>
      </c>
      <c r="AM871" t="s">
        <v>6261</v>
      </c>
    </row>
    <row r="872" spans="1:40" x14ac:dyDescent="0.25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6322398703.0559998</v>
      </c>
      <c r="J872" t="s">
        <v>4701</v>
      </c>
      <c r="K872">
        <v>23460204.5663311</v>
      </c>
      <c r="L872">
        <v>0.95</v>
      </c>
      <c r="M872" t="s">
        <v>5574</v>
      </c>
      <c r="N872">
        <v>5.7743899999999999E-3</v>
      </c>
      <c r="O872">
        <v>2740</v>
      </c>
      <c r="P872">
        <v>2547.5</v>
      </c>
      <c r="Q872">
        <v>15.8218286</v>
      </c>
      <c r="R872">
        <v>6419336249.0059023</v>
      </c>
      <c r="S872">
        <v>0</v>
      </c>
      <c r="T872" t="s">
        <v>6244</v>
      </c>
      <c r="AN872" t="s">
        <v>6262</v>
      </c>
    </row>
    <row r="873" spans="1:40" x14ac:dyDescent="0.25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3886351833.5999999</v>
      </c>
      <c r="J873" t="s">
        <v>4701</v>
      </c>
      <c r="K873">
        <v>48975847.027919397</v>
      </c>
      <c r="L873">
        <v>0.9</v>
      </c>
      <c r="M873" t="s">
        <v>5575</v>
      </c>
      <c r="N873">
        <v>0.56652409000000004</v>
      </c>
      <c r="O873">
        <v>37.450000000000003</v>
      </c>
      <c r="P873">
        <v>35.69</v>
      </c>
      <c r="Q873">
        <v>21.216327170500001</v>
      </c>
      <c r="R873">
        <v>3752462621.4197588</v>
      </c>
      <c r="S873">
        <v>0</v>
      </c>
      <c r="T873" t="s">
        <v>6244</v>
      </c>
      <c r="U873" t="s">
        <v>6245</v>
      </c>
      <c r="AJ873" t="s">
        <v>6258</v>
      </c>
    </row>
    <row r="874" spans="1:40" x14ac:dyDescent="0.25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1.3187690000000001</v>
      </c>
      <c r="H874" t="s">
        <v>4691</v>
      </c>
      <c r="I874">
        <v>5203677846.3400002</v>
      </c>
      <c r="J874" t="s">
        <v>4701</v>
      </c>
      <c r="K874">
        <v>15213618.282681201</v>
      </c>
      <c r="L874">
        <v>1</v>
      </c>
      <c r="M874" t="s">
        <v>5576</v>
      </c>
      <c r="N874">
        <v>0.56652409000000004</v>
      </c>
      <c r="O874">
        <v>2.37</v>
      </c>
      <c r="P874">
        <v>2.38</v>
      </c>
      <c r="Q874">
        <v>1.3426620933</v>
      </c>
      <c r="R874">
        <v>5297956647.4687386</v>
      </c>
      <c r="S874">
        <v>0</v>
      </c>
      <c r="T874" t="s">
        <v>6244</v>
      </c>
      <c r="U874" t="s">
        <v>6245</v>
      </c>
    </row>
    <row r="875" spans="1:40" x14ac:dyDescent="0.25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12.740819999999999</v>
      </c>
      <c r="H875" t="s">
        <v>99</v>
      </c>
      <c r="I875">
        <v>3632275277.4720001</v>
      </c>
      <c r="J875" t="s">
        <v>4701</v>
      </c>
      <c r="K875">
        <v>15927668.145937899</v>
      </c>
      <c r="L875">
        <v>1</v>
      </c>
      <c r="M875" t="s">
        <v>5577</v>
      </c>
      <c r="N875">
        <v>5.7743899999999999E-3</v>
      </c>
      <c r="O875">
        <v>2367</v>
      </c>
      <c r="P875">
        <v>2192.5</v>
      </c>
      <c r="Q875">
        <v>13.667981129999999</v>
      </c>
      <c r="R875">
        <v>3896599273.1592479</v>
      </c>
      <c r="S875">
        <v>0</v>
      </c>
      <c r="T875" t="s">
        <v>6244</v>
      </c>
      <c r="AJ875" t="s">
        <v>6258</v>
      </c>
    </row>
    <row r="876" spans="1:40" x14ac:dyDescent="0.25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21.495229999999999</v>
      </c>
      <c r="H876" t="s">
        <v>99</v>
      </c>
      <c r="I876">
        <v>45423756577.890999</v>
      </c>
      <c r="J876" t="s">
        <v>4701</v>
      </c>
      <c r="K876">
        <v>110419361.09255201</v>
      </c>
      <c r="L876">
        <v>1</v>
      </c>
      <c r="M876" t="s">
        <v>5578</v>
      </c>
      <c r="N876">
        <v>5.7743899999999999E-3</v>
      </c>
      <c r="O876">
        <v>3854</v>
      </c>
      <c r="P876">
        <v>3699</v>
      </c>
      <c r="Q876">
        <v>22.254499060000001</v>
      </c>
      <c r="R876">
        <v>47028245246.240402</v>
      </c>
      <c r="S876">
        <v>0</v>
      </c>
      <c r="T876" t="s">
        <v>6244</v>
      </c>
    </row>
    <row r="877" spans="1:40" x14ac:dyDescent="0.25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14.957750000000001</v>
      </c>
      <c r="H877" t="s">
        <v>99</v>
      </c>
      <c r="I877">
        <v>3166355241.1500001</v>
      </c>
      <c r="J877" t="s">
        <v>4701</v>
      </c>
      <c r="K877">
        <v>14710337.432455599</v>
      </c>
      <c r="L877">
        <v>0.9</v>
      </c>
      <c r="M877" t="s">
        <v>5579</v>
      </c>
      <c r="N877">
        <v>5.7743899999999999E-3</v>
      </c>
      <c r="O877">
        <v>2799.5</v>
      </c>
      <c r="P877">
        <v>2574</v>
      </c>
      <c r="Q877">
        <v>16.165404805000001</v>
      </c>
      <c r="R877">
        <v>3079799622.7147021</v>
      </c>
      <c r="S877">
        <v>0</v>
      </c>
      <c r="T877" t="s">
        <v>6244</v>
      </c>
      <c r="AJ877" t="s">
        <v>6258</v>
      </c>
    </row>
    <row r="878" spans="1:40" x14ac:dyDescent="0.25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4.8301800000000004</v>
      </c>
      <c r="H878" t="s">
        <v>99</v>
      </c>
      <c r="I878">
        <v>7275642654.8580008</v>
      </c>
      <c r="J878" t="s">
        <v>4701</v>
      </c>
      <c r="K878">
        <v>32375021.9190039</v>
      </c>
      <c r="L878">
        <v>0.9</v>
      </c>
      <c r="M878" t="s">
        <v>5580</v>
      </c>
      <c r="N878">
        <v>5.7743899999999999E-3</v>
      </c>
      <c r="O878">
        <v>884.5</v>
      </c>
      <c r="P878">
        <v>831.2</v>
      </c>
      <c r="Q878">
        <v>5.1074479549999996</v>
      </c>
      <c r="R878">
        <v>6923959268.3872519</v>
      </c>
      <c r="S878">
        <v>0</v>
      </c>
      <c r="T878" t="s">
        <v>6244</v>
      </c>
      <c r="AJ878" t="s">
        <v>6258</v>
      </c>
      <c r="AN878" t="s">
        <v>6262</v>
      </c>
    </row>
    <row r="879" spans="1:40" x14ac:dyDescent="0.25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75692485918.938004</v>
      </c>
      <c r="J879" t="s">
        <v>4701</v>
      </c>
      <c r="K879">
        <v>165512797.079824</v>
      </c>
      <c r="L879">
        <v>0.9</v>
      </c>
      <c r="M879" t="s">
        <v>5581</v>
      </c>
      <c r="N879">
        <v>5.7743899999999999E-3</v>
      </c>
      <c r="O879">
        <v>3441</v>
      </c>
      <c r="P879">
        <v>3233</v>
      </c>
      <c r="Q879">
        <v>19.869675990000001</v>
      </c>
      <c r="R879">
        <v>72048114151.730591</v>
      </c>
      <c r="S879">
        <v>0</v>
      </c>
      <c r="T879" t="s">
        <v>6244</v>
      </c>
      <c r="AG879" t="s">
        <v>6255</v>
      </c>
      <c r="AH879" t="s">
        <v>6256</v>
      </c>
      <c r="AJ879" t="s">
        <v>6258</v>
      </c>
    </row>
    <row r="880" spans="1:40" x14ac:dyDescent="0.25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18.601310000000002</v>
      </c>
      <c r="H880" t="s">
        <v>99</v>
      </c>
      <c r="I880">
        <v>23267238418.696999</v>
      </c>
      <c r="J880" t="s">
        <v>4701</v>
      </c>
      <c r="K880">
        <v>57556340.5845327</v>
      </c>
      <c r="L880">
        <v>1</v>
      </c>
      <c r="M880" t="s">
        <v>5582</v>
      </c>
      <c r="N880">
        <v>5.7743899999999999E-3</v>
      </c>
      <c r="O880">
        <v>3371</v>
      </c>
      <c r="P880">
        <v>3201</v>
      </c>
      <c r="Q880">
        <v>19.465468690000002</v>
      </c>
      <c r="R880">
        <v>24348161551.090302</v>
      </c>
      <c r="S880">
        <v>0</v>
      </c>
      <c r="T880" t="s">
        <v>6244</v>
      </c>
    </row>
    <row r="881" spans="1:40" x14ac:dyDescent="0.25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7.1185879999999999</v>
      </c>
      <c r="H881" t="s">
        <v>99</v>
      </c>
      <c r="I881">
        <v>10442343583.9736</v>
      </c>
      <c r="J881" t="s">
        <v>4701</v>
      </c>
      <c r="K881">
        <v>19564527.008419301</v>
      </c>
      <c r="L881">
        <v>0.6</v>
      </c>
      <c r="M881" t="s">
        <v>5583</v>
      </c>
      <c r="N881">
        <v>5.7743899999999999E-3</v>
      </c>
      <c r="O881">
        <v>1240</v>
      </c>
      <c r="P881">
        <v>1225</v>
      </c>
      <c r="Q881">
        <v>7.1602436000000003</v>
      </c>
      <c r="R881">
        <v>6302069215.0871515</v>
      </c>
      <c r="S881">
        <v>0</v>
      </c>
      <c r="T881" t="s">
        <v>6244</v>
      </c>
      <c r="AJ881" t="s">
        <v>6258</v>
      </c>
    </row>
    <row r="882" spans="1:40" x14ac:dyDescent="0.25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22.204180000000001</v>
      </c>
      <c r="H882" t="s">
        <v>99</v>
      </c>
      <c r="I882">
        <v>74909080787.386002</v>
      </c>
      <c r="J882" t="s">
        <v>4701</v>
      </c>
      <c r="K882">
        <v>865732088.12890196</v>
      </c>
      <c r="L882">
        <v>1</v>
      </c>
      <c r="M882" t="s">
        <v>5584</v>
      </c>
      <c r="N882">
        <v>5.7743899999999999E-3</v>
      </c>
      <c r="O882">
        <v>3818</v>
      </c>
      <c r="P882">
        <v>3821</v>
      </c>
      <c r="Q882">
        <v>22.04662102</v>
      </c>
      <c r="R882">
        <v>74377532296.894653</v>
      </c>
      <c r="S882">
        <v>0</v>
      </c>
      <c r="T882" t="s">
        <v>6244</v>
      </c>
      <c r="AJ882" t="s">
        <v>6258</v>
      </c>
    </row>
    <row r="883" spans="1:40" x14ac:dyDescent="0.25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7.2493379999999998</v>
      </c>
      <c r="H883" t="s">
        <v>99</v>
      </c>
      <c r="I883">
        <v>2746645854.9173999</v>
      </c>
      <c r="J883" t="s">
        <v>4701</v>
      </c>
      <c r="K883">
        <v>8635227.4545149207</v>
      </c>
      <c r="L883">
        <v>0.85</v>
      </c>
      <c r="M883" t="s">
        <v>5585</v>
      </c>
      <c r="N883">
        <v>5.7743899999999999E-3</v>
      </c>
      <c r="O883">
        <v>1234.5</v>
      </c>
      <c r="P883">
        <v>1247.5</v>
      </c>
      <c r="Q883">
        <v>7.1284844549999997</v>
      </c>
      <c r="R883">
        <v>2295728097.9509501</v>
      </c>
      <c r="S883">
        <v>0</v>
      </c>
      <c r="T883" t="s">
        <v>6244</v>
      </c>
      <c r="W883" t="s">
        <v>6247</v>
      </c>
      <c r="AN883" t="s">
        <v>6262</v>
      </c>
    </row>
    <row r="884" spans="1:40" x14ac:dyDescent="0.25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497962329.62751597</v>
      </c>
      <c r="L884">
        <v>0.95</v>
      </c>
      <c r="M884" t="s">
        <v>5586</v>
      </c>
      <c r="N884">
        <v>5.7743899999999999E-3</v>
      </c>
      <c r="O884">
        <v>2289</v>
      </c>
      <c r="P884">
        <v>2291</v>
      </c>
      <c r="Q884">
        <v>13.21757871</v>
      </c>
      <c r="R884">
        <v>151530623992.43121</v>
      </c>
      <c r="S884">
        <v>0</v>
      </c>
      <c r="T884" t="s">
        <v>6244</v>
      </c>
      <c r="AJ884" t="s">
        <v>6258</v>
      </c>
    </row>
    <row r="885" spans="1:40" x14ac:dyDescent="0.25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56566534699.139999</v>
      </c>
      <c r="J885" t="s">
        <v>4701</v>
      </c>
      <c r="K885">
        <v>103469729.88421699</v>
      </c>
      <c r="L885">
        <v>0.9</v>
      </c>
      <c r="M885" t="s">
        <v>5587</v>
      </c>
      <c r="N885">
        <v>5.7743899999999999E-3</v>
      </c>
      <c r="O885">
        <v>3644</v>
      </c>
      <c r="P885">
        <v>3350</v>
      </c>
      <c r="Q885">
        <v>21.041877159999999</v>
      </c>
      <c r="R885">
        <v>55028030131.542717</v>
      </c>
      <c r="S885">
        <v>0</v>
      </c>
      <c r="T885" t="s">
        <v>6244</v>
      </c>
      <c r="AG885" t="s">
        <v>6255</v>
      </c>
      <c r="AH885" t="s">
        <v>6256</v>
      </c>
      <c r="AJ885" t="s">
        <v>6258</v>
      </c>
    </row>
    <row r="886" spans="1:40" x14ac:dyDescent="0.25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21.454550000000001</v>
      </c>
      <c r="H886" t="s">
        <v>99</v>
      </c>
      <c r="I886">
        <v>4309013563.8354998</v>
      </c>
      <c r="J886" t="s">
        <v>4701</v>
      </c>
      <c r="K886">
        <v>20957321.129390001</v>
      </c>
      <c r="L886">
        <v>0.95</v>
      </c>
      <c r="M886" t="s">
        <v>5588</v>
      </c>
      <c r="N886">
        <v>5.7743899999999999E-3</v>
      </c>
      <c r="O886">
        <v>3771</v>
      </c>
      <c r="P886">
        <v>3692</v>
      </c>
      <c r="Q886">
        <v>21.775224690000002</v>
      </c>
      <c r="R886">
        <v>4154748135.8283849</v>
      </c>
      <c r="S886">
        <v>0</v>
      </c>
      <c r="T886" t="s">
        <v>6244</v>
      </c>
      <c r="AJ886" t="s">
        <v>6258</v>
      </c>
    </row>
    <row r="887" spans="1:40" x14ac:dyDescent="0.25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24.057919999999999</v>
      </c>
      <c r="H887" t="s">
        <v>99</v>
      </c>
      <c r="I887">
        <v>2480340757.8624001</v>
      </c>
      <c r="J887" t="s">
        <v>4701</v>
      </c>
      <c r="K887">
        <v>133472708.856472</v>
      </c>
      <c r="L887">
        <v>1</v>
      </c>
      <c r="M887" t="s">
        <v>5589</v>
      </c>
      <c r="N887">
        <v>5.7743899999999999E-3</v>
      </c>
      <c r="O887">
        <v>4195</v>
      </c>
      <c r="P887">
        <v>4140</v>
      </c>
      <c r="Q887">
        <v>24.223566049999999</v>
      </c>
      <c r="R887">
        <v>2497418653.590456</v>
      </c>
      <c r="S887">
        <v>0</v>
      </c>
      <c r="T887" t="s">
        <v>6244</v>
      </c>
      <c r="AJ887" t="s">
        <v>6258</v>
      </c>
    </row>
    <row r="888" spans="1:40" x14ac:dyDescent="0.25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9.3761980000000005</v>
      </c>
      <c r="H888" t="s">
        <v>99</v>
      </c>
      <c r="I888">
        <v>26086361500.760601</v>
      </c>
      <c r="J888" t="s">
        <v>4701</v>
      </c>
      <c r="K888">
        <v>64517769.121536702</v>
      </c>
      <c r="L888">
        <v>1</v>
      </c>
      <c r="M888" t="s">
        <v>5590</v>
      </c>
      <c r="N888">
        <v>5.7743899999999999E-3</v>
      </c>
      <c r="O888">
        <v>1636</v>
      </c>
      <c r="P888">
        <v>1613.5</v>
      </c>
      <c r="Q888">
        <v>9.4469020399999994</v>
      </c>
      <c r="R888">
        <v>26283073552.596981</v>
      </c>
      <c r="S888">
        <v>0</v>
      </c>
      <c r="T888" t="s">
        <v>6244</v>
      </c>
    </row>
    <row r="889" spans="1:40" x14ac:dyDescent="0.25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3106247680.5960999</v>
      </c>
      <c r="J889" t="s">
        <v>4701</v>
      </c>
      <c r="K889">
        <v>34964699.367514603</v>
      </c>
      <c r="L889">
        <v>1</v>
      </c>
      <c r="M889" t="s">
        <v>5591</v>
      </c>
      <c r="N889">
        <v>5.7743899999999999E-3</v>
      </c>
      <c r="O889">
        <v>10325</v>
      </c>
      <c r="P889">
        <v>9310</v>
      </c>
      <c r="Q889">
        <v>59.620576749999998</v>
      </c>
      <c r="R889">
        <v>3423141050.9492531</v>
      </c>
      <c r="S889">
        <v>0</v>
      </c>
      <c r="T889" t="s">
        <v>6244</v>
      </c>
      <c r="AJ889" t="s">
        <v>6258</v>
      </c>
    </row>
    <row r="890" spans="1:40" x14ac:dyDescent="0.25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28.195419999999999</v>
      </c>
      <c r="H890" t="s">
        <v>99</v>
      </c>
      <c r="I890">
        <v>10231005044.7726</v>
      </c>
      <c r="J890" t="s">
        <v>4701</v>
      </c>
      <c r="K890">
        <v>82670842.568065107</v>
      </c>
      <c r="L890">
        <v>0.95</v>
      </c>
      <c r="M890" t="s">
        <v>5592</v>
      </c>
      <c r="N890">
        <v>5.7743899999999999E-3</v>
      </c>
      <c r="O890">
        <v>4826</v>
      </c>
      <c r="P890">
        <v>4852</v>
      </c>
      <c r="Q890">
        <v>27.86720614</v>
      </c>
      <c r="R890">
        <v>9606313730.1006718</v>
      </c>
      <c r="S890">
        <v>0</v>
      </c>
      <c r="T890" t="s">
        <v>6244</v>
      </c>
      <c r="AJ890" t="s">
        <v>6258</v>
      </c>
      <c r="AN890" t="s">
        <v>6262</v>
      </c>
    </row>
    <row r="891" spans="1:40" x14ac:dyDescent="0.25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5.7743899999999999E-3</v>
      </c>
      <c r="O891">
        <v>4861</v>
      </c>
      <c r="P891">
        <v>4817</v>
      </c>
      <c r="Q891">
        <v>28.069309789999998</v>
      </c>
      <c r="R891">
        <v>70559446425.228851</v>
      </c>
      <c r="S891">
        <v>0</v>
      </c>
      <c r="T891" t="s">
        <v>6244</v>
      </c>
      <c r="AJ891" t="s">
        <v>6258</v>
      </c>
    </row>
    <row r="892" spans="1:40" x14ac:dyDescent="0.25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0.52532650000000003</v>
      </c>
      <c r="H892" t="s">
        <v>4692</v>
      </c>
      <c r="I892">
        <v>6377742133.0450001</v>
      </c>
      <c r="J892" t="s">
        <v>4701</v>
      </c>
      <c r="K892">
        <v>29287094.926469799</v>
      </c>
      <c r="L892">
        <v>0.35</v>
      </c>
      <c r="M892" t="s">
        <v>5594</v>
      </c>
      <c r="N892">
        <v>0.10956983000000001</v>
      </c>
      <c r="O892">
        <v>5.82</v>
      </c>
      <c r="Q892">
        <v>0.63769641060000004</v>
      </c>
      <c r="R892">
        <v>2709690341.323566</v>
      </c>
      <c r="S892">
        <v>0</v>
      </c>
      <c r="T892" t="s">
        <v>6244</v>
      </c>
      <c r="U892" t="s">
        <v>6245</v>
      </c>
      <c r="AJ892" t="s">
        <v>6258</v>
      </c>
    </row>
    <row r="893" spans="1:40" x14ac:dyDescent="0.25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41274754.024846204</v>
      </c>
      <c r="L893">
        <v>0.8</v>
      </c>
      <c r="M893" t="s">
        <v>5595</v>
      </c>
      <c r="N893">
        <v>1</v>
      </c>
      <c r="O893">
        <v>49.36</v>
      </c>
      <c r="P893">
        <v>48.12</v>
      </c>
      <c r="Q893">
        <v>49.36</v>
      </c>
      <c r="R893">
        <v>10851537511.552</v>
      </c>
      <c r="S893">
        <v>0</v>
      </c>
      <c r="T893" t="s">
        <v>6242</v>
      </c>
    </row>
    <row r="894" spans="1:40" x14ac:dyDescent="0.25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54.113329999999998</v>
      </c>
      <c r="H894" t="s">
        <v>97</v>
      </c>
      <c r="I894">
        <v>70019694432.181992</v>
      </c>
      <c r="J894" t="s">
        <v>4700</v>
      </c>
      <c r="K894">
        <v>422701670.58427203</v>
      </c>
      <c r="L894">
        <v>1</v>
      </c>
      <c r="M894" t="s">
        <v>5596</v>
      </c>
      <c r="N894">
        <v>0.85273301000000001</v>
      </c>
      <c r="O894">
        <v>61.98</v>
      </c>
      <c r="P894">
        <v>63.41</v>
      </c>
      <c r="Q894">
        <v>52.852391959799988</v>
      </c>
      <c r="R894">
        <v>68388109455.380188</v>
      </c>
      <c r="S894">
        <v>0</v>
      </c>
      <c r="T894" t="s">
        <v>6243</v>
      </c>
    </row>
    <row r="895" spans="1:40" x14ac:dyDescent="0.25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12.389950000000001</v>
      </c>
      <c r="H895" t="s">
        <v>96</v>
      </c>
      <c r="I895">
        <v>5469079299.9730005</v>
      </c>
      <c r="J895" t="s">
        <v>4699</v>
      </c>
      <c r="K895">
        <v>12970592.4420284</v>
      </c>
      <c r="L895">
        <v>0.95</v>
      </c>
      <c r="M895" t="s">
        <v>5597</v>
      </c>
      <c r="N895">
        <v>1.156136E-2</v>
      </c>
      <c r="O895">
        <v>992.2</v>
      </c>
      <c r="P895">
        <v>1073.5</v>
      </c>
      <c r="Q895">
        <v>11.471181392</v>
      </c>
      <c r="R895">
        <v>4810347149.2912827</v>
      </c>
      <c r="S895">
        <v>0</v>
      </c>
      <c r="T895" t="s">
        <v>6242</v>
      </c>
    </row>
    <row r="896" spans="1:40" x14ac:dyDescent="0.25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186.94319999999999</v>
      </c>
      <c r="H896" t="s">
        <v>97</v>
      </c>
      <c r="I896">
        <v>15275934597.191999</v>
      </c>
      <c r="J896" t="s">
        <v>4700</v>
      </c>
      <c r="K896">
        <v>454573571.56023502</v>
      </c>
      <c r="L896">
        <v>1</v>
      </c>
      <c r="M896" t="s">
        <v>5598</v>
      </c>
      <c r="N896">
        <v>0.85273301000000001</v>
      </c>
      <c r="O896">
        <v>330.1</v>
      </c>
      <c r="P896">
        <v>219.06</v>
      </c>
      <c r="Q896">
        <v>281.48716660100001</v>
      </c>
      <c r="R896">
        <v>23001529592.655762</v>
      </c>
      <c r="S896">
        <v>0</v>
      </c>
      <c r="T896" t="s">
        <v>6243</v>
      </c>
    </row>
    <row r="897" spans="1:40" x14ac:dyDescent="0.25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378497771.65446502</v>
      </c>
      <c r="L897">
        <v>1</v>
      </c>
      <c r="M897" t="s">
        <v>5599</v>
      </c>
      <c r="N897">
        <v>0.85273301000000001</v>
      </c>
      <c r="O897">
        <v>834.14</v>
      </c>
      <c r="P897">
        <v>844</v>
      </c>
      <c r="Q897">
        <v>711.29871296140004</v>
      </c>
      <c r="R897">
        <v>34065517961.147369</v>
      </c>
      <c r="S897">
        <v>0</v>
      </c>
      <c r="T897" t="s">
        <v>6243</v>
      </c>
      <c r="AJ897" t="s">
        <v>6258</v>
      </c>
    </row>
    <row r="898" spans="1:40" x14ac:dyDescent="0.25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7567547412.8100004</v>
      </c>
      <c r="J898" t="s">
        <v>4701</v>
      </c>
      <c r="K898">
        <v>21352384.888214301</v>
      </c>
      <c r="L898">
        <v>0.5</v>
      </c>
      <c r="M898" t="s">
        <v>5600</v>
      </c>
      <c r="N898">
        <v>5.7743899999999999E-3</v>
      </c>
      <c r="O898">
        <v>2324.5</v>
      </c>
      <c r="P898">
        <v>2597.5</v>
      </c>
      <c r="Q898">
        <v>13.422569555000001</v>
      </c>
      <c r="R898">
        <v>3364709334.4844022</v>
      </c>
      <c r="S898">
        <v>0</v>
      </c>
      <c r="T898" t="s">
        <v>6244</v>
      </c>
      <c r="AJ898" t="s">
        <v>6258</v>
      </c>
    </row>
    <row r="899" spans="1:40" x14ac:dyDescent="0.25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53.626899999999999</v>
      </c>
      <c r="H899" t="s">
        <v>97</v>
      </c>
      <c r="I899">
        <v>52362815293.503998</v>
      </c>
      <c r="J899" t="s">
        <v>4700</v>
      </c>
      <c r="K899">
        <v>323783662.75638199</v>
      </c>
      <c r="L899">
        <v>0.75</v>
      </c>
      <c r="M899" t="s">
        <v>5601</v>
      </c>
      <c r="N899">
        <v>0.85273301000000001</v>
      </c>
      <c r="O899">
        <v>64.69</v>
      </c>
      <c r="P899">
        <v>62.84</v>
      </c>
      <c r="Q899">
        <v>55.163298416899998</v>
      </c>
      <c r="R899">
        <v>40397248479.558434</v>
      </c>
      <c r="S899">
        <v>0</v>
      </c>
      <c r="T899" t="s">
        <v>6243</v>
      </c>
      <c r="AJ899" t="s">
        <v>6258</v>
      </c>
      <c r="AN899" t="s">
        <v>6262</v>
      </c>
    </row>
    <row r="900" spans="1:40" x14ac:dyDescent="0.25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440.35669999999999</v>
      </c>
      <c r="H900" t="s">
        <v>97</v>
      </c>
      <c r="I900">
        <v>78999991980</v>
      </c>
      <c r="J900" t="s">
        <v>4700</v>
      </c>
      <c r="K900">
        <v>295248595.11710101</v>
      </c>
      <c r="L900">
        <v>0.85</v>
      </c>
      <c r="M900" t="s">
        <v>5602</v>
      </c>
      <c r="N900">
        <v>0.85273301000000001</v>
      </c>
      <c r="O900">
        <v>512.30999999999995</v>
      </c>
      <c r="P900">
        <v>516.01</v>
      </c>
      <c r="Q900">
        <v>436.86364835310002</v>
      </c>
      <c r="R900">
        <v>66617337737.364197</v>
      </c>
      <c r="S900">
        <v>0</v>
      </c>
      <c r="T900" t="s">
        <v>6243</v>
      </c>
    </row>
    <row r="901" spans="1:40" x14ac:dyDescent="0.25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201646743752.29999</v>
      </c>
      <c r="J901" t="s">
        <v>4700</v>
      </c>
      <c r="K901">
        <v>629809603.66704202</v>
      </c>
      <c r="L901">
        <v>0.75</v>
      </c>
      <c r="M901" t="s">
        <v>5603</v>
      </c>
      <c r="N901">
        <v>0.85273301000000001</v>
      </c>
      <c r="O901">
        <v>156.38999999999999</v>
      </c>
      <c r="P901">
        <v>148.02000000000001</v>
      </c>
      <c r="Q901">
        <v>133.35891543389999</v>
      </c>
      <c r="R901">
        <v>159664208217.23029</v>
      </c>
      <c r="S901">
        <v>0</v>
      </c>
      <c r="T901" t="s">
        <v>6243</v>
      </c>
      <c r="AJ901" t="s">
        <v>6258</v>
      </c>
    </row>
    <row r="902" spans="1:40" x14ac:dyDescent="0.25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65673324774.760002</v>
      </c>
      <c r="J902" t="s">
        <v>4700</v>
      </c>
      <c r="K902">
        <v>352024813.74696201</v>
      </c>
      <c r="L902">
        <v>1</v>
      </c>
      <c r="M902" t="s">
        <v>5604</v>
      </c>
      <c r="N902">
        <v>0.85273301000000001</v>
      </c>
      <c r="O902">
        <v>481.71</v>
      </c>
      <c r="P902">
        <v>461.91</v>
      </c>
      <c r="Q902">
        <v>410.77001824709998</v>
      </c>
      <c r="R902">
        <v>68435887043.038017</v>
      </c>
      <c r="S902">
        <v>0</v>
      </c>
      <c r="T902" t="s">
        <v>6243</v>
      </c>
      <c r="AJ902" t="s">
        <v>6258</v>
      </c>
    </row>
    <row r="903" spans="1:40" x14ac:dyDescent="0.25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17.565449999999998</v>
      </c>
      <c r="H903" t="s">
        <v>4695</v>
      </c>
      <c r="I903">
        <v>9083289013.4059486</v>
      </c>
      <c r="J903" t="s">
        <v>4699</v>
      </c>
      <c r="K903">
        <v>13591694.5856783</v>
      </c>
      <c r="L903">
        <v>0.85000000000000009</v>
      </c>
      <c r="M903" t="s">
        <v>5605</v>
      </c>
      <c r="N903">
        <v>8.6344599999999994E-2</v>
      </c>
      <c r="O903">
        <v>215.8</v>
      </c>
      <c r="P903">
        <v>207</v>
      </c>
      <c r="Q903">
        <v>18.63316468</v>
      </c>
      <c r="R903">
        <v>8190103698.9888468</v>
      </c>
      <c r="S903">
        <v>0</v>
      </c>
      <c r="T903" t="s">
        <v>6242</v>
      </c>
      <c r="U903" t="s">
        <v>6245</v>
      </c>
    </row>
    <row r="904" spans="1:40" x14ac:dyDescent="0.25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43.292369999999998</v>
      </c>
      <c r="H904" t="s">
        <v>97</v>
      </c>
      <c r="I904">
        <v>44117777997.182999</v>
      </c>
      <c r="J904" t="s">
        <v>4700</v>
      </c>
      <c r="K904">
        <v>54983171.451190501</v>
      </c>
      <c r="L904">
        <v>0.35</v>
      </c>
      <c r="M904" t="s">
        <v>5606</v>
      </c>
      <c r="N904">
        <v>0.85273301000000001</v>
      </c>
      <c r="O904">
        <v>51.08</v>
      </c>
      <c r="P904">
        <v>50.73</v>
      </c>
      <c r="Q904">
        <v>43.557602150800001</v>
      </c>
      <c r="R904">
        <v>15535823463.17643</v>
      </c>
      <c r="S904">
        <v>0</v>
      </c>
      <c r="T904" t="s">
        <v>6243</v>
      </c>
      <c r="AH904" t="s">
        <v>6256</v>
      </c>
      <c r="AJ904" t="s">
        <v>6258</v>
      </c>
    </row>
    <row r="905" spans="1:40" x14ac:dyDescent="0.25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21.100079999999998</v>
      </c>
      <c r="H905" t="s">
        <v>99</v>
      </c>
      <c r="I905">
        <v>33937341241.896</v>
      </c>
      <c r="J905" t="s">
        <v>4701</v>
      </c>
      <c r="K905">
        <v>74266561.613359302</v>
      </c>
      <c r="L905">
        <v>0.8</v>
      </c>
      <c r="M905" t="s">
        <v>5607</v>
      </c>
      <c r="N905">
        <v>5.7743899999999999E-3</v>
      </c>
      <c r="O905">
        <v>3492</v>
      </c>
      <c r="P905">
        <v>3631</v>
      </c>
      <c r="Q905">
        <v>20.164169879999999</v>
      </c>
      <c r="R905">
        <v>25945619697.256931</v>
      </c>
      <c r="S905">
        <v>0</v>
      </c>
      <c r="T905" t="s">
        <v>6244</v>
      </c>
      <c r="AJ905" t="s">
        <v>6258</v>
      </c>
    </row>
    <row r="906" spans="1:40" x14ac:dyDescent="0.25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320421093.01251298</v>
      </c>
      <c r="L906">
        <v>1</v>
      </c>
      <c r="M906" t="s">
        <v>5608</v>
      </c>
      <c r="N906">
        <v>0.85273301000000001</v>
      </c>
      <c r="O906">
        <v>583.25</v>
      </c>
      <c r="P906">
        <v>574.83000000000004</v>
      </c>
      <c r="Q906">
        <v>497.35652808250001</v>
      </c>
      <c r="R906">
        <v>38478104176.530182</v>
      </c>
      <c r="S906">
        <v>0</v>
      </c>
      <c r="T906" t="s">
        <v>6243</v>
      </c>
    </row>
    <row r="907" spans="1:40" x14ac:dyDescent="0.25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0.10956983000000001</v>
      </c>
      <c r="O907">
        <v>26.52</v>
      </c>
      <c r="P907">
        <v>27.34</v>
      </c>
      <c r="Q907">
        <v>2.9057918915999998</v>
      </c>
      <c r="R907">
        <v>4522010050.0112963</v>
      </c>
      <c r="S907">
        <v>0</v>
      </c>
      <c r="T907" t="s">
        <v>6244</v>
      </c>
      <c r="U907" t="s">
        <v>6245</v>
      </c>
      <c r="AN907" t="s">
        <v>6262</v>
      </c>
    </row>
    <row r="908" spans="1:40" x14ac:dyDescent="0.25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46911200.612121202</v>
      </c>
      <c r="L908">
        <v>1</v>
      </c>
      <c r="M908" t="s">
        <v>5610</v>
      </c>
      <c r="N908">
        <v>1</v>
      </c>
      <c r="O908">
        <v>360.4</v>
      </c>
      <c r="P908">
        <v>381.5</v>
      </c>
      <c r="Q908">
        <v>360.4</v>
      </c>
      <c r="R908">
        <v>19398346196</v>
      </c>
      <c r="S908">
        <v>0</v>
      </c>
      <c r="T908" t="s">
        <v>6242</v>
      </c>
      <c r="AJ908" t="s">
        <v>6258</v>
      </c>
    </row>
    <row r="909" spans="1:40" x14ac:dyDescent="0.25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532.20000000000005</v>
      </c>
      <c r="P909">
        <v>555</v>
      </c>
      <c r="Q909">
        <v>532.20000000000005</v>
      </c>
      <c r="R909">
        <v>69529306254</v>
      </c>
      <c r="S909">
        <v>0</v>
      </c>
      <c r="T909" t="s">
        <v>6242</v>
      </c>
      <c r="AJ909" t="s">
        <v>6258</v>
      </c>
    </row>
    <row r="910" spans="1:40" x14ac:dyDescent="0.25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27263170129.318001</v>
      </c>
      <c r="J910" t="s">
        <v>4701</v>
      </c>
      <c r="K910">
        <v>86210430.437211603</v>
      </c>
      <c r="L910">
        <v>0.95</v>
      </c>
      <c r="M910" t="s">
        <v>5612</v>
      </c>
      <c r="N910">
        <v>5.7743899999999999E-3</v>
      </c>
      <c r="O910">
        <v>2529</v>
      </c>
      <c r="P910">
        <v>2390</v>
      </c>
      <c r="Q910">
        <v>14.603432310000001</v>
      </c>
      <c r="R910">
        <v>27233235715.172749</v>
      </c>
      <c r="S910">
        <v>0</v>
      </c>
      <c r="T910" t="s">
        <v>6244</v>
      </c>
    </row>
    <row r="911" spans="1:40" x14ac:dyDescent="0.25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80.858509999999995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0.85273301000000001</v>
      </c>
      <c r="O911">
        <v>93.95</v>
      </c>
      <c r="P911">
        <v>94.75</v>
      </c>
      <c r="Q911">
        <v>80.114266289500009</v>
      </c>
      <c r="R911">
        <v>36775345158.749527</v>
      </c>
      <c r="S911">
        <v>0</v>
      </c>
      <c r="T911" t="s">
        <v>6243</v>
      </c>
    </row>
    <row r="912" spans="1:40" x14ac:dyDescent="0.25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23.532830000000001</v>
      </c>
      <c r="H912" t="s">
        <v>4691</v>
      </c>
      <c r="I912">
        <v>72081823106.975006</v>
      </c>
      <c r="J912" t="s">
        <v>4701</v>
      </c>
      <c r="K912">
        <v>91316167.318434298</v>
      </c>
      <c r="L912">
        <v>1</v>
      </c>
      <c r="M912" t="s">
        <v>5614</v>
      </c>
      <c r="N912">
        <v>0.56652409000000004</v>
      </c>
      <c r="O912">
        <v>43.54</v>
      </c>
      <c r="P912">
        <v>42.47</v>
      </c>
      <c r="Q912">
        <v>24.6664588786</v>
      </c>
      <c r="R912">
        <v>75554165205.065353</v>
      </c>
      <c r="S912">
        <v>0</v>
      </c>
      <c r="T912" t="s">
        <v>6244</v>
      </c>
      <c r="U912" t="s">
        <v>6245</v>
      </c>
      <c r="AJ912" t="s">
        <v>6258</v>
      </c>
    </row>
    <row r="913" spans="1:40" x14ac:dyDescent="0.25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93.484359999999995</v>
      </c>
      <c r="H913" t="s">
        <v>100</v>
      </c>
      <c r="I913">
        <v>36634970713.311203</v>
      </c>
      <c r="J913" t="s">
        <v>4700</v>
      </c>
      <c r="K913">
        <v>142880831.32355499</v>
      </c>
      <c r="L913">
        <v>1</v>
      </c>
      <c r="M913" t="s">
        <v>5615</v>
      </c>
      <c r="N913">
        <v>0.61572563000000002</v>
      </c>
      <c r="O913">
        <v>149.44999999999999</v>
      </c>
      <c r="P913">
        <v>151.55000000000001</v>
      </c>
      <c r="Q913">
        <v>92.020195403499997</v>
      </c>
      <c r="R913">
        <v>36061188883.791862</v>
      </c>
      <c r="S913">
        <v>0</v>
      </c>
      <c r="T913" t="s">
        <v>6243</v>
      </c>
      <c r="AJ913" t="s">
        <v>6258</v>
      </c>
    </row>
    <row r="914" spans="1:40" x14ac:dyDescent="0.25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19396040153.310001</v>
      </c>
      <c r="J914" t="s">
        <v>4700</v>
      </c>
      <c r="K914">
        <v>187367242.72490099</v>
      </c>
      <c r="L914">
        <v>1</v>
      </c>
      <c r="M914" t="s">
        <v>5616</v>
      </c>
      <c r="N914">
        <v>0.85273301000000001</v>
      </c>
      <c r="O914">
        <v>168.51</v>
      </c>
      <c r="P914">
        <v>165.6</v>
      </c>
      <c r="Q914">
        <v>143.6940395151</v>
      </c>
      <c r="R914">
        <v>19721735341.712791</v>
      </c>
      <c r="S914">
        <v>0</v>
      </c>
      <c r="T914" t="s">
        <v>6243</v>
      </c>
      <c r="AJ914" t="s">
        <v>6258</v>
      </c>
    </row>
    <row r="915" spans="1:40" x14ac:dyDescent="0.25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60066504631.400002</v>
      </c>
      <c r="J915" t="s">
        <v>4699</v>
      </c>
      <c r="K915">
        <v>92768195.538277507</v>
      </c>
      <c r="L915">
        <v>1</v>
      </c>
      <c r="M915" t="s">
        <v>5617</v>
      </c>
      <c r="N915">
        <v>1.156136E-2</v>
      </c>
      <c r="O915">
        <v>1048.5</v>
      </c>
      <c r="P915">
        <v>1049</v>
      </c>
      <c r="Q915">
        <v>12.12208596</v>
      </c>
      <c r="R915">
        <v>60140456527.330803</v>
      </c>
      <c r="S915">
        <v>0</v>
      </c>
      <c r="T915" t="s">
        <v>6242</v>
      </c>
      <c r="AH915" t="s">
        <v>6256</v>
      </c>
      <c r="AN915" t="s">
        <v>6262</v>
      </c>
    </row>
    <row r="916" spans="1:40" x14ac:dyDescent="0.25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26509242112.200001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26.52</v>
      </c>
      <c r="P916">
        <v>27.34</v>
      </c>
      <c r="Q916">
        <v>26.52</v>
      </c>
      <c r="R916">
        <v>3857123815.7399998</v>
      </c>
      <c r="S916">
        <v>0</v>
      </c>
      <c r="T916" t="s">
        <v>6242</v>
      </c>
      <c r="AH916" t="s">
        <v>6256</v>
      </c>
      <c r="AJ916" t="s">
        <v>6258</v>
      </c>
    </row>
    <row r="917" spans="1:40" x14ac:dyDescent="0.25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6.4910209999999999</v>
      </c>
      <c r="H917" t="s">
        <v>96</v>
      </c>
      <c r="I917">
        <v>52416534894.283302</v>
      </c>
      <c r="J917" t="s">
        <v>4699</v>
      </c>
      <c r="K917">
        <v>84483115.7921336</v>
      </c>
      <c r="L917">
        <v>1</v>
      </c>
      <c r="M917" t="s">
        <v>5619</v>
      </c>
      <c r="N917">
        <v>1.156136E-2</v>
      </c>
      <c r="O917">
        <v>529.20000000000005</v>
      </c>
      <c r="P917">
        <v>562.4</v>
      </c>
      <c r="Q917">
        <v>6.1182717120000003</v>
      </c>
      <c r="R917">
        <v>49406495940.27726</v>
      </c>
      <c r="S917">
        <v>0</v>
      </c>
      <c r="T917" t="s">
        <v>6242</v>
      </c>
    </row>
    <row r="918" spans="1:40" x14ac:dyDescent="0.25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36753176276.846001</v>
      </c>
      <c r="J918" t="s">
        <v>4701</v>
      </c>
      <c r="K918">
        <v>105061746.638243</v>
      </c>
      <c r="L918">
        <v>1</v>
      </c>
      <c r="M918" t="s">
        <v>5620</v>
      </c>
      <c r="N918">
        <v>5.7743899999999999E-3</v>
      </c>
      <c r="O918">
        <v>4625</v>
      </c>
      <c r="P918">
        <v>4636</v>
      </c>
      <c r="Q918">
        <v>26.706553750000001</v>
      </c>
      <c r="R918">
        <v>36434397258.849876</v>
      </c>
      <c r="S918">
        <v>0</v>
      </c>
      <c r="T918" t="s">
        <v>6244</v>
      </c>
    </row>
    <row r="919" spans="1:40" x14ac:dyDescent="0.25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14683571.967424201</v>
      </c>
      <c r="L919">
        <v>0.6</v>
      </c>
      <c r="M919" t="s">
        <v>5621</v>
      </c>
      <c r="N919">
        <v>1</v>
      </c>
      <c r="O919">
        <v>106.3</v>
      </c>
      <c r="P919">
        <v>118.3</v>
      </c>
      <c r="Q919">
        <v>106.3</v>
      </c>
      <c r="R919">
        <v>7366590000</v>
      </c>
      <c r="S919">
        <v>0</v>
      </c>
      <c r="T919" t="s">
        <v>6242</v>
      </c>
      <c r="AN919" t="s">
        <v>6262</v>
      </c>
    </row>
    <row r="920" spans="1:40" x14ac:dyDescent="0.25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15.824999999999999</v>
      </c>
      <c r="H920" t="s">
        <v>98</v>
      </c>
      <c r="I920">
        <v>12172765024.5</v>
      </c>
      <c r="J920" t="s">
        <v>4702</v>
      </c>
      <c r="K920">
        <v>24020209.023906302</v>
      </c>
      <c r="L920">
        <v>0.55000000000000004</v>
      </c>
      <c r="M920" t="s">
        <v>5622</v>
      </c>
      <c r="N920">
        <v>1</v>
      </c>
      <c r="O920">
        <v>16.635000000000002</v>
      </c>
      <c r="P920">
        <v>15.824999999999999</v>
      </c>
      <c r="Q920">
        <v>16.635000000000002</v>
      </c>
      <c r="R920">
        <v>7037704290.7050009</v>
      </c>
      <c r="S920">
        <v>0</v>
      </c>
      <c r="T920" t="s">
        <v>6242</v>
      </c>
      <c r="AH920" t="s">
        <v>6256</v>
      </c>
      <c r="AJ920" t="s">
        <v>6258</v>
      </c>
    </row>
    <row r="921" spans="1:40" x14ac:dyDescent="0.25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80.233699999999999</v>
      </c>
      <c r="H921" t="s">
        <v>4694</v>
      </c>
      <c r="I921">
        <v>206723732724</v>
      </c>
      <c r="J921" t="s">
        <v>4699</v>
      </c>
      <c r="K921">
        <v>283750950.15250802</v>
      </c>
      <c r="L921">
        <v>1</v>
      </c>
      <c r="M921" t="s">
        <v>5623</v>
      </c>
      <c r="N921">
        <v>1.07032003</v>
      </c>
      <c r="O921">
        <v>72.98</v>
      </c>
      <c r="P921">
        <v>75.36</v>
      </c>
      <c r="Q921">
        <v>78.1119557894</v>
      </c>
      <c r="R921">
        <v>201257016330.50491</v>
      </c>
      <c r="S921">
        <v>0</v>
      </c>
      <c r="T921" t="s">
        <v>6242</v>
      </c>
      <c r="U921" t="s">
        <v>6245</v>
      </c>
    </row>
    <row r="922" spans="1:40" x14ac:dyDescent="0.25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176163061.09731099</v>
      </c>
      <c r="L922">
        <v>1</v>
      </c>
      <c r="M922" t="s">
        <v>5624</v>
      </c>
      <c r="N922">
        <v>0.85273301000000001</v>
      </c>
      <c r="O922">
        <v>124</v>
      </c>
      <c r="P922">
        <v>110.52</v>
      </c>
      <c r="Q922">
        <v>105.73889324</v>
      </c>
      <c r="R922">
        <v>21158234109.763569</v>
      </c>
      <c r="S922">
        <v>0</v>
      </c>
      <c r="T922" t="s">
        <v>6243</v>
      </c>
    </row>
    <row r="923" spans="1:40" x14ac:dyDescent="0.25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1028.0340000000001</v>
      </c>
      <c r="H923" t="s">
        <v>97</v>
      </c>
      <c r="I923">
        <v>436838745576.24011</v>
      </c>
      <c r="J923" t="s">
        <v>4700</v>
      </c>
      <c r="K923">
        <v>3402809506.97403</v>
      </c>
      <c r="L923">
        <v>1</v>
      </c>
      <c r="M923" t="s">
        <v>5625</v>
      </c>
      <c r="N923">
        <v>0.85273301000000001</v>
      </c>
      <c r="O923">
        <v>1188.44</v>
      </c>
      <c r="P923">
        <v>1204.6500000000001</v>
      </c>
      <c r="Q923">
        <v>1013.4220184044</v>
      </c>
      <c r="R923">
        <v>430629729424.43481</v>
      </c>
      <c r="S923">
        <v>0</v>
      </c>
      <c r="T923" t="s">
        <v>6243</v>
      </c>
    </row>
    <row r="924" spans="1:40" x14ac:dyDescent="0.25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20.069680000000002</v>
      </c>
      <c r="H924" t="s">
        <v>4691</v>
      </c>
      <c r="I924">
        <v>4917503298.8168001</v>
      </c>
      <c r="J924" t="s">
        <v>4701</v>
      </c>
      <c r="K924">
        <v>7527435.8092245003</v>
      </c>
      <c r="L924">
        <v>0.45</v>
      </c>
      <c r="M924" t="s">
        <v>5626</v>
      </c>
      <c r="N924">
        <v>0.56652409000000004</v>
      </c>
      <c r="O924">
        <v>31.47</v>
      </c>
      <c r="P924">
        <v>36.22</v>
      </c>
      <c r="Q924">
        <v>17.828513112300001</v>
      </c>
      <c r="R924">
        <v>1965766141.7237461</v>
      </c>
      <c r="S924">
        <v>0</v>
      </c>
      <c r="T924" t="s">
        <v>6244</v>
      </c>
      <c r="U924" t="s">
        <v>6245</v>
      </c>
      <c r="W924" t="s">
        <v>6247</v>
      </c>
      <c r="AJ924" t="s">
        <v>6258</v>
      </c>
    </row>
    <row r="925" spans="1:40" x14ac:dyDescent="0.25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60.394260000000003</v>
      </c>
      <c r="H925" t="s">
        <v>97</v>
      </c>
      <c r="I925">
        <v>66340056778.722</v>
      </c>
      <c r="J925" t="s">
        <v>4700</v>
      </c>
      <c r="K925">
        <v>591873513.20936596</v>
      </c>
      <c r="L925">
        <v>1</v>
      </c>
      <c r="M925" t="s">
        <v>5627</v>
      </c>
      <c r="N925">
        <v>0.85273301000000001</v>
      </c>
      <c r="O925">
        <v>79.25</v>
      </c>
      <c r="P925">
        <v>70.77</v>
      </c>
      <c r="Q925">
        <v>67.579091042499996</v>
      </c>
      <c r="R925">
        <v>74232232281.906815</v>
      </c>
      <c r="S925">
        <v>0</v>
      </c>
      <c r="T925" t="s">
        <v>6243</v>
      </c>
    </row>
    <row r="926" spans="1:40" x14ac:dyDescent="0.25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133.69999999999999</v>
      </c>
      <c r="P926">
        <v>137</v>
      </c>
      <c r="Q926">
        <v>133.69999999999999</v>
      </c>
      <c r="R926">
        <v>4678941561.8399992</v>
      </c>
      <c r="S926">
        <v>1</v>
      </c>
      <c r="T926" t="s">
        <v>6242</v>
      </c>
    </row>
    <row r="927" spans="1:40" x14ac:dyDescent="0.25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5.5940000000000003</v>
      </c>
      <c r="H927" t="s">
        <v>98</v>
      </c>
      <c r="I927">
        <v>6881695586.3500004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4.6420000000000003</v>
      </c>
      <c r="P927">
        <v>5.5940000000000003</v>
      </c>
      <c r="Q927">
        <v>4.6420000000000003</v>
      </c>
      <c r="R927">
        <v>2855276270.2750001</v>
      </c>
      <c r="S927">
        <v>0</v>
      </c>
      <c r="T927" t="s">
        <v>6242</v>
      </c>
    </row>
    <row r="928" spans="1:40" x14ac:dyDescent="0.25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19.606629999999999</v>
      </c>
      <c r="H928" t="s">
        <v>99</v>
      </c>
      <c r="I928">
        <v>16146881322.797001</v>
      </c>
      <c r="J928" t="s">
        <v>4701</v>
      </c>
      <c r="K928">
        <v>36289313.032125004</v>
      </c>
      <c r="L928">
        <v>0.4</v>
      </c>
      <c r="M928" t="s">
        <v>5630</v>
      </c>
      <c r="N928">
        <v>5.7743899999999999E-3</v>
      </c>
      <c r="O928">
        <v>3396</v>
      </c>
      <c r="P928">
        <v>3374</v>
      </c>
      <c r="Q928">
        <v>19.609828440000001</v>
      </c>
      <c r="R928">
        <v>6459806148.8606548</v>
      </c>
      <c r="S928">
        <v>0</v>
      </c>
      <c r="T928" t="s">
        <v>6244</v>
      </c>
    </row>
    <row r="929" spans="1:40" x14ac:dyDescent="0.25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141.15430000000001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1.156136E-2</v>
      </c>
      <c r="O929">
        <v>12060</v>
      </c>
      <c r="P929">
        <v>12230</v>
      </c>
      <c r="Q929">
        <v>139.4300016</v>
      </c>
      <c r="R929">
        <v>15391810195.69552</v>
      </c>
      <c r="S929">
        <v>0</v>
      </c>
      <c r="T929" t="s">
        <v>6242</v>
      </c>
    </row>
    <row r="930" spans="1:40" x14ac:dyDescent="0.25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7.9569450000000002</v>
      </c>
      <c r="H930" t="s">
        <v>4691</v>
      </c>
      <c r="I930">
        <v>5102612980.0155001</v>
      </c>
      <c r="J930" t="s">
        <v>4701</v>
      </c>
      <c r="K930">
        <v>13828781.091576301</v>
      </c>
      <c r="L930">
        <v>1</v>
      </c>
      <c r="M930" t="s">
        <v>5632</v>
      </c>
      <c r="N930">
        <v>0.56652409000000004</v>
      </c>
      <c r="O930">
        <v>17.32</v>
      </c>
      <c r="P930">
        <v>14.36</v>
      </c>
      <c r="Q930">
        <v>9.8121972388000014</v>
      </c>
      <c r="R930">
        <v>6292345239.6834631</v>
      </c>
      <c r="S930">
        <v>0</v>
      </c>
      <c r="T930" t="s">
        <v>6244</v>
      </c>
      <c r="U930" t="s">
        <v>6245</v>
      </c>
    </row>
    <row r="931" spans="1:40" x14ac:dyDescent="0.25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65.130570000000006</v>
      </c>
      <c r="H931" t="s">
        <v>97</v>
      </c>
      <c r="I931">
        <v>134122894321.72501</v>
      </c>
      <c r="J931" t="s">
        <v>4700</v>
      </c>
      <c r="K931">
        <v>669157930.18318796</v>
      </c>
      <c r="L931">
        <v>1</v>
      </c>
      <c r="M931" t="s">
        <v>5633</v>
      </c>
      <c r="N931">
        <v>0.85273301000000001</v>
      </c>
      <c r="O931">
        <v>71.64</v>
      </c>
      <c r="P931">
        <v>76.319999999999993</v>
      </c>
      <c r="Q931">
        <v>61.089792836400001</v>
      </c>
      <c r="R931">
        <v>125801752214.5522</v>
      </c>
      <c r="S931">
        <v>0</v>
      </c>
      <c r="T931" t="s">
        <v>6243</v>
      </c>
      <c r="AH931" t="s">
        <v>6256</v>
      </c>
      <c r="AJ931" t="s">
        <v>6258</v>
      </c>
    </row>
    <row r="932" spans="1:40" x14ac:dyDescent="0.25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5.7743899999999999E-3</v>
      </c>
      <c r="O932">
        <v>2458.5</v>
      </c>
      <c r="P932">
        <v>2299.5</v>
      </c>
      <c r="Q932">
        <v>14.196337815</v>
      </c>
      <c r="R932">
        <v>3806908403.709559</v>
      </c>
      <c r="S932">
        <v>0</v>
      </c>
      <c r="T932" t="s">
        <v>6244</v>
      </c>
    </row>
    <row r="933" spans="1:40" x14ac:dyDescent="0.25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32.943080000000002</v>
      </c>
      <c r="H933" t="s">
        <v>99</v>
      </c>
      <c r="I933">
        <v>3264494512.5999999</v>
      </c>
      <c r="J933" t="s">
        <v>4701</v>
      </c>
      <c r="K933">
        <v>17730405.798283398</v>
      </c>
      <c r="L933">
        <v>1</v>
      </c>
      <c r="M933" t="s">
        <v>5635</v>
      </c>
      <c r="N933">
        <v>5.7743899999999999E-3</v>
      </c>
      <c r="O933">
        <v>5839</v>
      </c>
      <c r="P933">
        <v>5669</v>
      </c>
      <c r="Q933">
        <v>33.71666321</v>
      </c>
      <c r="R933">
        <v>3341152740.79495</v>
      </c>
      <c r="S933">
        <v>0</v>
      </c>
      <c r="T933" t="s">
        <v>6244</v>
      </c>
      <c r="AJ933" t="s">
        <v>6258</v>
      </c>
    </row>
    <row r="934" spans="1:40" x14ac:dyDescent="0.25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4.1344719999999997</v>
      </c>
      <c r="H934" t="s">
        <v>4693</v>
      </c>
      <c r="I934">
        <v>7371499796.6863995</v>
      </c>
      <c r="J934" t="s">
        <v>4699</v>
      </c>
      <c r="K934">
        <v>19767734.530323699</v>
      </c>
      <c r="L934">
        <v>1</v>
      </c>
      <c r="M934" t="s">
        <v>5636</v>
      </c>
      <c r="N934">
        <v>9.1395149999999994E-2</v>
      </c>
      <c r="O934">
        <v>36.369999999999997</v>
      </c>
      <c r="P934">
        <v>46.06</v>
      </c>
      <c r="Q934">
        <v>3.3240416055000002</v>
      </c>
      <c r="R934">
        <v>5926554108.7520695</v>
      </c>
      <c r="S934">
        <v>0</v>
      </c>
      <c r="T934" t="s">
        <v>6242</v>
      </c>
      <c r="U934" t="s">
        <v>6245</v>
      </c>
      <c r="AJ934" t="s">
        <v>6258</v>
      </c>
    </row>
    <row r="935" spans="1:40" x14ac:dyDescent="0.25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2599945007.4945002</v>
      </c>
      <c r="J935" t="s">
        <v>4701</v>
      </c>
      <c r="K935">
        <v>12307800.3752822</v>
      </c>
      <c r="L935">
        <v>1</v>
      </c>
      <c r="M935" t="s">
        <v>5637</v>
      </c>
      <c r="N935">
        <v>5.7743899999999999E-3</v>
      </c>
      <c r="O935">
        <v>1723</v>
      </c>
      <c r="P935">
        <v>1741</v>
      </c>
      <c r="Q935">
        <v>9.9492739700000001</v>
      </c>
      <c r="R935">
        <v>2556813673.7167521</v>
      </c>
      <c r="S935">
        <v>0</v>
      </c>
      <c r="T935" t="s">
        <v>6244</v>
      </c>
      <c r="AJ935" t="s">
        <v>6258</v>
      </c>
    </row>
    <row r="936" spans="1:40" x14ac:dyDescent="0.25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21511118371.470001</v>
      </c>
      <c r="J936" t="s">
        <v>4701</v>
      </c>
      <c r="K936">
        <v>67024880.672322303</v>
      </c>
      <c r="L936">
        <v>0.9</v>
      </c>
      <c r="M936" t="s">
        <v>5638</v>
      </c>
      <c r="N936">
        <v>5.7743899999999999E-3</v>
      </c>
      <c r="O936">
        <v>2601.5</v>
      </c>
      <c r="P936">
        <v>3104</v>
      </c>
      <c r="Q936">
        <v>15.022075585</v>
      </c>
      <c r="R936">
        <v>16123375492.495081</v>
      </c>
      <c r="S936">
        <v>0</v>
      </c>
      <c r="T936" t="s">
        <v>6244</v>
      </c>
    </row>
    <row r="937" spans="1:40" x14ac:dyDescent="0.25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66.888540000000006</v>
      </c>
      <c r="H937" t="s">
        <v>97</v>
      </c>
      <c r="I937">
        <v>79464635670.078003</v>
      </c>
      <c r="J937" t="s">
        <v>4700</v>
      </c>
      <c r="K937">
        <v>901309190.10692096</v>
      </c>
      <c r="L937">
        <v>1</v>
      </c>
      <c r="M937" t="s">
        <v>5639</v>
      </c>
      <c r="N937">
        <v>0.85273301000000001</v>
      </c>
      <c r="O937">
        <v>73</v>
      </c>
      <c r="P937">
        <v>78.38</v>
      </c>
      <c r="Q937">
        <v>62.24950973</v>
      </c>
      <c r="R937">
        <v>73953394876.542755</v>
      </c>
      <c r="S937">
        <v>0</v>
      </c>
      <c r="T937" t="s">
        <v>6243</v>
      </c>
    </row>
    <row r="938" spans="1:40" x14ac:dyDescent="0.25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79.960629999999995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5.7743899999999999E-3</v>
      </c>
      <c r="O938">
        <v>14240</v>
      </c>
      <c r="P938">
        <v>13760</v>
      </c>
      <c r="Q938">
        <v>82.227313600000002</v>
      </c>
      <c r="R938">
        <v>96109010909.26561</v>
      </c>
      <c r="S938">
        <v>0</v>
      </c>
      <c r="T938" t="s">
        <v>6244</v>
      </c>
      <c r="AJ938" t="s">
        <v>6258</v>
      </c>
      <c r="AN938" t="s">
        <v>6262</v>
      </c>
    </row>
    <row r="939" spans="1:40" x14ac:dyDescent="0.25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838.54060000000004</v>
      </c>
      <c r="H939" t="s">
        <v>99</v>
      </c>
      <c r="I939">
        <v>7253376190</v>
      </c>
      <c r="J939" t="s">
        <v>4701</v>
      </c>
      <c r="K939">
        <v>18052612.342862099</v>
      </c>
      <c r="L939">
        <v>0.9</v>
      </c>
      <c r="M939" t="s">
        <v>5641</v>
      </c>
      <c r="N939">
        <v>5.7743899999999999E-3</v>
      </c>
      <c r="O939">
        <v>143300</v>
      </c>
      <c r="P939">
        <v>144300</v>
      </c>
      <c r="Q939">
        <v>827.47008700000004</v>
      </c>
      <c r="R939">
        <v>6441854627.2950001</v>
      </c>
      <c r="S939">
        <v>0</v>
      </c>
      <c r="T939" t="s">
        <v>6244</v>
      </c>
    </row>
    <row r="940" spans="1:40" x14ac:dyDescent="0.25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18.886050000000001</v>
      </c>
      <c r="H940" t="s">
        <v>99</v>
      </c>
      <c r="I940">
        <v>4929259050</v>
      </c>
      <c r="J940" t="s">
        <v>4701</v>
      </c>
      <c r="K940">
        <v>20331332.842982199</v>
      </c>
      <c r="L940">
        <v>0.9</v>
      </c>
      <c r="M940" t="s">
        <v>5642</v>
      </c>
      <c r="N940">
        <v>5.7743899999999999E-3</v>
      </c>
      <c r="O940">
        <v>3452</v>
      </c>
      <c r="P940">
        <v>3250</v>
      </c>
      <c r="Q940">
        <v>19.933194279999999</v>
      </c>
      <c r="R940">
        <v>4682307336.3719997</v>
      </c>
      <c r="S940">
        <v>0</v>
      </c>
      <c r="T940" t="s">
        <v>6244</v>
      </c>
      <c r="AH940" t="s">
        <v>6256</v>
      </c>
      <c r="AJ940" t="s">
        <v>6258</v>
      </c>
      <c r="AN940" t="s">
        <v>6262</v>
      </c>
    </row>
    <row r="941" spans="1:40" x14ac:dyDescent="0.25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6.2527359999999996</v>
      </c>
      <c r="H941" t="s">
        <v>99</v>
      </c>
      <c r="I941">
        <v>14822186971.3792</v>
      </c>
      <c r="J941" t="s">
        <v>4701</v>
      </c>
      <c r="K941">
        <v>24207655.575928401</v>
      </c>
      <c r="L941">
        <v>0.45</v>
      </c>
      <c r="M941" t="s">
        <v>5643</v>
      </c>
      <c r="N941">
        <v>5.7743899999999999E-3</v>
      </c>
      <c r="O941">
        <v>1033</v>
      </c>
      <c r="P941">
        <v>1076</v>
      </c>
      <c r="Q941">
        <v>5.9649448700000001</v>
      </c>
      <c r="R941">
        <v>6362988563.9980869</v>
      </c>
      <c r="S941">
        <v>0</v>
      </c>
      <c r="T941" t="s">
        <v>6244</v>
      </c>
      <c r="AJ941" t="s">
        <v>6258</v>
      </c>
    </row>
    <row r="942" spans="1:40" x14ac:dyDescent="0.25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7183795.7311631404</v>
      </c>
      <c r="L942">
        <v>0.8</v>
      </c>
      <c r="M942" t="s">
        <v>5644</v>
      </c>
      <c r="N942">
        <v>5.7743899999999999E-3</v>
      </c>
      <c r="O942">
        <v>85400</v>
      </c>
      <c r="P942">
        <v>83600</v>
      </c>
      <c r="Q942">
        <v>493.13290599999999</v>
      </c>
      <c r="R942">
        <v>3309555770.923954</v>
      </c>
      <c r="S942">
        <v>0</v>
      </c>
      <c r="T942" t="s">
        <v>6244</v>
      </c>
      <c r="W942" t="s">
        <v>6247</v>
      </c>
      <c r="AN942" t="s">
        <v>6262</v>
      </c>
    </row>
    <row r="943" spans="1:40" x14ac:dyDescent="0.25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17.944649999999999</v>
      </c>
      <c r="H943" t="s">
        <v>99</v>
      </c>
      <c r="I943">
        <v>19285596271.619999</v>
      </c>
      <c r="J943" t="s">
        <v>4701</v>
      </c>
      <c r="K943">
        <v>110571373.002193</v>
      </c>
      <c r="L943">
        <v>1</v>
      </c>
      <c r="M943" t="s">
        <v>5645</v>
      </c>
      <c r="N943">
        <v>5.7743899999999999E-3</v>
      </c>
      <c r="O943">
        <v>3300</v>
      </c>
      <c r="P943">
        <v>3088</v>
      </c>
      <c r="Q943">
        <v>19.055486999999999</v>
      </c>
      <c r="R943">
        <v>20479442565.951599</v>
      </c>
      <c r="S943">
        <v>0</v>
      </c>
      <c r="T943" t="s">
        <v>6244</v>
      </c>
      <c r="AJ943" t="s">
        <v>6258</v>
      </c>
    </row>
    <row r="944" spans="1:40" x14ac:dyDescent="0.25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22.773669999999999</v>
      </c>
      <c r="H944" t="s">
        <v>99</v>
      </c>
      <c r="I944">
        <v>6008196988.6336002</v>
      </c>
      <c r="J944" t="s">
        <v>4701</v>
      </c>
      <c r="K944">
        <v>9915365.8031970896</v>
      </c>
      <c r="L944">
        <v>0.7</v>
      </c>
      <c r="M944" t="s">
        <v>5646</v>
      </c>
      <c r="N944">
        <v>5.7743899999999999E-3</v>
      </c>
      <c r="O944">
        <v>4048</v>
      </c>
      <c r="P944">
        <v>3919</v>
      </c>
      <c r="Q944">
        <v>23.374730719999999</v>
      </c>
      <c r="R944">
        <v>4316739054.5932083</v>
      </c>
      <c r="S944">
        <v>0</v>
      </c>
      <c r="T944" t="s">
        <v>6244</v>
      </c>
      <c r="W944" t="s">
        <v>6247</v>
      </c>
    </row>
    <row r="945" spans="1:40" x14ac:dyDescent="0.25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30.670950000000001</v>
      </c>
      <c r="H945" t="s">
        <v>99</v>
      </c>
      <c r="I945">
        <v>13314308468.52</v>
      </c>
      <c r="J945" t="s">
        <v>4701</v>
      </c>
      <c r="K945">
        <v>89121712.868296593</v>
      </c>
      <c r="L945">
        <v>1</v>
      </c>
      <c r="M945" t="s">
        <v>5647</v>
      </c>
      <c r="N945">
        <v>5.7743899999999999E-3</v>
      </c>
      <c r="O945">
        <v>5537</v>
      </c>
      <c r="P945">
        <v>5278</v>
      </c>
      <c r="Q945">
        <v>31.97279743</v>
      </c>
      <c r="R945">
        <v>13879442520.83889</v>
      </c>
      <c r="S945">
        <v>0</v>
      </c>
      <c r="T945" t="s">
        <v>6244</v>
      </c>
      <c r="AN945" t="s">
        <v>6262</v>
      </c>
    </row>
    <row r="946" spans="1:40" x14ac:dyDescent="0.25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36.644480000000001</v>
      </c>
      <c r="H946" t="s">
        <v>97</v>
      </c>
      <c r="I946">
        <v>17254236630.400002</v>
      </c>
      <c r="J946" t="s">
        <v>4700</v>
      </c>
      <c r="K946">
        <v>143309224.937877</v>
      </c>
      <c r="L946">
        <v>1</v>
      </c>
      <c r="M946" t="s">
        <v>5648</v>
      </c>
      <c r="N946">
        <v>0.85273301000000001</v>
      </c>
      <c r="O946">
        <v>41.01</v>
      </c>
      <c r="P946">
        <v>42.94</v>
      </c>
      <c r="Q946">
        <v>34.970580740099997</v>
      </c>
      <c r="R946">
        <v>16466072794.37978</v>
      </c>
      <c r="S946">
        <v>0</v>
      </c>
      <c r="T946" t="s">
        <v>6243</v>
      </c>
      <c r="AG946" t="s">
        <v>6255</v>
      </c>
      <c r="AH946" t="s">
        <v>6256</v>
      </c>
      <c r="AJ946" t="s">
        <v>6258</v>
      </c>
    </row>
    <row r="947" spans="1:40" x14ac:dyDescent="0.25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31.031230000000001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5.7743899999999999E-3</v>
      </c>
      <c r="O947">
        <v>5464</v>
      </c>
      <c r="P947">
        <v>5340</v>
      </c>
      <c r="Q947">
        <v>31.55126696</v>
      </c>
      <c r="R947">
        <v>4316213320.1280003</v>
      </c>
      <c r="S947">
        <v>0</v>
      </c>
      <c r="T947" t="s">
        <v>6244</v>
      </c>
      <c r="AJ947" t="s">
        <v>6258</v>
      </c>
    </row>
    <row r="948" spans="1:40" x14ac:dyDescent="0.25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2.0449229999999998</v>
      </c>
      <c r="H948" t="s">
        <v>99</v>
      </c>
      <c r="I948">
        <v>7594840954.6154985</v>
      </c>
      <c r="J948" t="s">
        <v>4701</v>
      </c>
      <c r="K948">
        <v>69004150.250389799</v>
      </c>
      <c r="L948">
        <v>0.65</v>
      </c>
      <c r="M948" t="s">
        <v>5650</v>
      </c>
      <c r="N948">
        <v>5.7743899999999999E-3</v>
      </c>
      <c r="O948">
        <v>364.5</v>
      </c>
      <c r="P948">
        <v>351.9</v>
      </c>
      <c r="Q948">
        <v>2.1047651549999999</v>
      </c>
      <c r="R948">
        <v>5081111508.5394735</v>
      </c>
      <c r="S948">
        <v>0</v>
      </c>
      <c r="T948" t="s">
        <v>6244</v>
      </c>
      <c r="AN948" t="s">
        <v>6262</v>
      </c>
    </row>
    <row r="949" spans="1:40" x14ac:dyDescent="0.25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7017374.6265253201</v>
      </c>
      <c r="L949">
        <v>0.85</v>
      </c>
      <c r="M949" t="s">
        <v>5651</v>
      </c>
      <c r="N949">
        <v>5.7743899999999999E-3</v>
      </c>
      <c r="O949">
        <v>1836</v>
      </c>
      <c r="P949">
        <v>1792.5</v>
      </c>
      <c r="Q949">
        <v>10.60178004</v>
      </c>
      <c r="R949">
        <v>2619267454.285069</v>
      </c>
      <c r="S949">
        <v>0</v>
      </c>
      <c r="T949" t="s">
        <v>6244</v>
      </c>
      <c r="W949" t="s">
        <v>6247</v>
      </c>
      <c r="AJ949" t="s">
        <v>6258</v>
      </c>
    </row>
    <row r="950" spans="1:40" x14ac:dyDescent="0.25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16.207139999999999</v>
      </c>
      <c r="H950" t="s">
        <v>99</v>
      </c>
      <c r="I950">
        <v>4822993653.3299999</v>
      </c>
      <c r="J950" t="s">
        <v>4701</v>
      </c>
      <c r="K950">
        <v>26749115.444291901</v>
      </c>
      <c r="L950">
        <v>0.8</v>
      </c>
      <c r="M950" t="s">
        <v>5652</v>
      </c>
      <c r="N950">
        <v>5.7743899999999999E-3</v>
      </c>
      <c r="O950">
        <v>2811</v>
      </c>
      <c r="P950">
        <v>2789</v>
      </c>
      <c r="Q950">
        <v>16.231810289999999</v>
      </c>
      <c r="R950">
        <v>3864268119.3956041</v>
      </c>
      <c r="S950">
        <v>0</v>
      </c>
      <c r="T950" t="s">
        <v>6244</v>
      </c>
    </row>
    <row r="951" spans="1:40" x14ac:dyDescent="0.25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31.118400000000001</v>
      </c>
      <c r="H951" t="s">
        <v>99</v>
      </c>
      <c r="I951">
        <v>6200270561.2320004</v>
      </c>
      <c r="J951" t="s">
        <v>4701</v>
      </c>
      <c r="K951">
        <v>16707152.178248599</v>
      </c>
      <c r="L951">
        <v>0.85</v>
      </c>
      <c r="M951" t="s">
        <v>5653</v>
      </c>
      <c r="N951">
        <v>5.7743899999999999E-3</v>
      </c>
      <c r="O951">
        <v>5642</v>
      </c>
      <c r="P951">
        <v>5355</v>
      </c>
      <c r="Q951">
        <v>32.579108380000001</v>
      </c>
      <c r="R951">
        <v>5517616381.6181307</v>
      </c>
      <c r="S951">
        <v>0</v>
      </c>
      <c r="T951" t="s">
        <v>6244</v>
      </c>
      <c r="AJ951" t="s">
        <v>6258</v>
      </c>
    </row>
    <row r="952" spans="1:40" x14ac:dyDescent="0.25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79.989689999999996</v>
      </c>
      <c r="H952" t="s">
        <v>99</v>
      </c>
      <c r="I952">
        <v>9154300087.5149994</v>
      </c>
      <c r="J952" t="s">
        <v>4701</v>
      </c>
      <c r="K952">
        <v>71531145.451477394</v>
      </c>
      <c r="L952">
        <v>0.8</v>
      </c>
      <c r="M952" t="s">
        <v>5654</v>
      </c>
      <c r="N952">
        <v>5.7743899999999999E-3</v>
      </c>
      <c r="O952">
        <v>14215</v>
      </c>
      <c r="P952">
        <v>13765</v>
      </c>
      <c r="Q952">
        <v>82.082953849999996</v>
      </c>
      <c r="R952">
        <v>7515088423.1459799</v>
      </c>
      <c r="S952">
        <v>0</v>
      </c>
      <c r="T952" t="s">
        <v>6244</v>
      </c>
      <c r="AJ952" t="s">
        <v>6258</v>
      </c>
      <c r="AN952" t="s">
        <v>6262</v>
      </c>
    </row>
    <row r="953" spans="1:40" x14ac:dyDescent="0.25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13545055446.885201</v>
      </c>
      <c r="J953" t="s">
        <v>4701</v>
      </c>
      <c r="K953">
        <v>43602945.972144499</v>
      </c>
      <c r="L953">
        <v>1</v>
      </c>
      <c r="M953" t="s">
        <v>5655</v>
      </c>
      <c r="N953">
        <v>5.7743899999999999E-3</v>
      </c>
      <c r="O953">
        <v>3458</v>
      </c>
      <c r="P953">
        <v>3298</v>
      </c>
      <c r="Q953">
        <v>19.96784062</v>
      </c>
      <c r="R953">
        <v>14112485812.793261</v>
      </c>
      <c r="S953">
        <v>0</v>
      </c>
      <c r="T953" t="s">
        <v>6244</v>
      </c>
    </row>
    <row r="954" spans="1:40" x14ac:dyDescent="0.25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81.851089999999999</v>
      </c>
      <c r="H954" t="s">
        <v>4696</v>
      </c>
      <c r="I954">
        <v>4397044074.3968697</v>
      </c>
      <c r="J954" t="s">
        <v>4699</v>
      </c>
      <c r="K954">
        <v>9618546.4353752695</v>
      </c>
      <c r="L954">
        <v>1</v>
      </c>
      <c r="M954" t="s">
        <v>5656</v>
      </c>
      <c r="N954">
        <v>0.13397104000000001</v>
      </c>
      <c r="O954">
        <v>626.5</v>
      </c>
      <c r="P954">
        <v>611</v>
      </c>
      <c r="Q954">
        <v>83.932856560000005</v>
      </c>
      <c r="R954">
        <v>4508876663.5160322</v>
      </c>
      <c r="S954">
        <v>0</v>
      </c>
      <c r="T954" t="s">
        <v>6242</v>
      </c>
      <c r="U954" t="s">
        <v>6245</v>
      </c>
      <c r="W954" t="s">
        <v>6247</v>
      </c>
    </row>
    <row r="955" spans="1:40" x14ac:dyDescent="0.25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38355423.335757598</v>
      </c>
      <c r="L955">
        <v>0.95000000000000007</v>
      </c>
      <c r="M955" t="s">
        <v>5657</v>
      </c>
      <c r="N955">
        <v>1</v>
      </c>
      <c r="O955">
        <v>59.24</v>
      </c>
      <c r="P955">
        <v>61.26</v>
      </c>
      <c r="Q955">
        <v>59.24</v>
      </c>
      <c r="R955">
        <v>15138782000</v>
      </c>
      <c r="S955">
        <v>0</v>
      </c>
      <c r="T955" t="s">
        <v>6242</v>
      </c>
      <c r="AJ955" t="s">
        <v>6258</v>
      </c>
    </row>
    <row r="956" spans="1:40" x14ac:dyDescent="0.25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15.951449999999999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5.7743899999999999E-3</v>
      </c>
      <c r="O956">
        <v>2726</v>
      </c>
      <c r="P956">
        <v>2745</v>
      </c>
      <c r="Q956">
        <v>15.74098714</v>
      </c>
      <c r="R956">
        <v>3723123131.2198172</v>
      </c>
      <c r="S956">
        <v>0</v>
      </c>
      <c r="T956" t="s">
        <v>6244</v>
      </c>
      <c r="AJ956" t="s">
        <v>6258</v>
      </c>
    </row>
    <row r="957" spans="1:40" x14ac:dyDescent="0.25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3.6850000000000001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3.8290000000000002</v>
      </c>
      <c r="P957">
        <v>3.6850000000000001</v>
      </c>
      <c r="Q957">
        <v>3.8290000000000002</v>
      </c>
      <c r="R957">
        <v>19845929350.029999</v>
      </c>
      <c r="S957">
        <v>0</v>
      </c>
      <c r="T957" t="s">
        <v>6242</v>
      </c>
    </row>
    <row r="958" spans="1:40" x14ac:dyDescent="0.25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63101256.940608703</v>
      </c>
      <c r="L958">
        <v>0.95</v>
      </c>
      <c r="M958" t="s">
        <v>5660</v>
      </c>
      <c r="N958">
        <v>5.7743899999999999E-3</v>
      </c>
      <c r="O958">
        <v>1099</v>
      </c>
      <c r="P958">
        <v>1067.5</v>
      </c>
      <c r="Q958">
        <v>6.3460546099999986</v>
      </c>
      <c r="R958">
        <v>19072333367.790722</v>
      </c>
      <c r="S958">
        <v>0</v>
      </c>
      <c r="T958" t="s">
        <v>6244</v>
      </c>
      <c r="AJ958" t="s">
        <v>6258</v>
      </c>
    </row>
    <row r="959" spans="1:40" x14ac:dyDescent="0.25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950.11360000000002</v>
      </c>
      <c r="H959" t="s">
        <v>99</v>
      </c>
      <c r="I959">
        <v>4414573626.9504004</v>
      </c>
      <c r="J959" t="s">
        <v>4701</v>
      </c>
      <c r="K959">
        <v>7636775.3564301198</v>
      </c>
      <c r="L959">
        <v>0.85</v>
      </c>
      <c r="M959" t="s">
        <v>5661</v>
      </c>
      <c r="N959">
        <v>5.7743899999999999E-3</v>
      </c>
      <c r="O959">
        <v>164200</v>
      </c>
      <c r="P959">
        <v>163500</v>
      </c>
      <c r="Q959">
        <v>948.15483800000004</v>
      </c>
      <c r="R959">
        <v>3744651629.8526769</v>
      </c>
      <c r="S959">
        <v>0</v>
      </c>
      <c r="T959" t="s">
        <v>6244</v>
      </c>
      <c r="W959" t="s">
        <v>6247</v>
      </c>
    </row>
    <row r="960" spans="1:40" x14ac:dyDescent="0.25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5.4205870000000003</v>
      </c>
      <c r="H960" t="s">
        <v>99</v>
      </c>
      <c r="I960">
        <v>4975533498.7758999</v>
      </c>
      <c r="J960" t="s">
        <v>4701</v>
      </c>
      <c r="K960">
        <v>14987124.1571144</v>
      </c>
      <c r="L960">
        <v>0.65</v>
      </c>
      <c r="M960" t="s">
        <v>5662</v>
      </c>
      <c r="N960">
        <v>5.7743899999999999E-3</v>
      </c>
      <c r="O960">
        <v>968.7</v>
      </c>
      <c r="P960">
        <v>932.8</v>
      </c>
      <c r="Q960">
        <v>5.5936515930000006</v>
      </c>
      <c r="R960">
        <v>3337352683.9333529</v>
      </c>
      <c r="S960">
        <v>0</v>
      </c>
      <c r="T960" t="s">
        <v>6244</v>
      </c>
    </row>
    <row r="961" spans="1:40" x14ac:dyDescent="0.25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20397618395.384998</v>
      </c>
      <c r="J961" t="s">
        <v>4701</v>
      </c>
      <c r="K961">
        <v>48459385.685392797</v>
      </c>
      <c r="L961">
        <v>0.75</v>
      </c>
      <c r="M961" t="s">
        <v>5663</v>
      </c>
      <c r="N961">
        <v>5.7743899999999999E-3</v>
      </c>
      <c r="O961">
        <v>5851</v>
      </c>
      <c r="P961">
        <v>6039</v>
      </c>
      <c r="Q961">
        <v>33.785955889999997</v>
      </c>
      <c r="R961">
        <v>14728349760.32807</v>
      </c>
      <c r="S961">
        <v>0</v>
      </c>
      <c r="T961" t="s">
        <v>6244</v>
      </c>
    </row>
    <row r="962" spans="1:40" x14ac:dyDescent="0.25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13.494999999999999</v>
      </c>
      <c r="H962" t="s">
        <v>98</v>
      </c>
      <c r="I962">
        <v>46663383462</v>
      </c>
      <c r="J962" t="s">
        <v>4702</v>
      </c>
      <c r="K962">
        <v>53569150.360624999</v>
      </c>
      <c r="L962">
        <v>0.95</v>
      </c>
      <c r="M962" t="s">
        <v>5664</v>
      </c>
      <c r="N962">
        <v>1</v>
      </c>
      <c r="O962">
        <v>13.695</v>
      </c>
      <c r="P962">
        <v>13.494999999999999</v>
      </c>
      <c r="Q962">
        <v>13.695</v>
      </c>
      <c r="R962">
        <v>44987201532.900002</v>
      </c>
      <c r="S962">
        <v>0</v>
      </c>
      <c r="T962" t="s">
        <v>6242</v>
      </c>
      <c r="AJ962" t="s">
        <v>6258</v>
      </c>
    </row>
    <row r="963" spans="1:40" x14ac:dyDescent="0.25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5182991891.2000008</v>
      </c>
      <c r="J963" t="s">
        <v>4703</v>
      </c>
      <c r="K963">
        <v>11978752.242121199</v>
      </c>
      <c r="L963">
        <v>0.55000000000000004</v>
      </c>
      <c r="M963" t="s">
        <v>5665</v>
      </c>
      <c r="N963">
        <v>1</v>
      </c>
      <c r="O963">
        <v>19.41</v>
      </c>
      <c r="P963">
        <v>21.92</v>
      </c>
      <c r="Q963">
        <v>19.41</v>
      </c>
      <c r="R963">
        <v>2524225818.1799998</v>
      </c>
      <c r="S963">
        <v>0</v>
      </c>
      <c r="T963" t="s">
        <v>6242</v>
      </c>
    </row>
    <row r="964" spans="1:40" x14ac:dyDescent="0.25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25.331050000000001</v>
      </c>
      <c r="H964" t="s">
        <v>4693</v>
      </c>
      <c r="I964">
        <v>6337357552.4700003</v>
      </c>
      <c r="J964" t="s">
        <v>4699</v>
      </c>
      <c r="K964">
        <v>6099884.8282052102</v>
      </c>
      <c r="L964">
        <v>0.7</v>
      </c>
      <c r="M964" t="s">
        <v>5666</v>
      </c>
      <c r="N964">
        <v>9.1395149999999994E-2</v>
      </c>
      <c r="O964">
        <v>273.8</v>
      </c>
      <c r="P964">
        <v>282.2</v>
      </c>
      <c r="Q964">
        <v>25.023992069999998</v>
      </c>
      <c r="R964">
        <v>4382376158.7630482</v>
      </c>
      <c r="S964">
        <v>0</v>
      </c>
      <c r="T964" t="s">
        <v>6242</v>
      </c>
      <c r="U964" t="s">
        <v>6245</v>
      </c>
      <c r="W964" t="s">
        <v>6247</v>
      </c>
      <c r="AJ964" t="s">
        <v>6258</v>
      </c>
    </row>
    <row r="965" spans="1:40" x14ac:dyDescent="0.25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54489873557.802002</v>
      </c>
      <c r="J965" t="s">
        <v>4700</v>
      </c>
      <c r="K965">
        <v>475812389.92158097</v>
      </c>
      <c r="L965">
        <v>1</v>
      </c>
      <c r="M965" t="s">
        <v>5667</v>
      </c>
      <c r="N965">
        <v>0.85273301000000001</v>
      </c>
      <c r="O965">
        <v>274.72000000000003</v>
      </c>
      <c r="P965">
        <v>284.60000000000002</v>
      </c>
      <c r="Q965">
        <v>234.26281250720001</v>
      </c>
      <c r="R965">
        <v>52557871658.712227</v>
      </c>
      <c r="S965">
        <v>0</v>
      </c>
      <c r="T965" t="s">
        <v>6243</v>
      </c>
    </row>
    <row r="966" spans="1:40" x14ac:dyDescent="0.25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5.5869999999999997</v>
      </c>
      <c r="H966" t="s">
        <v>4695</v>
      </c>
      <c r="I966">
        <v>11053818802.832001</v>
      </c>
      <c r="J966" t="s">
        <v>4699</v>
      </c>
      <c r="K966">
        <v>18581602.7347783</v>
      </c>
      <c r="L966">
        <v>0.65</v>
      </c>
      <c r="M966" t="s">
        <v>5668</v>
      </c>
      <c r="N966">
        <v>8.6344599999999994E-2</v>
      </c>
      <c r="O966">
        <v>66.819999999999993</v>
      </c>
      <c r="P966">
        <v>65.84</v>
      </c>
      <c r="Q966">
        <v>5.7695461719999992</v>
      </c>
      <c r="R966">
        <v>7419739873.61905</v>
      </c>
      <c r="S966">
        <v>0</v>
      </c>
      <c r="T966" t="s">
        <v>6242</v>
      </c>
      <c r="U966" t="s">
        <v>6245</v>
      </c>
      <c r="AJ966" t="s">
        <v>6258</v>
      </c>
    </row>
    <row r="967" spans="1:40" x14ac:dyDescent="0.25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14310782317.818001</v>
      </c>
      <c r="J967" t="s">
        <v>4701</v>
      </c>
      <c r="K967">
        <v>71944470.146761894</v>
      </c>
      <c r="L967">
        <v>1</v>
      </c>
      <c r="M967" t="s">
        <v>5669</v>
      </c>
      <c r="N967">
        <v>0.56652409000000004</v>
      </c>
      <c r="O967">
        <v>21.2</v>
      </c>
      <c r="P967">
        <v>18.059999999999999</v>
      </c>
      <c r="Q967">
        <v>12.010310708</v>
      </c>
      <c r="R967">
        <v>17175448116.64749</v>
      </c>
      <c r="S967">
        <v>0</v>
      </c>
      <c r="T967" t="s">
        <v>6244</v>
      </c>
      <c r="U967" t="s">
        <v>6245</v>
      </c>
      <c r="AJ967" t="s">
        <v>6258</v>
      </c>
    </row>
    <row r="968" spans="1:40" x14ac:dyDescent="0.25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110.99160000000001</v>
      </c>
      <c r="H968" t="s">
        <v>97</v>
      </c>
      <c r="I968">
        <v>21225289940.279999</v>
      </c>
      <c r="J968" t="s">
        <v>4700</v>
      </c>
      <c r="K968">
        <v>197355908.91684401</v>
      </c>
      <c r="L968">
        <v>1</v>
      </c>
      <c r="M968" t="s">
        <v>5670</v>
      </c>
      <c r="N968">
        <v>0.85273301000000001</v>
      </c>
      <c r="O968">
        <v>129.41999999999999</v>
      </c>
      <c r="P968">
        <v>130.06</v>
      </c>
      <c r="Q968">
        <v>110.3607061542</v>
      </c>
      <c r="R968">
        <v>21104642028.197971</v>
      </c>
      <c r="S968">
        <v>0</v>
      </c>
      <c r="T968" t="s">
        <v>6243</v>
      </c>
      <c r="AJ968" t="s">
        <v>6258</v>
      </c>
    </row>
    <row r="969" spans="1:40" x14ac:dyDescent="0.25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505.58109999999999</v>
      </c>
      <c r="H969" t="s">
        <v>97</v>
      </c>
      <c r="I969">
        <v>72390608529.677994</v>
      </c>
      <c r="J969" t="s">
        <v>4700</v>
      </c>
      <c r="K969">
        <v>364181289.47600698</v>
      </c>
      <c r="L969">
        <v>1</v>
      </c>
      <c r="M969" t="s">
        <v>5671</v>
      </c>
      <c r="N969">
        <v>0.85273301000000001</v>
      </c>
      <c r="O969">
        <v>575.96</v>
      </c>
      <c r="P969">
        <v>592.44000000000005</v>
      </c>
      <c r="Q969">
        <v>491.14010443960012</v>
      </c>
      <c r="R969">
        <v>70322903751.173172</v>
      </c>
      <c r="S969">
        <v>0</v>
      </c>
      <c r="T969" t="s">
        <v>6243</v>
      </c>
      <c r="AA969" t="s">
        <v>6249</v>
      </c>
      <c r="AC969" t="s">
        <v>6251</v>
      </c>
      <c r="AD969" t="s">
        <v>6252</v>
      </c>
      <c r="AE969" t="s">
        <v>6253</v>
      </c>
      <c r="AJ969" t="s">
        <v>6258</v>
      </c>
    </row>
    <row r="970" spans="1:40" x14ac:dyDescent="0.25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229311846932.60001</v>
      </c>
      <c r="J970" t="s">
        <v>4699</v>
      </c>
      <c r="K970">
        <v>300555331.82421702</v>
      </c>
      <c r="L970">
        <v>0.95</v>
      </c>
      <c r="M970" t="s">
        <v>5672</v>
      </c>
      <c r="N970">
        <v>1.07032003</v>
      </c>
      <c r="O970">
        <v>98.85</v>
      </c>
      <c r="P970">
        <v>101.96</v>
      </c>
      <c r="Q970">
        <v>105.8011349655</v>
      </c>
      <c r="R970">
        <v>212321802818.67899</v>
      </c>
      <c r="S970">
        <v>0</v>
      </c>
      <c r="T970" t="s">
        <v>6242</v>
      </c>
      <c r="U970" t="s">
        <v>6245</v>
      </c>
    </row>
    <row r="971" spans="1:40" x14ac:dyDescent="0.25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48.748950000000001</v>
      </c>
      <c r="H971" t="s">
        <v>4696</v>
      </c>
      <c r="I971">
        <v>165265180365.60001</v>
      </c>
      <c r="J971" t="s">
        <v>4699</v>
      </c>
      <c r="K971">
        <v>352523171.08099502</v>
      </c>
      <c r="L971">
        <v>0.95</v>
      </c>
      <c r="M971" t="s">
        <v>5673</v>
      </c>
      <c r="N971">
        <v>0.13397104000000001</v>
      </c>
      <c r="O971">
        <v>348.3</v>
      </c>
      <c r="P971">
        <v>363.9</v>
      </c>
      <c r="Q971">
        <v>46.662113232000003</v>
      </c>
      <c r="R971">
        <v>150281009776.625</v>
      </c>
      <c r="S971">
        <v>0</v>
      </c>
      <c r="T971" t="s">
        <v>6242</v>
      </c>
      <c r="U971" t="s">
        <v>6245</v>
      </c>
    </row>
    <row r="972" spans="1:40" x14ac:dyDescent="0.25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53.705559999999998</v>
      </c>
      <c r="H972" t="s">
        <v>4696</v>
      </c>
      <c r="I972">
        <v>22263911111.077999</v>
      </c>
      <c r="J972" t="s">
        <v>4699</v>
      </c>
      <c r="K972">
        <v>29164402.8610503</v>
      </c>
      <c r="L972">
        <v>0.85</v>
      </c>
      <c r="M972" t="s">
        <v>5674</v>
      </c>
      <c r="N972">
        <v>0.13397104000000001</v>
      </c>
      <c r="O972">
        <v>401</v>
      </c>
      <c r="P972">
        <v>400.9</v>
      </c>
      <c r="Q972">
        <v>53.722387040000008</v>
      </c>
      <c r="R972">
        <v>18930253818.66357</v>
      </c>
      <c r="S972">
        <v>0</v>
      </c>
      <c r="T972" t="s">
        <v>6242</v>
      </c>
      <c r="U972" t="s">
        <v>6245</v>
      </c>
      <c r="AN972" t="s">
        <v>6262</v>
      </c>
    </row>
    <row r="973" spans="1:40" x14ac:dyDescent="0.25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413215459.51547098</v>
      </c>
      <c r="L973">
        <v>1</v>
      </c>
      <c r="M973" t="s">
        <v>5675</v>
      </c>
      <c r="N973">
        <v>0.85273301000000001</v>
      </c>
      <c r="O973">
        <v>164.84</v>
      </c>
      <c r="P973">
        <v>145.09</v>
      </c>
      <c r="Q973">
        <v>140.5645093684</v>
      </c>
      <c r="R973">
        <v>27189505498.73711</v>
      </c>
      <c r="S973">
        <v>0</v>
      </c>
      <c r="T973" t="s">
        <v>6243</v>
      </c>
      <c r="AG973" t="s">
        <v>6255</v>
      </c>
      <c r="AH973" t="s">
        <v>6256</v>
      </c>
    </row>
    <row r="974" spans="1:40" x14ac:dyDescent="0.25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22.982869999999998</v>
      </c>
      <c r="H974" t="s">
        <v>99</v>
      </c>
      <c r="I974">
        <v>32233475175</v>
      </c>
      <c r="J974" t="s">
        <v>4701</v>
      </c>
      <c r="K974">
        <v>92871130.223164499</v>
      </c>
      <c r="L974">
        <v>0.5</v>
      </c>
      <c r="M974" t="s">
        <v>5676</v>
      </c>
      <c r="N974">
        <v>5.7743899999999999E-3</v>
      </c>
      <c r="O974">
        <v>3975</v>
      </c>
      <c r="P974">
        <v>3955</v>
      </c>
      <c r="Q974">
        <v>22.953200249999998</v>
      </c>
      <c r="R974">
        <v>16095931675.3125</v>
      </c>
      <c r="S974">
        <v>0</v>
      </c>
      <c r="T974" t="s">
        <v>6244</v>
      </c>
    </row>
    <row r="975" spans="1:40" x14ac:dyDescent="0.25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0.94662690000000005</v>
      </c>
      <c r="H975" t="s">
        <v>99</v>
      </c>
      <c r="I975">
        <v>85717359249.339005</v>
      </c>
      <c r="J975" t="s">
        <v>4701</v>
      </c>
      <c r="K975">
        <v>133185752.570412</v>
      </c>
      <c r="L975">
        <v>0.6</v>
      </c>
      <c r="M975" t="s">
        <v>5677</v>
      </c>
      <c r="N975">
        <v>5.7743899999999999E-3</v>
      </c>
      <c r="O975">
        <v>161.5</v>
      </c>
      <c r="P975">
        <v>162.9</v>
      </c>
      <c r="Q975">
        <v>0.93256398500000004</v>
      </c>
      <c r="R975">
        <v>50666374761.95121</v>
      </c>
      <c r="S975">
        <v>0</v>
      </c>
      <c r="T975" t="s">
        <v>6244</v>
      </c>
    </row>
    <row r="976" spans="1:40" x14ac:dyDescent="0.25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11.896229999999999</v>
      </c>
      <c r="H976" t="s">
        <v>97</v>
      </c>
      <c r="I976">
        <v>44825683431.717003</v>
      </c>
      <c r="J976" t="s">
        <v>4700</v>
      </c>
      <c r="K976">
        <v>710492512.37473297</v>
      </c>
      <c r="L976">
        <v>1</v>
      </c>
      <c r="M976" t="s">
        <v>5678</v>
      </c>
      <c r="N976">
        <v>0.85273301000000001</v>
      </c>
      <c r="O976">
        <v>15.69</v>
      </c>
      <c r="P976">
        <v>13.94</v>
      </c>
      <c r="Q976">
        <v>13.3793809269</v>
      </c>
      <c r="R976">
        <v>50414281998.714867</v>
      </c>
      <c r="S976">
        <v>0</v>
      </c>
      <c r="T976" t="s">
        <v>6243</v>
      </c>
      <c r="AJ976" t="s">
        <v>6258</v>
      </c>
    </row>
    <row r="977" spans="1:40" x14ac:dyDescent="0.25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126.24169999999999</v>
      </c>
      <c r="H977" t="s">
        <v>97</v>
      </c>
      <c r="I977">
        <v>28976945418.264999</v>
      </c>
      <c r="J977" t="s">
        <v>4700</v>
      </c>
      <c r="K977">
        <v>238267182.54615301</v>
      </c>
      <c r="L977">
        <v>1</v>
      </c>
      <c r="M977" t="s">
        <v>5679</v>
      </c>
      <c r="N977">
        <v>0.85273301000000001</v>
      </c>
      <c r="O977">
        <v>141.35</v>
      </c>
      <c r="P977">
        <v>147.93</v>
      </c>
      <c r="Q977">
        <v>120.5338109635</v>
      </c>
      <c r="R977">
        <v>27666782539.721901</v>
      </c>
      <c r="S977">
        <v>0</v>
      </c>
      <c r="T977" t="s">
        <v>6243</v>
      </c>
      <c r="AJ977" t="s">
        <v>6258</v>
      </c>
      <c r="AN977" t="s">
        <v>6262</v>
      </c>
    </row>
    <row r="978" spans="1:40" x14ac:dyDescent="0.25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58.704560000000001</v>
      </c>
      <c r="H978" t="s">
        <v>97</v>
      </c>
      <c r="I978">
        <v>15737368748.172001</v>
      </c>
      <c r="J978" t="s">
        <v>4700</v>
      </c>
      <c r="K978">
        <v>162433532.736269</v>
      </c>
      <c r="L978">
        <v>1</v>
      </c>
      <c r="M978" t="s">
        <v>5680</v>
      </c>
      <c r="N978">
        <v>0.85273301000000001</v>
      </c>
      <c r="O978">
        <v>79.23</v>
      </c>
      <c r="P978">
        <v>68.790000000000006</v>
      </c>
      <c r="Q978">
        <v>67.562036382300008</v>
      </c>
      <c r="R978">
        <v>18111858430.17421</v>
      </c>
      <c r="S978">
        <v>0</v>
      </c>
      <c r="T978" t="s">
        <v>6243</v>
      </c>
    </row>
    <row r="979" spans="1:40" x14ac:dyDescent="0.25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49.379240000000003</v>
      </c>
      <c r="H979" t="s">
        <v>100</v>
      </c>
      <c r="I979">
        <v>24071723743.692799</v>
      </c>
      <c r="J979" t="s">
        <v>4700</v>
      </c>
      <c r="K979">
        <v>66942755.907954201</v>
      </c>
      <c r="L979">
        <v>1</v>
      </c>
      <c r="M979" t="s">
        <v>5681</v>
      </c>
      <c r="N979">
        <v>0.61572563000000002</v>
      </c>
      <c r="O979">
        <v>78.88</v>
      </c>
      <c r="P979">
        <v>80.05</v>
      </c>
      <c r="Q979">
        <v>48.568437694399996</v>
      </c>
      <c r="R979">
        <v>23676468387.167419</v>
      </c>
      <c r="S979">
        <v>0</v>
      </c>
      <c r="T979" t="s">
        <v>6243</v>
      </c>
      <c r="AJ979" t="s">
        <v>6258</v>
      </c>
    </row>
    <row r="980" spans="1:40" x14ac:dyDescent="0.25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151.89449999999999</v>
      </c>
      <c r="H980" t="s">
        <v>97</v>
      </c>
      <c r="I980">
        <v>3706225800000</v>
      </c>
      <c r="J980" t="s">
        <v>4700</v>
      </c>
      <c r="K980">
        <v>24709076880.173599</v>
      </c>
      <c r="L980">
        <v>1</v>
      </c>
      <c r="M980" t="s">
        <v>5682</v>
      </c>
      <c r="N980">
        <v>0.85273301000000001</v>
      </c>
      <c r="O980">
        <v>177.82</v>
      </c>
      <c r="P980">
        <v>177.99</v>
      </c>
      <c r="Q980">
        <v>151.6329838382</v>
      </c>
      <c r="R980">
        <v>3699844805652.0801</v>
      </c>
      <c r="S980">
        <v>0</v>
      </c>
      <c r="T980" t="s">
        <v>6243</v>
      </c>
      <c r="AJ980" t="s">
        <v>6258</v>
      </c>
    </row>
    <row r="981" spans="1:40" x14ac:dyDescent="0.25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7008.7129999999997</v>
      </c>
      <c r="H981" t="s">
        <v>97</v>
      </c>
      <c r="I981">
        <v>20113611576.112999</v>
      </c>
      <c r="J981" t="s">
        <v>4700</v>
      </c>
      <c r="K981">
        <v>127482501.4316</v>
      </c>
      <c r="L981">
        <v>1</v>
      </c>
      <c r="M981" t="s">
        <v>5683</v>
      </c>
      <c r="N981">
        <v>0.85273301000000001</v>
      </c>
      <c r="O981">
        <v>8414.82</v>
      </c>
      <c r="P981">
        <v>8212.81</v>
      </c>
      <c r="Q981">
        <v>7175.5947872081997</v>
      </c>
      <c r="R981">
        <v>20592529095.924881</v>
      </c>
      <c r="S981">
        <v>0</v>
      </c>
      <c r="T981" t="s">
        <v>6243</v>
      </c>
      <c r="AJ981" t="s">
        <v>6258</v>
      </c>
      <c r="AN981" t="s">
        <v>6262</v>
      </c>
    </row>
    <row r="982" spans="1:40" x14ac:dyDescent="0.25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200.40110000000001</v>
      </c>
      <c r="H982" t="s">
        <v>97</v>
      </c>
      <c r="I982">
        <v>50524043166.060013</v>
      </c>
      <c r="J982" t="s">
        <v>4700</v>
      </c>
      <c r="K982">
        <v>503202827.78474802</v>
      </c>
      <c r="L982">
        <v>1</v>
      </c>
      <c r="M982" t="s">
        <v>5684</v>
      </c>
      <c r="N982">
        <v>0.85273301000000001</v>
      </c>
      <c r="O982">
        <v>218.82</v>
      </c>
      <c r="P982">
        <v>234.83</v>
      </c>
      <c r="Q982">
        <v>186.59503724819999</v>
      </c>
      <c r="R982">
        <v>47043333177.815041</v>
      </c>
      <c r="S982">
        <v>0</v>
      </c>
      <c r="T982" t="s">
        <v>6243</v>
      </c>
    </row>
    <row r="983" spans="1:40" x14ac:dyDescent="0.25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14.242990000000001</v>
      </c>
      <c r="H983" t="s">
        <v>99</v>
      </c>
      <c r="I983">
        <v>10276454587.423599</v>
      </c>
      <c r="J983" t="s">
        <v>4701</v>
      </c>
      <c r="K983">
        <v>31541271.361506399</v>
      </c>
      <c r="L983">
        <v>1</v>
      </c>
      <c r="M983" t="s">
        <v>5685</v>
      </c>
      <c r="N983">
        <v>5.7743899999999999E-3</v>
      </c>
      <c r="O983">
        <v>2502</v>
      </c>
      <c r="P983">
        <v>2451</v>
      </c>
      <c r="Q983">
        <v>14.447523779999999</v>
      </c>
      <c r="R983">
        <v>10424027681.39924</v>
      </c>
      <c r="S983">
        <v>0</v>
      </c>
      <c r="T983" t="s">
        <v>6244</v>
      </c>
    </row>
    <row r="984" spans="1:40" x14ac:dyDescent="0.25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31.147459999999999</v>
      </c>
      <c r="H984" t="s">
        <v>99</v>
      </c>
      <c r="I984">
        <v>15511435080</v>
      </c>
      <c r="J984" t="s">
        <v>4701</v>
      </c>
      <c r="K984">
        <v>28100115.493997902</v>
      </c>
      <c r="L984">
        <v>0.7</v>
      </c>
      <c r="M984" t="s">
        <v>5686</v>
      </c>
      <c r="N984">
        <v>5.7743899999999999E-3</v>
      </c>
      <c r="O984">
        <v>5431</v>
      </c>
      <c r="P984">
        <v>5360</v>
      </c>
      <c r="Q984">
        <v>31.36071209</v>
      </c>
      <c r="R984">
        <v>10932344234.573999</v>
      </c>
      <c r="S984">
        <v>0</v>
      </c>
      <c r="T984" t="s">
        <v>6244</v>
      </c>
    </row>
    <row r="985" spans="1:40" x14ac:dyDescent="0.25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61130310.534417801</v>
      </c>
      <c r="L985">
        <v>0.8</v>
      </c>
      <c r="M985" t="s">
        <v>5687</v>
      </c>
      <c r="N985">
        <v>0.66458430000000002</v>
      </c>
      <c r="O985">
        <v>16.850000000000001</v>
      </c>
      <c r="P985">
        <v>16.91</v>
      </c>
      <c r="Q985">
        <v>11.198245455</v>
      </c>
      <c r="R985">
        <v>40448023165.636002</v>
      </c>
      <c r="S985">
        <v>0</v>
      </c>
      <c r="T985" t="s">
        <v>6244</v>
      </c>
      <c r="U985" t="s">
        <v>6245</v>
      </c>
      <c r="AJ985" t="s">
        <v>6258</v>
      </c>
    </row>
    <row r="986" spans="1:40" x14ac:dyDescent="0.25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39.110770000000002</v>
      </c>
      <c r="H986" t="s">
        <v>97</v>
      </c>
      <c r="I986">
        <v>38502197032.215202</v>
      </c>
      <c r="J986" t="s">
        <v>4700</v>
      </c>
      <c r="K986">
        <v>429502500.47455502</v>
      </c>
      <c r="L986">
        <v>0.75</v>
      </c>
      <c r="M986" t="s">
        <v>5688</v>
      </c>
      <c r="N986">
        <v>0.85273301000000001</v>
      </c>
      <c r="O986">
        <v>45.67</v>
      </c>
      <c r="P986">
        <v>45.83</v>
      </c>
      <c r="Q986">
        <v>38.944316566700003</v>
      </c>
      <c r="R986">
        <v>28753750240.71463</v>
      </c>
      <c r="S986">
        <v>0</v>
      </c>
      <c r="T986" t="s">
        <v>6243</v>
      </c>
      <c r="AH986" t="s">
        <v>6256</v>
      </c>
      <c r="AJ986" t="s">
        <v>6258</v>
      </c>
    </row>
    <row r="987" spans="1:40" x14ac:dyDescent="0.25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10.178129999999999</v>
      </c>
      <c r="H987" t="s">
        <v>99</v>
      </c>
      <c r="I987">
        <v>3750617902.4261999</v>
      </c>
      <c r="J987" t="s">
        <v>4701</v>
      </c>
      <c r="K987">
        <v>9717349.2469357196</v>
      </c>
      <c r="L987">
        <v>0.95</v>
      </c>
      <c r="M987" t="s">
        <v>5689</v>
      </c>
      <c r="N987">
        <v>5.7743899999999999E-3</v>
      </c>
      <c r="O987">
        <v>1721.5</v>
      </c>
      <c r="P987">
        <v>1751.5</v>
      </c>
      <c r="Q987">
        <v>9.9406123849999997</v>
      </c>
      <c r="R987">
        <v>3479938538.1840839</v>
      </c>
      <c r="S987">
        <v>0</v>
      </c>
      <c r="T987" t="s">
        <v>6244</v>
      </c>
      <c r="W987" t="s">
        <v>6247</v>
      </c>
      <c r="AJ987" t="s">
        <v>6258</v>
      </c>
    </row>
    <row r="988" spans="1:40" x14ac:dyDescent="0.25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4.6773490000000004</v>
      </c>
      <c r="H988" t="s">
        <v>99</v>
      </c>
      <c r="I988">
        <v>4744617884.9421606</v>
      </c>
      <c r="J988" t="s">
        <v>4701</v>
      </c>
      <c r="K988">
        <v>20302291.581739899</v>
      </c>
      <c r="L988">
        <v>0.9</v>
      </c>
      <c r="M988" t="s">
        <v>5690</v>
      </c>
      <c r="N988">
        <v>5.7743899999999999E-3</v>
      </c>
      <c r="O988">
        <v>831.6</v>
      </c>
      <c r="P988">
        <v>804.9</v>
      </c>
      <c r="Q988">
        <v>4.8019827240000001</v>
      </c>
      <c r="R988">
        <v>4383939664.0973997</v>
      </c>
      <c r="S988">
        <v>0</v>
      </c>
      <c r="T988" t="s">
        <v>6244</v>
      </c>
      <c r="AJ988" t="s">
        <v>6258</v>
      </c>
    </row>
    <row r="989" spans="1:40" x14ac:dyDescent="0.25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247820703.18882701</v>
      </c>
      <c r="L989">
        <v>0.85</v>
      </c>
      <c r="M989" t="s">
        <v>5691</v>
      </c>
      <c r="N989">
        <v>0.85273301000000001</v>
      </c>
      <c r="O989">
        <v>144.88999999999999</v>
      </c>
      <c r="P989">
        <v>159.125</v>
      </c>
      <c r="Q989">
        <v>123.5524858189</v>
      </c>
      <c r="R989">
        <v>22071776716.394402</v>
      </c>
      <c r="S989">
        <v>0</v>
      </c>
      <c r="T989" t="s">
        <v>6243</v>
      </c>
      <c r="AJ989" t="s">
        <v>6258</v>
      </c>
      <c r="AN989" t="s">
        <v>6262</v>
      </c>
    </row>
    <row r="990" spans="1:40" x14ac:dyDescent="0.25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10.207179999999999</v>
      </c>
      <c r="H990" t="s">
        <v>99</v>
      </c>
      <c r="I990">
        <v>11627165115.034</v>
      </c>
      <c r="J990" t="s">
        <v>4701</v>
      </c>
      <c r="K990">
        <v>48297588.301199302</v>
      </c>
      <c r="L990">
        <v>1</v>
      </c>
      <c r="M990" t="s">
        <v>5692</v>
      </c>
      <c r="N990">
        <v>5.7743899999999999E-3</v>
      </c>
      <c r="O990">
        <v>1818</v>
      </c>
      <c r="P990">
        <v>1756.5</v>
      </c>
      <c r="Q990">
        <v>10.497841019999999</v>
      </c>
      <c r="R990">
        <v>11958261820.69062</v>
      </c>
      <c r="S990">
        <v>0</v>
      </c>
      <c r="T990" t="s">
        <v>6244</v>
      </c>
    </row>
    <row r="991" spans="1:40" x14ac:dyDescent="0.25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21.983360000000001</v>
      </c>
      <c r="H991" t="s">
        <v>99</v>
      </c>
      <c r="I991">
        <v>4533955225.3632002</v>
      </c>
      <c r="J991" t="s">
        <v>4701</v>
      </c>
      <c r="K991">
        <v>39767785.128481798</v>
      </c>
      <c r="L991">
        <v>1</v>
      </c>
      <c r="M991" t="s">
        <v>5693</v>
      </c>
      <c r="N991">
        <v>5.7743899999999999E-3</v>
      </c>
      <c r="O991">
        <v>3958</v>
      </c>
      <c r="P991">
        <v>3783</v>
      </c>
      <c r="Q991">
        <v>22.855035619999999</v>
      </c>
      <c r="R991">
        <v>4713733850.2922688</v>
      </c>
      <c r="S991">
        <v>0</v>
      </c>
      <c r="T991" t="s">
        <v>6244</v>
      </c>
    </row>
    <row r="992" spans="1:40" x14ac:dyDescent="0.25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18087815.931818198</v>
      </c>
      <c r="L992">
        <v>0.45</v>
      </c>
      <c r="M992" t="s">
        <v>5694</v>
      </c>
      <c r="N992">
        <v>1</v>
      </c>
      <c r="O992">
        <v>46.6</v>
      </c>
      <c r="P992">
        <v>49.06</v>
      </c>
      <c r="Q992">
        <v>46.6</v>
      </c>
      <c r="R992">
        <v>6862909357.8000002</v>
      </c>
      <c r="S992">
        <v>0</v>
      </c>
      <c r="T992" t="s">
        <v>6242</v>
      </c>
      <c r="AH992" t="s">
        <v>6256</v>
      </c>
      <c r="AJ992" t="s">
        <v>6258</v>
      </c>
    </row>
    <row r="993" spans="1:40" x14ac:dyDescent="0.25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44.248170000000002</v>
      </c>
      <c r="H993" t="s">
        <v>97</v>
      </c>
      <c r="I993">
        <v>18096351077.580002</v>
      </c>
      <c r="J993" t="s">
        <v>4700</v>
      </c>
      <c r="K993">
        <v>442186914.97453701</v>
      </c>
      <c r="L993">
        <v>1</v>
      </c>
      <c r="M993" t="s">
        <v>5695</v>
      </c>
      <c r="N993">
        <v>0.85273301000000001</v>
      </c>
      <c r="O993">
        <v>48.26</v>
      </c>
      <c r="P993">
        <v>51.85</v>
      </c>
      <c r="Q993">
        <v>41.152895062600003</v>
      </c>
      <c r="R993">
        <v>16830464105.33177</v>
      </c>
      <c r="S993">
        <v>0</v>
      </c>
      <c r="T993" t="s">
        <v>6243</v>
      </c>
    </row>
    <row r="994" spans="1:40" x14ac:dyDescent="0.25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63.867550000000001</v>
      </c>
      <c r="H994" t="s">
        <v>97</v>
      </c>
      <c r="I994">
        <v>40220972817.800003</v>
      </c>
      <c r="J994" t="s">
        <v>4700</v>
      </c>
      <c r="K994">
        <v>258489241.92013699</v>
      </c>
      <c r="L994">
        <v>1</v>
      </c>
      <c r="M994" t="s">
        <v>5696</v>
      </c>
      <c r="N994">
        <v>0.85273301000000001</v>
      </c>
      <c r="O994">
        <v>73.05</v>
      </c>
      <c r="P994">
        <v>74.84</v>
      </c>
      <c r="Q994">
        <v>62.2921463805</v>
      </c>
      <c r="R994">
        <v>39228852935.998161</v>
      </c>
      <c r="S994">
        <v>0</v>
      </c>
      <c r="T994" t="s">
        <v>6243</v>
      </c>
      <c r="AH994" t="s">
        <v>6256</v>
      </c>
      <c r="AJ994" t="s">
        <v>6258</v>
      </c>
    </row>
    <row r="995" spans="1:40" x14ac:dyDescent="0.25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9.6522249999999996</v>
      </c>
      <c r="H995" t="s">
        <v>99</v>
      </c>
      <c r="I995">
        <v>4813495111.4799995</v>
      </c>
      <c r="J995" t="s">
        <v>4701</v>
      </c>
      <c r="K995">
        <v>24175005.133500699</v>
      </c>
      <c r="L995">
        <v>0.95</v>
      </c>
      <c r="M995" t="s">
        <v>5697</v>
      </c>
      <c r="N995">
        <v>5.7743899999999999E-3</v>
      </c>
      <c r="O995">
        <v>1727</v>
      </c>
      <c r="P995">
        <v>1661</v>
      </c>
      <c r="Q995">
        <v>9.9723715300000002</v>
      </c>
      <c r="R995">
        <v>4724492386.889184</v>
      </c>
      <c r="S995">
        <v>0</v>
      </c>
      <c r="T995" t="s">
        <v>6244</v>
      </c>
    </row>
    <row r="996" spans="1:40" x14ac:dyDescent="0.25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43.292639999999999</v>
      </c>
      <c r="H996" t="s">
        <v>99</v>
      </c>
      <c r="I996">
        <v>5224958416.7519999</v>
      </c>
      <c r="J996" t="s">
        <v>4701</v>
      </c>
      <c r="K996">
        <v>11188169.876164099</v>
      </c>
      <c r="L996">
        <v>0.55000000000000004</v>
      </c>
      <c r="M996" t="s">
        <v>5698</v>
      </c>
      <c r="N996">
        <v>5.7743899999999999E-3</v>
      </c>
      <c r="O996">
        <v>7910</v>
      </c>
      <c r="P996">
        <v>7450</v>
      </c>
      <c r="Q996">
        <v>45.675424900000003</v>
      </c>
      <c r="R996">
        <v>3031894282.1109638</v>
      </c>
      <c r="S996">
        <v>0</v>
      </c>
      <c r="T996" t="s">
        <v>6244</v>
      </c>
      <c r="AJ996" t="s">
        <v>6258</v>
      </c>
    </row>
    <row r="997" spans="1:40" x14ac:dyDescent="0.25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201.71530000000001</v>
      </c>
      <c r="H997" t="s">
        <v>97</v>
      </c>
      <c r="I997">
        <v>566584591244.90002</v>
      </c>
      <c r="J997" t="s">
        <v>4700</v>
      </c>
      <c r="K997">
        <v>2544094954.9567399</v>
      </c>
      <c r="L997">
        <v>0.6</v>
      </c>
      <c r="M997" t="s">
        <v>5699</v>
      </c>
      <c r="N997">
        <v>0.85273301000000001</v>
      </c>
      <c r="O997">
        <v>292.18</v>
      </c>
      <c r="P997">
        <v>236.37</v>
      </c>
      <c r="Q997">
        <v>249.15153086180001</v>
      </c>
      <c r="R997">
        <v>419895025131.08539</v>
      </c>
      <c r="S997">
        <v>0</v>
      </c>
      <c r="T997" t="s">
        <v>6243</v>
      </c>
    </row>
    <row r="998" spans="1:40" x14ac:dyDescent="0.25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91.699039999999997</v>
      </c>
      <c r="H998" t="s">
        <v>99</v>
      </c>
      <c r="I998">
        <v>11765791949.571199</v>
      </c>
      <c r="J998" t="s">
        <v>4701</v>
      </c>
      <c r="K998">
        <v>14533699.3575332</v>
      </c>
      <c r="L998">
        <v>0.25</v>
      </c>
      <c r="M998" t="s">
        <v>5700</v>
      </c>
      <c r="N998">
        <v>5.7743899999999999E-3</v>
      </c>
      <c r="O998">
        <v>16480</v>
      </c>
      <c r="P998">
        <v>15780</v>
      </c>
      <c r="Q998">
        <v>95.1619472</v>
      </c>
      <c r="R998">
        <v>3052528336.914104</v>
      </c>
      <c r="S998">
        <v>0</v>
      </c>
      <c r="T998" t="s">
        <v>6244</v>
      </c>
    </row>
    <row r="999" spans="1:40" x14ac:dyDescent="0.25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38517619553.519997</v>
      </c>
      <c r="J999" t="s">
        <v>4702</v>
      </c>
      <c r="K999">
        <v>66815837.344962202</v>
      </c>
      <c r="L999">
        <v>0.65</v>
      </c>
      <c r="M999" t="s">
        <v>5701</v>
      </c>
      <c r="N999">
        <v>1</v>
      </c>
      <c r="O999">
        <v>13.9</v>
      </c>
      <c r="P999">
        <v>14.48</v>
      </c>
      <c r="Q999">
        <v>13.9</v>
      </c>
      <c r="R999">
        <v>24033611371.965</v>
      </c>
      <c r="S999">
        <v>1</v>
      </c>
      <c r="T999" t="s">
        <v>6242</v>
      </c>
    </row>
    <row r="1000" spans="1:40" x14ac:dyDescent="0.25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87.310119999999998</v>
      </c>
      <c r="H1000" t="s">
        <v>97</v>
      </c>
      <c r="I1000">
        <v>74082348696.604004</v>
      </c>
      <c r="J1000" t="s">
        <v>4700</v>
      </c>
      <c r="K1000">
        <v>409058459.66482002</v>
      </c>
      <c r="L1000">
        <v>1</v>
      </c>
      <c r="M1000" t="s">
        <v>5702</v>
      </c>
      <c r="N1000">
        <v>0.85273301000000001</v>
      </c>
      <c r="O1000">
        <v>107.5</v>
      </c>
      <c r="P1000">
        <v>102.31</v>
      </c>
      <c r="Q1000">
        <v>91.668798574999997</v>
      </c>
      <c r="R1000">
        <v>77780673083.852203</v>
      </c>
      <c r="S1000">
        <v>0</v>
      </c>
      <c r="T1000" t="s">
        <v>6243</v>
      </c>
      <c r="AJ1000" t="s">
        <v>6258</v>
      </c>
    </row>
    <row r="1001" spans="1:40" x14ac:dyDescent="0.25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12.173679999999999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0.56652409000000004</v>
      </c>
      <c r="O1001">
        <v>21.01</v>
      </c>
      <c r="P1001">
        <v>21.97</v>
      </c>
      <c r="Q1001">
        <v>11.9026711309</v>
      </c>
      <c r="R1001">
        <v>5388056127.8282528</v>
      </c>
      <c r="S1001">
        <v>0</v>
      </c>
      <c r="T1001" t="s">
        <v>6244</v>
      </c>
      <c r="U1001" t="s">
        <v>6245</v>
      </c>
      <c r="AG1001" t="s">
        <v>6255</v>
      </c>
      <c r="AJ1001" t="s">
        <v>6258</v>
      </c>
      <c r="AN1001" t="s">
        <v>6262</v>
      </c>
    </row>
    <row r="1002" spans="1:40" x14ac:dyDescent="0.25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20.948989999999998</v>
      </c>
      <c r="H1002" t="s">
        <v>99</v>
      </c>
      <c r="I1002">
        <v>37717625804.691994</v>
      </c>
      <c r="J1002" t="s">
        <v>4701</v>
      </c>
      <c r="K1002">
        <v>77626326.079608694</v>
      </c>
      <c r="L1002">
        <v>0.65</v>
      </c>
      <c r="M1002" t="s">
        <v>5704</v>
      </c>
      <c r="N1002">
        <v>5.7743899999999999E-3</v>
      </c>
      <c r="O1002">
        <v>3594</v>
      </c>
      <c r="P1002">
        <v>3605</v>
      </c>
      <c r="Q1002">
        <v>20.753157659999999</v>
      </c>
      <c r="R1002">
        <v>24287275552.457531</v>
      </c>
      <c r="S1002">
        <v>0</v>
      </c>
      <c r="T1002" t="s">
        <v>6244</v>
      </c>
    </row>
    <row r="1003" spans="1:40" x14ac:dyDescent="0.25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7.2255269999999996</v>
      </c>
      <c r="H1003" t="s">
        <v>4691</v>
      </c>
      <c r="I1003">
        <v>12447760020.537901</v>
      </c>
      <c r="J1003" t="s">
        <v>4701</v>
      </c>
      <c r="K1003">
        <v>21985657.6437038</v>
      </c>
      <c r="L1003">
        <v>1</v>
      </c>
      <c r="M1003" t="s">
        <v>5705</v>
      </c>
      <c r="N1003">
        <v>0.56652409000000004</v>
      </c>
      <c r="O1003">
        <v>12.4</v>
      </c>
      <c r="P1003">
        <v>13.04</v>
      </c>
      <c r="Q1003">
        <v>7.0248987160000009</v>
      </c>
      <c r="R1003">
        <v>12102128105.721951</v>
      </c>
      <c r="S1003">
        <v>0</v>
      </c>
      <c r="T1003" t="s">
        <v>6244</v>
      </c>
      <c r="U1003" t="s">
        <v>6245</v>
      </c>
      <c r="AG1003" t="s">
        <v>6255</v>
      </c>
      <c r="AH1003" t="s">
        <v>6256</v>
      </c>
    </row>
    <row r="1004" spans="1:40" x14ac:dyDescent="0.25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69.349999999999994</v>
      </c>
      <c r="H1004" t="s">
        <v>98</v>
      </c>
      <c r="I1004">
        <v>7570419374.999999</v>
      </c>
      <c r="J1004" t="s">
        <v>4702</v>
      </c>
      <c r="K1004">
        <v>13573954.772812501</v>
      </c>
      <c r="L1004">
        <v>1</v>
      </c>
      <c r="M1004" t="s">
        <v>5706</v>
      </c>
      <c r="N1004">
        <v>1</v>
      </c>
      <c r="O1004">
        <v>68.150000000000006</v>
      </c>
      <c r="P1004">
        <v>69.349999999999994</v>
      </c>
      <c r="Q1004">
        <v>68.150000000000006</v>
      </c>
      <c r="R1004">
        <v>7439424375.000001</v>
      </c>
      <c r="S1004">
        <v>0</v>
      </c>
      <c r="T1004" t="s">
        <v>6242</v>
      </c>
    </row>
    <row r="1005" spans="1:40" x14ac:dyDescent="0.25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22.233239999999999</v>
      </c>
      <c r="H1005" t="s">
        <v>99</v>
      </c>
      <c r="I1005">
        <v>25856419926.852001</v>
      </c>
      <c r="J1005" t="s">
        <v>4701</v>
      </c>
      <c r="K1005">
        <v>60621193.7064678</v>
      </c>
      <c r="L1005">
        <v>1</v>
      </c>
      <c r="M1005" t="s">
        <v>5707</v>
      </c>
      <c r="N1005">
        <v>5.7743899999999999E-3</v>
      </c>
      <c r="O1005">
        <v>3950</v>
      </c>
      <c r="P1005">
        <v>3826</v>
      </c>
      <c r="Q1005">
        <v>22.808840499999999</v>
      </c>
      <c r="R1005">
        <v>26525821608.21315</v>
      </c>
      <c r="S1005">
        <v>0</v>
      </c>
      <c r="T1005" t="s">
        <v>6244</v>
      </c>
      <c r="AJ1005" t="s">
        <v>6258</v>
      </c>
    </row>
    <row r="1006" spans="1:40" x14ac:dyDescent="0.25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1164.5429999999999</v>
      </c>
      <c r="H1006" t="s">
        <v>99</v>
      </c>
      <c r="I1006">
        <v>3214138680</v>
      </c>
      <c r="J1006" t="s">
        <v>4701</v>
      </c>
      <c r="K1006">
        <v>7586526.9329128005</v>
      </c>
      <c r="L1006">
        <v>0.95</v>
      </c>
      <c r="M1006" t="s">
        <v>5708</v>
      </c>
      <c r="N1006">
        <v>5.7743899999999999E-3</v>
      </c>
      <c r="O1006">
        <v>99600</v>
      </c>
      <c r="P1006">
        <v>200400</v>
      </c>
      <c r="Q1006">
        <v>575.12924399999997</v>
      </c>
      <c r="R1006">
        <v>1507988877.7679999</v>
      </c>
      <c r="S1006">
        <v>0</v>
      </c>
      <c r="T1006" t="s">
        <v>6244</v>
      </c>
      <c r="W1006" t="s">
        <v>6247</v>
      </c>
    </row>
    <row r="1007" spans="1:40" x14ac:dyDescent="0.25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9.7161530000000003</v>
      </c>
      <c r="H1007" t="s">
        <v>4695</v>
      </c>
      <c r="I1007">
        <v>9730056523.4584103</v>
      </c>
      <c r="J1007" t="s">
        <v>4699</v>
      </c>
      <c r="K1007">
        <v>9705816.7804751396</v>
      </c>
      <c r="L1007">
        <v>0.75</v>
      </c>
      <c r="M1007" t="s">
        <v>5709</v>
      </c>
      <c r="N1007">
        <v>8.6344599999999994E-2</v>
      </c>
      <c r="O1007">
        <v>113.3</v>
      </c>
      <c r="P1007">
        <v>114.5</v>
      </c>
      <c r="Q1007">
        <v>9.7828431799999986</v>
      </c>
      <c r="R1007">
        <v>7347631601.3289623</v>
      </c>
      <c r="S1007">
        <v>0</v>
      </c>
      <c r="T1007" t="s">
        <v>6242</v>
      </c>
      <c r="U1007" t="s">
        <v>6245</v>
      </c>
      <c r="W1007" t="s">
        <v>6247</v>
      </c>
    </row>
    <row r="1008" spans="1:40" x14ac:dyDescent="0.25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28.681370000000001</v>
      </c>
      <c r="H1008" t="s">
        <v>4696</v>
      </c>
      <c r="I1008">
        <v>12057105009.665899</v>
      </c>
      <c r="J1008" t="s">
        <v>4699</v>
      </c>
      <c r="K1008">
        <v>21180607.366915401</v>
      </c>
      <c r="L1008">
        <v>0.4</v>
      </c>
      <c r="M1008" t="s">
        <v>5710</v>
      </c>
      <c r="N1008">
        <v>0.13397104000000001</v>
      </c>
      <c r="O1008">
        <v>200.3</v>
      </c>
      <c r="P1008">
        <v>214.1</v>
      </c>
      <c r="Q1008">
        <v>26.834399312000009</v>
      </c>
      <c r="R1008">
        <v>4512269398.2343311</v>
      </c>
      <c r="S1008">
        <v>0</v>
      </c>
      <c r="T1008" t="s">
        <v>6242</v>
      </c>
      <c r="U1008" t="s">
        <v>6245</v>
      </c>
    </row>
    <row r="1009" spans="1:40" x14ac:dyDescent="0.25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9999951342.9460011</v>
      </c>
      <c r="J1009" t="s">
        <v>4701</v>
      </c>
      <c r="K1009">
        <v>21861660.758766301</v>
      </c>
      <c r="L1009">
        <v>1</v>
      </c>
      <c r="M1009" t="s">
        <v>5711</v>
      </c>
      <c r="N1009">
        <v>5.7743899999999999E-3</v>
      </c>
      <c r="O1009">
        <v>4372</v>
      </c>
      <c r="P1009">
        <v>4325</v>
      </c>
      <c r="Q1009">
        <v>25.245633080000001</v>
      </c>
      <c r="R1009">
        <v>10044777932.009939</v>
      </c>
      <c r="S1009">
        <v>0</v>
      </c>
      <c r="T1009" t="s">
        <v>6244</v>
      </c>
      <c r="AG1009" t="s">
        <v>6255</v>
      </c>
      <c r="AH1009" t="s">
        <v>6256</v>
      </c>
      <c r="AJ1009" t="s">
        <v>6258</v>
      </c>
      <c r="AN1009" t="s">
        <v>6262</v>
      </c>
    </row>
    <row r="1010" spans="1:40" x14ac:dyDescent="0.25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75.593109999999996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0.85273301000000001</v>
      </c>
      <c r="O1010">
        <v>89.06</v>
      </c>
      <c r="P1010">
        <v>88.58</v>
      </c>
      <c r="Q1010">
        <v>75.944401870600004</v>
      </c>
      <c r="R1010">
        <v>29806295831.932152</v>
      </c>
      <c r="S1010">
        <v>0</v>
      </c>
      <c r="T1010" t="s">
        <v>6243</v>
      </c>
    </row>
    <row r="1011" spans="1:40" x14ac:dyDescent="0.25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18.148040000000002</v>
      </c>
      <c r="H1011" t="s">
        <v>99</v>
      </c>
      <c r="I1011">
        <v>6896332147.6896009</v>
      </c>
      <c r="J1011" t="s">
        <v>4701</v>
      </c>
      <c r="K1011">
        <v>17944169.888700601</v>
      </c>
      <c r="L1011">
        <v>0.65</v>
      </c>
      <c r="M1011" t="s">
        <v>5713</v>
      </c>
      <c r="N1011">
        <v>5.7743899999999999E-3</v>
      </c>
      <c r="O1011">
        <v>3188</v>
      </c>
      <c r="P1011">
        <v>3123</v>
      </c>
      <c r="Q1011">
        <v>18.408755320000001</v>
      </c>
      <c r="R1011">
        <v>4547013298.5696621</v>
      </c>
      <c r="S1011">
        <v>0</v>
      </c>
      <c r="T1011" t="s">
        <v>6244</v>
      </c>
    </row>
    <row r="1012" spans="1:40" x14ac:dyDescent="0.25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25451122327.803001</v>
      </c>
      <c r="J1012" t="s">
        <v>4701</v>
      </c>
      <c r="K1012">
        <v>61224398.655296497</v>
      </c>
      <c r="L1012">
        <v>0.9</v>
      </c>
      <c r="M1012" t="s">
        <v>5714</v>
      </c>
      <c r="N1012">
        <v>5.7743899999999999E-3</v>
      </c>
      <c r="O1012">
        <v>8506</v>
      </c>
      <c r="P1012">
        <v>8066</v>
      </c>
      <c r="Q1012">
        <v>49.116961340000003</v>
      </c>
      <c r="R1012">
        <v>24002968328.414211</v>
      </c>
      <c r="S1012">
        <v>0</v>
      </c>
      <c r="T1012" t="s">
        <v>6244</v>
      </c>
    </row>
    <row r="1013" spans="1:40" x14ac:dyDescent="0.25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86.618870000000001</v>
      </c>
      <c r="H1013" t="s">
        <v>97</v>
      </c>
      <c r="I1013">
        <v>45483863141.157997</v>
      </c>
      <c r="J1013" t="s">
        <v>4700</v>
      </c>
      <c r="K1013">
        <v>228332582.94665399</v>
      </c>
      <c r="L1013">
        <v>1</v>
      </c>
      <c r="M1013" t="s">
        <v>5715</v>
      </c>
      <c r="N1013">
        <v>0.85273301000000001</v>
      </c>
      <c r="O1013">
        <v>102.51</v>
      </c>
      <c r="P1013">
        <v>101.5</v>
      </c>
      <c r="Q1013">
        <v>87.413660855100005</v>
      </c>
      <c r="R1013">
        <v>45901210521.459923</v>
      </c>
      <c r="S1013">
        <v>0</v>
      </c>
      <c r="T1013" t="s">
        <v>6243</v>
      </c>
      <c r="AN1013" t="s">
        <v>6262</v>
      </c>
    </row>
    <row r="1014" spans="1:40" x14ac:dyDescent="0.25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16335629513.243999</v>
      </c>
      <c r="J1014" t="s">
        <v>4700</v>
      </c>
      <c r="K1014">
        <v>125868064.199209</v>
      </c>
      <c r="L1014">
        <v>1</v>
      </c>
      <c r="M1014" t="s">
        <v>5716</v>
      </c>
      <c r="N1014">
        <v>0.85273301000000001</v>
      </c>
      <c r="O1014">
        <v>215.15</v>
      </c>
      <c r="P1014">
        <v>212.74</v>
      </c>
      <c r="Q1014">
        <v>183.46550710150001</v>
      </c>
      <c r="R1014">
        <v>16508002501.07431</v>
      </c>
      <c r="S1014">
        <v>0</v>
      </c>
      <c r="T1014" t="s">
        <v>6243</v>
      </c>
      <c r="AJ1014" t="s">
        <v>6258</v>
      </c>
    </row>
    <row r="1015" spans="1:40" x14ac:dyDescent="0.25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135.46680000000001</v>
      </c>
      <c r="H1015" t="s">
        <v>97</v>
      </c>
      <c r="I1015">
        <v>308086927768.20001</v>
      </c>
      <c r="J1015" t="s">
        <v>4700</v>
      </c>
      <c r="K1015">
        <v>9749180052.1586609</v>
      </c>
      <c r="L1015">
        <v>1</v>
      </c>
      <c r="M1015" t="s">
        <v>5717</v>
      </c>
      <c r="N1015">
        <v>0.85273301000000001</v>
      </c>
      <c r="O1015">
        <v>171.43</v>
      </c>
      <c r="P1015">
        <v>158.74</v>
      </c>
      <c r="Q1015">
        <v>146.18401990429999</v>
      </c>
      <c r="R1015">
        <v>332460688383.58319</v>
      </c>
      <c r="S1015">
        <v>0</v>
      </c>
      <c r="T1015" t="s">
        <v>6243</v>
      </c>
    </row>
    <row r="1016" spans="1:40" x14ac:dyDescent="0.25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158.62780000000001</v>
      </c>
      <c r="H1016" t="s">
        <v>97</v>
      </c>
      <c r="I1016">
        <v>105879767204.28799</v>
      </c>
      <c r="J1016" t="s">
        <v>4700</v>
      </c>
      <c r="K1016">
        <v>1215881535.26319</v>
      </c>
      <c r="L1016">
        <v>1</v>
      </c>
      <c r="M1016" t="s">
        <v>5718</v>
      </c>
      <c r="N1016">
        <v>0.85273301000000001</v>
      </c>
      <c r="O1016">
        <v>196.29</v>
      </c>
      <c r="P1016">
        <v>185.88</v>
      </c>
      <c r="Q1016">
        <v>167.3829625329</v>
      </c>
      <c r="R1016">
        <v>111723601455.4039</v>
      </c>
      <c r="S1016">
        <v>0</v>
      </c>
      <c r="T1016" t="s">
        <v>6243</v>
      </c>
    </row>
    <row r="1017" spans="1:40" x14ac:dyDescent="0.25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32.001690000000004</v>
      </c>
      <c r="H1017" t="s">
        <v>99</v>
      </c>
      <c r="I1017">
        <v>20332942576.820999</v>
      </c>
      <c r="J1017" t="s">
        <v>4701</v>
      </c>
      <c r="K1017">
        <v>47990207.1296876</v>
      </c>
      <c r="L1017">
        <v>0.6</v>
      </c>
      <c r="M1017" t="s">
        <v>5719</v>
      </c>
      <c r="N1017">
        <v>5.7743899999999999E-3</v>
      </c>
      <c r="O1017">
        <v>5244</v>
      </c>
      <c r="P1017">
        <v>5507</v>
      </c>
      <c r="Q1017">
        <v>30.280901159999999</v>
      </c>
      <c r="R1017">
        <v>11543762053.704149</v>
      </c>
      <c r="S1017">
        <v>0</v>
      </c>
      <c r="T1017" t="s">
        <v>6244</v>
      </c>
      <c r="AJ1017" t="s">
        <v>6258</v>
      </c>
    </row>
    <row r="1018" spans="1:40" x14ac:dyDescent="0.25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8.9752320000000001</v>
      </c>
      <c r="H1018" t="s">
        <v>99</v>
      </c>
      <c r="I1018">
        <v>22029943890.124802</v>
      </c>
      <c r="J1018" t="s">
        <v>4701</v>
      </c>
      <c r="K1018">
        <v>71770919.201126099</v>
      </c>
      <c r="L1018">
        <v>1</v>
      </c>
      <c r="M1018" t="s">
        <v>5720</v>
      </c>
      <c r="N1018">
        <v>5.7743899999999999E-3</v>
      </c>
      <c r="O1018">
        <v>1558.5</v>
      </c>
      <c r="P1018">
        <v>1544.5</v>
      </c>
      <c r="Q1018">
        <v>8.9993868149999994</v>
      </c>
      <c r="R1018">
        <v>22089232521.22942</v>
      </c>
      <c r="S1018">
        <v>0</v>
      </c>
      <c r="T1018" t="s">
        <v>6244</v>
      </c>
    </row>
    <row r="1019" spans="1:40" x14ac:dyDescent="0.25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26180789.428953301</v>
      </c>
      <c r="L1019">
        <v>0.95</v>
      </c>
      <c r="M1019" t="s">
        <v>5721</v>
      </c>
      <c r="N1019">
        <v>0.13397104000000001</v>
      </c>
      <c r="O1019">
        <v>871.2</v>
      </c>
      <c r="P1019">
        <v>912</v>
      </c>
      <c r="Q1019">
        <v>116.715570048</v>
      </c>
      <c r="R1019">
        <v>8759503532.1024017</v>
      </c>
      <c r="S1019">
        <v>0</v>
      </c>
      <c r="T1019" t="s">
        <v>6242</v>
      </c>
      <c r="U1019" t="s">
        <v>6245</v>
      </c>
      <c r="AN1019" t="s">
        <v>6262</v>
      </c>
    </row>
    <row r="1020" spans="1:40" x14ac:dyDescent="0.25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642.02940000000001</v>
      </c>
      <c r="H1020" t="s">
        <v>97</v>
      </c>
      <c r="I1020">
        <v>81333664755.210007</v>
      </c>
      <c r="J1020" t="s">
        <v>4700</v>
      </c>
      <c r="K1020">
        <v>383547946.08338702</v>
      </c>
      <c r="L1020">
        <v>1</v>
      </c>
      <c r="M1020" t="s">
        <v>5722</v>
      </c>
      <c r="N1020">
        <v>0.85273301000000001</v>
      </c>
      <c r="O1020">
        <v>758.78</v>
      </c>
      <c r="P1020">
        <v>752.33</v>
      </c>
      <c r="Q1020">
        <v>647.03675332779994</v>
      </c>
      <c r="R1020">
        <v>81968007040.585358</v>
      </c>
      <c r="S1020">
        <v>0</v>
      </c>
      <c r="T1020" t="s">
        <v>6243</v>
      </c>
      <c r="AJ1020" t="s">
        <v>6258</v>
      </c>
    </row>
    <row r="1021" spans="1:40" x14ac:dyDescent="0.25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61925782.159709401</v>
      </c>
      <c r="L1021">
        <v>0.85</v>
      </c>
      <c r="M1021" t="s">
        <v>5723</v>
      </c>
      <c r="N1021">
        <v>1.07032003</v>
      </c>
      <c r="O1021">
        <v>1075.5</v>
      </c>
      <c r="P1021">
        <v>1132.5</v>
      </c>
      <c r="Q1021">
        <v>1151.129192265</v>
      </c>
      <c r="R1021">
        <v>26124877018.454182</v>
      </c>
      <c r="S1021">
        <v>0</v>
      </c>
      <c r="T1021" t="s">
        <v>6242</v>
      </c>
      <c r="U1021" t="s">
        <v>6245</v>
      </c>
      <c r="AJ1021" t="s">
        <v>6258</v>
      </c>
    </row>
    <row r="1022" spans="1:40" x14ac:dyDescent="0.25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43288920784.872002</v>
      </c>
      <c r="J1022" t="s">
        <v>4700</v>
      </c>
      <c r="K1022">
        <v>288920136.74623001</v>
      </c>
      <c r="L1022">
        <v>0.9</v>
      </c>
      <c r="M1022" t="s">
        <v>5724</v>
      </c>
      <c r="N1022">
        <v>0.85273301000000001</v>
      </c>
      <c r="O1022">
        <v>135.11000000000001</v>
      </c>
      <c r="P1022">
        <v>140.81</v>
      </c>
      <c r="Q1022">
        <v>115.2127569811</v>
      </c>
      <c r="R1022">
        <v>37354220503.416893</v>
      </c>
      <c r="S1022">
        <v>0</v>
      </c>
      <c r="T1022" t="s">
        <v>6243</v>
      </c>
    </row>
    <row r="1023" spans="1:40" x14ac:dyDescent="0.25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59.651820000000001</v>
      </c>
      <c r="H1023" t="s">
        <v>97</v>
      </c>
      <c r="I1023">
        <v>56990060348.688004</v>
      </c>
      <c r="J1023" t="s">
        <v>4700</v>
      </c>
      <c r="K1023">
        <v>654791912.83758295</v>
      </c>
      <c r="L1023">
        <v>1</v>
      </c>
      <c r="M1023" t="s">
        <v>5725</v>
      </c>
      <c r="N1023">
        <v>0.85273301000000001</v>
      </c>
      <c r="O1023">
        <v>66.89</v>
      </c>
      <c r="P1023">
        <v>69.900000000000006</v>
      </c>
      <c r="Q1023">
        <v>57.039311038900003</v>
      </c>
      <c r="R1023">
        <v>54494125717.446617</v>
      </c>
      <c r="S1023">
        <v>0</v>
      </c>
      <c r="T1023" t="s">
        <v>6243</v>
      </c>
    </row>
    <row r="1024" spans="1:40" x14ac:dyDescent="0.25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0.57884210000000003</v>
      </c>
      <c r="H1024" t="s">
        <v>4692</v>
      </c>
      <c r="I1024">
        <v>4480853452.57335</v>
      </c>
      <c r="J1024" t="s">
        <v>4701</v>
      </c>
      <c r="K1024">
        <v>5718239.1428145804</v>
      </c>
      <c r="L1024">
        <v>0.5</v>
      </c>
      <c r="M1024" t="s">
        <v>5726</v>
      </c>
      <c r="N1024">
        <v>0.10956983000000001</v>
      </c>
      <c r="O1024">
        <v>5.4</v>
      </c>
      <c r="P1024">
        <v>5.3</v>
      </c>
      <c r="Q1024">
        <v>0.59167708200000002</v>
      </c>
      <c r="R1024">
        <v>2290104931.6283541</v>
      </c>
      <c r="S1024">
        <v>0</v>
      </c>
      <c r="T1024" t="s">
        <v>6244</v>
      </c>
      <c r="U1024" t="s">
        <v>6245</v>
      </c>
      <c r="W1024" t="s">
        <v>6247</v>
      </c>
      <c r="AN1024" t="s">
        <v>6262</v>
      </c>
    </row>
    <row r="1025" spans="1:37" x14ac:dyDescent="0.25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8200336160.0549994</v>
      </c>
      <c r="J1025" t="s">
        <v>4699</v>
      </c>
      <c r="K1025">
        <v>18755644.8151046</v>
      </c>
      <c r="L1025">
        <v>0.85</v>
      </c>
      <c r="M1025" t="s">
        <v>5727</v>
      </c>
      <c r="N1025">
        <v>1.156136E-2</v>
      </c>
      <c r="O1025">
        <v>1049.5</v>
      </c>
      <c r="P1025">
        <v>1099</v>
      </c>
      <c r="Q1025">
        <v>12.13364732</v>
      </c>
      <c r="R1025">
        <v>6667706445.9222231</v>
      </c>
      <c r="S1025">
        <v>0</v>
      </c>
      <c r="T1025" t="s">
        <v>6242</v>
      </c>
    </row>
    <row r="1026" spans="1:37" x14ac:dyDescent="0.25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32.471240000000002</v>
      </c>
      <c r="H1026" t="s">
        <v>100</v>
      </c>
      <c r="I1026">
        <v>18862803085.919998</v>
      </c>
      <c r="J1026" t="s">
        <v>4700</v>
      </c>
      <c r="K1026">
        <v>112991689.757955</v>
      </c>
      <c r="L1026">
        <v>1</v>
      </c>
      <c r="M1026" t="s">
        <v>5728</v>
      </c>
      <c r="N1026">
        <v>0.61572563000000002</v>
      </c>
      <c r="O1026">
        <v>54.33</v>
      </c>
      <c r="P1026">
        <v>52.64</v>
      </c>
      <c r="Q1026">
        <v>33.452373477899997</v>
      </c>
      <c r="R1026">
        <v>19432751372.299931</v>
      </c>
      <c r="S1026">
        <v>0</v>
      </c>
      <c r="T1026" t="s">
        <v>6243</v>
      </c>
      <c r="AH1026" t="s">
        <v>6256</v>
      </c>
      <c r="AJ1026" t="s">
        <v>6258</v>
      </c>
    </row>
    <row r="1027" spans="1:37" x14ac:dyDescent="0.25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92.677930000000003</v>
      </c>
      <c r="H1027" t="s">
        <v>97</v>
      </c>
      <c r="I1027">
        <v>15192809839.091801</v>
      </c>
      <c r="J1027" t="s">
        <v>4700</v>
      </c>
      <c r="K1027">
        <v>134653087.47970301</v>
      </c>
      <c r="L1027">
        <v>1</v>
      </c>
      <c r="M1027" t="s">
        <v>5729</v>
      </c>
      <c r="N1027">
        <v>0.85273301000000001</v>
      </c>
      <c r="O1027">
        <v>110.95</v>
      </c>
      <c r="P1027">
        <v>108.6</v>
      </c>
      <c r="Q1027">
        <v>94.610727459499998</v>
      </c>
      <c r="R1027">
        <v>15509655761.952431</v>
      </c>
      <c r="S1027">
        <v>0</v>
      </c>
      <c r="T1027" t="s">
        <v>6243</v>
      </c>
      <c r="AJ1027" t="s">
        <v>6258</v>
      </c>
    </row>
    <row r="1028" spans="1:37" x14ac:dyDescent="0.25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127.70099999999999</v>
      </c>
      <c r="H1028" t="s">
        <v>97</v>
      </c>
      <c r="I1028">
        <v>174832514747.10001</v>
      </c>
      <c r="J1028" t="s">
        <v>4700</v>
      </c>
      <c r="K1028">
        <v>1139028520.4605501</v>
      </c>
      <c r="L1028">
        <v>1</v>
      </c>
      <c r="M1028" t="s">
        <v>5730</v>
      </c>
      <c r="N1028">
        <v>0.85273301000000001</v>
      </c>
      <c r="O1028">
        <v>143.53</v>
      </c>
      <c r="P1028">
        <v>149.63999999999999</v>
      </c>
      <c r="Q1028">
        <v>122.3927689253</v>
      </c>
      <c r="R1028">
        <v>167565137141.21979</v>
      </c>
      <c r="S1028">
        <v>0</v>
      </c>
      <c r="T1028" t="s">
        <v>6243</v>
      </c>
    </row>
    <row r="1029" spans="1:37" x14ac:dyDescent="0.25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49293825.702424198</v>
      </c>
      <c r="L1029">
        <v>0.8</v>
      </c>
      <c r="M1029" t="s">
        <v>5731</v>
      </c>
      <c r="N1029">
        <v>1</v>
      </c>
      <c r="O1029">
        <v>90.42</v>
      </c>
      <c r="P1029">
        <v>101.85</v>
      </c>
      <c r="Q1029">
        <v>90.42</v>
      </c>
      <c r="R1029">
        <v>18248144489.52</v>
      </c>
      <c r="S1029">
        <v>1</v>
      </c>
      <c r="T1029" t="s">
        <v>6242</v>
      </c>
    </row>
    <row r="1030" spans="1:37" x14ac:dyDescent="0.25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2694921385.4976001</v>
      </c>
      <c r="J1030" t="s">
        <v>4701</v>
      </c>
      <c r="K1030">
        <v>10389730.3876855</v>
      </c>
      <c r="L1030">
        <v>1</v>
      </c>
      <c r="M1030" t="s">
        <v>5732</v>
      </c>
      <c r="N1030">
        <v>0.56652409000000004</v>
      </c>
      <c r="O1030">
        <v>4.3499999999999996</v>
      </c>
      <c r="P1030">
        <v>3.6</v>
      </c>
      <c r="Q1030">
        <v>2.4643797914999999</v>
      </c>
      <c r="R1030">
        <v>3329349497.262835</v>
      </c>
      <c r="S1030">
        <v>0</v>
      </c>
      <c r="T1030" t="s">
        <v>6244</v>
      </c>
      <c r="U1030" t="s">
        <v>6245</v>
      </c>
      <c r="AJ1030" t="s">
        <v>6258</v>
      </c>
    </row>
    <row r="1031" spans="1:37" x14ac:dyDescent="0.25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1.156136E-2</v>
      </c>
      <c r="O1031">
        <v>1088</v>
      </c>
      <c r="P1031">
        <v>1128.5</v>
      </c>
      <c r="Q1031">
        <v>12.578759679999999</v>
      </c>
      <c r="R1031">
        <v>4029211948.3100162</v>
      </c>
      <c r="S1031">
        <v>0</v>
      </c>
      <c r="T1031" t="s">
        <v>6242</v>
      </c>
    </row>
    <row r="1032" spans="1:37" x14ac:dyDescent="0.25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1.6735949999999999</v>
      </c>
      <c r="H1032" t="s">
        <v>99</v>
      </c>
      <c r="I1032">
        <v>3813181942.5314999</v>
      </c>
      <c r="J1032" t="s">
        <v>4701</v>
      </c>
      <c r="K1032">
        <v>11620496.6684485</v>
      </c>
      <c r="L1032">
        <v>0.8</v>
      </c>
      <c r="M1032" t="s">
        <v>5734</v>
      </c>
      <c r="N1032">
        <v>5.7743899999999999E-3</v>
      </c>
      <c r="O1032">
        <v>289</v>
      </c>
      <c r="P1032">
        <v>288</v>
      </c>
      <c r="Q1032">
        <v>1.6687987099999999</v>
      </c>
      <c r="R1032">
        <v>3041803115.6602941</v>
      </c>
      <c r="S1032">
        <v>0</v>
      </c>
      <c r="T1032" t="s">
        <v>6244</v>
      </c>
    </row>
    <row r="1033" spans="1:37" x14ac:dyDescent="0.25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125569244549.70399</v>
      </c>
      <c r="J1033" t="s">
        <v>4700</v>
      </c>
      <c r="K1033">
        <v>853112937.637995</v>
      </c>
      <c r="L1033">
        <v>1</v>
      </c>
      <c r="M1033" t="s">
        <v>5735</v>
      </c>
      <c r="N1033">
        <v>0.85273301000000001</v>
      </c>
      <c r="O1033">
        <v>23.87</v>
      </c>
      <c r="P1033">
        <v>25.88</v>
      </c>
      <c r="Q1033">
        <v>20.354736948700001</v>
      </c>
      <c r="R1033">
        <v>115727880765.1024</v>
      </c>
      <c r="S1033">
        <v>0</v>
      </c>
      <c r="T1033" t="s">
        <v>6243</v>
      </c>
    </row>
    <row r="1034" spans="1:37" x14ac:dyDescent="0.25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12.962960000000001</v>
      </c>
      <c r="H1034" t="s">
        <v>97</v>
      </c>
      <c r="I1034">
        <v>28490478302.703999</v>
      </c>
      <c r="J1034" t="s">
        <v>4700</v>
      </c>
      <c r="K1034">
        <v>357328586.94257897</v>
      </c>
      <c r="L1034">
        <v>1</v>
      </c>
      <c r="M1034" t="s">
        <v>5736</v>
      </c>
      <c r="N1034">
        <v>0.85273301000000001</v>
      </c>
      <c r="O1034">
        <v>15.45</v>
      </c>
      <c r="P1034">
        <v>15.19</v>
      </c>
      <c r="Q1034">
        <v>13.174725004500001</v>
      </c>
      <c r="R1034">
        <v>28955903349.60527</v>
      </c>
      <c r="S1034">
        <v>0</v>
      </c>
      <c r="T1034" t="s">
        <v>6243</v>
      </c>
      <c r="AH1034" t="s">
        <v>6256</v>
      </c>
      <c r="AJ1034" t="s">
        <v>6258</v>
      </c>
    </row>
    <row r="1035" spans="1:37" x14ac:dyDescent="0.25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228148374404.35999</v>
      </c>
      <c r="J1035" t="s">
        <v>4700</v>
      </c>
      <c r="K1035">
        <v>842353364.72163999</v>
      </c>
      <c r="L1035">
        <v>1</v>
      </c>
      <c r="M1035" t="s">
        <v>5737</v>
      </c>
      <c r="N1035">
        <v>0.85273301000000001</v>
      </c>
      <c r="O1035">
        <v>166.11</v>
      </c>
      <c r="P1035">
        <v>171.75</v>
      </c>
      <c r="Q1035">
        <v>141.64748029110001</v>
      </c>
      <c r="R1035">
        <v>220486966357.83521</v>
      </c>
      <c r="S1035">
        <v>0</v>
      </c>
      <c r="T1035" t="s">
        <v>6243</v>
      </c>
      <c r="AK1035" t="s">
        <v>6259</v>
      </c>
    </row>
    <row r="1036" spans="1:37" x14ac:dyDescent="0.25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23177487577.240002</v>
      </c>
      <c r="J1036" t="s">
        <v>4702</v>
      </c>
      <c r="K1036">
        <v>35822181.874772698</v>
      </c>
      <c r="L1036">
        <v>0.8</v>
      </c>
      <c r="M1036" t="s">
        <v>5738</v>
      </c>
      <c r="N1036">
        <v>1</v>
      </c>
      <c r="O1036">
        <v>24.04</v>
      </c>
      <c r="P1036">
        <v>24.07</v>
      </c>
      <c r="Q1036">
        <v>24.04</v>
      </c>
      <c r="R1036">
        <v>18518879978.624001</v>
      </c>
      <c r="S1036">
        <v>0</v>
      </c>
      <c r="T1036" t="s">
        <v>6242</v>
      </c>
    </row>
    <row r="1037" spans="1:37" x14ac:dyDescent="0.25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44813017000.884003</v>
      </c>
      <c r="J1037" t="s">
        <v>4700</v>
      </c>
      <c r="K1037">
        <v>306265690.13493699</v>
      </c>
      <c r="L1037">
        <v>1</v>
      </c>
      <c r="M1037" t="s">
        <v>5739</v>
      </c>
      <c r="N1037">
        <v>0.85273301000000001</v>
      </c>
      <c r="O1037">
        <v>130.78</v>
      </c>
      <c r="P1037">
        <v>129.94</v>
      </c>
      <c r="Q1037">
        <v>111.52042304779999</v>
      </c>
      <c r="R1037">
        <v>45068109554.283363</v>
      </c>
      <c r="S1037">
        <v>0</v>
      </c>
      <c r="T1037" t="s">
        <v>6243</v>
      </c>
      <c r="AH1037" t="s">
        <v>6256</v>
      </c>
      <c r="AJ1037" t="s">
        <v>6258</v>
      </c>
    </row>
    <row r="1038" spans="1:37" x14ac:dyDescent="0.25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8.0156720000000004</v>
      </c>
      <c r="H1038" t="s">
        <v>96</v>
      </c>
      <c r="I1038">
        <v>8045415754.0904007</v>
      </c>
      <c r="J1038" t="s">
        <v>4699</v>
      </c>
      <c r="K1038">
        <v>15609401.652805701</v>
      </c>
      <c r="L1038">
        <v>0.85</v>
      </c>
      <c r="M1038" t="s">
        <v>5740</v>
      </c>
      <c r="N1038">
        <v>1.156136E-2</v>
      </c>
      <c r="O1038">
        <v>646.5</v>
      </c>
      <c r="P1038">
        <v>694.5</v>
      </c>
      <c r="Q1038">
        <v>7.4744192399999996</v>
      </c>
      <c r="R1038">
        <v>6376831382.352787</v>
      </c>
      <c r="S1038">
        <v>0</v>
      </c>
      <c r="T1038" t="s">
        <v>6242</v>
      </c>
      <c r="AJ1038" t="s">
        <v>6258</v>
      </c>
    </row>
    <row r="1039" spans="1:37" x14ac:dyDescent="0.25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1.1691609999999999</v>
      </c>
      <c r="H1039" t="s">
        <v>4691</v>
      </c>
      <c r="I1039">
        <v>3762404058.453599</v>
      </c>
      <c r="J1039" t="s">
        <v>4701</v>
      </c>
      <c r="K1039">
        <v>46784835.764140598</v>
      </c>
      <c r="L1039">
        <v>0.95</v>
      </c>
      <c r="M1039" t="s">
        <v>5741</v>
      </c>
      <c r="N1039">
        <v>0.56652409000000004</v>
      </c>
      <c r="O1039">
        <v>1.98</v>
      </c>
      <c r="P1039">
        <v>2.11</v>
      </c>
      <c r="Q1039">
        <v>1.1217176981999999</v>
      </c>
      <c r="R1039">
        <v>3429243242.9233999</v>
      </c>
      <c r="S1039">
        <v>0</v>
      </c>
      <c r="T1039" t="s">
        <v>6244</v>
      </c>
      <c r="U1039" t="s">
        <v>6245</v>
      </c>
      <c r="AJ1039" t="s">
        <v>6258</v>
      </c>
    </row>
    <row r="1040" spans="1:37" x14ac:dyDescent="0.25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30.389140000000001</v>
      </c>
      <c r="H1040" t="s">
        <v>97</v>
      </c>
      <c r="I1040">
        <v>18211122455.222401</v>
      </c>
      <c r="J1040" t="s">
        <v>4700</v>
      </c>
      <c r="K1040">
        <v>299010531.71099502</v>
      </c>
      <c r="L1040">
        <v>1</v>
      </c>
      <c r="M1040" t="s">
        <v>5742</v>
      </c>
      <c r="N1040">
        <v>0.85273301000000001</v>
      </c>
      <c r="O1040">
        <v>35.03</v>
      </c>
      <c r="P1040">
        <v>35.61</v>
      </c>
      <c r="Q1040">
        <v>29.871237340299999</v>
      </c>
      <c r="R1040">
        <v>17900761952.895519</v>
      </c>
      <c r="S1040">
        <v>0</v>
      </c>
      <c r="T1040" t="s">
        <v>6243</v>
      </c>
    </row>
    <row r="1041" spans="1:40" x14ac:dyDescent="0.25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67782045762.926003</v>
      </c>
      <c r="J1041" t="s">
        <v>4700</v>
      </c>
      <c r="K1041">
        <v>343603908.53644699</v>
      </c>
      <c r="L1041">
        <v>1</v>
      </c>
      <c r="M1041" t="s">
        <v>5743</v>
      </c>
      <c r="N1041">
        <v>0.85273301000000001</v>
      </c>
      <c r="O1041">
        <v>201.98</v>
      </c>
      <c r="P1041">
        <v>201.69</v>
      </c>
      <c r="Q1041">
        <v>172.23501335980001</v>
      </c>
      <c r="R1041">
        <v>67827417633.137703</v>
      </c>
      <c r="S1041">
        <v>0</v>
      </c>
      <c r="T1041" t="s">
        <v>6243</v>
      </c>
      <c r="AJ1041" t="s">
        <v>6258</v>
      </c>
      <c r="AN1041" t="s">
        <v>6262</v>
      </c>
    </row>
    <row r="1042" spans="1:40" x14ac:dyDescent="0.25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43.5</v>
      </c>
      <c r="P1042">
        <v>46.99</v>
      </c>
      <c r="Q1042">
        <v>43.5</v>
      </c>
      <c r="R1042">
        <v>4953562500</v>
      </c>
      <c r="S1042">
        <v>0</v>
      </c>
      <c r="T1042" t="s">
        <v>6242</v>
      </c>
    </row>
    <row r="1043" spans="1:40" x14ac:dyDescent="0.25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37.770000000000003</v>
      </c>
      <c r="H1043" t="s">
        <v>98</v>
      </c>
      <c r="I1043">
        <v>5783530494.6000004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36.270000000000003</v>
      </c>
      <c r="P1043">
        <v>37.770000000000003</v>
      </c>
      <c r="Q1043">
        <v>36.270000000000003</v>
      </c>
      <c r="R1043">
        <v>5553843024.6000004</v>
      </c>
      <c r="S1043">
        <v>0</v>
      </c>
      <c r="T1043" t="s">
        <v>6242</v>
      </c>
      <c r="AA1043" t="s">
        <v>6249</v>
      </c>
      <c r="AJ1043" t="s">
        <v>6258</v>
      </c>
    </row>
    <row r="1044" spans="1:40" x14ac:dyDescent="0.25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20.329999999999998</v>
      </c>
      <c r="H1044" t="s">
        <v>98</v>
      </c>
      <c r="I1044">
        <v>26553216300</v>
      </c>
      <c r="J1044" t="s">
        <v>4702</v>
      </c>
      <c r="K1044">
        <v>36650513.932999998</v>
      </c>
      <c r="L1044">
        <v>0.35</v>
      </c>
      <c r="M1044" t="s">
        <v>5746</v>
      </c>
      <c r="N1044">
        <v>1</v>
      </c>
      <c r="O1044">
        <v>20.059999999999999</v>
      </c>
      <c r="P1044">
        <v>20.329999999999998</v>
      </c>
      <c r="Q1044">
        <v>20.059999999999999</v>
      </c>
      <c r="R1044">
        <v>9170198310</v>
      </c>
      <c r="S1044">
        <v>0</v>
      </c>
      <c r="T1044" t="s">
        <v>6242</v>
      </c>
      <c r="AJ1044" t="s">
        <v>6258</v>
      </c>
    </row>
    <row r="1045" spans="1:40" x14ac:dyDescent="0.25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11730585460.297199</v>
      </c>
      <c r="J1045" t="s">
        <v>4701</v>
      </c>
      <c r="K1045">
        <v>19373661.193413801</v>
      </c>
      <c r="L1045">
        <v>0.65</v>
      </c>
      <c r="M1045" t="s">
        <v>5747</v>
      </c>
      <c r="N1045">
        <v>0.10956983000000001</v>
      </c>
      <c r="O1045">
        <v>51.15</v>
      </c>
      <c r="P1045">
        <v>50.4</v>
      </c>
      <c r="Q1045">
        <v>5.6044968044999992</v>
      </c>
      <c r="R1045">
        <v>7763451984.2446651</v>
      </c>
      <c r="S1045">
        <v>0</v>
      </c>
      <c r="T1045" t="s">
        <v>6244</v>
      </c>
      <c r="U1045" t="s">
        <v>6245</v>
      </c>
      <c r="AG1045" t="s">
        <v>6255</v>
      </c>
      <c r="AH1045" t="s">
        <v>6256</v>
      </c>
      <c r="AJ1045" t="s">
        <v>6258</v>
      </c>
    </row>
    <row r="1046" spans="1:40" x14ac:dyDescent="0.25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35.629539999999999</v>
      </c>
      <c r="H1046" t="s">
        <v>100</v>
      </c>
      <c r="I1046">
        <v>20895417605.882</v>
      </c>
      <c r="J1046" t="s">
        <v>4700</v>
      </c>
      <c r="K1046">
        <v>77096499.887078807</v>
      </c>
      <c r="L1046">
        <v>0.9</v>
      </c>
      <c r="M1046" t="s">
        <v>5748</v>
      </c>
      <c r="N1046">
        <v>0.61572563000000002</v>
      </c>
      <c r="O1046">
        <v>59.15</v>
      </c>
      <c r="P1046">
        <v>57.76</v>
      </c>
      <c r="Q1046">
        <v>36.420171014499999</v>
      </c>
      <c r="R1046">
        <v>19223184311.755211</v>
      </c>
      <c r="S1046">
        <v>0</v>
      </c>
      <c r="T1046" t="s">
        <v>6243</v>
      </c>
      <c r="AJ1046" t="s">
        <v>6258</v>
      </c>
    </row>
    <row r="1047" spans="1:40" x14ac:dyDescent="0.25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97.516639999999995</v>
      </c>
      <c r="H1047" t="s">
        <v>97</v>
      </c>
      <c r="I1047">
        <v>22009505648</v>
      </c>
      <c r="J1047" t="s">
        <v>4700</v>
      </c>
      <c r="K1047">
        <v>174978198.93218601</v>
      </c>
      <c r="L1047">
        <v>1</v>
      </c>
      <c r="M1047" t="s">
        <v>5749</v>
      </c>
      <c r="N1047">
        <v>0.85273301000000001</v>
      </c>
      <c r="O1047">
        <v>110.72</v>
      </c>
      <c r="P1047">
        <v>114.27</v>
      </c>
      <c r="Q1047">
        <v>94.414598867199999</v>
      </c>
      <c r="R1047">
        <v>21309374964.327042</v>
      </c>
      <c r="S1047">
        <v>0</v>
      </c>
      <c r="T1047" t="s">
        <v>6243</v>
      </c>
    </row>
    <row r="1048" spans="1:40" x14ac:dyDescent="0.25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31.490020000000001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0.85273301000000001</v>
      </c>
      <c r="O1048">
        <v>36.159999999999997</v>
      </c>
      <c r="P1048">
        <v>36.9</v>
      </c>
      <c r="Q1048">
        <v>30.834825641599998</v>
      </c>
      <c r="R1048">
        <v>22802824101.402489</v>
      </c>
      <c r="S1048">
        <v>0</v>
      </c>
      <c r="T1048" t="s">
        <v>6243</v>
      </c>
      <c r="AG1048" t="s">
        <v>6255</v>
      </c>
      <c r="AH1048" t="s">
        <v>6256</v>
      </c>
      <c r="AJ1048" t="s">
        <v>6258</v>
      </c>
    </row>
    <row r="1049" spans="1:40" x14ac:dyDescent="0.25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4.4887569999999997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0.10956983000000001</v>
      </c>
      <c r="O1049">
        <v>44.82</v>
      </c>
      <c r="P1049">
        <v>41.1</v>
      </c>
      <c r="Q1049">
        <v>4.9109197805999996</v>
      </c>
      <c r="R1049">
        <v>2513235879.3348031</v>
      </c>
      <c r="S1049">
        <v>0</v>
      </c>
      <c r="T1049" t="s">
        <v>6244</v>
      </c>
      <c r="U1049" t="s">
        <v>6245</v>
      </c>
    </row>
    <row r="1050" spans="1:40" x14ac:dyDescent="0.25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68.885480000000001</v>
      </c>
      <c r="H1050" t="s">
        <v>97</v>
      </c>
      <c r="I1050">
        <v>15345511607.106001</v>
      </c>
      <c r="J1050" t="s">
        <v>4700</v>
      </c>
      <c r="K1050">
        <v>81453050.030792207</v>
      </c>
      <c r="L1050">
        <v>1</v>
      </c>
      <c r="M1050" t="s">
        <v>5752</v>
      </c>
      <c r="N1050">
        <v>0.85273301000000001</v>
      </c>
      <c r="O1050">
        <v>82.7</v>
      </c>
      <c r="P1050">
        <v>80.72</v>
      </c>
      <c r="Q1050">
        <v>70.521019926999998</v>
      </c>
      <c r="R1050">
        <v>15709858301.5569</v>
      </c>
      <c r="S1050">
        <v>0</v>
      </c>
      <c r="T1050" t="s">
        <v>6243</v>
      </c>
      <c r="AJ1050" t="s">
        <v>6258</v>
      </c>
    </row>
    <row r="1051" spans="1:40" x14ac:dyDescent="0.25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169.78319999999999</v>
      </c>
      <c r="H1051" t="s">
        <v>4691</v>
      </c>
      <c r="I1051">
        <v>17736046461.979198</v>
      </c>
      <c r="J1051" t="s">
        <v>4701</v>
      </c>
      <c r="K1051">
        <v>29472170.8343619</v>
      </c>
      <c r="L1051">
        <v>0.5</v>
      </c>
      <c r="M1051" t="s">
        <v>5753</v>
      </c>
      <c r="N1051">
        <v>0.56652409000000004</v>
      </c>
      <c r="O1051">
        <v>298.45</v>
      </c>
      <c r="P1051">
        <v>306.41000000000003</v>
      </c>
      <c r="Q1051">
        <v>169.07911466050001</v>
      </c>
      <c r="R1051">
        <v>8831247830.6715164</v>
      </c>
      <c r="S1051">
        <v>0</v>
      </c>
      <c r="T1051" t="s">
        <v>6244</v>
      </c>
      <c r="U1051" t="s">
        <v>6245</v>
      </c>
      <c r="AN1051" t="s">
        <v>6262</v>
      </c>
    </row>
    <row r="1052" spans="1:40" x14ac:dyDescent="0.25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135.40710000000001</v>
      </c>
      <c r="H1052" t="s">
        <v>97</v>
      </c>
      <c r="I1052">
        <v>317173745478.35999</v>
      </c>
      <c r="J1052" t="s">
        <v>4700</v>
      </c>
      <c r="K1052">
        <v>1110124859.7864599</v>
      </c>
      <c r="L1052">
        <v>1</v>
      </c>
      <c r="M1052" t="s">
        <v>5754</v>
      </c>
      <c r="N1052">
        <v>0.85273301000000001</v>
      </c>
      <c r="O1052">
        <v>157.9</v>
      </c>
      <c r="P1052">
        <v>158.66999999999999</v>
      </c>
      <c r="Q1052">
        <v>134.64654227899999</v>
      </c>
      <c r="R1052">
        <v>315392236672.52887</v>
      </c>
      <c r="S1052">
        <v>0</v>
      </c>
      <c r="T1052" t="s">
        <v>6243</v>
      </c>
    </row>
    <row r="1053" spans="1:40" x14ac:dyDescent="0.25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799845065.32638395</v>
      </c>
      <c r="L1053">
        <v>1</v>
      </c>
      <c r="M1053" t="s">
        <v>5755</v>
      </c>
      <c r="N1053">
        <v>0.85273301000000001</v>
      </c>
      <c r="O1053">
        <v>248.28</v>
      </c>
      <c r="P1053">
        <v>249.21</v>
      </c>
      <c r="Q1053">
        <v>211.71655172280001</v>
      </c>
      <c r="R1053">
        <v>124110042210.595</v>
      </c>
      <c r="S1053">
        <v>0</v>
      </c>
      <c r="T1053" t="s">
        <v>6243</v>
      </c>
      <c r="AJ1053" t="s">
        <v>6258</v>
      </c>
    </row>
    <row r="1054" spans="1:40" x14ac:dyDescent="0.25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95.818399999999997</v>
      </c>
      <c r="H1054" t="s">
        <v>97</v>
      </c>
      <c r="I1054">
        <v>88925511759.199997</v>
      </c>
      <c r="J1054" t="s">
        <v>4700</v>
      </c>
      <c r="K1054">
        <v>371953776.18120497</v>
      </c>
      <c r="L1054">
        <v>1</v>
      </c>
      <c r="M1054" t="s">
        <v>5756</v>
      </c>
      <c r="N1054">
        <v>0.85273301000000001</v>
      </c>
      <c r="O1054">
        <v>115.35</v>
      </c>
      <c r="P1054">
        <v>112.28</v>
      </c>
      <c r="Q1054">
        <v>98.362752703499993</v>
      </c>
      <c r="R1054">
        <v>91286831362.268311</v>
      </c>
      <c r="S1054">
        <v>0</v>
      </c>
      <c r="T1054" t="s">
        <v>6243</v>
      </c>
    </row>
    <row r="1055" spans="1:40" x14ac:dyDescent="0.25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127535393487.96001</v>
      </c>
      <c r="J1055" t="s">
        <v>4702</v>
      </c>
      <c r="K1055">
        <v>112890787.934811</v>
      </c>
      <c r="L1055">
        <v>0.55000000000000004</v>
      </c>
      <c r="M1055" t="s">
        <v>5757</v>
      </c>
      <c r="N1055">
        <v>1</v>
      </c>
      <c r="O1055">
        <v>54.59</v>
      </c>
      <c r="P1055">
        <v>53.61</v>
      </c>
      <c r="Q1055">
        <v>54.59</v>
      </c>
      <c r="R1055">
        <v>71426719301.98201</v>
      </c>
      <c r="S1055">
        <v>0</v>
      </c>
      <c r="T1055" t="s">
        <v>6242</v>
      </c>
      <c r="AN1055" t="s">
        <v>6262</v>
      </c>
    </row>
    <row r="1056" spans="1:40" x14ac:dyDescent="0.25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93.778800000000004</v>
      </c>
      <c r="H1056" t="s">
        <v>97</v>
      </c>
      <c r="I1056">
        <v>33010137600</v>
      </c>
      <c r="J1056" t="s">
        <v>4700</v>
      </c>
      <c r="K1056">
        <v>148720808.02306601</v>
      </c>
      <c r="L1056">
        <v>1</v>
      </c>
      <c r="M1056" t="s">
        <v>5758</v>
      </c>
      <c r="N1056">
        <v>0.85273301000000001</v>
      </c>
      <c r="O1056">
        <v>106.9</v>
      </c>
      <c r="P1056">
        <v>109.89</v>
      </c>
      <c r="Q1056">
        <v>91.157158769000006</v>
      </c>
      <c r="R1056">
        <v>32087319886.688</v>
      </c>
      <c r="S1056">
        <v>0</v>
      </c>
      <c r="T1056" t="s">
        <v>6243</v>
      </c>
      <c r="AJ1056" t="s">
        <v>6258</v>
      </c>
    </row>
    <row r="1057" spans="1:40" x14ac:dyDescent="0.25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29662815838.588001</v>
      </c>
      <c r="J1057" t="s">
        <v>4699</v>
      </c>
      <c r="K1057">
        <v>38506038.420303203</v>
      </c>
      <c r="L1057">
        <v>0.95</v>
      </c>
      <c r="M1057" t="s">
        <v>5759</v>
      </c>
      <c r="N1057">
        <v>1.156136E-2</v>
      </c>
      <c r="O1057">
        <v>1024.5</v>
      </c>
      <c r="P1057">
        <v>998.8</v>
      </c>
      <c r="Q1057">
        <v>11.844613320000001</v>
      </c>
      <c r="R1057">
        <v>28954149443.295212</v>
      </c>
      <c r="S1057">
        <v>0</v>
      </c>
      <c r="T1057" t="s">
        <v>6242</v>
      </c>
      <c r="AJ1057" t="s">
        <v>6258</v>
      </c>
    </row>
    <row r="1058" spans="1:40" x14ac:dyDescent="0.25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65473339.641692303</v>
      </c>
      <c r="L1058">
        <v>1</v>
      </c>
      <c r="M1058" t="s">
        <v>5760</v>
      </c>
      <c r="N1058">
        <v>1</v>
      </c>
      <c r="O1058">
        <v>80.599999999999994</v>
      </c>
      <c r="P1058">
        <v>75.5</v>
      </c>
      <c r="Q1058">
        <v>80.599999999999994</v>
      </c>
      <c r="R1058">
        <v>23886340186.799999</v>
      </c>
      <c r="S1058">
        <v>0</v>
      </c>
      <c r="T1058" t="s">
        <v>6242</v>
      </c>
      <c r="AG1058" t="s">
        <v>6255</v>
      </c>
    </row>
    <row r="1059" spans="1:40" x14ac:dyDescent="0.25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1.07032003</v>
      </c>
      <c r="O1059">
        <v>135.19999999999999</v>
      </c>
      <c r="P1059">
        <v>133.4</v>
      </c>
      <c r="Q1059">
        <v>144.707268056</v>
      </c>
      <c r="R1059">
        <v>6637417487.514925</v>
      </c>
      <c r="S1059">
        <v>0</v>
      </c>
      <c r="T1059" t="s">
        <v>6242</v>
      </c>
      <c r="U1059" t="s">
        <v>6245</v>
      </c>
    </row>
    <row r="1060" spans="1:40" x14ac:dyDescent="0.25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183.52109999999999</v>
      </c>
      <c r="H1060" t="s">
        <v>97</v>
      </c>
      <c r="I1060">
        <v>21984488075.970001</v>
      </c>
      <c r="J1060" t="s">
        <v>4700</v>
      </c>
      <c r="K1060">
        <v>181847612.74171299</v>
      </c>
      <c r="L1060">
        <v>1</v>
      </c>
      <c r="M1060" t="s">
        <v>5762</v>
      </c>
      <c r="N1060">
        <v>0.85273301000000001</v>
      </c>
      <c r="O1060">
        <v>205.11</v>
      </c>
      <c r="P1060">
        <v>215.05</v>
      </c>
      <c r="Q1060">
        <v>174.9040676811</v>
      </c>
      <c r="R1060">
        <v>20952230508.501709</v>
      </c>
      <c r="S1060">
        <v>0</v>
      </c>
      <c r="T1060" t="s">
        <v>6243</v>
      </c>
    </row>
    <row r="1061" spans="1:40" x14ac:dyDescent="0.25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71.428569999999993</v>
      </c>
      <c r="H1061" t="s">
        <v>97</v>
      </c>
      <c r="I1061">
        <v>35648552144.171799</v>
      </c>
      <c r="J1061" t="s">
        <v>4700</v>
      </c>
      <c r="K1061">
        <v>202178157.91315001</v>
      </c>
      <c r="L1061">
        <v>1</v>
      </c>
      <c r="M1061" t="s">
        <v>5763</v>
      </c>
      <c r="N1061">
        <v>0.85273301000000001</v>
      </c>
      <c r="O1061">
        <v>82.69</v>
      </c>
      <c r="P1061">
        <v>83.7</v>
      </c>
      <c r="Q1061">
        <v>70.512492596900003</v>
      </c>
      <c r="R1061">
        <v>35191356472.012779</v>
      </c>
      <c r="S1061">
        <v>0</v>
      </c>
      <c r="T1061" t="s">
        <v>6243</v>
      </c>
      <c r="AH1061" t="s">
        <v>6256</v>
      </c>
      <c r="AJ1061" t="s">
        <v>6258</v>
      </c>
    </row>
    <row r="1062" spans="1:40" x14ac:dyDescent="0.25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250.64859999999999</v>
      </c>
      <c r="H1062" t="s">
        <v>97</v>
      </c>
      <c r="I1062">
        <v>43977011218.509987</v>
      </c>
      <c r="J1062" t="s">
        <v>4700</v>
      </c>
      <c r="K1062">
        <v>210886564.60567099</v>
      </c>
      <c r="L1062">
        <v>0.9</v>
      </c>
      <c r="M1062" t="s">
        <v>5764</v>
      </c>
      <c r="N1062">
        <v>0.85273301000000001</v>
      </c>
      <c r="O1062">
        <v>292.32</v>
      </c>
      <c r="P1062">
        <v>293.70999999999998</v>
      </c>
      <c r="Q1062">
        <v>249.27091348319999</v>
      </c>
      <c r="R1062">
        <v>39361762973.457779</v>
      </c>
      <c r="S1062">
        <v>0</v>
      </c>
      <c r="T1062" t="s">
        <v>6243</v>
      </c>
    </row>
    <row r="1063" spans="1:40" x14ac:dyDescent="0.25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80.739999999999995</v>
      </c>
      <c r="H1063" t="s">
        <v>98</v>
      </c>
      <c r="I1063">
        <v>20533139576.400002</v>
      </c>
      <c r="J1063" t="s">
        <v>4702</v>
      </c>
      <c r="K1063">
        <v>59085666.868030302</v>
      </c>
      <c r="L1063">
        <v>0.95000000000000007</v>
      </c>
      <c r="M1063" t="s">
        <v>5765</v>
      </c>
      <c r="N1063">
        <v>1</v>
      </c>
      <c r="O1063">
        <v>83.16</v>
      </c>
      <c r="P1063">
        <v>80.739999999999995</v>
      </c>
      <c r="Q1063">
        <v>83.16</v>
      </c>
      <c r="R1063">
        <v>20091145563.720001</v>
      </c>
      <c r="S1063">
        <v>1</v>
      </c>
      <c r="T1063" t="s">
        <v>6242</v>
      </c>
    </row>
    <row r="1064" spans="1:40" x14ac:dyDescent="0.25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22280578952.304001</v>
      </c>
      <c r="J1064" t="s">
        <v>4700</v>
      </c>
      <c r="K1064">
        <v>201577112.51449999</v>
      </c>
      <c r="L1064">
        <v>1</v>
      </c>
      <c r="M1064" t="s">
        <v>5766</v>
      </c>
      <c r="N1064">
        <v>0.85273301000000001</v>
      </c>
      <c r="O1064">
        <v>137.1</v>
      </c>
      <c r="P1064">
        <v>132.33000000000001</v>
      </c>
      <c r="Q1064">
        <v>116.90969567099999</v>
      </c>
      <c r="R1064">
        <v>23066000034.42477</v>
      </c>
      <c r="S1064">
        <v>0</v>
      </c>
      <c r="T1064" t="s">
        <v>6243</v>
      </c>
      <c r="AJ1064" t="s">
        <v>6258</v>
      </c>
    </row>
    <row r="1065" spans="1:40" x14ac:dyDescent="0.25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49.778120000000001</v>
      </c>
      <c r="H1065" t="s">
        <v>97</v>
      </c>
      <c r="I1065">
        <v>16269066089.0604</v>
      </c>
      <c r="J1065" t="s">
        <v>4700</v>
      </c>
      <c r="K1065">
        <v>119822492.67978901</v>
      </c>
      <c r="L1065">
        <v>0.95</v>
      </c>
      <c r="M1065" t="s">
        <v>5767</v>
      </c>
      <c r="N1065">
        <v>0.85273301000000001</v>
      </c>
      <c r="O1065">
        <v>82.3</v>
      </c>
      <c r="P1065">
        <v>58.33</v>
      </c>
      <c r="Q1065">
        <v>70.179926722999994</v>
      </c>
      <c r="R1065">
        <v>21790171518.78793</v>
      </c>
      <c r="S1065">
        <v>0</v>
      </c>
      <c r="T1065" t="s">
        <v>6243</v>
      </c>
    </row>
    <row r="1066" spans="1:40" x14ac:dyDescent="0.25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6.2613839999999996</v>
      </c>
      <c r="H1066" t="s">
        <v>4691</v>
      </c>
      <c r="I1066">
        <v>9474721259.6927986</v>
      </c>
      <c r="J1066" t="s">
        <v>4701</v>
      </c>
      <c r="K1066">
        <v>26271079.1860632</v>
      </c>
      <c r="L1066">
        <v>1</v>
      </c>
      <c r="M1066" t="s">
        <v>5768</v>
      </c>
      <c r="N1066">
        <v>0.56652409000000004</v>
      </c>
      <c r="O1066">
        <v>11.41</v>
      </c>
      <c r="P1066">
        <v>11.3</v>
      </c>
      <c r="Q1066">
        <v>6.4640398669000003</v>
      </c>
      <c r="R1066">
        <v>9781379955.361187</v>
      </c>
      <c r="S1066">
        <v>0</v>
      </c>
      <c r="T1066" t="s">
        <v>6244</v>
      </c>
      <c r="U1066" t="s">
        <v>6245</v>
      </c>
      <c r="AJ1066" t="s">
        <v>6258</v>
      </c>
    </row>
    <row r="1067" spans="1:40" x14ac:dyDescent="0.25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18056128750.973999</v>
      </c>
      <c r="J1067" t="s">
        <v>4701</v>
      </c>
      <c r="K1067">
        <v>42439063.451369204</v>
      </c>
      <c r="L1067">
        <v>1</v>
      </c>
      <c r="M1067" t="s">
        <v>5769</v>
      </c>
      <c r="N1067">
        <v>0.56652409000000004</v>
      </c>
      <c r="O1067">
        <v>20.82</v>
      </c>
      <c r="P1067">
        <v>21.58</v>
      </c>
      <c r="Q1067">
        <v>11.795031553799999</v>
      </c>
      <c r="R1067">
        <v>17810678110.220779</v>
      </c>
      <c r="S1067">
        <v>0</v>
      </c>
      <c r="T1067" t="s">
        <v>6244</v>
      </c>
      <c r="U1067" t="s">
        <v>6245</v>
      </c>
      <c r="AJ1067" t="s">
        <v>6258</v>
      </c>
    </row>
    <row r="1068" spans="1:40" x14ac:dyDescent="0.25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18943480.329697002</v>
      </c>
      <c r="L1068">
        <v>1</v>
      </c>
      <c r="M1068" t="s">
        <v>5770</v>
      </c>
      <c r="N1068">
        <v>1</v>
      </c>
      <c r="O1068">
        <v>38.884999999999998</v>
      </c>
      <c r="P1068">
        <v>42.55</v>
      </c>
      <c r="Q1068">
        <v>38.884999999999998</v>
      </c>
      <c r="R1068">
        <v>8420780060</v>
      </c>
      <c r="S1068">
        <v>0</v>
      </c>
      <c r="T1068" t="s">
        <v>6242</v>
      </c>
    </row>
    <row r="1069" spans="1:40" x14ac:dyDescent="0.25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134.84379999999999</v>
      </c>
      <c r="H1069" t="s">
        <v>97</v>
      </c>
      <c r="I1069">
        <v>145496460200</v>
      </c>
      <c r="J1069" t="s">
        <v>4700</v>
      </c>
      <c r="K1069">
        <v>1072046717.8488899</v>
      </c>
      <c r="L1069">
        <v>1</v>
      </c>
      <c r="M1069" t="s">
        <v>5771</v>
      </c>
      <c r="N1069">
        <v>0.85273301000000001</v>
      </c>
      <c r="O1069">
        <v>161.83000000000001</v>
      </c>
      <c r="P1069">
        <v>158.01</v>
      </c>
      <c r="Q1069">
        <v>137.99778300829999</v>
      </c>
      <c r="R1069">
        <v>148899607865.95569</v>
      </c>
      <c r="S1069">
        <v>0</v>
      </c>
      <c r="T1069" t="s">
        <v>6243</v>
      </c>
    </row>
    <row r="1070" spans="1:40" x14ac:dyDescent="0.25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324.15089999999998</v>
      </c>
      <c r="H1070" t="s">
        <v>97</v>
      </c>
      <c r="I1070">
        <v>47757077542.292999</v>
      </c>
      <c r="J1070" t="s">
        <v>4700</v>
      </c>
      <c r="K1070">
        <v>368766931.79421097</v>
      </c>
      <c r="L1070">
        <v>1</v>
      </c>
      <c r="M1070" t="s">
        <v>5772</v>
      </c>
      <c r="N1070">
        <v>0.85273301000000001</v>
      </c>
      <c r="O1070">
        <v>382.53</v>
      </c>
      <c r="P1070">
        <v>379.84</v>
      </c>
      <c r="Q1070">
        <v>326.1959583153</v>
      </c>
      <c r="R1070">
        <v>48058375513.522743</v>
      </c>
      <c r="S1070">
        <v>0</v>
      </c>
      <c r="T1070" t="s">
        <v>6243</v>
      </c>
      <c r="AJ1070" t="s">
        <v>6258</v>
      </c>
    </row>
    <row r="1071" spans="1:40" x14ac:dyDescent="0.25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2.3826510000000001</v>
      </c>
      <c r="H1071" t="s">
        <v>4691</v>
      </c>
      <c r="I1071">
        <v>4215176475.9120002</v>
      </c>
      <c r="J1071" t="s">
        <v>4701</v>
      </c>
      <c r="K1071">
        <v>5670847.6710826904</v>
      </c>
      <c r="L1071">
        <v>0.9</v>
      </c>
      <c r="M1071" t="s">
        <v>5773</v>
      </c>
      <c r="N1071">
        <v>0.56652409000000004</v>
      </c>
      <c r="O1071">
        <v>4.1100000000000003</v>
      </c>
      <c r="P1071">
        <v>4.3</v>
      </c>
      <c r="Q1071">
        <v>2.3284140098999999</v>
      </c>
      <c r="R1071">
        <v>3707302649.2939882</v>
      </c>
      <c r="S1071">
        <v>0</v>
      </c>
      <c r="T1071" t="s">
        <v>6244</v>
      </c>
      <c r="U1071" t="s">
        <v>6245</v>
      </c>
      <c r="W1071" t="s">
        <v>6247</v>
      </c>
      <c r="AJ1071" t="s">
        <v>6258</v>
      </c>
    </row>
    <row r="1072" spans="1:40" x14ac:dyDescent="0.25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153.80609999999999</v>
      </c>
      <c r="H1072" t="s">
        <v>97</v>
      </c>
      <c r="I1072">
        <v>17199127194.984001</v>
      </c>
      <c r="J1072" t="s">
        <v>4700</v>
      </c>
      <c r="K1072">
        <v>154258626.530435</v>
      </c>
      <c r="L1072">
        <v>1</v>
      </c>
      <c r="M1072" t="s">
        <v>5774</v>
      </c>
      <c r="N1072">
        <v>0.85273301000000001</v>
      </c>
      <c r="O1072">
        <v>182.91</v>
      </c>
      <c r="P1072">
        <v>180.23</v>
      </c>
      <c r="Q1072">
        <v>155.97339485910001</v>
      </c>
      <c r="R1072">
        <v>17441481561.622879</v>
      </c>
      <c r="S1072">
        <v>0</v>
      </c>
      <c r="T1072" t="s">
        <v>6243</v>
      </c>
      <c r="AN1072" t="s">
        <v>6262</v>
      </c>
    </row>
    <row r="1073" spans="1:40" x14ac:dyDescent="0.25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9993186263.1999989</v>
      </c>
      <c r="J1073" t="s">
        <v>4702</v>
      </c>
      <c r="K1073">
        <v>8422485.2433333397</v>
      </c>
      <c r="L1073">
        <v>0.4</v>
      </c>
      <c r="M1073" t="s">
        <v>5775</v>
      </c>
      <c r="N1073">
        <v>1</v>
      </c>
      <c r="O1073">
        <v>29.66</v>
      </c>
      <c r="P1073">
        <v>30.38</v>
      </c>
      <c r="Q1073">
        <v>29.66</v>
      </c>
      <c r="R1073">
        <v>3902539888.96</v>
      </c>
      <c r="S1073">
        <v>0</v>
      </c>
      <c r="T1073" t="s">
        <v>6242</v>
      </c>
      <c r="W1073" t="s">
        <v>6247</v>
      </c>
      <c r="AJ1073" t="s">
        <v>6258</v>
      </c>
    </row>
    <row r="1074" spans="1:40" x14ac:dyDescent="0.25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8269374521.1828003</v>
      </c>
      <c r="J1074" t="s">
        <v>4701</v>
      </c>
      <c r="K1074">
        <v>77938152.87816</v>
      </c>
      <c r="L1074">
        <v>0.5</v>
      </c>
      <c r="M1074" t="s">
        <v>5776</v>
      </c>
      <c r="N1074">
        <v>5.7743899999999999E-3</v>
      </c>
      <c r="O1074">
        <v>7665</v>
      </c>
      <c r="P1074">
        <v>8155</v>
      </c>
      <c r="Q1074">
        <v>44.260699350000003</v>
      </c>
      <c r="R1074">
        <v>3861705741.0510912</v>
      </c>
      <c r="S1074">
        <v>0</v>
      </c>
      <c r="T1074" t="s">
        <v>6244</v>
      </c>
      <c r="AJ1074" t="s">
        <v>6258</v>
      </c>
      <c r="AN1074" t="s">
        <v>6262</v>
      </c>
    </row>
    <row r="1075" spans="1:40" x14ac:dyDescent="0.25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5.2514839999999996</v>
      </c>
      <c r="H1075" t="s">
        <v>99</v>
      </c>
      <c r="I1075">
        <v>11369669243.321199</v>
      </c>
      <c r="J1075" t="s">
        <v>4701</v>
      </c>
      <c r="K1075">
        <v>79608005.8518852</v>
      </c>
      <c r="L1075">
        <v>0.7</v>
      </c>
      <c r="M1075" t="s">
        <v>5777</v>
      </c>
      <c r="N1075">
        <v>5.7743899999999999E-3</v>
      </c>
      <c r="O1075">
        <v>960.9</v>
      </c>
      <c r="P1075">
        <v>903.7</v>
      </c>
      <c r="Q1075">
        <v>5.5486113509999999</v>
      </c>
      <c r="R1075">
        <v>8409073144.7387657</v>
      </c>
      <c r="S1075">
        <v>0</v>
      </c>
      <c r="T1075" t="s">
        <v>6244</v>
      </c>
      <c r="AN1075" t="s">
        <v>6262</v>
      </c>
    </row>
    <row r="1076" spans="1:40" x14ac:dyDescent="0.25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1.5902810000000001</v>
      </c>
      <c r="H1076" t="s">
        <v>4691</v>
      </c>
      <c r="I1076">
        <v>3041367566.5757999</v>
      </c>
      <c r="J1076" t="s">
        <v>4701</v>
      </c>
      <c r="K1076">
        <v>15262229.068092201</v>
      </c>
      <c r="L1076">
        <v>1</v>
      </c>
      <c r="M1076" t="s">
        <v>5778</v>
      </c>
      <c r="N1076">
        <v>0.56652409000000004</v>
      </c>
      <c r="O1076">
        <v>3.62</v>
      </c>
      <c r="P1076">
        <v>2.87</v>
      </c>
      <c r="Q1076">
        <v>2.0508172058</v>
      </c>
      <c r="R1076">
        <v>3922130073.047297</v>
      </c>
      <c r="S1076">
        <v>0</v>
      </c>
      <c r="T1076" t="s">
        <v>6244</v>
      </c>
      <c r="U1076" t="s">
        <v>6245</v>
      </c>
      <c r="AJ1076" t="s">
        <v>6258</v>
      </c>
    </row>
    <row r="1077" spans="1:40" x14ac:dyDescent="0.25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21.172339999999998</v>
      </c>
      <c r="H1077" t="s">
        <v>4691</v>
      </c>
      <c r="I1077">
        <v>4887207007.7319994</v>
      </c>
      <c r="J1077" t="s">
        <v>4701</v>
      </c>
      <c r="K1077">
        <v>12047038.5708376</v>
      </c>
      <c r="L1077">
        <v>0.8</v>
      </c>
      <c r="M1077" t="s">
        <v>5779</v>
      </c>
      <c r="N1077">
        <v>0.56652409000000004</v>
      </c>
      <c r="O1077">
        <v>33.57</v>
      </c>
      <c r="P1077">
        <v>38.21</v>
      </c>
      <c r="Q1077">
        <v>19.018213701299999</v>
      </c>
      <c r="R1077">
        <v>3511976372.0226722</v>
      </c>
      <c r="S1077">
        <v>0</v>
      </c>
      <c r="T1077" t="s">
        <v>6244</v>
      </c>
      <c r="U1077" t="s">
        <v>6245</v>
      </c>
    </row>
    <row r="1078" spans="1:40" x14ac:dyDescent="0.25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7540441617.2799997</v>
      </c>
      <c r="J1078" t="s">
        <v>4702</v>
      </c>
      <c r="K1078">
        <v>14577957.1875758</v>
      </c>
      <c r="L1078">
        <v>0.55000000000000004</v>
      </c>
      <c r="M1078" t="s">
        <v>5780</v>
      </c>
      <c r="N1078">
        <v>1</v>
      </c>
      <c r="O1078">
        <v>36.549999999999997</v>
      </c>
      <c r="P1078">
        <v>41.69</v>
      </c>
      <c r="Q1078">
        <v>36.549999999999997</v>
      </c>
      <c r="R1078">
        <v>3635925344.48</v>
      </c>
      <c r="S1078">
        <v>0</v>
      </c>
      <c r="T1078" t="s">
        <v>6242</v>
      </c>
    </row>
    <row r="1079" spans="1:40" x14ac:dyDescent="0.25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6554332.8939393898</v>
      </c>
      <c r="L1079">
        <v>0.45</v>
      </c>
      <c r="M1079" t="s">
        <v>5781</v>
      </c>
      <c r="N1079">
        <v>1</v>
      </c>
      <c r="O1079">
        <v>656.5</v>
      </c>
      <c r="P1079">
        <v>650.5</v>
      </c>
      <c r="Q1079">
        <v>656.5</v>
      </c>
      <c r="R1079">
        <v>3358982250</v>
      </c>
      <c r="S1079">
        <v>0</v>
      </c>
      <c r="T1079" t="s">
        <v>6242</v>
      </c>
      <c r="W1079" t="s">
        <v>6247</v>
      </c>
      <c r="AJ1079" t="s">
        <v>6258</v>
      </c>
      <c r="AN1079" t="s">
        <v>6262</v>
      </c>
    </row>
    <row r="1080" spans="1:40" x14ac:dyDescent="0.25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28120995498.417999</v>
      </c>
      <c r="J1080" t="s">
        <v>4700</v>
      </c>
      <c r="K1080">
        <v>146396849.504866</v>
      </c>
      <c r="L1080">
        <v>0.9</v>
      </c>
      <c r="M1080" t="s">
        <v>5782</v>
      </c>
      <c r="N1080">
        <v>0.85273301000000001</v>
      </c>
      <c r="O1080">
        <v>170.27</v>
      </c>
      <c r="P1080">
        <v>165.27</v>
      </c>
      <c r="Q1080">
        <v>145.19484961270001</v>
      </c>
      <c r="R1080">
        <v>26054572985.39978</v>
      </c>
      <c r="S1080">
        <v>0</v>
      </c>
      <c r="T1080" t="s">
        <v>6243</v>
      </c>
      <c r="AJ1080" t="s">
        <v>6258</v>
      </c>
    </row>
    <row r="1081" spans="1:40" x14ac:dyDescent="0.25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99.233440000000002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0.61572563000000002</v>
      </c>
      <c r="O1081">
        <v>162.24</v>
      </c>
      <c r="P1081">
        <v>160.87</v>
      </c>
      <c r="Q1081">
        <v>99.895326211200015</v>
      </c>
      <c r="R1081">
        <v>18540510609.696468</v>
      </c>
      <c r="S1081">
        <v>0</v>
      </c>
      <c r="T1081" t="s">
        <v>6243</v>
      </c>
      <c r="AJ1081" t="s">
        <v>6258</v>
      </c>
    </row>
    <row r="1082" spans="1:40" x14ac:dyDescent="0.25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145.81819999999999</v>
      </c>
      <c r="H1082" t="s">
        <v>4691</v>
      </c>
      <c r="I1082">
        <v>19265095209.403999</v>
      </c>
      <c r="J1082" t="s">
        <v>4701</v>
      </c>
      <c r="K1082">
        <v>23051507.393047102</v>
      </c>
      <c r="L1082">
        <v>0.4</v>
      </c>
      <c r="M1082" t="s">
        <v>5784</v>
      </c>
      <c r="N1082">
        <v>0.56652409000000004</v>
      </c>
      <c r="O1082">
        <v>227.09</v>
      </c>
      <c r="P1082">
        <v>263.16000000000003</v>
      </c>
      <c r="Q1082">
        <v>128.65195559809999</v>
      </c>
      <c r="R1082">
        <v>6798855488.4737654</v>
      </c>
      <c r="S1082">
        <v>0</v>
      </c>
      <c r="T1082" t="s">
        <v>6244</v>
      </c>
      <c r="U1082" t="s">
        <v>6245</v>
      </c>
    </row>
    <row r="1083" spans="1:40" x14ac:dyDescent="0.25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50.281619999999997</v>
      </c>
      <c r="H1083" t="s">
        <v>97</v>
      </c>
      <c r="I1083">
        <v>45972791883.882004</v>
      </c>
      <c r="J1083" t="s">
        <v>4700</v>
      </c>
      <c r="K1083">
        <v>265795498.10991499</v>
      </c>
      <c r="L1083">
        <v>1</v>
      </c>
      <c r="M1083" t="s">
        <v>5785</v>
      </c>
      <c r="N1083">
        <v>0.85273301000000001</v>
      </c>
      <c r="O1083">
        <v>60.41</v>
      </c>
      <c r="P1083">
        <v>58.92</v>
      </c>
      <c r="Q1083">
        <v>51.5136011341</v>
      </c>
      <c r="R1083">
        <v>47099199749.87455</v>
      </c>
      <c r="S1083">
        <v>0</v>
      </c>
      <c r="T1083" t="s">
        <v>6243</v>
      </c>
    </row>
    <row r="1084" spans="1:40" x14ac:dyDescent="0.25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64.587040000000002</v>
      </c>
      <c r="H1084" t="s">
        <v>96</v>
      </c>
      <c r="I1084">
        <v>43776294832.704002</v>
      </c>
      <c r="J1084" t="s">
        <v>4699</v>
      </c>
      <c r="K1084">
        <v>47127634.495288</v>
      </c>
      <c r="L1084">
        <v>1</v>
      </c>
      <c r="M1084" t="s">
        <v>5786</v>
      </c>
      <c r="N1084">
        <v>1.156136E-2</v>
      </c>
      <c r="O1084">
        <v>5770</v>
      </c>
      <c r="P1084">
        <v>5596</v>
      </c>
      <c r="Q1084">
        <v>66.709047200000001</v>
      </c>
      <c r="R1084">
        <v>45214564999.974716</v>
      </c>
      <c r="S1084">
        <v>0</v>
      </c>
      <c r="T1084" t="s">
        <v>6242</v>
      </c>
    </row>
    <row r="1085" spans="1:40" x14ac:dyDescent="0.25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10968614432.200001</v>
      </c>
      <c r="J1085" t="s">
        <v>4702</v>
      </c>
      <c r="K1085">
        <v>13342484.9414615</v>
      </c>
      <c r="L1085">
        <v>0.55000000000000004</v>
      </c>
      <c r="M1085" t="s">
        <v>5787</v>
      </c>
      <c r="N1085">
        <v>1</v>
      </c>
      <c r="O1085">
        <v>53.9</v>
      </c>
      <c r="P1085">
        <v>52.45</v>
      </c>
      <c r="Q1085">
        <v>53.9</v>
      </c>
      <c r="R1085">
        <v>6199515249.6199999</v>
      </c>
      <c r="S1085">
        <v>0</v>
      </c>
      <c r="T1085" t="s">
        <v>6242</v>
      </c>
      <c r="AJ1085" t="s">
        <v>6258</v>
      </c>
      <c r="AN1085" t="s">
        <v>6262</v>
      </c>
    </row>
    <row r="1086" spans="1:40" x14ac:dyDescent="0.25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79647556632.761002</v>
      </c>
      <c r="J1086" t="s">
        <v>4701</v>
      </c>
      <c r="K1086">
        <v>230830571.28453001</v>
      </c>
      <c r="L1086">
        <v>1</v>
      </c>
      <c r="M1086" t="s">
        <v>5788</v>
      </c>
      <c r="N1086">
        <v>5.7743899999999999E-3</v>
      </c>
      <c r="O1086">
        <v>8481</v>
      </c>
      <c r="P1086">
        <v>8764</v>
      </c>
      <c r="Q1086">
        <v>48.972601589999996</v>
      </c>
      <c r="R1086">
        <v>76588844195.080231</v>
      </c>
      <c r="S1086">
        <v>0</v>
      </c>
      <c r="T1086" t="s">
        <v>6244</v>
      </c>
    </row>
    <row r="1087" spans="1:40" x14ac:dyDescent="0.25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185.44970000000001</v>
      </c>
      <c r="H1087" t="s">
        <v>97</v>
      </c>
      <c r="I1087">
        <v>24958905506.744999</v>
      </c>
      <c r="J1087" t="s">
        <v>4700</v>
      </c>
      <c r="K1087">
        <v>1065822793.5325</v>
      </c>
      <c r="L1087">
        <v>0.95</v>
      </c>
      <c r="M1087" t="s">
        <v>5789</v>
      </c>
      <c r="N1087">
        <v>0.85273301000000001</v>
      </c>
      <c r="O1087">
        <v>254.29</v>
      </c>
      <c r="P1087">
        <v>217.31</v>
      </c>
      <c r="Q1087">
        <v>216.84147711290001</v>
      </c>
      <c r="R1087">
        <v>27724604786.87043</v>
      </c>
      <c r="S1087">
        <v>0</v>
      </c>
      <c r="T1087" t="s">
        <v>6243</v>
      </c>
      <c r="AN1087" t="s">
        <v>6262</v>
      </c>
    </row>
    <row r="1088" spans="1:40" x14ac:dyDescent="0.25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21177536.730606101</v>
      </c>
      <c r="L1088">
        <v>0.75</v>
      </c>
      <c r="M1088" t="s">
        <v>5790</v>
      </c>
      <c r="N1088">
        <v>1</v>
      </c>
      <c r="O1088">
        <v>16.61</v>
      </c>
      <c r="P1088">
        <v>16.71</v>
      </c>
      <c r="Q1088">
        <v>16.61</v>
      </c>
      <c r="R1088">
        <v>6740504100</v>
      </c>
      <c r="S1088">
        <v>0</v>
      </c>
      <c r="T1088" t="s">
        <v>6242</v>
      </c>
    </row>
    <row r="1089" spans="1:36" x14ac:dyDescent="0.25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7.7962550000000004</v>
      </c>
      <c r="H1089" t="s">
        <v>4691</v>
      </c>
      <c r="I1089">
        <v>5036257549.1709995</v>
      </c>
      <c r="J1089" t="s">
        <v>4701</v>
      </c>
      <c r="K1089">
        <v>9673634.5102631897</v>
      </c>
      <c r="L1089">
        <v>0.55000000000000004</v>
      </c>
      <c r="M1089" t="s">
        <v>5791</v>
      </c>
      <c r="N1089">
        <v>0.56652409000000004</v>
      </c>
      <c r="O1089">
        <v>10.18</v>
      </c>
      <c r="P1089">
        <v>14.07</v>
      </c>
      <c r="Q1089">
        <v>5.7672152362000002</v>
      </c>
      <c r="R1089">
        <v>2049041456.3214581</v>
      </c>
      <c r="S1089">
        <v>0</v>
      </c>
      <c r="T1089" t="s">
        <v>6244</v>
      </c>
      <c r="U1089" t="s">
        <v>6245</v>
      </c>
      <c r="W1089" t="s">
        <v>6247</v>
      </c>
      <c r="AJ1089" t="s">
        <v>6258</v>
      </c>
    </row>
    <row r="1090" spans="1:36" x14ac:dyDescent="0.25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503.05509999999998</v>
      </c>
      <c r="H1090" t="s">
        <v>97</v>
      </c>
      <c r="I1090">
        <v>52403398671.309601</v>
      </c>
      <c r="J1090" t="s">
        <v>4700</v>
      </c>
      <c r="K1090">
        <v>547538444.52180398</v>
      </c>
      <c r="L1090">
        <v>1</v>
      </c>
      <c r="M1090" t="s">
        <v>5792</v>
      </c>
      <c r="N1090">
        <v>0.85273301000000001</v>
      </c>
      <c r="O1090">
        <v>560</v>
      </c>
      <c r="P1090">
        <v>589.48</v>
      </c>
      <c r="Q1090">
        <v>477.53048560000002</v>
      </c>
      <c r="R1090">
        <v>49744492033.975739</v>
      </c>
      <c r="S1090">
        <v>0</v>
      </c>
      <c r="T1090" t="s">
        <v>6243</v>
      </c>
    </row>
    <row r="1091" spans="1:36" x14ac:dyDescent="0.25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22.836659999999998</v>
      </c>
      <c r="H1091" t="s">
        <v>97</v>
      </c>
      <c r="I1091">
        <v>20377342404.111</v>
      </c>
      <c r="J1091" t="s">
        <v>4700</v>
      </c>
      <c r="K1091">
        <v>259053811.54873899</v>
      </c>
      <c r="L1091">
        <v>1</v>
      </c>
      <c r="M1091" t="s">
        <v>5793</v>
      </c>
      <c r="N1091">
        <v>0.85273301000000001</v>
      </c>
      <c r="O1091">
        <v>27.16</v>
      </c>
      <c r="P1091">
        <v>26.76</v>
      </c>
      <c r="Q1091">
        <v>23.160228551599999</v>
      </c>
      <c r="R1091">
        <v>20666065324.501091</v>
      </c>
      <c r="S1091">
        <v>0</v>
      </c>
      <c r="T1091" t="s">
        <v>6243</v>
      </c>
      <c r="AJ1091" t="s">
        <v>6258</v>
      </c>
    </row>
    <row r="1092" spans="1:36" x14ac:dyDescent="0.25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78914596200.660004</v>
      </c>
      <c r="J1092" t="s">
        <v>4702</v>
      </c>
      <c r="K1092">
        <v>26858232.850909099</v>
      </c>
      <c r="L1092">
        <v>1</v>
      </c>
      <c r="M1092" t="s">
        <v>5794</v>
      </c>
      <c r="N1092">
        <v>1</v>
      </c>
      <c r="O1092">
        <v>39.78</v>
      </c>
      <c r="P1092">
        <v>41.38</v>
      </c>
      <c r="Q1092">
        <v>39.78</v>
      </c>
      <c r="R1092">
        <v>75863282669.460007</v>
      </c>
      <c r="S1092">
        <v>0</v>
      </c>
      <c r="T1092" t="s">
        <v>6242</v>
      </c>
    </row>
    <row r="1093" spans="1:36" x14ac:dyDescent="0.25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9924439851.0400009</v>
      </c>
      <c r="J1093" t="s">
        <v>4702</v>
      </c>
      <c r="K1093">
        <v>47544175.640454501</v>
      </c>
      <c r="L1093">
        <v>0.65</v>
      </c>
      <c r="M1093" t="s">
        <v>5795</v>
      </c>
      <c r="N1093">
        <v>1</v>
      </c>
      <c r="O1093">
        <v>34.369999999999997</v>
      </c>
      <c r="P1093">
        <v>33.56</v>
      </c>
      <c r="Q1093">
        <v>34.369999999999997</v>
      </c>
      <c r="R1093">
        <v>6606583685.7020006</v>
      </c>
      <c r="S1093">
        <v>1</v>
      </c>
      <c r="T1093" t="s">
        <v>6242</v>
      </c>
    </row>
    <row r="1094" spans="1:36" x14ac:dyDescent="0.25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147630477.68264601</v>
      </c>
      <c r="L1094">
        <v>1</v>
      </c>
      <c r="M1094" t="s">
        <v>5796</v>
      </c>
      <c r="N1094">
        <v>5.7743899999999999E-3</v>
      </c>
      <c r="O1094">
        <v>1728.5</v>
      </c>
      <c r="P1094">
        <v>1752</v>
      </c>
      <c r="Q1094">
        <v>9.9810331150000007</v>
      </c>
      <c r="R1094">
        <v>18670669262.31242</v>
      </c>
      <c r="S1094">
        <v>0</v>
      </c>
      <c r="T1094" t="s">
        <v>6244</v>
      </c>
    </row>
    <row r="1095" spans="1:36" x14ac:dyDescent="0.25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70.59</v>
      </c>
      <c r="P1095">
        <v>58.47</v>
      </c>
      <c r="Q1095">
        <v>70.59</v>
      </c>
      <c r="R1095">
        <v>5294250000</v>
      </c>
      <c r="S1095">
        <v>0</v>
      </c>
      <c r="T1095" t="s">
        <v>6242</v>
      </c>
      <c r="AJ1095" t="s">
        <v>6258</v>
      </c>
    </row>
    <row r="1096" spans="1:36" x14ac:dyDescent="0.25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4.1849999999999996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1.156136E-2</v>
      </c>
      <c r="O1096">
        <v>374.1</v>
      </c>
      <c r="P1096">
        <v>362.6</v>
      </c>
      <c r="Q1096">
        <v>4.3251047759999999</v>
      </c>
      <c r="R1096">
        <v>10379117463.17878</v>
      </c>
      <c r="S1096">
        <v>0</v>
      </c>
      <c r="T1096" t="s">
        <v>6242</v>
      </c>
    </row>
    <row r="1097" spans="1:36" x14ac:dyDescent="0.25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4590382215.6000004</v>
      </c>
      <c r="J1097" t="s">
        <v>4702</v>
      </c>
      <c r="K1097">
        <v>6519243.7184615396</v>
      </c>
      <c r="L1097">
        <v>0.65</v>
      </c>
      <c r="M1097" t="s">
        <v>5799</v>
      </c>
      <c r="N1097">
        <v>1</v>
      </c>
      <c r="O1097">
        <v>116.5</v>
      </c>
      <c r="P1097">
        <v>122.7</v>
      </c>
      <c r="Q1097">
        <v>116.5</v>
      </c>
      <c r="R1097">
        <v>2832980385.3000002</v>
      </c>
      <c r="S1097">
        <v>0</v>
      </c>
      <c r="T1097" t="s">
        <v>6242</v>
      </c>
      <c r="W1097" t="s">
        <v>6247</v>
      </c>
    </row>
    <row r="1098" spans="1:36" x14ac:dyDescent="0.25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13.904999999999999</v>
      </c>
      <c r="H1098" t="s">
        <v>98</v>
      </c>
      <c r="I1098">
        <v>16093591380</v>
      </c>
      <c r="J1098" t="s">
        <v>4702</v>
      </c>
      <c r="K1098">
        <v>69688062.966406107</v>
      </c>
      <c r="L1098">
        <v>1</v>
      </c>
      <c r="M1098" t="s">
        <v>5800</v>
      </c>
      <c r="N1098">
        <v>1</v>
      </c>
      <c r="O1098">
        <v>14.57</v>
      </c>
      <c r="P1098">
        <v>13.904999999999999</v>
      </c>
      <c r="Q1098">
        <v>14.57</v>
      </c>
      <c r="R1098">
        <v>16863259720</v>
      </c>
      <c r="S1098">
        <v>0</v>
      </c>
      <c r="T1098" t="s">
        <v>6242</v>
      </c>
      <c r="AH1098" t="s">
        <v>6256</v>
      </c>
      <c r="AJ1098" t="s">
        <v>6258</v>
      </c>
    </row>
    <row r="1099" spans="1:36" x14ac:dyDescent="0.25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62432517440.538002</v>
      </c>
      <c r="J1099" t="s">
        <v>4700</v>
      </c>
      <c r="K1099">
        <v>283426488.00367099</v>
      </c>
      <c r="L1099">
        <v>0.65</v>
      </c>
      <c r="M1099" t="s">
        <v>5801</v>
      </c>
      <c r="N1099">
        <v>0.85273301000000001</v>
      </c>
      <c r="O1099">
        <v>228.48</v>
      </c>
      <c r="P1099">
        <v>234.32</v>
      </c>
      <c r="Q1099">
        <v>194.83243812480001</v>
      </c>
      <c r="R1099">
        <v>39539350130.626907</v>
      </c>
      <c r="S1099">
        <v>0</v>
      </c>
      <c r="T1099" t="s">
        <v>6243</v>
      </c>
    </row>
    <row r="1100" spans="1:36" x14ac:dyDescent="0.25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250.66560000000001</v>
      </c>
      <c r="H1100" t="s">
        <v>97</v>
      </c>
      <c r="I1100">
        <v>36701163717.504013</v>
      </c>
      <c r="J1100" t="s">
        <v>4700</v>
      </c>
      <c r="K1100">
        <v>208011918.63328001</v>
      </c>
      <c r="L1100">
        <v>1</v>
      </c>
      <c r="M1100" t="s">
        <v>5802</v>
      </c>
      <c r="N1100">
        <v>0.85273301000000001</v>
      </c>
      <c r="O1100">
        <v>270.14</v>
      </c>
      <c r="P1100">
        <v>293.73</v>
      </c>
      <c r="Q1100">
        <v>230.35729532139999</v>
      </c>
      <c r="R1100">
        <v>33727726537.315529</v>
      </c>
      <c r="S1100">
        <v>0</v>
      </c>
      <c r="T1100" t="s">
        <v>6243</v>
      </c>
      <c r="AJ1100" t="s">
        <v>6258</v>
      </c>
    </row>
    <row r="1101" spans="1:36" x14ac:dyDescent="0.25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8.7863720000000001</v>
      </c>
      <c r="H1101" t="s">
        <v>99</v>
      </c>
      <c r="I1101">
        <v>20271361301.052399</v>
      </c>
      <c r="J1101" t="s">
        <v>4701</v>
      </c>
      <c r="K1101">
        <v>64814623.584879197</v>
      </c>
      <c r="L1101">
        <v>1</v>
      </c>
      <c r="M1101" t="s">
        <v>5803</v>
      </c>
      <c r="N1101">
        <v>5.7743899999999999E-3</v>
      </c>
      <c r="O1101">
        <v>1519.5</v>
      </c>
      <c r="P1101">
        <v>1512</v>
      </c>
      <c r="Q1101">
        <v>8.7741856049999996</v>
      </c>
      <c r="R1101">
        <v>20243245621.9072</v>
      </c>
      <c r="S1101">
        <v>0</v>
      </c>
      <c r="T1101" t="s">
        <v>6244</v>
      </c>
      <c r="AJ1101" t="s">
        <v>6258</v>
      </c>
    </row>
    <row r="1102" spans="1:36" x14ac:dyDescent="0.25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54.042659999999998</v>
      </c>
      <c r="H1102" t="s">
        <v>100</v>
      </c>
      <c r="I1102">
        <v>17715283926.921001</v>
      </c>
      <c r="J1102" t="s">
        <v>4700</v>
      </c>
      <c r="K1102">
        <v>51636513.984832898</v>
      </c>
      <c r="L1102">
        <v>0.95</v>
      </c>
      <c r="M1102" t="s">
        <v>5804</v>
      </c>
      <c r="N1102">
        <v>0.61572563000000002</v>
      </c>
      <c r="O1102">
        <v>87.08</v>
      </c>
      <c r="P1102">
        <v>87.61</v>
      </c>
      <c r="Q1102">
        <v>53.617387860400001</v>
      </c>
      <c r="R1102">
        <v>16697084986.16633</v>
      </c>
      <c r="S1102">
        <v>0</v>
      </c>
      <c r="T1102" t="s">
        <v>6243</v>
      </c>
    </row>
    <row r="1103" spans="1:36" x14ac:dyDescent="0.25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8435823021.9900007</v>
      </c>
      <c r="J1103" t="s">
        <v>4702</v>
      </c>
      <c r="K1103">
        <v>14616258.907348501</v>
      </c>
      <c r="L1103">
        <v>0.75</v>
      </c>
      <c r="M1103" t="s">
        <v>5805</v>
      </c>
      <c r="N1103">
        <v>1</v>
      </c>
      <c r="O1103">
        <v>27.63</v>
      </c>
      <c r="P1103">
        <v>28.21</v>
      </c>
      <c r="Q1103">
        <v>27.63</v>
      </c>
      <c r="R1103">
        <v>6196786337.227499</v>
      </c>
      <c r="S1103">
        <v>1</v>
      </c>
      <c r="T1103" t="s">
        <v>6242</v>
      </c>
    </row>
    <row r="1104" spans="1:36" x14ac:dyDescent="0.25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502985614.76893902</v>
      </c>
      <c r="L1104">
        <v>1</v>
      </c>
      <c r="M1104" t="s">
        <v>5806</v>
      </c>
      <c r="N1104">
        <v>1</v>
      </c>
      <c r="O1104">
        <v>1896.5</v>
      </c>
      <c r="P1104">
        <v>1622.5</v>
      </c>
      <c r="Q1104">
        <v>1896.5</v>
      </c>
      <c r="R1104">
        <v>87133975623</v>
      </c>
      <c r="S1104">
        <v>0</v>
      </c>
      <c r="T1104" t="s">
        <v>6242</v>
      </c>
      <c r="AD1104" t="s">
        <v>6252</v>
      </c>
      <c r="AJ1104" t="s">
        <v>6258</v>
      </c>
    </row>
    <row r="1105" spans="1:40" x14ac:dyDescent="0.25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7.6996969999999996</v>
      </c>
      <c r="H1105" t="s">
        <v>99</v>
      </c>
      <c r="I1105">
        <v>4386772625.8555498</v>
      </c>
      <c r="J1105" t="s">
        <v>4701</v>
      </c>
      <c r="K1105">
        <v>20654129.283667602</v>
      </c>
      <c r="L1105">
        <v>0.75</v>
      </c>
      <c r="M1105" t="s">
        <v>5807</v>
      </c>
      <c r="N1105">
        <v>5.7743899999999999E-3</v>
      </c>
      <c r="O1105">
        <v>1387.5</v>
      </c>
      <c r="P1105">
        <v>1325</v>
      </c>
      <c r="Q1105">
        <v>8.0119661250000007</v>
      </c>
      <c r="R1105">
        <v>3423512023.5671582</v>
      </c>
      <c r="S1105">
        <v>0</v>
      </c>
      <c r="T1105" t="s">
        <v>6244</v>
      </c>
    </row>
    <row r="1106" spans="1:40" x14ac:dyDescent="0.25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8.8962990000000008</v>
      </c>
      <c r="H1106" t="s">
        <v>96</v>
      </c>
      <c r="I1106">
        <v>6884136761.0697002</v>
      </c>
      <c r="J1106" t="s">
        <v>4699</v>
      </c>
      <c r="K1106">
        <v>11143710.322329599</v>
      </c>
      <c r="L1106">
        <v>0.95</v>
      </c>
      <c r="M1106" t="s">
        <v>5808</v>
      </c>
      <c r="N1106">
        <v>1.156136E-2</v>
      </c>
      <c r="O1106">
        <v>726.4</v>
      </c>
      <c r="P1106">
        <v>770.8</v>
      </c>
      <c r="Q1106">
        <v>8.3981719039999998</v>
      </c>
      <c r="R1106">
        <v>6173742107.0946083</v>
      </c>
      <c r="S1106">
        <v>0</v>
      </c>
      <c r="T1106" t="s">
        <v>6242</v>
      </c>
    </row>
    <row r="1107" spans="1:40" x14ac:dyDescent="0.25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203.22110000000001</v>
      </c>
      <c r="H1107" t="s">
        <v>4696</v>
      </c>
      <c r="I1107">
        <v>5160128595.2067003</v>
      </c>
      <c r="J1107" t="s">
        <v>4699</v>
      </c>
      <c r="K1107">
        <v>4984850.7207551599</v>
      </c>
      <c r="L1107">
        <v>0.9</v>
      </c>
      <c r="M1107" t="s">
        <v>5809</v>
      </c>
      <c r="N1107">
        <v>0.13397104000000001</v>
      </c>
      <c r="O1107">
        <v>1432</v>
      </c>
      <c r="P1107">
        <v>1517</v>
      </c>
      <c r="Q1107">
        <v>191.84652928</v>
      </c>
      <c r="R1107">
        <v>4384178047.7814503</v>
      </c>
      <c r="S1107">
        <v>0</v>
      </c>
      <c r="T1107" t="s">
        <v>6242</v>
      </c>
      <c r="U1107" t="s">
        <v>6245</v>
      </c>
      <c r="W1107" t="s">
        <v>6247</v>
      </c>
      <c r="AJ1107" t="s">
        <v>6258</v>
      </c>
    </row>
    <row r="1108" spans="1:40" x14ac:dyDescent="0.25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22.105399999999999</v>
      </c>
      <c r="H1108" t="s">
        <v>99</v>
      </c>
      <c r="I1108">
        <v>3180714395.2779999</v>
      </c>
      <c r="J1108" t="s">
        <v>4701</v>
      </c>
      <c r="K1108">
        <v>6024608.8479859</v>
      </c>
      <c r="L1108">
        <v>0.8</v>
      </c>
      <c r="M1108" t="s">
        <v>5810</v>
      </c>
      <c r="N1108">
        <v>5.7743899999999999E-3</v>
      </c>
      <c r="O1108">
        <v>3690</v>
      </c>
      <c r="P1108">
        <v>3804</v>
      </c>
      <c r="Q1108">
        <v>21.307499100000001</v>
      </c>
      <c r="R1108">
        <v>2452724460.6202302</v>
      </c>
      <c r="S1108">
        <v>0</v>
      </c>
      <c r="T1108" t="s">
        <v>6244</v>
      </c>
      <c r="W1108" t="s">
        <v>6247</v>
      </c>
      <c r="AJ1108" t="s">
        <v>6258</v>
      </c>
    </row>
    <row r="1109" spans="1:40" x14ac:dyDescent="0.25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53.103099999999998</v>
      </c>
      <c r="H1109" t="s">
        <v>96</v>
      </c>
      <c r="I1109">
        <v>66599576793.910004</v>
      </c>
      <c r="J1109" t="s">
        <v>4699</v>
      </c>
      <c r="K1109">
        <v>100028416.260498</v>
      </c>
      <c r="L1109">
        <v>0.85</v>
      </c>
      <c r="M1109" t="s">
        <v>5811</v>
      </c>
      <c r="N1109">
        <v>1.156136E-2</v>
      </c>
      <c r="O1109">
        <v>4602</v>
      </c>
      <c r="P1109">
        <v>4601</v>
      </c>
      <c r="Q1109">
        <v>53.205378719999999</v>
      </c>
      <c r="R1109">
        <v>56718672733.323463</v>
      </c>
      <c r="S1109">
        <v>0</v>
      </c>
      <c r="T1109" t="s">
        <v>6242</v>
      </c>
      <c r="AJ1109" t="s">
        <v>6258</v>
      </c>
      <c r="AN1109" t="s">
        <v>6262</v>
      </c>
    </row>
    <row r="1110" spans="1:40" x14ac:dyDescent="0.25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93.292370000000005</v>
      </c>
      <c r="H1110" t="s">
        <v>97</v>
      </c>
      <c r="I1110">
        <v>72204907866.969009</v>
      </c>
      <c r="J1110" t="s">
        <v>4700</v>
      </c>
      <c r="K1110">
        <v>3594839314.8899798</v>
      </c>
      <c r="L1110">
        <v>1</v>
      </c>
      <c r="M1110" t="s">
        <v>5812</v>
      </c>
      <c r="N1110">
        <v>0.85273301000000001</v>
      </c>
      <c r="O1110">
        <v>115.03</v>
      </c>
      <c r="P1110">
        <v>109.32</v>
      </c>
      <c r="Q1110">
        <v>98.089878140300002</v>
      </c>
      <c r="R1110">
        <v>75918005018.015701</v>
      </c>
      <c r="S1110">
        <v>0</v>
      </c>
      <c r="T1110" t="s">
        <v>6243</v>
      </c>
      <c r="AJ1110" t="s">
        <v>6258</v>
      </c>
    </row>
    <row r="1111" spans="1:40" x14ac:dyDescent="0.25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64690424073.300003</v>
      </c>
      <c r="J1111" t="s">
        <v>4700</v>
      </c>
      <c r="K1111">
        <v>853741356.26265705</v>
      </c>
      <c r="L1111">
        <v>1</v>
      </c>
      <c r="M1111" t="s">
        <v>5813</v>
      </c>
      <c r="N1111">
        <v>0.85273301000000001</v>
      </c>
      <c r="O1111">
        <v>133.31</v>
      </c>
      <c r="P1111">
        <v>117.52</v>
      </c>
      <c r="Q1111">
        <v>113.6778375631</v>
      </c>
      <c r="R1111">
        <v>73325956596.839081</v>
      </c>
      <c r="S1111">
        <v>0</v>
      </c>
      <c r="T1111" t="s">
        <v>6243</v>
      </c>
      <c r="AN1111" t="s">
        <v>6262</v>
      </c>
    </row>
    <row r="1112" spans="1:40" x14ac:dyDescent="0.25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278.41180000000003</v>
      </c>
      <c r="H1112" t="s">
        <v>4694</v>
      </c>
      <c r="I1112">
        <v>195601745919.85999</v>
      </c>
      <c r="J1112" t="s">
        <v>4699</v>
      </c>
      <c r="K1112">
        <v>253898359.271725</v>
      </c>
      <c r="L1112">
        <v>1</v>
      </c>
      <c r="M1112" t="s">
        <v>5814</v>
      </c>
      <c r="N1112">
        <v>1.07032003</v>
      </c>
      <c r="O1112">
        <v>264.5</v>
      </c>
      <c r="P1112">
        <v>261.5</v>
      </c>
      <c r="Q1112">
        <v>283.09964793500001</v>
      </c>
      <c r="R1112">
        <v>198895253022.263</v>
      </c>
      <c r="S1112">
        <v>0</v>
      </c>
      <c r="T1112" t="s">
        <v>6242</v>
      </c>
      <c r="U1112" t="s">
        <v>6245</v>
      </c>
    </row>
    <row r="1113" spans="1:40" x14ac:dyDescent="0.25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37.873359999999998</v>
      </c>
      <c r="H1113" t="s">
        <v>97</v>
      </c>
      <c r="I1113">
        <v>18270612579.688</v>
      </c>
      <c r="J1113" t="s">
        <v>4700</v>
      </c>
      <c r="K1113">
        <v>743337982.44812405</v>
      </c>
      <c r="L1113">
        <v>1</v>
      </c>
      <c r="M1113" t="s">
        <v>5815</v>
      </c>
      <c r="N1113">
        <v>0.85273301000000001</v>
      </c>
      <c r="O1113">
        <v>53.34</v>
      </c>
      <c r="P1113">
        <v>44.38</v>
      </c>
      <c r="Q1113">
        <v>45.484778753400001</v>
      </c>
      <c r="R1113">
        <v>21942462218.197578</v>
      </c>
      <c r="S1113">
        <v>0</v>
      </c>
      <c r="T1113" t="s">
        <v>6243</v>
      </c>
      <c r="AJ1113" t="s">
        <v>6258</v>
      </c>
      <c r="AN1113" t="s">
        <v>6262</v>
      </c>
    </row>
    <row r="1114" spans="1:40" x14ac:dyDescent="0.25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33696734346.213501</v>
      </c>
      <c r="J1114" t="s">
        <v>4700</v>
      </c>
      <c r="K1114">
        <v>262303241.43711901</v>
      </c>
      <c r="L1114">
        <v>1</v>
      </c>
      <c r="M1114" t="s">
        <v>5816</v>
      </c>
      <c r="N1114">
        <v>0.85273301000000001</v>
      </c>
      <c r="O1114">
        <v>344.93</v>
      </c>
      <c r="P1114">
        <v>351.19</v>
      </c>
      <c r="Q1114">
        <v>294.13319713930002</v>
      </c>
      <c r="R1114">
        <v>33070688069.77293</v>
      </c>
      <c r="S1114">
        <v>0</v>
      </c>
      <c r="T1114" t="s">
        <v>6243</v>
      </c>
      <c r="AJ1114" t="s">
        <v>6258</v>
      </c>
    </row>
    <row r="1115" spans="1:40" x14ac:dyDescent="0.25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33.336570000000002</v>
      </c>
      <c r="H1115" t="s">
        <v>4696</v>
      </c>
      <c r="I1115">
        <v>3788784188.5592999</v>
      </c>
      <c r="J1115" t="s">
        <v>4699</v>
      </c>
      <c r="K1115">
        <v>9427009.1699301805</v>
      </c>
      <c r="L1115">
        <v>0.85</v>
      </c>
      <c r="M1115" t="s">
        <v>5817</v>
      </c>
      <c r="N1115">
        <v>0.13397104000000001</v>
      </c>
      <c r="O1115">
        <v>241.5</v>
      </c>
      <c r="P1115">
        <v>248.85</v>
      </c>
      <c r="Q1115">
        <v>32.354006159999997</v>
      </c>
      <c r="R1115">
        <v>3125546357.325438</v>
      </c>
      <c r="S1115">
        <v>0</v>
      </c>
      <c r="T1115" t="s">
        <v>6242</v>
      </c>
      <c r="U1115" t="s">
        <v>6245</v>
      </c>
      <c r="W1115" t="s">
        <v>6247</v>
      </c>
    </row>
    <row r="1116" spans="1:40" x14ac:dyDescent="0.25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12.238160000000001</v>
      </c>
      <c r="H1116" t="s">
        <v>99</v>
      </c>
      <c r="I1116">
        <v>4941279481.6000004</v>
      </c>
      <c r="J1116" t="s">
        <v>4701</v>
      </c>
      <c r="K1116">
        <v>53321837.020753004</v>
      </c>
      <c r="L1116">
        <v>0.9</v>
      </c>
      <c r="M1116" t="s">
        <v>5818</v>
      </c>
      <c r="N1116">
        <v>5.7743899999999999E-3</v>
      </c>
      <c r="O1116">
        <v>2075</v>
      </c>
      <c r="P1116">
        <v>2106</v>
      </c>
      <c r="Q1116">
        <v>11.981859249999999</v>
      </c>
      <c r="R1116">
        <v>4354015941.7019997</v>
      </c>
      <c r="S1116">
        <v>0</v>
      </c>
      <c r="T1116" t="s">
        <v>6244</v>
      </c>
      <c r="AJ1116" t="s">
        <v>6258</v>
      </c>
    </row>
    <row r="1117" spans="1:40" x14ac:dyDescent="0.25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3484659809.9316001</v>
      </c>
      <c r="J1117" t="s">
        <v>4701</v>
      </c>
      <c r="K1117">
        <v>15217292.154672701</v>
      </c>
      <c r="L1117">
        <v>1</v>
      </c>
      <c r="M1117" t="s">
        <v>5819</v>
      </c>
      <c r="N1117">
        <v>5.7743899999999999E-3</v>
      </c>
      <c r="O1117">
        <v>2567</v>
      </c>
      <c r="P1117">
        <v>2539</v>
      </c>
      <c r="Q1117">
        <v>14.822859129999999</v>
      </c>
      <c r="R1117">
        <v>3500837818.6914701</v>
      </c>
      <c r="S1117">
        <v>0</v>
      </c>
      <c r="T1117" t="s">
        <v>6244</v>
      </c>
      <c r="AJ1117" t="s">
        <v>6258</v>
      </c>
    </row>
    <row r="1118" spans="1:40" x14ac:dyDescent="0.25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49.487969999999997</v>
      </c>
      <c r="H1118" t="s">
        <v>97</v>
      </c>
      <c r="I1118">
        <v>23983849780.799999</v>
      </c>
      <c r="J1118" t="s">
        <v>4700</v>
      </c>
      <c r="K1118">
        <v>78762329.752042994</v>
      </c>
      <c r="L1118">
        <v>0.65</v>
      </c>
      <c r="M1118" t="s">
        <v>5820</v>
      </c>
      <c r="N1118">
        <v>0.85273301000000001</v>
      </c>
      <c r="O1118">
        <v>57.37</v>
      </c>
      <c r="P1118">
        <v>57.99</v>
      </c>
      <c r="Q1118">
        <v>48.921292783699997</v>
      </c>
      <c r="R1118">
        <v>15410989967.550039</v>
      </c>
      <c r="S1118">
        <v>0</v>
      </c>
      <c r="T1118" t="s">
        <v>6243</v>
      </c>
    </row>
    <row r="1119" spans="1:40" x14ac:dyDescent="0.25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12.037940000000001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1.156136E-2</v>
      </c>
      <c r="O1119">
        <v>1130</v>
      </c>
      <c r="P1119">
        <v>1043</v>
      </c>
      <c r="Q1119">
        <v>13.0643368</v>
      </c>
      <c r="R1119">
        <v>110192925489.4048</v>
      </c>
      <c r="S1119">
        <v>0</v>
      </c>
      <c r="T1119" t="s">
        <v>6242</v>
      </c>
      <c r="AA1119" t="s">
        <v>6249</v>
      </c>
      <c r="AJ1119" t="s">
        <v>6258</v>
      </c>
    </row>
    <row r="1120" spans="1:40" x14ac:dyDescent="0.25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458.13279999999997</v>
      </c>
      <c r="H1120" t="s">
        <v>97</v>
      </c>
      <c r="I1120">
        <v>49301420675.295998</v>
      </c>
      <c r="J1120" t="s">
        <v>4700</v>
      </c>
      <c r="K1120">
        <v>291690622.01188099</v>
      </c>
      <c r="L1120">
        <v>1</v>
      </c>
      <c r="M1120" t="s">
        <v>5822</v>
      </c>
      <c r="N1120">
        <v>0.85273301000000001</v>
      </c>
      <c r="O1120">
        <v>512.53</v>
      </c>
      <c r="P1120">
        <v>536.84</v>
      </c>
      <c r="Q1120">
        <v>437.05124961529998</v>
      </c>
      <c r="R1120">
        <v>47032754506.875961</v>
      </c>
      <c r="S1120">
        <v>0</v>
      </c>
      <c r="T1120" t="s">
        <v>6243</v>
      </c>
    </row>
    <row r="1121" spans="1:40" x14ac:dyDescent="0.25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414822133.49734902</v>
      </c>
      <c r="L1121">
        <v>1</v>
      </c>
      <c r="M1121" t="s">
        <v>5823</v>
      </c>
      <c r="N1121">
        <v>0.85273301000000001</v>
      </c>
      <c r="O1121">
        <v>147.9</v>
      </c>
      <c r="P1121">
        <v>147.25</v>
      </c>
      <c r="Q1121">
        <v>126.119212179</v>
      </c>
      <c r="R1121">
        <v>41249877570.567993</v>
      </c>
      <c r="S1121">
        <v>0</v>
      </c>
      <c r="T1121" t="s">
        <v>6243</v>
      </c>
      <c r="AJ1121" t="s">
        <v>6258</v>
      </c>
      <c r="AN1121" t="s">
        <v>6262</v>
      </c>
    </row>
    <row r="1122" spans="1:40" x14ac:dyDescent="0.25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3395046309.1890001</v>
      </c>
      <c r="J1122" t="s">
        <v>4699</v>
      </c>
      <c r="K1122">
        <v>5336059.9652950699</v>
      </c>
      <c r="L1122">
        <v>1</v>
      </c>
      <c r="M1122" t="s">
        <v>5824</v>
      </c>
      <c r="N1122">
        <v>1.156136E-2</v>
      </c>
      <c r="O1122">
        <v>345</v>
      </c>
      <c r="P1122">
        <v>352</v>
      </c>
      <c r="Q1122">
        <v>3.9886691999999999</v>
      </c>
      <c r="R1122">
        <v>3333215179.0331998</v>
      </c>
      <c r="S1122">
        <v>0</v>
      </c>
      <c r="T1122" t="s">
        <v>6242</v>
      </c>
      <c r="W1122" t="s">
        <v>6247</v>
      </c>
    </row>
    <row r="1123" spans="1:40" x14ac:dyDescent="0.25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117.60339999999999</v>
      </c>
      <c r="H1123" t="s">
        <v>100</v>
      </c>
      <c r="I1123">
        <v>165853334860.78</v>
      </c>
      <c r="J1123" t="s">
        <v>4700</v>
      </c>
      <c r="K1123">
        <v>412723136.76504499</v>
      </c>
      <c r="L1123">
        <v>1</v>
      </c>
      <c r="M1123" t="s">
        <v>5825</v>
      </c>
      <c r="N1123">
        <v>0.61572563000000002</v>
      </c>
      <c r="O1123">
        <v>199.63</v>
      </c>
      <c r="P1123">
        <v>190.65</v>
      </c>
      <c r="Q1123">
        <v>122.9173075169</v>
      </c>
      <c r="R1123">
        <v>173347414817.81891</v>
      </c>
      <c r="S1123">
        <v>0</v>
      </c>
      <c r="T1123" t="s">
        <v>6243</v>
      </c>
      <c r="AJ1123" t="s">
        <v>6258</v>
      </c>
    </row>
    <row r="1124" spans="1:40" x14ac:dyDescent="0.25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294.13720000000001</v>
      </c>
      <c r="H1124" t="s">
        <v>97</v>
      </c>
      <c r="I1124">
        <v>79895799354.951996</v>
      </c>
      <c r="J1124" t="s">
        <v>4700</v>
      </c>
      <c r="K1124">
        <v>622354011.91679204</v>
      </c>
      <c r="L1124">
        <v>0.95</v>
      </c>
      <c r="M1124" t="s">
        <v>5826</v>
      </c>
      <c r="N1124">
        <v>0.85273301000000001</v>
      </c>
      <c r="O1124">
        <v>336.42</v>
      </c>
      <c r="P1124">
        <v>344.67</v>
      </c>
      <c r="Q1124">
        <v>286.8764392242</v>
      </c>
      <c r="R1124">
        <v>74027397100.821564</v>
      </c>
      <c r="S1124">
        <v>0</v>
      </c>
      <c r="T1124" t="s">
        <v>6243</v>
      </c>
      <c r="AJ1124" t="s">
        <v>6258</v>
      </c>
    </row>
    <row r="1125" spans="1:40" x14ac:dyDescent="0.25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6.7460909999999998</v>
      </c>
      <c r="H1125" t="s">
        <v>96</v>
      </c>
      <c r="I1125">
        <v>3197980863.1217699</v>
      </c>
      <c r="J1125" t="s">
        <v>4699</v>
      </c>
      <c r="K1125">
        <v>3490138.9037629301</v>
      </c>
      <c r="L1125">
        <v>1</v>
      </c>
      <c r="M1125" t="s">
        <v>5827</v>
      </c>
      <c r="N1125">
        <v>1.156136E-2</v>
      </c>
      <c r="O1125">
        <v>563</v>
      </c>
      <c r="P1125">
        <v>584.5</v>
      </c>
      <c r="Q1125">
        <v>6.5090456799999998</v>
      </c>
      <c r="R1125">
        <v>3085609654.8097901</v>
      </c>
      <c r="S1125">
        <v>0</v>
      </c>
      <c r="T1125" t="s">
        <v>6242</v>
      </c>
      <c r="W1125" t="s">
        <v>6247</v>
      </c>
    </row>
    <row r="1126" spans="1:40" x14ac:dyDescent="0.25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133.33330000000001</v>
      </c>
      <c r="H1126" t="s">
        <v>97</v>
      </c>
      <c r="I1126">
        <v>178472208715.26999</v>
      </c>
      <c r="J1126" t="s">
        <v>4700</v>
      </c>
      <c r="K1126">
        <v>661493389.77193296</v>
      </c>
      <c r="L1126">
        <v>1</v>
      </c>
      <c r="M1126" t="s">
        <v>5828</v>
      </c>
      <c r="N1126">
        <v>0.85273301000000001</v>
      </c>
      <c r="O1126">
        <v>155.85</v>
      </c>
      <c r="P1126">
        <v>156.24</v>
      </c>
      <c r="Q1126">
        <v>132.89843960850001</v>
      </c>
      <c r="R1126">
        <v>177890129860.5968</v>
      </c>
      <c r="S1126">
        <v>0</v>
      </c>
      <c r="T1126" t="s">
        <v>6243</v>
      </c>
      <c r="AA1126" t="s">
        <v>6249</v>
      </c>
      <c r="AJ1126" t="s">
        <v>6258</v>
      </c>
    </row>
    <row r="1127" spans="1:40" x14ac:dyDescent="0.25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3016096536.1399999</v>
      </c>
      <c r="J1127" t="s">
        <v>4703</v>
      </c>
      <c r="K1127">
        <v>4161523.0375757599</v>
      </c>
      <c r="L1127">
        <v>0.8</v>
      </c>
      <c r="M1127" t="s">
        <v>5829</v>
      </c>
      <c r="N1127">
        <v>1</v>
      </c>
      <c r="O1127">
        <v>29.16</v>
      </c>
      <c r="P1127">
        <v>29.18</v>
      </c>
      <c r="Q1127">
        <v>29.16</v>
      </c>
      <c r="R1127">
        <v>2411223440.5440001</v>
      </c>
      <c r="S1127">
        <v>1</v>
      </c>
      <c r="T1127" t="s">
        <v>6242</v>
      </c>
      <c r="W1127" t="s">
        <v>6247</v>
      </c>
      <c r="AH1127" t="s">
        <v>6256</v>
      </c>
      <c r="AJ1127" t="s">
        <v>6258</v>
      </c>
    </row>
    <row r="1128" spans="1:40" x14ac:dyDescent="0.25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64478015.635909103</v>
      </c>
      <c r="L1128">
        <v>0.9</v>
      </c>
      <c r="M1128" t="s">
        <v>5830</v>
      </c>
      <c r="N1128">
        <v>1</v>
      </c>
      <c r="O1128">
        <v>35.93</v>
      </c>
      <c r="P1128">
        <v>35.72</v>
      </c>
      <c r="Q1128">
        <v>35.93</v>
      </c>
      <c r="R1128">
        <v>24053592884.400002</v>
      </c>
      <c r="S1128">
        <v>0</v>
      </c>
      <c r="T1128" t="s">
        <v>6242</v>
      </c>
      <c r="AG1128" t="s">
        <v>6255</v>
      </c>
      <c r="AH1128" t="s">
        <v>6256</v>
      </c>
    </row>
    <row r="1129" spans="1:40" x14ac:dyDescent="0.25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28198172878.759998</v>
      </c>
      <c r="J1129" t="s">
        <v>4702</v>
      </c>
      <c r="K1129">
        <v>67944936.270527303</v>
      </c>
      <c r="L1129">
        <v>1</v>
      </c>
      <c r="M1129" t="s">
        <v>5831</v>
      </c>
      <c r="N1129">
        <v>1</v>
      </c>
      <c r="O1129">
        <v>23.82</v>
      </c>
      <c r="P1129">
        <v>26.59</v>
      </c>
      <c r="Q1129">
        <v>23.82</v>
      </c>
      <c r="R1129">
        <v>25260642270.48</v>
      </c>
      <c r="S1129">
        <v>0</v>
      </c>
      <c r="T1129" t="s">
        <v>6242</v>
      </c>
      <c r="AN1129" t="s">
        <v>6262</v>
      </c>
    </row>
    <row r="1130" spans="1:40" x14ac:dyDescent="0.25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40.433579999999999</v>
      </c>
      <c r="H1130" t="s">
        <v>99</v>
      </c>
      <c r="I1130">
        <v>11352940592.4</v>
      </c>
      <c r="J1130" t="s">
        <v>4701</v>
      </c>
      <c r="K1130">
        <v>361282891.74228799</v>
      </c>
      <c r="L1130">
        <v>1</v>
      </c>
      <c r="M1130" t="s">
        <v>5832</v>
      </c>
      <c r="N1130">
        <v>5.7743899999999999E-3</v>
      </c>
      <c r="O1130">
        <v>3243</v>
      </c>
      <c r="P1130">
        <v>6958</v>
      </c>
      <c r="Q1130">
        <v>18.726346769999999</v>
      </c>
      <c r="R1130">
        <v>5257983646.0805998</v>
      </c>
      <c r="S1130">
        <v>0</v>
      </c>
      <c r="T1130" t="s">
        <v>6244</v>
      </c>
      <c r="AJ1130" t="s">
        <v>6258</v>
      </c>
    </row>
    <row r="1131" spans="1:40" x14ac:dyDescent="0.25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475.04689999999999</v>
      </c>
      <c r="H1131" t="s">
        <v>97</v>
      </c>
      <c r="I1131">
        <v>145031818570</v>
      </c>
      <c r="J1131" t="s">
        <v>4700</v>
      </c>
      <c r="K1131">
        <v>516829322.80228698</v>
      </c>
      <c r="L1131">
        <v>1</v>
      </c>
      <c r="M1131" t="s">
        <v>5833</v>
      </c>
      <c r="N1131">
        <v>0.85273301000000001</v>
      </c>
      <c r="O1131">
        <v>544.23</v>
      </c>
      <c r="P1131">
        <v>556.66</v>
      </c>
      <c r="Q1131">
        <v>464.0828860323</v>
      </c>
      <c r="R1131">
        <v>141684505105.66119</v>
      </c>
      <c r="S1131">
        <v>0</v>
      </c>
      <c r="T1131" t="s">
        <v>6243</v>
      </c>
    </row>
    <row r="1132" spans="1:40" x14ac:dyDescent="0.25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46.515059999999998</v>
      </c>
      <c r="H1132" t="s">
        <v>4693</v>
      </c>
      <c r="I1132">
        <v>24831962447.868</v>
      </c>
      <c r="J1132" t="s">
        <v>4699</v>
      </c>
      <c r="K1132">
        <v>139908637.09193999</v>
      </c>
      <c r="L1132">
        <v>0.6</v>
      </c>
      <c r="M1132" t="s">
        <v>5834</v>
      </c>
      <c r="N1132">
        <v>9.1395149999999994E-2</v>
      </c>
      <c r="O1132">
        <v>537.1</v>
      </c>
      <c r="P1132">
        <v>518.20000000000005</v>
      </c>
      <c r="Q1132">
        <v>49.088335065000003</v>
      </c>
      <c r="R1132">
        <v>15723419808.067869</v>
      </c>
      <c r="S1132">
        <v>0</v>
      </c>
      <c r="T1132" t="s">
        <v>6242</v>
      </c>
      <c r="U1132" t="s">
        <v>6245</v>
      </c>
    </row>
    <row r="1133" spans="1:40" x14ac:dyDescent="0.25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0.85000000000000009</v>
      </c>
      <c r="M1133" t="s">
        <v>5835</v>
      </c>
      <c r="N1133">
        <v>1</v>
      </c>
      <c r="O1133">
        <v>285.60000000000002</v>
      </c>
      <c r="P1133">
        <v>290.5</v>
      </c>
      <c r="Q1133">
        <v>285.60000000000002</v>
      </c>
      <c r="R1133">
        <v>102841046820.12</v>
      </c>
      <c r="S1133">
        <v>1</v>
      </c>
      <c r="T1133" t="s">
        <v>6242</v>
      </c>
      <c r="AA1133" t="s">
        <v>6249</v>
      </c>
    </row>
    <row r="1134" spans="1:40" x14ac:dyDescent="0.25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1.156136E-2</v>
      </c>
      <c r="O1134">
        <v>1073.5</v>
      </c>
      <c r="P1134">
        <v>1101</v>
      </c>
      <c r="Q1134">
        <v>12.411119960000001</v>
      </c>
      <c r="R1134">
        <v>11957222963.046869</v>
      </c>
      <c r="S1134">
        <v>0</v>
      </c>
      <c r="T1134" t="s">
        <v>6242</v>
      </c>
    </row>
    <row r="1135" spans="1:40" x14ac:dyDescent="0.25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48988092693.839996</v>
      </c>
      <c r="J1135" t="s">
        <v>4702</v>
      </c>
      <c r="K1135">
        <v>81709919.195605993</v>
      </c>
      <c r="L1135">
        <v>0.9</v>
      </c>
      <c r="M1135" t="s">
        <v>5837</v>
      </c>
      <c r="N1135">
        <v>1</v>
      </c>
      <c r="O1135">
        <v>93.9</v>
      </c>
      <c r="P1135">
        <v>98.16</v>
      </c>
      <c r="Q1135">
        <v>93.9</v>
      </c>
      <c r="R1135">
        <v>42175873202.490013</v>
      </c>
      <c r="S1135">
        <v>1</v>
      </c>
      <c r="T1135" t="s">
        <v>6242</v>
      </c>
    </row>
    <row r="1136" spans="1:40" x14ac:dyDescent="0.25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2.4089999999999998</v>
      </c>
      <c r="H1136" t="s">
        <v>98</v>
      </c>
      <c r="I1136">
        <v>4807477155.5579996</v>
      </c>
      <c r="J1136" t="s">
        <v>4702</v>
      </c>
      <c r="K1136">
        <v>95720412.144299999</v>
      </c>
      <c r="L1136">
        <v>0.65</v>
      </c>
      <c r="M1136" t="s">
        <v>5838</v>
      </c>
      <c r="N1136">
        <v>1</v>
      </c>
      <c r="O1136">
        <v>2.375</v>
      </c>
      <c r="P1136">
        <v>2.4089999999999998</v>
      </c>
      <c r="Q1136">
        <v>2.375</v>
      </c>
      <c r="R1136">
        <v>3080756686.9625001</v>
      </c>
      <c r="S1136">
        <v>0</v>
      </c>
      <c r="T1136" t="s">
        <v>6242</v>
      </c>
      <c r="AJ1136" t="s">
        <v>6258</v>
      </c>
    </row>
    <row r="1137" spans="1:40" x14ac:dyDescent="0.25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1824998017.7253799</v>
      </c>
      <c r="L1137">
        <v>1</v>
      </c>
      <c r="M1137" t="s">
        <v>5839</v>
      </c>
      <c r="N1137">
        <v>0.85273301000000001</v>
      </c>
      <c r="O1137">
        <v>242.76</v>
      </c>
      <c r="P1137">
        <v>248.29</v>
      </c>
      <c r="Q1137">
        <v>207.0094655076</v>
      </c>
      <c r="R1137">
        <v>197901049025.26559</v>
      </c>
      <c r="S1137">
        <v>0</v>
      </c>
      <c r="T1137" t="s">
        <v>6243</v>
      </c>
    </row>
    <row r="1138" spans="1:40" x14ac:dyDescent="0.25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42.140099999999997</v>
      </c>
      <c r="H1138" t="s">
        <v>4695</v>
      </c>
      <c r="I1138">
        <v>5705243420.8514996</v>
      </c>
      <c r="J1138" t="s">
        <v>4699</v>
      </c>
      <c r="K1138">
        <v>11431885.496770499</v>
      </c>
      <c r="L1138">
        <v>0.55000000000000004</v>
      </c>
      <c r="M1138" t="s">
        <v>5840</v>
      </c>
      <c r="N1138">
        <v>8.6344599999999994E-2</v>
      </c>
      <c r="O1138">
        <v>551</v>
      </c>
      <c r="P1138">
        <v>496.6</v>
      </c>
      <c r="Q1138">
        <v>47.575874599999999</v>
      </c>
      <c r="R1138">
        <v>3542648689.8250909</v>
      </c>
      <c r="S1138">
        <v>0</v>
      </c>
      <c r="T1138" t="s">
        <v>6242</v>
      </c>
      <c r="U1138" t="s">
        <v>6245</v>
      </c>
    </row>
    <row r="1139" spans="1:40" x14ac:dyDescent="0.25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9.9039999999999999</v>
      </c>
      <c r="H1139" t="s">
        <v>98</v>
      </c>
      <c r="I1139">
        <v>26654029075.200001</v>
      </c>
      <c r="J1139" t="s">
        <v>4702</v>
      </c>
      <c r="K1139">
        <v>27391801.947500002</v>
      </c>
      <c r="L1139">
        <v>0.95</v>
      </c>
      <c r="M1139" t="s">
        <v>5841</v>
      </c>
      <c r="N1139">
        <v>1</v>
      </c>
      <c r="O1139">
        <v>9.8819999999999997</v>
      </c>
      <c r="P1139">
        <v>9.9039999999999999</v>
      </c>
      <c r="Q1139">
        <v>9.8819999999999997</v>
      </c>
      <c r="R1139">
        <v>25265080730.52</v>
      </c>
      <c r="S1139">
        <v>0</v>
      </c>
      <c r="T1139" t="s">
        <v>6242</v>
      </c>
    </row>
    <row r="1140" spans="1:40" x14ac:dyDescent="0.25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1.8020560000000001</v>
      </c>
      <c r="H1140" t="s">
        <v>4692</v>
      </c>
      <c r="I1140">
        <v>2638288914.0528002</v>
      </c>
      <c r="J1140" t="s">
        <v>4701</v>
      </c>
      <c r="K1140">
        <v>10087937.713497899</v>
      </c>
      <c r="L1140">
        <v>0.9</v>
      </c>
      <c r="M1140" t="s">
        <v>5842</v>
      </c>
      <c r="N1140">
        <v>0.10956983000000001</v>
      </c>
      <c r="O1140">
        <v>16.71</v>
      </c>
      <c r="P1140">
        <v>16.5</v>
      </c>
      <c r="Q1140">
        <v>1.8309118593</v>
      </c>
      <c r="R1140">
        <v>2412481640.3591738</v>
      </c>
      <c r="S1140">
        <v>0</v>
      </c>
      <c r="T1140" t="s">
        <v>6244</v>
      </c>
      <c r="U1140" t="s">
        <v>6245</v>
      </c>
    </row>
    <row r="1141" spans="1:40" x14ac:dyDescent="0.25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6.6547989999999997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0.56652409000000004</v>
      </c>
      <c r="O1141">
        <v>12.47</v>
      </c>
      <c r="P1141">
        <v>12.01</v>
      </c>
      <c r="Q1141">
        <v>7.0645554023000008</v>
      </c>
      <c r="R1141">
        <v>3243138659.2524638</v>
      </c>
      <c r="S1141">
        <v>0</v>
      </c>
      <c r="T1141" t="s">
        <v>6244</v>
      </c>
      <c r="U1141" t="s">
        <v>6245</v>
      </c>
      <c r="AJ1141" t="s">
        <v>6258</v>
      </c>
    </row>
    <row r="1142" spans="1:40" x14ac:dyDescent="0.25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53.467840000000002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1.07032003</v>
      </c>
      <c r="O1142">
        <v>47.86</v>
      </c>
      <c r="P1142">
        <v>50.22</v>
      </c>
      <c r="Q1142">
        <v>51.225516635799998</v>
      </c>
      <c r="R1142">
        <v>22539227319.751999</v>
      </c>
      <c r="S1142">
        <v>0</v>
      </c>
      <c r="T1142" t="s">
        <v>6242</v>
      </c>
      <c r="U1142" t="s">
        <v>6245</v>
      </c>
      <c r="AJ1142" t="s">
        <v>6258</v>
      </c>
      <c r="AN1142" t="s">
        <v>6262</v>
      </c>
    </row>
    <row r="1143" spans="1:40" x14ac:dyDescent="0.25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2.2039689999999998</v>
      </c>
      <c r="H1143" t="s">
        <v>4692</v>
      </c>
      <c r="I1143">
        <v>17837557302.8386</v>
      </c>
      <c r="J1143" t="s">
        <v>4701</v>
      </c>
      <c r="K1143">
        <v>40294922.656746902</v>
      </c>
      <c r="L1143">
        <v>0.25</v>
      </c>
      <c r="M1143" t="s">
        <v>5845</v>
      </c>
      <c r="N1143">
        <v>0.10956983000000001</v>
      </c>
      <c r="O1143">
        <v>21.08</v>
      </c>
      <c r="P1143">
        <v>20.18</v>
      </c>
      <c r="Q1143">
        <v>2.309732016399999</v>
      </c>
      <c r="R1143">
        <v>4673384380.2630548</v>
      </c>
      <c r="S1143">
        <v>0</v>
      </c>
      <c r="T1143" t="s">
        <v>6244</v>
      </c>
      <c r="U1143" t="s">
        <v>6245</v>
      </c>
    </row>
    <row r="1144" spans="1:40" x14ac:dyDescent="0.25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21.857230000000001</v>
      </c>
      <c r="H1144" t="s">
        <v>4693</v>
      </c>
      <c r="I1144">
        <v>27417401125.056999</v>
      </c>
      <c r="J1144" t="s">
        <v>4699</v>
      </c>
      <c r="K1144">
        <v>32792295.841710601</v>
      </c>
      <c r="L1144">
        <v>0.85</v>
      </c>
      <c r="M1144" t="s">
        <v>5846</v>
      </c>
      <c r="N1144">
        <v>9.1395149999999994E-2</v>
      </c>
      <c r="O1144">
        <v>250</v>
      </c>
      <c r="P1144">
        <v>243.5</v>
      </c>
      <c r="Q1144">
        <v>22.8487875</v>
      </c>
      <c r="R1144">
        <v>24362017341.281811</v>
      </c>
      <c r="S1144">
        <v>0</v>
      </c>
      <c r="T1144" t="s">
        <v>6242</v>
      </c>
      <c r="U1144" t="s">
        <v>6245</v>
      </c>
      <c r="AG1144" t="s">
        <v>6255</v>
      </c>
    </row>
    <row r="1145" spans="1:40" x14ac:dyDescent="0.25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5.7743899999999999E-3</v>
      </c>
      <c r="O1145">
        <v>2988</v>
      </c>
      <c r="P1145">
        <v>2988</v>
      </c>
      <c r="Q1145">
        <v>17.253877320000001</v>
      </c>
      <c r="R1145">
        <v>3364506077.4000001</v>
      </c>
      <c r="S1145">
        <v>0</v>
      </c>
      <c r="T1145" t="s">
        <v>6244</v>
      </c>
    </row>
    <row r="1146" spans="1:40" x14ac:dyDescent="0.25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49.307119999999998</v>
      </c>
      <c r="H1146" t="s">
        <v>99</v>
      </c>
      <c r="I1146">
        <v>2735078618.3298402</v>
      </c>
      <c r="J1146" t="s">
        <v>4701</v>
      </c>
      <c r="K1146">
        <v>9558763.6591093503</v>
      </c>
      <c r="L1146">
        <v>0.95</v>
      </c>
      <c r="M1146" t="s">
        <v>5848</v>
      </c>
      <c r="N1146">
        <v>5.7743899999999999E-3</v>
      </c>
      <c r="O1146">
        <v>8306</v>
      </c>
      <c r="P1146">
        <v>8485</v>
      </c>
      <c r="Q1146">
        <v>47.96208334</v>
      </c>
      <c r="R1146">
        <v>2527445634.6689572</v>
      </c>
      <c r="S1146">
        <v>0</v>
      </c>
      <c r="T1146" t="s">
        <v>6244</v>
      </c>
      <c r="W1146" t="s">
        <v>6247</v>
      </c>
      <c r="AJ1146" t="s">
        <v>6258</v>
      </c>
    </row>
    <row r="1147" spans="1:40" x14ac:dyDescent="0.25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107207140101.82001</v>
      </c>
      <c r="J1147" t="s">
        <v>4702</v>
      </c>
      <c r="K1147">
        <v>158913818.45727301</v>
      </c>
      <c r="L1147">
        <v>0.95000000000000007</v>
      </c>
      <c r="M1147" t="s">
        <v>5849</v>
      </c>
      <c r="N1147">
        <v>1</v>
      </c>
      <c r="O1147">
        <v>80.7</v>
      </c>
      <c r="P1147">
        <v>87.34</v>
      </c>
      <c r="Q1147">
        <v>80.7</v>
      </c>
      <c r="R1147">
        <v>94103908815.045013</v>
      </c>
      <c r="S1147">
        <v>1</v>
      </c>
      <c r="T1147" t="s">
        <v>6242</v>
      </c>
    </row>
    <row r="1148" spans="1:40" x14ac:dyDescent="0.25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11836504798.152599</v>
      </c>
      <c r="J1148" t="s">
        <v>4701</v>
      </c>
      <c r="K1148">
        <v>812146465.09138095</v>
      </c>
      <c r="L1148">
        <v>0.85</v>
      </c>
      <c r="M1148" t="s">
        <v>5850</v>
      </c>
      <c r="N1148">
        <v>5.7743899999999999E-3</v>
      </c>
      <c r="O1148">
        <v>7303</v>
      </c>
      <c r="P1148">
        <v>7975</v>
      </c>
      <c r="Q1148">
        <v>42.170370169999998</v>
      </c>
      <c r="R1148">
        <v>9155063530.614996</v>
      </c>
      <c r="S1148">
        <v>0</v>
      </c>
      <c r="T1148" t="s">
        <v>6244</v>
      </c>
      <c r="AJ1148" t="s">
        <v>6258</v>
      </c>
    </row>
    <row r="1149" spans="1:40" x14ac:dyDescent="0.25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9.1524710000000002</v>
      </c>
      <c r="H1149" t="s">
        <v>99</v>
      </c>
      <c r="I1149">
        <v>3130690020.1233401</v>
      </c>
      <c r="J1149" t="s">
        <v>4701</v>
      </c>
      <c r="K1149">
        <v>13052046.6182949</v>
      </c>
      <c r="L1149">
        <v>1</v>
      </c>
      <c r="M1149" t="s">
        <v>5851</v>
      </c>
      <c r="N1149">
        <v>5.7743899999999999E-3</v>
      </c>
      <c r="O1149">
        <v>1619.5</v>
      </c>
      <c r="P1149">
        <v>1575</v>
      </c>
      <c r="Q1149">
        <v>9.3516246049999996</v>
      </c>
      <c r="R1149">
        <v>3198812410.6389809</v>
      </c>
      <c r="S1149">
        <v>0</v>
      </c>
      <c r="T1149" t="s">
        <v>6244</v>
      </c>
    </row>
    <row r="1150" spans="1:40" x14ac:dyDescent="0.25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4.2998529999999997</v>
      </c>
      <c r="H1150" t="s">
        <v>4691</v>
      </c>
      <c r="I1150">
        <v>13964946477.368999</v>
      </c>
      <c r="J1150" t="s">
        <v>4701</v>
      </c>
      <c r="K1150">
        <v>53065306.028894402</v>
      </c>
      <c r="L1150">
        <v>1</v>
      </c>
      <c r="M1150" t="s">
        <v>5852</v>
      </c>
      <c r="N1150">
        <v>0.56652409000000004</v>
      </c>
      <c r="O1150">
        <v>7.59</v>
      </c>
      <c r="P1150">
        <v>7.76</v>
      </c>
      <c r="Q1150">
        <v>4.2999178431000002</v>
      </c>
      <c r="R1150">
        <v>13965157073.03842</v>
      </c>
      <c r="S1150">
        <v>0</v>
      </c>
      <c r="T1150" t="s">
        <v>6244</v>
      </c>
      <c r="U1150" t="s">
        <v>6245</v>
      </c>
      <c r="AH1150" t="s">
        <v>6256</v>
      </c>
      <c r="AJ1150" t="s">
        <v>6258</v>
      </c>
    </row>
    <row r="1151" spans="1:40" x14ac:dyDescent="0.25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16124051.716174399</v>
      </c>
      <c r="L1151">
        <v>0.95</v>
      </c>
      <c r="M1151" t="s">
        <v>5853</v>
      </c>
      <c r="N1151">
        <v>5.7743899999999999E-3</v>
      </c>
      <c r="O1151">
        <v>4752</v>
      </c>
      <c r="P1151">
        <v>4742</v>
      </c>
      <c r="Q1151">
        <v>27.439901280000001</v>
      </c>
      <c r="R1151">
        <v>5761007273.7360001</v>
      </c>
      <c r="S1151">
        <v>0</v>
      </c>
      <c r="T1151" t="s">
        <v>6244</v>
      </c>
      <c r="AJ1151" t="s">
        <v>6258</v>
      </c>
    </row>
    <row r="1152" spans="1:40" x14ac:dyDescent="0.25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374488107.97348499</v>
      </c>
      <c r="L1152">
        <v>0.9</v>
      </c>
      <c r="M1152" t="s">
        <v>5854</v>
      </c>
      <c r="N1152">
        <v>1</v>
      </c>
      <c r="O1152">
        <v>220.9</v>
      </c>
      <c r="P1152">
        <v>232.6</v>
      </c>
      <c r="Q1152">
        <v>220.9</v>
      </c>
      <c r="R1152">
        <v>244238939883</v>
      </c>
      <c r="S1152">
        <v>0</v>
      </c>
      <c r="T1152" t="s">
        <v>6242</v>
      </c>
    </row>
    <row r="1153" spans="1:40" x14ac:dyDescent="0.25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43.054380000000002</v>
      </c>
      <c r="H1153" t="s">
        <v>99</v>
      </c>
      <c r="I1153">
        <v>3392439734.0339999</v>
      </c>
      <c r="J1153" t="s">
        <v>4701</v>
      </c>
      <c r="K1153">
        <v>10416834.5162511</v>
      </c>
      <c r="L1153">
        <v>0.8</v>
      </c>
      <c r="M1153" t="s">
        <v>5855</v>
      </c>
      <c r="N1153">
        <v>5.7743899999999999E-3</v>
      </c>
      <c r="O1153">
        <v>7450</v>
      </c>
      <c r="P1153">
        <v>7409</v>
      </c>
      <c r="Q1153">
        <v>43.019205499999998</v>
      </c>
      <c r="R1153">
        <v>2711734547.14292</v>
      </c>
      <c r="S1153">
        <v>0</v>
      </c>
      <c r="T1153" t="s">
        <v>6244</v>
      </c>
    </row>
    <row r="1154" spans="1:40" x14ac:dyDescent="0.25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28303806.891666699</v>
      </c>
      <c r="L1154">
        <v>0.65</v>
      </c>
      <c r="M1154" t="s">
        <v>5856</v>
      </c>
      <c r="N1154">
        <v>1</v>
      </c>
      <c r="O1154">
        <v>192.75</v>
      </c>
      <c r="P1154">
        <v>196.1</v>
      </c>
      <c r="Q1154">
        <v>192.75</v>
      </c>
      <c r="R1154">
        <v>4690764000</v>
      </c>
      <c r="S1154">
        <v>0</v>
      </c>
      <c r="T1154" t="s">
        <v>6242</v>
      </c>
      <c r="AJ1154" t="s">
        <v>6258</v>
      </c>
    </row>
    <row r="1155" spans="1:40" x14ac:dyDescent="0.25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12378180.234848499</v>
      </c>
      <c r="L1155">
        <v>0.3</v>
      </c>
      <c r="M1155" t="s">
        <v>5857</v>
      </c>
      <c r="N1155">
        <v>1</v>
      </c>
      <c r="O1155">
        <v>169.65</v>
      </c>
      <c r="P1155">
        <v>177.85</v>
      </c>
      <c r="Q1155">
        <v>169.65</v>
      </c>
      <c r="R1155">
        <v>4953630962.4750004</v>
      </c>
      <c r="S1155">
        <v>1</v>
      </c>
      <c r="T1155" t="s">
        <v>6242</v>
      </c>
      <c r="AJ1155" t="s">
        <v>6258</v>
      </c>
    </row>
    <row r="1156" spans="1:40" x14ac:dyDescent="0.25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190.19460000000001</v>
      </c>
      <c r="H1156" t="s">
        <v>97</v>
      </c>
      <c r="I1156">
        <v>20422907855.346001</v>
      </c>
      <c r="J1156" t="s">
        <v>4700</v>
      </c>
      <c r="K1156">
        <v>143479187.79629499</v>
      </c>
      <c r="L1156">
        <v>1</v>
      </c>
      <c r="M1156" t="s">
        <v>5858</v>
      </c>
      <c r="N1156">
        <v>0.85273301000000001</v>
      </c>
      <c r="O1156">
        <v>199.97</v>
      </c>
      <c r="P1156">
        <v>222.87</v>
      </c>
      <c r="Q1156">
        <v>170.52102000970001</v>
      </c>
      <c r="R1156">
        <v>18310378312.831779</v>
      </c>
      <c r="S1156">
        <v>0</v>
      </c>
      <c r="T1156" t="s">
        <v>6243</v>
      </c>
    </row>
    <row r="1157" spans="1:40" x14ac:dyDescent="0.25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39.422449999999998</v>
      </c>
      <c r="H1157" t="s">
        <v>99</v>
      </c>
      <c r="I1157">
        <v>13014620147.889999</v>
      </c>
      <c r="J1157" t="s">
        <v>4701</v>
      </c>
      <c r="K1157">
        <v>116112190.236424</v>
      </c>
      <c r="L1157">
        <v>0.85</v>
      </c>
      <c r="M1157" t="s">
        <v>5859</v>
      </c>
      <c r="N1157">
        <v>5.7743899999999999E-3</v>
      </c>
      <c r="O1157">
        <v>6551</v>
      </c>
      <c r="P1157">
        <v>6784</v>
      </c>
      <c r="Q1157">
        <v>37.828028889999999</v>
      </c>
      <c r="R1157">
        <v>10615012839.251369</v>
      </c>
      <c r="S1157">
        <v>0</v>
      </c>
      <c r="T1157" t="s">
        <v>6244</v>
      </c>
      <c r="AJ1157" t="s">
        <v>6258</v>
      </c>
      <c r="AN1157" t="s">
        <v>6262</v>
      </c>
    </row>
    <row r="1158" spans="1:40" x14ac:dyDescent="0.25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4169182668.5999999</v>
      </c>
      <c r="J1158" t="s">
        <v>4703</v>
      </c>
      <c r="K1158">
        <v>7977059.08530303</v>
      </c>
      <c r="L1158">
        <v>0.70000000000000007</v>
      </c>
      <c r="M1158" t="s">
        <v>5860</v>
      </c>
      <c r="N1158">
        <v>1</v>
      </c>
      <c r="O1158">
        <v>21.94</v>
      </c>
      <c r="P1158">
        <v>23.64</v>
      </c>
      <c r="Q1158">
        <v>21.94</v>
      </c>
      <c r="R1158">
        <v>2708557843.670001</v>
      </c>
      <c r="S1158">
        <v>0</v>
      </c>
      <c r="T1158" t="s">
        <v>6242</v>
      </c>
      <c r="W1158" t="s">
        <v>6247</v>
      </c>
      <c r="AJ1158" t="s">
        <v>6258</v>
      </c>
    </row>
    <row r="1159" spans="1:40" x14ac:dyDescent="0.25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2.1997960000000001</v>
      </c>
      <c r="H1159" t="s">
        <v>4691</v>
      </c>
      <c r="I1159">
        <v>11457998232.544001</v>
      </c>
      <c r="J1159" t="s">
        <v>4701</v>
      </c>
      <c r="K1159">
        <v>20633389.367561199</v>
      </c>
      <c r="L1159">
        <v>1</v>
      </c>
      <c r="M1159" t="s">
        <v>5861</v>
      </c>
      <c r="N1159">
        <v>0.56652409000000004</v>
      </c>
      <c r="O1159">
        <v>4.2</v>
      </c>
      <c r="P1159">
        <v>3.97</v>
      </c>
      <c r="Q1159">
        <v>2.3794011780000002</v>
      </c>
      <c r="R1159">
        <v>12393501257.406191</v>
      </c>
      <c r="S1159">
        <v>0</v>
      </c>
      <c r="T1159" t="s">
        <v>6244</v>
      </c>
      <c r="U1159" t="s">
        <v>6245</v>
      </c>
    </row>
    <row r="1160" spans="1:40" x14ac:dyDescent="0.25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4894502435.1999998</v>
      </c>
      <c r="J1160" t="s">
        <v>4702</v>
      </c>
      <c r="K1160">
        <v>2617146.0275075799</v>
      </c>
      <c r="L1160">
        <v>1</v>
      </c>
      <c r="M1160" t="s">
        <v>5862</v>
      </c>
      <c r="N1160">
        <v>1</v>
      </c>
      <c r="O1160">
        <v>5.41</v>
      </c>
      <c r="P1160">
        <v>5.18</v>
      </c>
      <c r="Q1160">
        <v>5.41</v>
      </c>
      <c r="R1160">
        <v>5111825902.4000006</v>
      </c>
      <c r="S1160">
        <v>0</v>
      </c>
      <c r="T1160" t="s">
        <v>6242</v>
      </c>
      <c r="W1160" t="s">
        <v>6247</v>
      </c>
      <c r="AA1160" t="s">
        <v>6249</v>
      </c>
    </row>
    <row r="1161" spans="1:40" x14ac:dyDescent="0.25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325.15089999999998</v>
      </c>
      <c r="H1161" t="s">
        <v>4694</v>
      </c>
      <c r="I1161">
        <v>13239113919.646999</v>
      </c>
      <c r="J1161" t="s">
        <v>4699</v>
      </c>
      <c r="K1161">
        <v>23713398.850393701</v>
      </c>
      <c r="L1161">
        <v>1</v>
      </c>
      <c r="M1161" t="s">
        <v>5863</v>
      </c>
      <c r="N1161">
        <v>1.07032003</v>
      </c>
      <c r="O1161">
        <v>314.39999999999998</v>
      </c>
      <c r="P1161">
        <v>305.39999999999998</v>
      </c>
      <c r="Q1161">
        <v>336.50861743199999</v>
      </c>
      <c r="R1161">
        <v>13701564169.513781</v>
      </c>
      <c r="S1161">
        <v>0</v>
      </c>
      <c r="T1161" t="s">
        <v>6242</v>
      </c>
      <c r="U1161" t="s">
        <v>6245</v>
      </c>
    </row>
    <row r="1162" spans="1:40" x14ac:dyDescent="0.25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30.389140000000001</v>
      </c>
      <c r="H1162" t="s">
        <v>97</v>
      </c>
      <c r="I1162">
        <v>45610075617.863998</v>
      </c>
      <c r="J1162" t="s">
        <v>4700</v>
      </c>
      <c r="K1162">
        <v>465323599.11387801</v>
      </c>
      <c r="L1162">
        <v>1</v>
      </c>
      <c r="M1162" t="s">
        <v>5864</v>
      </c>
      <c r="N1162">
        <v>0.85273301000000001</v>
      </c>
      <c r="O1162">
        <v>35.57</v>
      </c>
      <c r="P1162">
        <v>35.61</v>
      </c>
      <c r="Q1162">
        <v>30.331713165699998</v>
      </c>
      <c r="R1162">
        <v>45523885542.892563</v>
      </c>
      <c r="S1162">
        <v>0</v>
      </c>
      <c r="T1162" t="s">
        <v>6243</v>
      </c>
      <c r="AJ1162" t="s">
        <v>6258</v>
      </c>
    </row>
    <row r="1163" spans="1:40" x14ac:dyDescent="0.25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198576007.52083299</v>
      </c>
      <c r="L1163">
        <v>1</v>
      </c>
      <c r="M1163" t="s">
        <v>5865</v>
      </c>
      <c r="N1163">
        <v>1</v>
      </c>
      <c r="O1163">
        <v>232</v>
      </c>
      <c r="P1163">
        <v>215.4</v>
      </c>
      <c r="Q1163">
        <v>232</v>
      </c>
      <c r="R1163">
        <v>133892422784</v>
      </c>
      <c r="S1163">
        <v>1</v>
      </c>
      <c r="T1163" t="s">
        <v>6242</v>
      </c>
    </row>
    <row r="1164" spans="1:40" x14ac:dyDescent="0.25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4.5774160000000004</v>
      </c>
      <c r="H1164" t="s">
        <v>96</v>
      </c>
      <c r="I1164">
        <v>7372895676.0008001</v>
      </c>
      <c r="J1164" t="s">
        <v>4699</v>
      </c>
      <c r="K1164">
        <v>8552813.5458995197</v>
      </c>
      <c r="L1164">
        <v>0.5</v>
      </c>
      <c r="M1164" t="s">
        <v>5866</v>
      </c>
      <c r="N1164">
        <v>1.156136E-2</v>
      </c>
      <c r="O1164">
        <v>375.6</v>
      </c>
      <c r="P1164">
        <v>396.6</v>
      </c>
      <c r="Q1164">
        <v>4.3424468159999998</v>
      </c>
      <c r="R1164">
        <v>3497214078.0901098</v>
      </c>
      <c r="S1164">
        <v>0</v>
      </c>
      <c r="T1164" t="s">
        <v>6242</v>
      </c>
      <c r="W1164" t="s">
        <v>6247</v>
      </c>
    </row>
    <row r="1165" spans="1:40" x14ac:dyDescent="0.25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5194372607.1999998</v>
      </c>
      <c r="J1165" t="s">
        <v>4702</v>
      </c>
      <c r="K1165">
        <v>10784555.7571212</v>
      </c>
      <c r="L1165">
        <v>0.85000000000000009</v>
      </c>
      <c r="M1165" t="s">
        <v>5867</v>
      </c>
      <c r="N1165">
        <v>1</v>
      </c>
      <c r="O1165">
        <v>28.06</v>
      </c>
      <c r="P1165">
        <v>28.96</v>
      </c>
      <c r="Q1165">
        <v>28.06</v>
      </c>
      <c r="R1165">
        <v>4278003489.4450002</v>
      </c>
      <c r="S1165">
        <v>1</v>
      </c>
      <c r="T1165" t="s">
        <v>6242</v>
      </c>
      <c r="AJ1165" t="s">
        <v>6258</v>
      </c>
      <c r="AN1165" t="s">
        <v>6262</v>
      </c>
    </row>
    <row r="1166" spans="1:40" x14ac:dyDescent="0.25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110.8</v>
      </c>
      <c r="P1166">
        <v>114.1</v>
      </c>
      <c r="Q1166">
        <v>110.8</v>
      </c>
      <c r="R1166">
        <v>7894500000</v>
      </c>
      <c r="S1166">
        <v>0</v>
      </c>
      <c r="T1166" t="s">
        <v>6242</v>
      </c>
    </row>
    <row r="1167" spans="1:40" x14ac:dyDescent="0.25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66.101169999999996</v>
      </c>
      <c r="H1167" t="s">
        <v>99</v>
      </c>
      <c r="I1167">
        <v>6715200012.9840994</v>
      </c>
      <c r="J1167" t="s">
        <v>4701</v>
      </c>
      <c r="K1167">
        <v>95605359.361123204</v>
      </c>
      <c r="L1167">
        <v>0.95</v>
      </c>
      <c r="M1167" t="s">
        <v>5869</v>
      </c>
      <c r="N1167">
        <v>5.7743899999999999E-3</v>
      </c>
      <c r="O1167">
        <v>12155</v>
      </c>
      <c r="P1167">
        <v>11375</v>
      </c>
      <c r="Q1167">
        <v>70.187710449999997</v>
      </c>
      <c r="R1167">
        <v>6773833026.2369947</v>
      </c>
      <c r="S1167">
        <v>0</v>
      </c>
      <c r="T1167" t="s">
        <v>6244</v>
      </c>
    </row>
    <row r="1168" spans="1:40" x14ac:dyDescent="0.25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26.446280000000002</v>
      </c>
      <c r="H1168" t="s">
        <v>99</v>
      </c>
      <c r="I1168">
        <v>8280998565.4956007</v>
      </c>
      <c r="J1168" t="s">
        <v>4701</v>
      </c>
      <c r="K1168">
        <v>22605329.555585399</v>
      </c>
      <c r="L1168">
        <v>0.5</v>
      </c>
      <c r="M1168" t="s">
        <v>5870</v>
      </c>
      <c r="N1168">
        <v>5.7743899999999999E-3</v>
      </c>
      <c r="O1168">
        <v>4781</v>
      </c>
      <c r="P1168">
        <v>4551</v>
      </c>
      <c r="Q1168">
        <v>27.60735859</v>
      </c>
      <c r="R1168">
        <v>4322280806.2402849</v>
      </c>
      <c r="S1168">
        <v>0</v>
      </c>
      <c r="T1168" t="s">
        <v>6244</v>
      </c>
    </row>
    <row r="1169" spans="1:40" x14ac:dyDescent="0.25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135.86789999999999</v>
      </c>
      <c r="H1169" t="s">
        <v>97</v>
      </c>
      <c r="I1169">
        <v>28896003183.201</v>
      </c>
      <c r="J1169" t="s">
        <v>4700</v>
      </c>
      <c r="K1169">
        <v>472277025.18454599</v>
      </c>
      <c r="L1169">
        <v>1</v>
      </c>
      <c r="M1169" t="s">
        <v>5871</v>
      </c>
      <c r="N1169">
        <v>0.85273301000000001</v>
      </c>
      <c r="O1169">
        <v>195.99</v>
      </c>
      <c r="P1169">
        <v>159.21</v>
      </c>
      <c r="Q1169">
        <v>167.12714262989999</v>
      </c>
      <c r="R1169">
        <v>35544131067.256348</v>
      </c>
      <c r="S1169">
        <v>0</v>
      </c>
      <c r="T1169" t="s">
        <v>6243</v>
      </c>
    </row>
    <row r="1170" spans="1:40" x14ac:dyDescent="0.25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5273638188.9893999</v>
      </c>
      <c r="J1170" t="s">
        <v>4701</v>
      </c>
      <c r="K1170">
        <v>17559241.4417964</v>
      </c>
      <c r="L1170">
        <v>0.6</v>
      </c>
      <c r="M1170" t="s">
        <v>5872</v>
      </c>
      <c r="N1170">
        <v>0.66458430000000002</v>
      </c>
      <c r="O1170">
        <v>2.35</v>
      </c>
      <c r="P1170">
        <v>2.3199999999999998</v>
      </c>
      <c r="Q1170">
        <v>1.5617731050000001</v>
      </c>
      <c r="R1170">
        <v>3197129399.7257719</v>
      </c>
      <c r="S1170">
        <v>0</v>
      </c>
      <c r="T1170" t="s">
        <v>6244</v>
      </c>
      <c r="U1170" t="s">
        <v>6245</v>
      </c>
      <c r="AJ1170" t="s">
        <v>6258</v>
      </c>
    </row>
    <row r="1171" spans="1:40" x14ac:dyDescent="0.25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32.774560000000001</v>
      </c>
      <c r="H1171" t="s">
        <v>99</v>
      </c>
      <c r="I1171">
        <v>15292603141.087999</v>
      </c>
      <c r="J1171" t="s">
        <v>4701</v>
      </c>
      <c r="K1171">
        <v>31209687.662447002</v>
      </c>
      <c r="L1171">
        <v>0.9</v>
      </c>
      <c r="M1171" t="s">
        <v>5873</v>
      </c>
      <c r="N1171">
        <v>5.7743899999999999E-3</v>
      </c>
      <c r="O1171">
        <v>5541</v>
      </c>
      <c r="P1171">
        <v>5640</v>
      </c>
      <c r="Q1171">
        <v>31.99589499</v>
      </c>
      <c r="R1171">
        <v>13436350382.8395</v>
      </c>
      <c r="S1171">
        <v>0</v>
      </c>
      <c r="T1171" t="s">
        <v>6244</v>
      </c>
    </row>
    <row r="1172" spans="1:40" x14ac:dyDescent="0.25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5793591452.9328003</v>
      </c>
      <c r="J1172" t="s">
        <v>4699</v>
      </c>
      <c r="K1172">
        <v>3709323.7235085298</v>
      </c>
      <c r="L1172">
        <v>0.75</v>
      </c>
      <c r="M1172" t="s">
        <v>5874</v>
      </c>
      <c r="N1172">
        <v>9.1395149999999994E-2</v>
      </c>
      <c r="O1172">
        <v>321</v>
      </c>
      <c r="P1172">
        <v>354.6</v>
      </c>
      <c r="Q1172">
        <v>29.337843150000001</v>
      </c>
      <c r="R1172">
        <v>4004999328.9634018</v>
      </c>
      <c r="S1172">
        <v>0</v>
      </c>
      <c r="T1172" t="s">
        <v>6242</v>
      </c>
      <c r="U1172" t="s">
        <v>6245</v>
      </c>
      <c r="W1172" t="s">
        <v>6247</v>
      </c>
      <c r="AJ1172" t="s">
        <v>6258</v>
      </c>
    </row>
    <row r="1173" spans="1:40" x14ac:dyDescent="0.25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13.706770000000001</v>
      </c>
      <c r="H1173" t="s">
        <v>4693</v>
      </c>
      <c r="I1173">
        <v>7490121486.6632004</v>
      </c>
      <c r="J1173" t="s">
        <v>4699</v>
      </c>
      <c r="K1173">
        <v>8720195.1338338405</v>
      </c>
      <c r="L1173">
        <v>0.9</v>
      </c>
      <c r="M1173" t="s">
        <v>5875</v>
      </c>
      <c r="N1173">
        <v>9.1395149999999994E-2</v>
      </c>
      <c r="O1173">
        <v>146.75</v>
      </c>
      <c r="P1173">
        <v>152.69999999999999</v>
      </c>
      <c r="Q1173">
        <v>13.412238262500001</v>
      </c>
      <c r="R1173">
        <v>6596256054.1088667</v>
      </c>
      <c r="S1173">
        <v>0</v>
      </c>
      <c r="T1173" t="s">
        <v>6242</v>
      </c>
      <c r="U1173" t="s">
        <v>6245</v>
      </c>
      <c r="W1173" t="s">
        <v>6247</v>
      </c>
    </row>
    <row r="1174" spans="1:40" x14ac:dyDescent="0.25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5577875228.0405998</v>
      </c>
      <c r="J1174" t="s">
        <v>4701</v>
      </c>
      <c r="K1174">
        <v>12688009.3774458</v>
      </c>
      <c r="L1174">
        <v>1</v>
      </c>
      <c r="M1174" t="s">
        <v>5876</v>
      </c>
      <c r="N1174">
        <v>0.56652409000000004</v>
      </c>
      <c r="O1174">
        <v>28</v>
      </c>
      <c r="P1174">
        <v>28.18</v>
      </c>
      <c r="Q1174">
        <v>15.862674520000001</v>
      </c>
      <c r="R1174">
        <v>5666467447.315814</v>
      </c>
      <c r="S1174">
        <v>0</v>
      </c>
      <c r="T1174" t="s">
        <v>6244</v>
      </c>
      <c r="U1174" t="s">
        <v>6245</v>
      </c>
    </row>
    <row r="1175" spans="1:40" x14ac:dyDescent="0.25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19.112680000000001</v>
      </c>
      <c r="H1175" t="s">
        <v>99</v>
      </c>
      <c r="I1175">
        <v>4228288257.8063998</v>
      </c>
      <c r="J1175" t="s">
        <v>4701</v>
      </c>
      <c r="K1175">
        <v>23965410.523491401</v>
      </c>
      <c r="L1175">
        <v>0.7</v>
      </c>
      <c r="M1175" t="s">
        <v>5877</v>
      </c>
      <c r="N1175">
        <v>5.7743899999999999E-3</v>
      </c>
      <c r="O1175">
        <v>3158</v>
      </c>
      <c r="P1175">
        <v>3289</v>
      </c>
      <c r="Q1175">
        <v>18.235523619999999</v>
      </c>
      <c r="R1175">
        <v>2823964785.5862222</v>
      </c>
      <c r="S1175">
        <v>0</v>
      </c>
      <c r="T1175" t="s">
        <v>6244</v>
      </c>
      <c r="AN1175" t="s">
        <v>6262</v>
      </c>
    </row>
    <row r="1176" spans="1:40" x14ac:dyDescent="0.25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7.4651360000000002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1.156136E-2</v>
      </c>
      <c r="O1176">
        <v>610</v>
      </c>
      <c r="P1176">
        <v>646.79999999999995</v>
      </c>
      <c r="Q1176">
        <v>7.0524296</v>
      </c>
      <c r="R1176">
        <v>8590860627.278904</v>
      </c>
      <c r="S1176">
        <v>0</v>
      </c>
      <c r="T1176" t="s">
        <v>6242</v>
      </c>
      <c r="AN1176" t="s">
        <v>6262</v>
      </c>
    </row>
    <row r="1177" spans="1:40" x14ac:dyDescent="0.25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30.612829999999999</v>
      </c>
      <c r="H1177" t="s">
        <v>99</v>
      </c>
      <c r="I1177">
        <v>9902115381.2635994</v>
      </c>
      <c r="J1177" t="s">
        <v>4701</v>
      </c>
      <c r="K1177">
        <v>37982994.1905751</v>
      </c>
      <c r="L1177">
        <v>0.8</v>
      </c>
      <c r="M1177" t="s">
        <v>5879</v>
      </c>
      <c r="N1177">
        <v>5.7743899999999999E-3</v>
      </c>
      <c r="O1177">
        <v>5620</v>
      </c>
      <c r="P1177">
        <v>5268</v>
      </c>
      <c r="Q1177">
        <v>32.452071799999999</v>
      </c>
      <c r="R1177">
        <v>8397633523.5821247</v>
      </c>
      <c r="S1177">
        <v>0</v>
      </c>
      <c r="T1177" t="s">
        <v>6244</v>
      </c>
      <c r="AJ1177" t="s">
        <v>6258</v>
      </c>
    </row>
    <row r="1178" spans="1:40" x14ac:dyDescent="0.25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4144188910.7470002</v>
      </c>
      <c r="J1178" t="s">
        <v>4701</v>
      </c>
      <c r="K1178">
        <v>24480581.233419798</v>
      </c>
      <c r="L1178">
        <v>0.85</v>
      </c>
      <c r="M1178" t="s">
        <v>5880</v>
      </c>
      <c r="N1178">
        <v>5.7743899999999999E-3</v>
      </c>
      <c r="O1178">
        <v>1977.5</v>
      </c>
      <c r="P1178">
        <v>1909</v>
      </c>
      <c r="Q1178">
        <v>11.418856225000001</v>
      </c>
      <c r="R1178">
        <v>3625911375.9648051</v>
      </c>
      <c r="S1178">
        <v>0</v>
      </c>
      <c r="T1178" t="s">
        <v>6244</v>
      </c>
    </row>
    <row r="1179" spans="1:40" x14ac:dyDescent="0.25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16.361129999999999</v>
      </c>
      <c r="H1179" t="s">
        <v>99</v>
      </c>
      <c r="I1179">
        <v>7207197201.2489996</v>
      </c>
      <c r="J1179" t="s">
        <v>4701</v>
      </c>
      <c r="K1179">
        <v>22653706.937941499</v>
      </c>
      <c r="L1179">
        <v>0.95</v>
      </c>
      <c r="M1179" t="s">
        <v>5881</v>
      </c>
      <c r="N1179">
        <v>5.7743899999999999E-3</v>
      </c>
      <c r="O1179">
        <v>2860</v>
      </c>
      <c r="P1179">
        <v>2815.5</v>
      </c>
      <c r="Q1179">
        <v>16.514755399999999</v>
      </c>
      <c r="R1179">
        <v>6911126795.8436975</v>
      </c>
      <c r="S1179">
        <v>0</v>
      </c>
      <c r="T1179" t="s">
        <v>6244</v>
      </c>
    </row>
    <row r="1180" spans="1:40" x14ac:dyDescent="0.25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55149262.515528098</v>
      </c>
      <c r="L1180">
        <v>1</v>
      </c>
      <c r="M1180" t="s">
        <v>5882</v>
      </c>
      <c r="N1180">
        <v>5.7743899999999999E-3</v>
      </c>
      <c r="O1180">
        <v>3467</v>
      </c>
      <c r="P1180">
        <v>3378</v>
      </c>
      <c r="Q1180">
        <v>20.01981013</v>
      </c>
      <c r="R1180">
        <v>13275580536.98789</v>
      </c>
      <c r="S1180">
        <v>0</v>
      </c>
      <c r="T1180" t="s">
        <v>6244</v>
      </c>
    </row>
    <row r="1181" spans="1:40" x14ac:dyDescent="0.25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7259658531.4281998</v>
      </c>
      <c r="J1181" t="s">
        <v>4701</v>
      </c>
      <c r="K1181">
        <v>20989025.513684899</v>
      </c>
      <c r="L1181">
        <v>0.5</v>
      </c>
      <c r="M1181" t="s">
        <v>5883</v>
      </c>
      <c r="N1181">
        <v>0.66458430000000002</v>
      </c>
      <c r="O1181">
        <v>6.13</v>
      </c>
      <c r="P1181">
        <v>6.12</v>
      </c>
      <c r="Q1181">
        <v>4.073901759</v>
      </c>
      <c r="R1181">
        <v>3626720358.754231</v>
      </c>
      <c r="S1181">
        <v>0</v>
      </c>
      <c r="T1181" t="s">
        <v>6244</v>
      </c>
      <c r="U1181" t="s">
        <v>6245</v>
      </c>
      <c r="AG1181" t="s">
        <v>6255</v>
      </c>
      <c r="AH1181" t="s">
        <v>6256</v>
      </c>
      <c r="AJ1181" t="s">
        <v>6258</v>
      </c>
    </row>
    <row r="1182" spans="1:40" x14ac:dyDescent="0.25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70.745859999999993</v>
      </c>
      <c r="H1182" t="s">
        <v>97</v>
      </c>
      <c r="I1182">
        <v>46159721064.263992</v>
      </c>
      <c r="J1182" t="s">
        <v>4700</v>
      </c>
      <c r="K1182">
        <v>245321599.11834899</v>
      </c>
      <c r="L1182">
        <v>1</v>
      </c>
      <c r="M1182" t="s">
        <v>5884</v>
      </c>
      <c r="N1182">
        <v>0.85273301000000001</v>
      </c>
      <c r="O1182">
        <v>83.94</v>
      </c>
      <c r="P1182">
        <v>82.9</v>
      </c>
      <c r="Q1182">
        <v>71.5784088594</v>
      </c>
      <c r="R1182">
        <v>46702936216.673981</v>
      </c>
      <c r="S1182">
        <v>0</v>
      </c>
      <c r="T1182" t="s">
        <v>6243</v>
      </c>
      <c r="AH1182" t="s">
        <v>6256</v>
      </c>
      <c r="AJ1182" t="s">
        <v>6258</v>
      </c>
    </row>
    <row r="1183" spans="1:40" x14ac:dyDescent="0.25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756.74180000000001</v>
      </c>
      <c r="H1183" t="s">
        <v>97</v>
      </c>
      <c r="I1183">
        <v>157402294400</v>
      </c>
      <c r="J1183" t="s">
        <v>4700</v>
      </c>
      <c r="K1183">
        <v>1234419009.8475299</v>
      </c>
      <c r="L1183">
        <v>1</v>
      </c>
      <c r="M1183" t="s">
        <v>5885</v>
      </c>
      <c r="N1183">
        <v>0.85273301000000001</v>
      </c>
      <c r="O1183">
        <v>928.96</v>
      </c>
      <c r="P1183">
        <v>886.75</v>
      </c>
      <c r="Q1183">
        <v>792.15485696960002</v>
      </c>
      <c r="R1183">
        <v>164768210249.67679</v>
      </c>
      <c r="S1183">
        <v>0</v>
      </c>
      <c r="T1183" t="s">
        <v>6243</v>
      </c>
    </row>
    <row r="1184" spans="1:40" x14ac:dyDescent="0.25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5.9950000000000001</v>
      </c>
      <c r="H1184" t="s">
        <v>98</v>
      </c>
      <c r="I1184">
        <v>2298828312</v>
      </c>
      <c r="J1184" t="s">
        <v>4703</v>
      </c>
      <c r="K1184">
        <v>2503028.4751742398</v>
      </c>
      <c r="L1184">
        <v>0.95000000000000007</v>
      </c>
      <c r="M1184" t="s">
        <v>5886</v>
      </c>
      <c r="N1184">
        <v>1</v>
      </c>
      <c r="O1184">
        <v>6.085</v>
      </c>
      <c r="P1184">
        <v>5.9950000000000001</v>
      </c>
      <c r="Q1184">
        <v>6.085</v>
      </c>
      <c r="R1184">
        <v>2216672521.1999998</v>
      </c>
      <c r="S1184">
        <v>1</v>
      </c>
      <c r="T1184" t="s">
        <v>6242</v>
      </c>
      <c r="W1184" t="s">
        <v>6247</v>
      </c>
      <c r="AN1184" t="s">
        <v>6262</v>
      </c>
    </row>
    <row r="1185" spans="1:40" x14ac:dyDescent="0.25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11.712260000000001</v>
      </c>
      <c r="H1185" t="s">
        <v>99</v>
      </c>
      <c r="I1185">
        <v>30505237056.560001</v>
      </c>
      <c r="J1185" t="s">
        <v>4701</v>
      </c>
      <c r="K1185">
        <v>100736221.484892</v>
      </c>
      <c r="L1185">
        <v>0.9</v>
      </c>
      <c r="M1185" t="s">
        <v>5887</v>
      </c>
      <c r="N1185">
        <v>5.7743899999999999E-3</v>
      </c>
      <c r="O1185">
        <v>1975</v>
      </c>
      <c r="P1185">
        <v>2015.5</v>
      </c>
      <c r="Q1185">
        <v>11.404420249999999</v>
      </c>
      <c r="R1185">
        <v>26733106069.793098</v>
      </c>
      <c r="S1185">
        <v>0</v>
      </c>
      <c r="T1185" t="s">
        <v>6244</v>
      </c>
      <c r="AH1185" t="s">
        <v>6256</v>
      </c>
      <c r="AJ1185" t="s">
        <v>6258</v>
      </c>
    </row>
    <row r="1186" spans="1:40" x14ac:dyDescent="0.25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9102437792.2940006</v>
      </c>
      <c r="J1186" t="s">
        <v>4699</v>
      </c>
      <c r="K1186">
        <v>13668665.8476381</v>
      </c>
      <c r="L1186">
        <v>0.9</v>
      </c>
      <c r="M1186" t="s">
        <v>5888</v>
      </c>
      <c r="N1186">
        <v>1.156136E-2</v>
      </c>
      <c r="O1186">
        <v>2577</v>
      </c>
      <c r="P1186">
        <v>2620</v>
      </c>
      <c r="Q1186">
        <v>29.79362472</v>
      </c>
      <c r="R1186">
        <v>8071505876.2866192</v>
      </c>
      <c r="S1186">
        <v>0</v>
      </c>
      <c r="T1186" t="s">
        <v>6242</v>
      </c>
    </row>
    <row r="1187" spans="1:40" x14ac:dyDescent="0.25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9.8381799999999995</v>
      </c>
      <c r="H1187" t="s">
        <v>99</v>
      </c>
      <c r="I1187">
        <v>6300315378.1919994</v>
      </c>
      <c r="J1187" t="s">
        <v>4701</v>
      </c>
      <c r="K1187">
        <v>18806584.007998101</v>
      </c>
      <c r="L1187">
        <v>0.7</v>
      </c>
      <c r="M1187" t="s">
        <v>5889</v>
      </c>
      <c r="N1187">
        <v>5.7743899999999999E-3</v>
      </c>
      <c r="O1187">
        <v>1600</v>
      </c>
      <c r="P1187">
        <v>1693</v>
      </c>
      <c r="Q1187">
        <v>9.2390240000000006</v>
      </c>
      <c r="R1187">
        <v>4141633461.7459202</v>
      </c>
      <c r="S1187">
        <v>0</v>
      </c>
      <c r="T1187" t="s">
        <v>6244</v>
      </c>
      <c r="AJ1187" t="s">
        <v>6258</v>
      </c>
    </row>
    <row r="1188" spans="1:40" x14ac:dyDescent="0.25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27.267499999999998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0.56652409000000004</v>
      </c>
      <c r="O1188">
        <v>48.52</v>
      </c>
      <c r="P1188">
        <v>49.21</v>
      </c>
      <c r="Q1188">
        <v>27.487748846799999</v>
      </c>
      <c r="R1188">
        <v>5593731739.0336056</v>
      </c>
      <c r="S1188">
        <v>0</v>
      </c>
      <c r="T1188" t="s">
        <v>6244</v>
      </c>
      <c r="U1188" t="s">
        <v>6245</v>
      </c>
      <c r="AJ1188" t="s">
        <v>6258</v>
      </c>
    </row>
    <row r="1189" spans="1:40" x14ac:dyDescent="0.25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88.814959999999999</v>
      </c>
      <c r="H1189" t="s">
        <v>4694</v>
      </c>
      <c r="I1189">
        <v>17299136332.108799</v>
      </c>
      <c r="J1189" t="s">
        <v>4699</v>
      </c>
      <c r="K1189">
        <v>30866555.241186202</v>
      </c>
      <c r="L1189">
        <v>0.85</v>
      </c>
      <c r="M1189" t="s">
        <v>5891</v>
      </c>
      <c r="N1189">
        <v>1.07032003</v>
      </c>
      <c r="O1189">
        <v>85.42</v>
      </c>
      <c r="P1189">
        <v>83.42</v>
      </c>
      <c r="Q1189">
        <v>91.426736962600003</v>
      </c>
      <c r="R1189">
        <v>15136673473.123091</v>
      </c>
      <c r="S1189">
        <v>0</v>
      </c>
      <c r="T1189" t="s">
        <v>6242</v>
      </c>
      <c r="U1189" t="s">
        <v>6245</v>
      </c>
      <c r="AG1189" t="s">
        <v>6255</v>
      </c>
    </row>
    <row r="1190" spans="1:40" x14ac:dyDescent="0.25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31.225000000000001</v>
      </c>
      <c r="H1190" t="s">
        <v>98</v>
      </c>
      <c r="I1190">
        <v>186654407825.52499</v>
      </c>
      <c r="J1190" t="s">
        <v>4702</v>
      </c>
      <c r="K1190">
        <v>140557310.69719699</v>
      </c>
      <c r="L1190">
        <v>1</v>
      </c>
      <c r="M1190" t="s">
        <v>5892</v>
      </c>
      <c r="N1190">
        <v>1</v>
      </c>
      <c r="O1190">
        <v>30.66</v>
      </c>
      <c r="P1190">
        <v>31.225000000000001</v>
      </c>
      <c r="Q1190">
        <v>30.66</v>
      </c>
      <c r="R1190">
        <v>183276994201.14001</v>
      </c>
      <c r="S1190">
        <v>0</v>
      </c>
      <c r="T1190" t="s">
        <v>6242</v>
      </c>
      <c r="AH1190" t="s">
        <v>6256</v>
      </c>
      <c r="AJ1190" t="s">
        <v>6258</v>
      </c>
      <c r="AN1190" t="s">
        <v>6262</v>
      </c>
    </row>
    <row r="1191" spans="1:40" x14ac:dyDescent="0.25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6.6839880000000003</v>
      </c>
      <c r="H1191" t="s">
        <v>4692</v>
      </c>
      <c r="I1191">
        <v>10047520482.9312</v>
      </c>
      <c r="J1191" t="s">
        <v>4701</v>
      </c>
      <c r="K1191">
        <v>29897530.479095101</v>
      </c>
      <c r="L1191">
        <v>0.55000000000000004</v>
      </c>
      <c r="M1191" t="s">
        <v>5893</v>
      </c>
      <c r="N1191">
        <v>0.10956983000000001</v>
      </c>
      <c r="O1191">
        <v>60.2</v>
      </c>
      <c r="P1191">
        <v>61.2</v>
      </c>
      <c r="Q1191">
        <v>6.5961037659999997</v>
      </c>
      <c r="R1191">
        <v>5453476013.5765572</v>
      </c>
      <c r="S1191">
        <v>0</v>
      </c>
      <c r="T1191" t="s">
        <v>6244</v>
      </c>
      <c r="U1191" t="s">
        <v>6245</v>
      </c>
      <c r="AJ1191" t="s">
        <v>6258</v>
      </c>
    </row>
    <row r="1192" spans="1:40" x14ac:dyDescent="0.25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318.25400000000002</v>
      </c>
      <c r="H1192" t="s">
        <v>97</v>
      </c>
      <c r="I1192">
        <v>79351323240.740005</v>
      </c>
      <c r="J1192" t="s">
        <v>4700</v>
      </c>
      <c r="K1192">
        <v>536220066.016882</v>
      </c>
      <c r="L1192">
        <v>0.95</v>
      </c>
      <c r="M1192" t="s">
        <v>5894</v>
      </c>
      <c r="N1192">
        <v>0.85273301000000001</v>
      </c>
      <c r="O1192">
        <v>360.1</v>
      </c>
      <c r="P1192">
        <v>372.93</v>
      </c>
      <c r="Q1192">
        <v>307.06915690099999</v>
      </c>
      <c r="R1192">
        <v>72734440824.583908</v>
      </c>
      <c r="S1192">
        <v>0</v>
      </c>
      <c r="T1192" t="s">
        <v>6243</v>
      </c>
      <c r="AJ1192" t="s">
        <v>6258</v>
      </c>
    </row>
    <row r="1193" spans="1:40" x14ac:dyDescent="0.25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21.471990000000002</v>
      </c>
      <c r="H1193" t="s">
        <v>99</v>
      </c>
      <c r="I1193">
        <v>6357217447.2975006</v>
      </c>
      <c r="J1193" t="s">
        <v>4701</v>
      </c>
      <c r="K1193">
        <v>15961053.038819101</v>
      </c>
      <c r="L1193">
        <v>0.95</v>
      </c>
      <c r="M1193" t="s">
        <v>5895</v>
      </c>
      <c r="N1193">
        <v>5.7743899999999999E-3</v>
      </c>
      <c r="O1193">
        <v>3628</v>
      </c>
      <c r="P1193">
        <v>3695</v>
      </c>
      <c r="Q1193">
        <v>20.949486919999998</v>
      </c>
      <c r="R1193">
        <v>5892393838.287323</v>
      </c>
      <c r="S1193">
        <v>0</v>
      </c>
      <c r="T1193" t="s">
        <v>6244</v>
      </c>
    </row>
    <row r="1194" spans="1:40" x14ac:dyDescent="0.25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4607601530.0579996</v>
      </c>
      <c r="J1194" t="s">
        <v>4701</v>
      </c>
      <c r="K1194">
        <v>12927004.447584899</v>
      </c>
      <c r="L1194">
        <v>0.7</v>
      </c>
      <c r="M1194" t="s">
        <v>5896</v>
      </c>
      <c r="N1194">
        <v>5.7743899999999999E-3</v>
      </c>
      <c r="O1194">
        <v>11205</v>
      </c>
      <c r="P1194">
        <v>10740</v>
      </c>
      <c r="Q1194">
        <v>64.70203995</v>
      </c>
      <c r="R1194">
        <v>3343712135.800869</v>
      </c>
      <c r="S1194">
        <v>0</v>
      </c>
      <c r="T1194" t="s">
        <v>6244</v>
      </c>
      <c r="AJ1194" t="s">
        <v>6258</v>
      </c>
    </row>
    <row r="1195" spans="1:40" x14ac:dyDescent="0.25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97.539180000000002</v>
      </c>
      <c r="H1195" t="s">
        <v>99</v>
      </c>
      <c r="I1195">
        <v>8555161477.8000002</v>
      </c>
      <c r="J1195" t="s">
        <v>4701</v>
      </c>
      <c r="K1195">
        <v>43203933.594708502</v>
      </c>
      <c r="L1195">
        <v>0.9</v>
      </c>
      <c r="M1195" t="s">
        <v>5897</v>
      </c>
      <c r="N1195">
        <v>5.7743899999999999E-3</v>
      </c>
      <c r="O1195">
        <v>16055</v>
      </c>
      <c r="P1195">
        <v>16785</v>
      </c>
      <c r="Q1195">
        <v>92.70783145</v>
      </c>
      <c r="R1195">
        <v>7318263506.8315496</v>
      </c>
      <c r="S1195">
        <v>0</v>
      </c>
      <c r="T1195" t="s">
        <v>6244</v>
      </c>
      <c r="AJ1195" t="s">
        <v>6258</v>
      </c>
      <c r="AN1195" t="s">
        <v>6262</v>
      </c>
    </row>
    <row r="1196" spans="1:40" x14ac:dyDescent="0.25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11.308389999999999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5.7743899999999999E-3</v>
      </c>
      <c r="O1196">
        <v>2145.5</v>
      </c>
      <c r="P1196">
        <v>1946</v>
      </c>
      <c r="Q1196">
        <v>12.388953745</v>
      </c>
      <c r="R1196">
        <v>7103225460.9054432</v>
      </c>
      <c r="S1196">
        <v>0</v>
      </c>
      <c r="T1196" t="s">
        <v>6244</v>
      </c>
    </row>
    <row r="1197" spans="1:40" x14ac:dyDescent="0.25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26.202220000000001</v>
      </c>
      <c r="H1197" t="s">
        <v>99</v>
      </c>
      <c r="I1197">
        <v>52011296650.676003</v>
      </c>
      <c r="J1197" t="s">
        <v>4701</v>
      </c>
      <c r="K1197">
        <v>186344752.19276601</v>
      </c>
      <c r="L1197">
        <v>0.95</v>
      </c>
      <c r="M1197" t="s">
        <v>5899</v>
      </c>
      <c r="N1197">
        <v>5.7743899999999999E-3</v>
      </c>
      <c r="O1197">
        <v>4416</v>
      </c>
      <c r="P1197">
        <v>4509</v>
      </c>
      <c r="Q1197">
        <v>25.499706239999998</v>
      </c>
      <c r="R1197">
        <v>48085969298.252098</v>
      </c>
      <c r="S1197">
        <v>0</v>
      </c>
      <c r="T1197" t="s">
        <v>6244</v>
      </c>
      <c r="AJ1197" t="s">
        <v>6258</v>
      </c>
    </row>
    <row r="1198" spans="1:40" x14ac:dyDescent="0.25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14.995520000000001</v>
      </c>
      <c r="H1198" t="s">
        <v>99</v>
      </c>
      <c r="I1198">
        <v>13340497447.743999</v>
      </c>
      <c r="J1198" t="s">
        <v>4701</v>
      </c>
      <c r="K1198">
        <v>34540987.097552501</v>
      </c>
      <c r="L1198">
        <v>0.95</v>
      </c>
      <c r="M1198" t="s">
        <v>5900</v>
      </c>
      <c r="N1198">
        <v>5.7743899999999999E-3</v>
      </c>
      <c r="O1198">
        <v>2658.5</v>
      </c>
      <c r="P1198">
        <v>2580.5</v>
      </c>
      <c r="Q1198">
        <v>15.351215815</v>
      </c>
      <c r="R1198">
        <v>12974089103.26458</v>
      </c>
      <c r="S1198">
        <v>0</v>
      </c>
      <c r="T1198" t="s">
        <v>6244</v>
      </c>
    </row>
    <row r="1199" spans="1:40" x14ac:dyDescent="0.25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14.359209999999999</v>
      </c>
      <c r="H1199" t="s">
        <v>99</v>
      </c>
      <c r="I1199">
        <v>5743684000</v>
      </c>
      <c r="J1199" t="s">
        <v>4701</v>
      </c>
      <c r="K1199">
        <v>45646828.477410398</v>
      </c>
      <c r="L1199">
        <v>0.95</v>
      </c>
      <c r="M1199" t="s">
        <v>5901</v>
      </c>
      <c r="N1199">
        <v>5.7743899999999999E-3</v>
      </c>
      <c r="O1199">
        <v>2370</v>
      </c>
      <c r="P1199">
        <v>2471</v>
      </c>
      <c r="Q1199">
        <v>13.6853043</v>
      </c>
      <c r="R1199">
        <v>5200415634</v>
      </c>
      <c r="S1199">
        <v>0</v>
      </c>
      <c r="T1199" t="s">
        <v>6244</v>
      </c>
    </row>
    <row r="1200" spans="1:40" x14ac:dyDescent="0.25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6661460019.1520004</v>
      </c>
      <c r="J1200" t="s">
        <v>4701</v>
      </c>
      <c r="K1200">
        <v>17494218.436179999</v>
      </c>
      <c r="L1200">
        <v>0.85</v>
      </c>
      <c r="M1200" t="s">
        <v>5902</v>
      </c>
      <c r="N1200">
        <v>5.7743899999999999E-3</v>
      </c>
      <c r="O1200">
        <v>1997</v>
      </c>
      <c r="P1200">
        <v>1976</v>
      </c>
      <c r="Q1200">
        <v>11.53145683</v>
      </c>
      <c r="R1200">
        <v>5686273621.6052399</v>
      </c>
      <c r="S1200">
        <v>0</v>
      </c>
      <c r="T1200" t="s">
        <v>6244</v>
      </c>
      <c r="AJ1200" t="s">
        <v>6258</v>
      </c>
    </row>
    <row r="1201" spans="1:40" x14ac:dyDescent="0.25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121.27500000000001</v>
      </c>
      <c r="H1201" t="s">
        <v>97</v>
      </c>
      <c r="I1201">
        <v>148006289970</v>
      </c>
      <c r="J1201" t="s">
        <v>4700</v>
      </c>
      <c r="K1201">
        <v>883462221.34472501</v>
      </c>
      <c r="L1201">
        <v>1</v>
      </c>
      <c r="M1201" t="s">
        <v>5903</v>
      </c>
      <c r="N1201">
        <v>0.85273301000000001</v>
      </c>
      <c r="O1201">
        <v>143.38</v>
      </c>
      <c r="P1201">
        <v>142.11000000000001</v>
      </c>
      <c r="Q1201">
        <v>122.2648589738</v>
      </c>
      <c r="R1201">
        <v>149214332470.97421</v>
      </c>
      <c r="S1201">
        <v>0</v>
      </c>
      <c r="T1201" t="s">
        <v>6243</v>
      </c>
      <c r="AN1201" t="s">
        <v>6262</v>
      </c>
    </row>
    <row r="1202" spans="1:40" x14ac:dyDescent="0.25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5.7743899999999999E-3</v>
      </c>
      <c r="O1202">
        <v>4465</v>
      </c>
      <c r="P1202">
        <v>3817</v>
      </c>
      <c r="Q1202">
        <v>25.782651349999998</v>
      </c>
      <c r="R1202">
        <v>4767245494.2352409</v>
      </c>
      <c r="S1202">
        <v>0</v>
      </c>
      <c r="T1202" t="s">
        <v>6244</v>
      </c>
      <c r="AJ1202" t="s">
        <v>6258</v>
      </c>
    </row>
    <row r="1203" spans="1:40" x14ac:dyDescent="0.25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91.668270000000007</v>
      </c>
      <c r="H1203" t="s">
        <v>4694</v>
      </c>
      <c r="I1203">
        <v>4146155852.0999999</v>
      </c>
      <c r="J1203" t="s">
        <v>4699</v>
      </c>
      <c r="K1203">
        <v>5654580.1138340598</v>
      </c>
      <c r="L1203">
        <v>0.95</v>
      </c>
      <c r="M1203" t="s">
        <v>5905</v>
      </c>
      <c r="N1203">
        <v>1.07032003</v>
      </c>
      <c r="O1203">
        <v>86.3</v>
      </c>
      <c r="P1203">
        <v>86.1</v>
      </c>
      <c r="Q1203">
        <v>92.368618588999993</v>
      </c>
      <c r="R1203">
        <v>3968940987.8414459</v>
      </c>
      <c r="S1203">
        <v>0</v>
      </c>
      <c r="T1203" t="s">
        <v>6242</v>
      </c>
      <c r="U1203" t="s">
        <v>6245</v>
      </c>
      <c r="W1203" t="s">
        <v>6247</v>
      </c>
    </row>
    <row r="1204" spans="1:40" x14ac:dyDescent="0.25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223138520.92954499</v>
      </c>
      <c r="L1204">
        <v>0.95</v>
      </c>
      <c r="M1204" t="s">
        <v>5906</v>
      </c>
      <c r="N1204">
        <v>1</v>
      </c>
      <c r="O1204">
        <v>228.55</v>
      </c>
      <c r="P1204">
        <v>236.9</v>
      </c>
      <c r="Q1204">
        <v>228.55</v>
      </c>
      <c r="R1204">
        <v>173698000000</v>
      </c>
      <c r="S1204">
        <v>0</v>
      </c>
      <c r="T1204" t="s">
        <v>6242</v>
      </c>
    </row>
    <row r="1205" spans="1:40" x14ac:dyDescent="0.25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93.16</v>
      </c>
      <c r="P1205">
        <v>92.9</v>
      </c>
      <c r="Q1205">
        <v>93.16</v>
      </c>
      <c r="R1205">
        <v>63296176943.699997</v>
      </c>
      <c r="S1205">
        <v>0</v>
      </c>
      <c r="T1205" t="s">
        <v>6242</v>
      </c>
    </row>
    <row r="1206" spans="1:40" x14ac:dyDescent="0.25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40479300.817878798</v>
      </c>
      <c r="L1206">
        <v>0.25</v>
      </c>
      <c r="M1206" t="s">
        <v>5908</v>
      </c>
      <c r="N1206">
        <v>1</v>
      </c>
      <c r="O1206">
        <v>47.62</v>
      </c>
      <c r="P1206">
        <v>47.98</v>
      </c>
      <c r="Q1206">
        <v>47.62</v>
      </c>
      <c r="R1206">
        <v>13428840000</v>
      </c>
      <c r="S1206">
        <v>0</v>
      </c>
      <c r="T1206" t="s">
        <v>6242</v>
      </c>
    </row>
    <row r="1207" spans="1:40" x14ac:dyDescent="0.25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5457776778.7075005</v>
      </c>
      <c r="J1207" t="s">
        <v>4699</v>
      </c>
      <c r="K1207">
        <v>16394720.8976728</v>
      </c>
      <c r="L1207">
        <v>0.8</v>
      </c>
      <c r="M1207" t="s">
        <v>5909</v>
      </c>
      <c r="N1207">
        <v>1.07032003</v>
      </c>
      <c r="O1207">
        <v>12.91</v>
      </c>
      <c r="P1207">
        <v>13.41</v>
      </c>
      <c r="Q1207">
        <v>13.817831587300001</v>
      </c>
      <c r="R1207">
        <v>4225723601.9125218</v>
      </c>
      <c r="S1207">
        <v>0</v>
      </c>
      <c r="T1207" t="s">
        <v>6242</v>
      </c>
      <c r="U1207" t="s">
        <v>6245</v>
      </c>
    </row>
    <row r="1208" spans="1:40" x14ac:dyDescent="0.25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18229804233.896999</v>
      </c>
      <c r="J1208" t="s">
        <v>4701</v>
      </c>
      <c r="K1208">
        <v>54253540.0378218</v>
      </c>
      <c r="L1208">
        <v>0.5</v>
      </c>
      <c r="M1208" t="s">
        <v>5910</v>
      </c>
      <c r="N1208">
        <v>0.56652409000000004</v>
      </c>
      <c r="O1208">
        <v>3</v>
      </c>
      <c r="P1208">
        <v>2.85</v>
      </c>
      <c r="Q1208">
        <v>1.69957227</v>
      </c>
      <c r="R1208">
        <v>9809678755.9579048</v>
      </c>
      <c r="S1208">
        <v>0</v>
      </c>
      <c r="T1208" t="s">
        <v>6244</v>
      </c>
      <c r="U1208" t="s">
        <v>6245</v>
      </c>
      <c r="AJ1208" t="s">
        <v>6258</v>
      </c>
    </row>
    <row r="1209" spans="1:40" x14ac:dyDescent="0.25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2980153206.3600001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22.38</v>
      </c>
      <c r="P1209">
        <v>23.22</v>
      </c>
      <c r="Q1209">
        <v>22.38</v>
      </c>
      <c r="R1209">
        <v>2585109641.796</v>
      </c>
      <c r="S1209">
        <v>0</v>
      </c>
      <c r="T1209" t="s">
        <v>6242</v>
      </c>
    </row>
    <row r="1210" spans="1:40" x14ac:dyDescent="0.25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202.76679999999999</v>
      </c>
      <c r="H1210" t="s">
        <v>4694</v>
      </c>
      <c r="I1210">
        <v>32539874127.240002</v>
      </c>
      <c r="J1210" t="s">
        <v>4699</v>
      </c>
      <c r="K1210">
        <v>75516610.9059214</v>
      </c>
      <c r="L1210">
        <v>1</v>
      </c>
      <c r="M1210" t="s">
        <v>5912</v>
      </c>
      <c r="N1210">
        <v>1.07032003</v>
      </c>
      <c r="O1210">
        <v>184.95</v>
      </c>
      <c r="P1210">
        <v>190.45</v>
      </c>
      <c r="Q1210">
        <v>197.9556895485</v>
      </c>
      <c r="R1210">
        <v>31767790489.76059</v>
      </c>
      <c r="S1210">
        <v>0</v>
      </c>
      <c r="T1210" t="s">
        <v>6242</v>
      </c>
      <c r="U1210" t="s">
        <v>6245</v>
      </c>
    </row>
    <row r="1211" spans="1:40" x14ac:dyDescent="0.25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150.67420000000001</v>
      </c>
      <c r="H1211" t="s">
        <v>97</v>
      </c>
      <c r="I1211">
        <v>49192831531.934013</v>
      </c>
      <c r="J1211" t="s">
        <v>4700</v>
      </c>
      <c r="K1211">
        <v>213051425.68485701</v>
      </c>
      <c r="L1211">
        <v>1</v>
      </c>
      <c r="M1211" t="s">
        <v>5913</v>
      </c>
      <c r="N1211">
        <v>0.85273301000000001</v>
      </c>
      <c r="O1211">
        <v>182.47</v>
      </c>
      <c r="P1211">
        <v>176.56</v>
      </c>
      <c r="Q1211">
        <v>155.5981923347</v>
      </c>
      <c r="R1211">
        <v>50800440036.810303</v>
      </c>
      <c r="S1211">
        <v>0</v>
      </c>
      <c r="T1211" t="s">
        <v>6243</v>
      </c>
      <c r="AN1211" t="s">
        <v>6262</v>
      </c>
    </row>
    <row r="1212" spans="1:40" x14ac:dyDescent="0.25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5.2233289999999997</v>
      </c>
      <c r="H1212" t="s">
        <v>4698</v>
      </c>
      <c r="I1212">
        <v>16309818685.855</v>
      </c>
      <c r="J1212" t="s">
        <v>4701</v>
      </c>
      <c r="K1212">
        <v>30609059.278885599</v>
      </c>
      <c r="L1212">
        <v>0.5</v>
      </c>
      <c r="M1212" t="s">
        <v>5914</v>
      </c>
      <c r="N1212">
        <v>0.66458430000000002</v>
      </c>
      <c r="O1212">
        <v>8.15</v>
      </c>
      <c r="P1212">
        <v>7.84</v>
      </c>
      <c r="Q1212">
        <v>5.4163620450000014</v>
      </c>
      <c r="R1212">
        <v>8456281701.8511381</v>
      </c>
      <c r="S1212">
        <v>0</v>
      </c>
      <c r="T1212" t="s">
        <v>6244</v>
      </c>
      <c r="U1212" t="s">
        <v>6245</v>
      </c>
      <c r="AJ1212" t="s">
        <v>6258</v>
      </c>
    </row>
    <row r="1213" spans="1:40" x14ac:dyDescent="0.25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4.4171769999999997</v>
      </c>
      <c r="H1213" t="s">
        <v>4698</v>
      </c>
      <c r="I1213">
        <v>13568317682.909</v>
      </c>
      <c r="J1213" t="s">
        <v>4701</v>
      </c>
      <c r="K1213">
        <v>33950017.358288802</v>
      </c>
      <c r="L1213">
        <v>0.5</v>
      </c>
      <c r="M1213" t="s">
        <v>5915</v>
      </c>
      <c r="N1213">
        <v>0.66458430000000002</v>
      </c>
      <c r="O1213">
        <v>6.54</v>
      </c>
      <c r="P1213">
        <v>6.63</v>
      </c>
      <c r="Q1213">
        <v>4.346381322</v>
      </c>
      <c r="R1213">
        <v>6675426697.6349373</v>
      </c>
      <c r="S1213">
        <v>0</v>
      </c>
      <c r="T1213" t="s">
        <v>6244</v>
      </c>
      <c r="U1213" t="s">
        <v>6245</v>
      </c>
      <c r="AJ1213" t="s">
        <v>6258</v>
      </c>
    </row>
    <row r="1214" spans="1:40" x14ac:dyDescent="0.25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24707505.013000298</v>
      </c>
      <c r="L1214">
        <v>0.75</v>
      </c>
      <c r="M1214" t="s">
        <v>5916</v>
      </c>
      <c r="N1214">
        <v>0.66458430000000002</v>
      </c>
      <c r="O1214">
        <v>16.57</v>
      </c>
      <c r="P1214">
        <v>16.52</v>
      </c>
      <c r="Q1214">
        <v>11.012161851</v>
      </c>
      <c r="R1214">
        <v>8850825492.3077011</v>
      </c>
      <c r="S1214">
        <v>0</v>
      </c>
      <c r="T1214" t="s">
        <v>6244</v>
      </c>
      <c r="U1214" t="s">
        <v>6245</v>
      </c>
    </row>
    <row r="1215" spans="1:40" x14ac:dyDescent="0.25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2.7982119999999999</v>
      </c>
      <c r="H1215" t="s">
        <v>4698</v>
      </c>
      <c r="I1215">
        <v>46211449832.620003</v>
      </c>
      <c r="J1215" t="s">
        <v>4701</v>
      </c>
      <c r="K1215">
        <v>58539309.263197102</v>
      </c>
      <c r="L1215">
        <v>0.5</v>
      </c>
      <c r="M1215" t="s">
        <v>5917</v>
      </c>
      <c r="N1215">
        <v>0.66458430000000002</v>
      </c>
      <c r="O1215">
        <v>4.34</v>
      </c>
      <c r="P1215">
        <v>4.2</v>
      </c>
      <c r="Q1215">
        <v>2.8842958620000001</v>
      </c>
      <c r="R1215">
        <v>23816546696.470181</v>
      </c>
      <c r="S1215">
        <v>0</v>
      </c>
      <c r="T1215" t="s">
        <v>6244</v>
      </c>
      <c r="U1215" t="s">
        <v>6245</v>
      </c>
    </row>
    <row r="1216" spans="1:40" x14ac:dyDescent="0.25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9473679127.7520008</v>
      </c>
      <c r="J1216" t="s">
        <v>4701</v>
      </c>
      <c r="K1216">
        <v>6919986.5751340799</v>
      </c>
      <c r="L1216">
        <v>0.4</v>
      </c>
      <c r="M1216" t="s">
        <v>5918</v>
      </c>
      <c r="N1216">
        <v>0.10956983000000001</v>
      </c>
      <c r="O1216">
        <v>10.08</v>
      </c>
      <c r="P1216">
        <v>9.48</v>
      </c>
      <c r="Q1216">
        <v>1.1044638864</v>
      </c>
      <c r="R1216">
        <v>4042383769.9216752</v>
      </c>
      <c r="S1216">
        <v>0</v>
      </c>
      <c r="T1216" t="s">
        <v>6244</v>
      </c>
      <c r="U1216" t="s">
        <v>6245</v>
      </c>
      <c r="W1216" t="s">
        <v>6247</v>
      </c>
    </row>
    <row r="1217" spans="1:40" x14ac:dyDescent="0.25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3.3114140000000001</v>
      </c>
      <c r="H1217" t="s">
        <v>4692</v>
      </c>
      <c r="I1217">
        <v>8940778063.0319996</v>
      </c>
      <c r="J1217" t="s">
        <v>4701</v>
      </c>
      <c r="K1217">
        <v>12145738.815400001</v>
      </c>
      <c r="L1217">
        <v>0.5</v>
      </c>
      <c r="M1217" t="s">
        <v>5919</v>
      </c>
      <c r="N1217">
        <v>0.10956983000000001</v>
      </c>
      <c r="O1217">
        <v>31.22</v>
      </c>
      <c r="P1217">
        <v>30.32</v>
      </c>
      <c r="Q1217">
        <v>3.4207700926000002</v>
      </c>
      <c r="R1217">
        <v>4618019100.3894444</v>
      </c>
      <c r="S1217">
        <v>0</v>
      </c>
      <c r="T1217" t="s">
        <v>6244</v>
      </c>
      <c r="U1217" t="s">
        <v>6245</v>
      </c>
      <c r="AJ1217" t="s">
        <v>6258</v>
      </c>
      <c r="AN1217" t="s">
        <v>6262</v>
      </c>
    </row>
    <row r="1218" spans="1:40" x14ac:dyDescent="0.25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16.184229999999999</v>
      </c>
      <c r="H1218" t="s">
        <v>4693</v>
      </c>
      <c r="I1218">
        <v>32668594926.926998</v>
      </c>
      <c r="J1218" t="s">
        <v>4699</v>
      </c>
      <c r="K1218">
        <v>38737720.670526303</v>
      </c>
      <c r="L1218">
        <v>0.8</v>
      </c>
      <c r="M1218" t="s">
        <v>5920</v>
      </c>
      <c r="N1218">
        <v>9.1395149999999994E-2</v>
      </c>
      <c r="O1218">
        <v>180.3</v>
      </c>
      <c r="P1218">
        <v>180.3</v>
      </c>
      <c r="Q1218">
        <v>16.478545544999999</v>
      </c>
      <c r="R1218">
        <v>26610147255.421982</v>
      </c>
      <c r="S1218">
        <v>0</v>
      </c>
      <c r="T1218" t="s">
        <v>6242</v>
      </c>
      <c r="U1218" t="s">
        <v>6245</v>
      </c>
      <c r="AJ1218" t="s">
        <v>6258</v>
      </c>
      <c r="AN1218" t="s">
        <v>6262</v>
      </c>
    </row>
    <row r="1219" spans="1:40" x14ac:dyDescent="0.25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21.857230000000001</v>
      </c>
      <c r="H1219" t="s">
        <v>4693</v>
      </c>
      <c r="I1219">
        <v>8750721259.7860012</v>
      </c>
      <c r="J1219" t="s">
        <v>4699</v>
      </c>
      <c r="K1219">
        <v>13495470.8131634</v>
      </c>
      <c r="L1219">
        <v>0.95</v>
      </c>
      <c r="M1219" t="s">
        <v>5921</v>
      </c>
      <c r="N1219">
        <v>9.1395149999999994E-2</v>
      </c>
      <c r="O1219">
        <v>241</v>
      </c>
      <c r="P1219">
        <v>243.5</v>
      </c>
      <c r="Q1219">
        <v>22.026231150000001</v>
      </c>
      <c r="R1219">
        <v>8377463143.1980314</v>
      </c>
      <c r="S1219">
        <v>0</v>
      </c>
      <c r="T1219" t="s">
        <v>6242</v>
      </c>
      <c r="U1219" t="s">
        <v>6245</v>
      </c>
    </row>
    <row r="1220" spans="1:40" x14ac:dyDescent="0.25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22.126519999999999</v>
      </c>
      <c r="H1220" t="s">
        <v>4693</v>
      </c>
      <c r="I1220">
        <v>9435196411.2952003</v>
      </c>
      <c r="J1220" t="s">
        <v>4699</v>
      </c>
      <c r="K1220">
        <v>21026874.526911099</v>
      </c>
      <c r="L1220">
        <v>0.85</v>
      </c>
      <c r="M1220" t="s">
        <v>5922</v>
      </c>
      <c r="N1220">
        <v>9.1395149999999994E-2</v>
      </c>
      <c r="O1220">
        <v>234.6</v>
      </c>
      <c r="P1220">
        <v>246.5</v>
      </c>
      <c r="Q1220">
        <v>21.441302189999998</v>
      </c>
      <c r="R1220">
        <v>7771554806.4086142</v>
      </c>
      <c r="S1220">
        <v>0</v>
      </c>
      <c r="T1220" t="s">
        <v>6242</v>
      </c>
      <c r="U1220" t="s">
        <v>6245</v>
      </c>
    </row>
    <row r="1221" spans="1:40" x14ac:dyDescent="0.25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17.781939999999999</v>
      </c>
      <c r="H1221" t="s">
        <v>99</v>
      </c>
      <c r="I1221">
        <v>4045430470.2680001</v>
      </c>
      <c r="J1221" t="s">
        <v>4701</v>
      </c>
      <c r="K1221">
        <v>31874588.7181798</v>
      </c>
      <c r="L1221">
        <v>1</v>
      </c>
      <c r="M1221" t="s">
        <v>5923</v>
      </c>
      <c r="N1221">
        <v>5.7743899999999999E-3</v>
      </c>
      <c r="O1221">
        <v>3016</v>
      </c>
      <c r="P1221">
        <v>3060</v>
      </c>
      <c r="Q1221">
        <v>17.415560240000001</v>
      </c>
      <c r="R1221">
        <v>3962078268.8325281</v>
      </c>
      <c r="S1221">
        <v>0</v>
      </c>
      <c r="T1221" t="s">
        <v>6244</v>
      </c>
    </row>
    <row r="1222" spans="1:40" x14ac:dyDescent="0.25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261.20859999999999</v>
      </c>
      <c r="H1222" t="s">
        <v>99</v>
      </c>
      <c r="I1222">
        <v>16683225586.0788</v>
      </c>
      <c r="J1222" t="s">
        <v>4701</v>
      </c>
      <c r="K1222">
        <v>87701354.212889403</v>
      </c>
      <c r="L1222">
        <v>0.9</v>
      </c>
      <c r="M1222" t="s">
        <v>5924</v>
      </c>
      <c r="N1222">
        <v>5.7743899999999999E-3</v>
      </c>
      <c r="O1222">
        <v>44950</v>
      </c>
      <c r="P1222">
        <v>44950</v>
      </c>
      <c r="Q1222">
        <v>259.5588305</v>
      </c>
      <c r="R1222">
        <v>14920070280.53924</v>
      </c>
      <c r="S1222">
        <v>0</v>
      </c>
      <c r="T1222" t="s">
        <v>6244</v>
      </c>
    </row>
    <row r="1223" spans="1:40" x14ac:dyDescent="0.25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23.982379999999999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5.7743899999999999E-3</v>
      </c>
      <c r="O1223">
        <v>4100</v>
      </c>
      <c r="P1223">
        <v>4127</v>
      </c>
      <c r="Q1223">
        <v>23.674999</v>
      </c>
      <c r="R1223">
        <v>91311968695.605698</v>
      </c>
      <c r="S1223">
        <v>0</v>
      </c>
      <c r="T1223" t="s">
        <v>6244</v>
      </c>
      <c r="AJ1223" t="s">
        <v>6258</v>
      </c>
    </row>
    <row r="1224" spans="1:40" x14ac:dyDescent="0.25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13926116800.971399</v>
      </c>
      <c r="J1224" t="s">
        <v>4699</v>
      </c>
      <c r="K1224">
        <v>23301246.154633</v>
      </c>
      <c r="L1224">
        <v>0.9</v>
      </c>
      <c r="M1224" t="s">
        <v>5926</v>
      </c>
      <c r="N1224">
        <v>1.156136E-2</v>
      </c>
      <c r="O1224">
        <v>1405</v>
      </c>
      <c r="P1224">
        <v>1383</v>
      </c>
      <c r="Q1224">
        <v>16.243710799999999</v>
      </c>
      <c r="R1224">
        <v>12754635044.27055</v>
      </c>
      <c r="S1224">
        <v>0</v>
      </c>
      <c r="T1224" t="s">
        <v>6242</v>
      </c>
      <c r="AJ1224" t="s">
        <v>6258</v>
      </c>
      <c r="AN1224" t="s">
        <v>6262</v>
      </c>
    </row>
    <row r="1225" spans="1:40" x14ac:dyDescent="0.25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8992842414.5540009</v>
      </c>
      <c r="J1225" t="s">
        <v>4699</v>
      </c>
      <c r="K1225">
        <v>16151907.1030418</v>
      </c>
      <c r="L1225">
        <v>1</v>
      </c>
      <c r="M1225" t="s">
        <v>5927</v>
      </c>
      <c r="N1225">
        <v>1.156136E-2</v>
      </c>
      <c r="O1225">
        <v>2374</v>
      </c>
      <c r="P1225">
        <v>2372</v>
      </c>
      <c r="Q1225">
        <v>27.446668639999999</v>
      </c>
      <c r="R1225">
        <v>9015799735.5423508</v>
      </c>
      <c r="S1225">
        <v>0</v>
      </c>
      <c r="T1225" t="s">
        <v>6242</v>
      </c>
    </row>
    <row r="1226" spans="1:40" x14ac:dyDescent="0.25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2.4158469999999999</v>
      </c>
      <c r="H1226" t="s">
        <v>4692</v>
      </c>
      <c r="I1226">
        <v>14955253744.4835</v>
      </c>
      <c r="J1226" t="s">
        <v>4701</v>
      </c>
      <c r="K1226">
        <v>67055292.668296903</v>
      </c>
      <c r="L1226">
        <v>0.3</v>
      </c>
      <c r="M1226" t="s">
        <v>5928</v>
      </c>
      <c r="N1226">
        <v>0.10956983000000001</v>
      </c>
      <c r="O1226">
        <v>18.62</v>
      </c>
      <c r="P1226">
        <v>22.12</v>
      </c>
      <c r="Q1226">
        <v>2.0401902345999998</v>
      </c>
      <c r="R1226">
        <v>3788927359.0745168</v>
      </c>
      <c r="S1226">
        <v>0</v>
      </c>
      <c r="T1226" t="s">
        <v>6244</v>
      </c>
      <c r="U1226" t="s">
        <v>6245</v>
      </c>
      <c r="AJ1226" t="s">
        <v>6258</v>
      </c>
      <c r="AK1226" t="s">
        <v>6259</v>
      </c>
      <c r="AN1226" t="s">
        <v>6262</v>
      </c>
    </row>
    <row r="1227" spans="1:40" x14ac:dyDescent="0.25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38.999830000000003</v>
      </c>
      <c r="H1227" t="s">
        <v>97</v>
      </c>
      <c r="I1227">
        <v>20362788578.739799</v>
      </c>
      <c r="J1227" t="s">
        <v>4700</v>
      </c>
      <c r="K1227">
        <v>144351740.34530401</v>
      </c>
      <c r="L1227">
        <v>1</v>
      </c>
      <c r="M1227" t="s">
        <v>5929</v>
      </c>
      <c r="N1227">
        <v>0.85273301000000001</v>
      </c>
      <c r="O1227">
        <v>44.27</v>
      </c>
      <c r="P1227">
        <v>45.7</v>
      </c>
      <c r="Q1227">
        <v>37.750490352700012</v>
      </c>
      <c r="R1227">
        <v>19710477040.432911</v>
      </c>
      <c r="S1227">
        <v>0</v>
      </c>
      <c r="T1227" t="s">
        <v>6243</v>
      </c>
    </row>
    <row r="1228" spans="1:40" x14ac:dyDescent="0.25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29619815.890799999</v>
      </c>
      <c r="L1228">
        <v>0.60000000000000009</v>
      </c>
      <c r="M1228" t="s">
        <v>5930</v>
      </c>
      <c r="N1228">
        <v>1</v>
      </c>
      <c r="O1228">
        <v>5.14</v>
      </c>
      <c r="P1228">
        <v>5.266</v>
      </c>
      <c r="Q1228">
        <v>5.14</v>
      </c>
      <c r="R1228">
        <v>10364885482.955999</v>
      </c>
      <c r="S1228">
        <v>0</v>
      </c>
      <c r="T1228" t="s">
        <v>6242</v>
      </c>
      <c r="AH1228" t="s">
        <v>6256</v>
      </c>
      <c r="AJ1228" t="s">
        <v>6258</v>
      </c>
    </row>
    <row r="1229" spans="1:40" x14ac:dyDescent="0.25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90612850.300816193</v>
      </c>
      <c r="L1229">
        <v>1</v>
      </c>
      <c r="M1229" t="s">
        <v>5931</v>
      </c>
      <c r="N1229">
        <v>0.85273301000000001</v>
      </c>
      <c r="O1229">
        <v>333.59</v>
      </c>
      <c r="P1229">
        <v>333.03</v>
      </c>
      <c r="Q1229">
        <v>284.46320480589998</v>
      </c>
      <c r="R1229">
        <v>14838559972.60235</v>
      </c>
      <c r="S1229">
        <v>0</v>
      </c>
      <c r="T1229" t="s">
        <v>6243</v>
      </c>
      <c r="AJ1229" t="s">
        <v>6258</v>
      </c>
    </row>
    <row r="1230" spans="1:40" x14ac:dyDescent="0.25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167.95529999999999</v>
      </c>
      <c r="H1230" t="s">
        <v>97</v>
      </c>
      <c r="I1230">
        <v>56039629487.400002</v>
      </c>
      <c r="J1230" t="s">
        <v>4700</v>
      </c>
      <c r="K1230">
        <v>759710835.11577201</v>
      </c>
      <c r="L1230">
        <v>1</v>
      </c>
      <c r="M1230" t="s">
        <v>5932</v>
      </c>
      <c r="N1230">
        <v>0.85273301000000001</v>
      </c>
      <c r="O1230">
        <v>221.15</v>
      </c>
      <c r="P1230">
        <v>196.81</v>
      </c>
      <c r="Q1230">
        <v>188.5819051615</v>
      </c>
      <c r="R1230">
        <v>62921861312.375771</v>
      </c>
      <c r="S1230">
        <v>0</v>
      </c>
      <c r="T1230" t="s">
        <v>6243</v>
      </c>
      <c r="AN1230" t="s">
        <v>6262</v>
      </c>
    </row>
    <row r="1231" spans="1:40" x14ac:dyDescent="0.25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57.26</v>
      </c>
      <c r="P1231">
        <v>57.84</v>
      </c>
      <c r="Q1231">
        <v>57.26</v>
      </c>
      <c r="R1231">
        <v>40463482971.617996</v>
      </c>
      <c r="S1231">
        <v>1</v>
      </c>
      <c r="T1231" t="s">
        <v>6242</v>
      </c>
      <c r="AJ1231" t="s">
        <v>6258</v>
      </c>
    </row>
    <row r="1232" spans="1:40" x14ac:dyDescent="0.25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2844319838.5229998</v>
      </c>
      <c r="J1232" t="s">
        <v>4701</v>
      </c>
      <c r="K1232">
        <v>281371213.24130303</v>
      </c>
      <c r="L1232">
        <v>1</v>
      </c>
      <c r="M1232" t="s">
        <v>5934</v>
      </c>
      <c r="N1232">
        <v>5.7743899999999999E-3</v>
      </c>
      <c r="O1232">
        <v>2926</v>
      </c>
      <c r="P1232">
        <v>2721</v>
      </c>
      <c r="Q1232">
        <v>16.895865140000002</v>
      </c>
      <c r="R1232">
        <v>3039293270.4639888</v>
      </c>
      <c r="S1232">
        <v>0</v>
      </c>
      <c r="T1232" t="s">
        <v>6244</v>
      </c>
      <c r="AJ1232" t="s">
        <v>6258</v>
      </c>
      <c r="AN1232" t="s">
        <v>6262</v>
      </c>
    </row>
    <row r="1233" spans="1:40" x14ac:dyDescent="0.25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7947818409.3000002</v>
      </c>
      <c r="J1233" t="s">
        <v>4702</v>
      </c>
      <c r="K1233">
        <v>10432574.269318201</v>
      </c>
      <c r="L1233">
        <v>0.55000000000000004</v>
      </c>
      <c r="M1233" t="s">
        <v>5935</v>
      </c>
      <c r="N1233">
        <v>1</v>
      </c>
      <c r="O1233">
        <v>52.45</v>
      </c>
      <c r="P1233">
        <v>53.9</v>
      </c>
      <c r="Q1233">
        <v>52.45</v>
      </c>
      <c r="R1233">
        <v>4253704852.732501</v>
      </c>
      <c r="S1233">
        <v>1</v>
      </c>
      <c r="T1233" t="s">
        <v>6242</v>
      </c>
    </row>
    <row r="1234" spans="1:40" x14ac:dyDescent="0.25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21.351769999999998</v>
      </c>
      <c r="H1234" t="s">
        <v>97</v>
      </c>
      <c r="I1234">
        <v>25310078557.334999</v>
      </c>
      <c r="J1234" t="s">
        <v>4700</v>
      </c>
      <c r="K1234">
        <v>1177652748.0999601</v>
      </c>
      <c r="L1234">
        <v>1</v>
      </c>
      <c r="M1234" t="s">
        <v>5936</v>
      </c>
      <c r="N1234">
        <v>0.85273301000000001</v>
      </c>
      <c r="O1234">
        <v>26.55</v>
      </c>
      <c r="P1234">
        <v>25.02</v>
      </c>
      <c r="Q1234">
        <v>22.6400614155</v>
      </c>
      <c r="R1234">
        <v>26837200521.043171</v>
      </c>
      <c r="S1234">
        <v>0</v>
      </c>
      <c r="T1234" t="s">
        <v>6243</v>
      </c>
      <c r="AJ1234" t="s">
        <v>6258</v>
      </c>
    </row>
    <row r="1235" spans="1:40" x14ac:dyDescent="0.25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266.39999999999998</v>
      </c>
      <c r="H1235" t="s">
        <v>98</v>
      </c>
      <c r="I1235">
        <v>9124200000</v>
      </c>
      <c r="J1235" t="s">
        <v>4702</v>
      </c>
      <c r="K1235">
        <v>7759200.0166666703</v>
      </c>
      <c r="L1235">
        <v>0.4</v>
      </c>
      <c r="M1235" t="s">
        <v>5937</v>
      </c>
      <c r="N1235">
        <v>1</v>
      </c>
      <c r="O1235">
        <v>252.8</v>
      </c>
      <c r="P1235">
        <v>266.39999999999998</v>
      </c>
      <c r="Q1235">
        <v>252.8</v>
      </c>
      <c r="R1235">
        <v>3463360000</v>
      </c>
      <c r="S1235">
        <v>0</v>
      </c>
      <c r="T1235" t="s">
        <v>6242</v>
      </c>
      <c r="W1235" t="s">
        <v>6247</v>
      </c>
      <c r="AN1235" t="s">
        <v>6262</v>
      </c>
    </row>
    <row r="1236" spans="1:40" x14ac:dyDescent="0.25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67098699867.505997</v>
      </c>
      <c r="J1236" t="s">
        <v>4701</v>
      </c>
      <c r="K1236">
        <v>77008663.760685593</v>
      </c>
      <c r="L1236">
        <v>0.6</v>
      </c>
      <c r="M1236" t="s">
        <v>5938</v>
      </c>
      <c r="N1236">
        <v>5.7743899999999999E-3</v>
      </c>
      <c r="O1236">
        <v>229.4</v>
      </c>
      <c r="P1236">
        <v>241.4</v>
      </c>
      <c r="Q1236">
        <v>1.324645066</v>
      </c>
      <c r="R1236">
        <v>38016291033.138062</v>
      </c>
      <c r="S1236">
        <v>0</v>
      </c>
      <c r="T1236" t="s">
        <v>6244</v>
      </c>
    </row>
    <row r="1237" spans="1:40" x14ac:dyDescent="0.25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86.469059999999999</v>
      </c>
      <c r="H1237" t="s">
        <v>99</v>
      </c>
      <c r="I1237">
        <v>127109103148.51199</v>
      </c>
      <c r="J1237" t="s">
        <v>4701</v>
      </c>
      <c r="K1237">
        <v>718780107.40163302</v>
      </c>
      <c r="L1237">
        <v>0.65</v>
      </c>
      <c r="M1237" t="s">
        <v>5939</v>
      </c>
      <c r="N1237">
        <v>5.7743899999999999E-3</v>
      </c>
      <c r="O1237">
        <v>18230</v>
      </c>
      <c r="P1237">
        <v>14880</v>
      </c>
      <c r="Q1237">
        <v>105.2671297</v>
      </c>
      <c r="R1237">
        <v>100582413994.9053</v>
      </c>
      <c r="S1237">
        <v>0</v>
      </c>
      <c r="T1237" t="s">
        <v>6244</v>
      </c>
    </row>
    <row r="1238" spans="1:40" x14ac:dyDescent="0.25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5.7743899999999999E-3</v>
      </c>
      <c r="O1238">
        <v>3977</v>
      </c>
      <c r="P1238">
        <v>3872</v>
      </c>
      <c r="Q1238">
        <v>22.96474903</v>
      </c>
      <c r="R1238">
        <v>4908715105.1624994</v>
      </c>
      <c r="S1238">
        <v>0</v>
      </c>
      <c r="T1238" t="s">
        <v>6244</v>
      </c>
      <c r="AG1238" t="s">
        <v>6255</v>
      </c>
      <c r="AH1238" t="s">
        <v>6256</v>
      </c>
      <c r="AJ1238" t="s">
        <v>6258</v>
      </c>
    </row>
    <row r="1239" spans="1:40" x14ac:dyDescent="0.25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71.505380000000002</v>
      </c>
      <c r="H1239" t="s">
        <v>97</v>
      </c>
      <c r="I1239">
        <v>15008128347.978001</v>
      </c>
      <c r="J1239" t="s">
        <v>4700</v>
      </c>
      <c r="K1239">
        <v>151667731.24068001</v>
      </c>
      <c r="L1239">
        <v>1</v>
      </c>
      <c r="M1239" t="s">
        <v>5941</v>
      </c>
      <c r="N1239">
        <v>0.85273301000000001</v>
      </c>
      <c r="O1239">
        <v>84.08</v>
      </c>
      <c r="P1239">
        <v>83.79</v>
      </c>
      <c r="Q1239">
        <v>71.697791480800007</v>
      </c>
      <c r="R1239">
        <v>15048513228.101299</v>
      </c>
      <c r="S1239">
        <v>0</v>
      </c>
      <c r="T1239" t="s">
        <v>6243</v>
      </c>
      <c r="AJ1239" t="s">
        <v>6258</v>
      </c>
    </row>
    <row r="1240" spans="1:40" x14ac:dyDescent="0.25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27.416730000000001</v>
      </c>
      <c r="H1240" t="s">
        <v>99</v>
      </c>
      <c r="I1240">
        <v>25613497671.1548</v>
      </c>
      <c r="J1240" t="s">
        <v>4701</v>
      </c>
      <c r="K1240">
        <v>78716784.507885799</v>
      </c>
      <c r="L1240">
        <v>0.95</v>
      </c>
      <c r="M1240" t="s">
        <v>5942</v>
      </c>
      <c r="N1240">
        <v>5.7743899999999999E-3</v>
      </c>
      <c r="O1240">
        <v>4751</v>
      </c>
      <c r="P1240">
        <v>4718</v>
      </c>
      <c r="Q1240">
        <v>27.434126890000002</v>
      </c>
      <c r="R1240">
        <v>24348262828.82098</v>
      </c>
      <c r="S1240">
        <v>0</v>
      </c>
      <c r="T1240" t="s">
        <v>6244</v>
      </c>
      <c r="AJ1240" t="s">
        <v>6258</v>
      </c>
    </row>
    <row r="1241" spans="1:40" x14ac:dyDescent="0.25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13.630979999999999</v>
      </c>
      <c r="H1241" t="s">
        <v>4691</v>
      </c>
      <c r="I1241">
        <v>6736947611.691</v>
      </c>
      <c r="J1241" t="s">
        <v>4701</v>
      </c>
      <c r="K1241">
        <v>18416659.896647502</v>
      </c>
      <c r="L1241">
        <v>1</v>
      </c>
      <c r="M1241" t="s">
        <v>5943</v>
      </c>
      <c r="N1241">
        <v>0.56652409000000004</v>
      </c>
      <c r="O1241">
        <v>22.64</v>
      </c>
      <c r="P1241">
        <v>24.6</v>
      </c>
      <c r="Q1241">
        <v>12.826105397599999</v>
      </c>
      <c r="R1241">
        <v>6339148038.193759</v>
      </c>
      <c r="S1241">
        <v>0</v>
      </c>
      <c r="T1241" t="s">
        <v>6244</v>
      </c>
      <c r="U1241" t="s">
        <v>6245</v>
      </c>
    </row>
    <row r="1242" spans="1:40" x14ac:dyDescent="0.25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14804239789.695999</v>
      </c>
      <c r="J1242" t="s">
        <v>4699</v>
      </c>
      <c r="K1242">
        <v>33328557.5656965</v>
      </c>
      <c r="L1242">
        <v>0.85</v>
      </c>
      <c r="M1242" t="s">
        <v>5944</v>
      </c>
      <c r="N1242">
        <v>1.07032003</v>
      </c>
      <c r="O1242">
        <v>237.9</v>
      </c>
      <c r="P1242">
        <v>233.2</v>
      </c>
      <c r="Q1242">
        <v>254.62913513699999</v>
      </c>
      <c r="R1242">
        <v>12905314602.086491</v>
      </c>
      <c r="S1242">
        <v>0</v>
      </c>
      <c r="T1242" t="s">
        <v>6242</v>
      </c>
      <c r="U1242" t="s">
        <v>6245</v>
      </c>
    </row>
    <row r="1243" spans="1:40" x14ac:dyDescent="0.25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150846364826.51001</v>
      </c>
      <c r="J1243" t="s">
        <v>4701</v>
      </c>
      <c r="K1243">
        <v>305956904.51254201</v>
      </c>
      <c r="L1243">
        <v>1</v>
      </c>
      <c r="M1243" t="s">
        <v>5945</v>
      </c>
      <c r="N1243">
        <v>5.7743899999999999E-3</v>
      </c>
      <c r="O1243">
        <v>4286</v>
      </c>
      <c r="P1243">
        <v>4221</v>
      </c>
      <c r="Q1243">
        <v>24.749035540000001</v>
      </c>
      <c r="R1243">
        <v>152201878628.7652</v>
      </c>
      <c r="S1243">
        <v>0</v>
      </c>
      <c r="T1243" t="s">
        <v>6244</v>
      </c>
    </row>
    <row r="1244" spans="1:40" x14ac:dyDescent="0.25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5560528.0060606096</v>
      </c>
      <c r="L1244">
        <v>0.70000000000000007</v>
      </c>
      <c r="M1244" t="s">
        <v>5946</v>
      </c>
      <c r="N1244">
        <v>1</v>
      </c>
      <c r="O1244">
        <v>163</v>
      </c>
      <c r="P1244">
        <v>175</v>
      </c>
      <c r="Q1244">
        <v>163</v>
      </c>
      <c r="R1244">
        <v>2344492684.0999999</v>
      </c>
      <c r="S1244">
        <v>1</v>
      </c>
      <c r="T1244" t="s">
        <v>6242</v>
      </c>
      <c r="W1244" t="s">
        <v>6247</v>
      </c>
    </row>
    <row r="1245" spans="1:40" x14ac:dyDescent="0.25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7087181718.9273996</v>
      </c>
      <c r="J1245" t="s">
        <v>4701</v>
      </c>
      <c r="K1245">
        <v>32843469.658791199</v>
      </c>
      <c r="L1245">
        <v>1</v>
      </c>
      <c r="M1245" t="s">
        <v>5947</v>
      </c>
      <c r="N1245">
        <v>0.56652409000000004</v>
      </c>
      <c r="O1245">
        <v>2.59</v>
      </c>
      <c r="P1245">
        <v>2.84</v>
      </c>
      <c r="Q1245">
        <v>1.4672973931</v>
      </c>
      <c r="R1245">
        <v>6608172335.1631355</v>
      </c>
      <c r="S1245">
        <v>0</v>
      </c>
      <c r="T1245" t="s">
        <v>6244</v>
      </c>
      <c r="U1245" t="s">
        <v>6245</v>
      </c>
      <c r="AG1245" t="s">
        <v>6255</v>
      </c>
      <c r="AH1245" t="s">
        <v>6256</v>
      </c>
      <c r="AJ1245" t="s">
        <v>6258</v>
      </c>
    </row>
    <row r="1246" spans="1:40" x14ac:dyDescent="0.25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80.628100000000003</v>
      </c>
      <c r="H1246" t="s">
        <v>97</v>
      </c>
      <c r="I1246">
        <v>88694731771.940002</v>
      </c>
      <c r="J1246" t="s">
        <v>4700</v>
      </c>
      <c r="K1246">
        <v>421945343.09113598</v>
      </c>
      <c r="L1246">
        <v>1</v>
      </c>
      <c r="M1246" t="s">
        <v>5948</v>
      </c>
      <c r="N1246">
        <v>0.85273301000000001</v>
      </c>
      <c r="O1246">
        <v>92.27</v>
      </c>
      <c r="P1246">
        <v>94.48</v>
      </c>
      <c r="Q1246">
        <v>78.681674832699997</v>
      </c>
      <c r="R1246">
        <v>86553571827.357071</v>
      </c>
      <c r="S1246">
        <v>0</v>
      </c>
      <c r="T1246" t="s">
        <v>6243</v>
      </c>
      <c r="AG1246" t="s">
        <v>6255</v>
      </c>
      <c r="AH1246" t="s">
        <v>6256</v>
      </c>
      <c r="AJ1246" t="s">
        <v>6258</v>
      </c>
    </row>
    <row r="1247" spans="1:40" x14ac:dyDescent="0.25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15.460990000000001</v>
      </c>
      <c r="H1247" t="s">
        <v>4695</v>
      </c>
      <c r="I1247">
        <v>5804926207.9639301</v>
      </c>
      <c r="J1247" t="s">
        <v>4699</v>
      </c>
      <c r="K1247">
        <v>2975175.1797958598</v>
      </c>
      <c r="L1247">
        <v>0.65</v>
      </c>
      <c r="M1247" t="s">
        <v>5949</v>
      </c>
      <c r="N1247">
        <v>8.6344599999999994E-2</v>
      </c>
      <c r="O1247">
        <v>176.4</v>
      </c>
      <c r="P1247">
        <v>182.2</v>
      </c>
      <c r="Q1247">
        <v>15.231187439999999</v>
      </c>
      <c r="R1247">
        <v>3717119501.8406701</v>
      </c>
      <c r="S1247">
        <v>0</v>
      </c>
      <c r="T1247" t="s">
        <v>6242</v>
      </c>
      <c r="U1247" t="s">
        <v>6245</v>
      </c>
      <c r="W1247" t="s">
        <v>6247</v>
      </c>
      <c r="AJ1247" t="s">
        <v>6258</v>
      </c>
    </row>
    <row r="1248" spans="1:40" x14ac:dyDescent="0.25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2398190732.8274999</v>
      </c>
      <c r="J1248" t="s">
        <v>4701</v>
      </c>
      <c r="K1248">
        <v>3522660.9925972498</v>
      </c>
      <c r="L1248">
        <v>0.95</v>
      </c>
      <c r="M1248" t="s">
        <v>5950</v>
      </c>
      <c r="N1248">
        <v>0.50771730000000004</v>
      </c>
      <c r="O1248">
        <v>2.37</v>
      </c>
      <c r="P1248">
        <v>2.5350000000000001</v>
      </c>
      <c r="Q1248">
        <v>1.2032900010000001</v>
      </c>
      <c r="R1248">
        <v>2159732729.2686062</v>
      </c>
      <c r="S1248">
        <v>0</v>
      </c>
      <c r="T1248" t="s">
        <v>6244</v>
      </c>
      <c r="U1248" t="s">
        <v>6245</v>
      </c>
      <c r="W1248" t="s">
        <v>6247</v>
      </c>
    </row>
    <row r="1249" spans="1:40" x14ac:dyDescent="0.25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46.651330000000002</v>
      </c>
      <c r="H1249" t="s">
        <v>96</v>
      </c>
      <c r="I1249">
        <v>4633517860.1723003</v>
      </c>
      <c r="J1249" t="s">
        <v>4699</v>
      </c>
      <c r="K1249">
        <v>22909135.050354499</v>
      </c>
      <c r="L1249">
        <v>1</v>
      </c>
      <c r="M1249" t="s">
        <v>5951</v>
      </c>
      <c r="N1249">
        <v>1.156136E-2</v>
      </c>
      <c r="O1249">
        <v>4088</v>
      </c>
      <c r="P1249">
        <v>4042</v>
      </c>
      <c r="Q1249">
        <v>47.262839679999999</v>
      </c>
      <c r="R1249">
        <v>4694254414.1772604</v>
      </c>
      <c r="S1249">
        <v>0</v>
      </c>
      <c r="T1249" t="s">
        <v>6242</v>
      </c>
      <c r="AN1249" t="s">
        <v>6262</v>
      </c>
    </row>
    <row r="1250" spans="1:40" x14ac:dyDescent="0.25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8756630079.3999996</v>
      </c>
      <c r="J1250" t="s">
        <v>4702</v>
      </c>
      <c r="K1250">
        <v>14817652.849924199</v>
      </c>
      <c r="L1250">
        <v>0.9</v>
      </c>
      <c r="M1250" t="s">
        <v>5952</v>
      </c>
      <c r="N1250">
        <v>1</v>
      </c>
      <c r="O1250">
        <v>49.4</v>
      </c>
      <c r="P1250">
        <v>52.1</v>
      </c>
      <c r="Q1250">
        <v>49.4</v>
      </c>
      <c r="R1250">
        <v>7472548432.4399996</v>
      </c>
      <c r="S1250">
        <v>1</v>
      </c>
      <c r="T1250" t="s">
        <v>6242</v>
      </c>
      <c r="AA1250" t="s">
        <v>6249</v>
      </c>
    </row>
    <row r="1251" spans="1:40" x14ac:dyDescent="0.25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84.715670000000003</v>
      </c>
      <c r="H1251" t="s">
        <v>96</v>
      </c>
      <c r="I1251">
        <v>6249987505.7034998</v>
      </c>
      <c r="J1251" t="s">
        <v>4699</v>
      </c>
      <c r="K1251">
        <v>10091771.4063484</v>
      </c>
      <c r="L1251">
        <v>1</v>
      </c>
      <c r="M1251" t="s">
        <v>5953</v>
      </c>
      <c r="N1251">
        <v>1.156136E-2</v>
      </c>
      <c r="O1251">
        <v>6970</v>
      </c>
      <c r="P1251">
        <v>7340</v>
      </c>
      <c r="Q1251">
        <v>80.582679200000001</v>
      </c>
      <c r="R1251">
        <v>5945071769.7931604</v>
      </c>
      <c r="S1251">
        <v>0</v>
      </c>
      <c r="T1251" t="s">
        <v>6242</v>
      </c>
    </row>
    <row r="1252" spans="1:40" x14ac:dyDescent="0.25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591.38930000000005</v>
      </c>
      <c r="H1252" t="s">
        <v>97</v>
      </c>
      <c r="I1252">
        <v>121694765441.968</v>
      </c>
      <c r="J1252" t="s">
        <v>4700</v>
      </c>
      <c r="K1252">
        <v>1206825374.5055001</v>
      </c>
      <c r="L1252">
        <v>0.75</v>
      </c>
      <c r="M1252" t="s">
        <v>5954</v>
      </c>
      <c r="N1252">
        <v>0.85273301000000001</v>
      </c>
      <c r="O1252">
        <v>696.4</v>
      </c>
      <c r="P1252">
        <v>692.99</v>
      </c>
      <c r="Q1252">
        <v>593.84326816399994</v>
      </c>
      <c r="R1252">
        <v>91649803135.400421</v>
      </c>
      <c r="S1252">
        <v>0</v>
      </c>
      <c r="T1252" t="s">
        <v>6243</v>
      </c>
    </row>
    <row r="1253" spans="1:40" x14ac:dyDescent="0.25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63.515239999999999</v>
      </c>
      <c r="H1253" t="s">
        <v>99</v>
      </c>
      <c r="I1253">
        <v>7782623981.5839996</v>
      </c>
      <c r="J1253" t="s">
        <v>4701</v>
      </c>
      <c r="K1253">
        <v>40574363.866290703</v>
      </c>
      <c r="L1253">
        <v>0.55000000000000004</v>
      </c>
      <c r="M1253" t="s">
        <v>5955</v>
      </c>
      <c r="N1253">
        <v>5.7743899999999999E-3</v>
      </c>
      <c r="O1253">
        <v>10045</v>
      </c>
      <c r="P1253">
        <v>10930</v>
      </c>
      <c r="Q1253">
        <v>58.00374755</v>
      </c>
      <c r="R1253">
        <v>3909010596.3136692</v>
      </c>
      <c r="S1253">
        <v>0</v>
      </c>
      <c r="T1253" t="s">
        <v>6244</v>
      </c>
    </row>
    <row r="1254" spans="1:40" x14ac:dyDescent="0.25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76.975589999999997</v>
      </c>
      <c r="H1254" t="s">
        <v>97</v>
      </c>
      <c r="I1254">
        <v>18799027854.177601</v>
      </c>
      <c r="J1254" t="s">
        <v>4700</v>
      </c>
      <c r="K1254">
        <v>82395587.363482997</v>
      </c>
      <c r="L1254">
        <v>0.85</v>
      </c>
      <c r="M1254" t="s">
        <v>5956</v>
      </c>
      <c r="N1254">
        <v>0.85273301000000001</v>
      </c>
      <c r="O1254">
        <v>89.21</v>
      </c>
      <c r="P1254">
        <v>90.2</v>
      </c>
      <c r="Q1254">
        <v>76.072311822099991</v>
      </c>
      <c r="R1254">
        <v>15791664377.551901</v>
      </c>
      <c r="S1254">
        <v>0</v>
      </c>
      <c r="T1254" t="s">
        <v>6243</v>
      </c>
      <c r="AN1254" t="s">
        <v>6262</v>
      </c>
    </row>
    <row r="1255" spans="1:40" x14ac:dyDescent="0.25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4.9961950000000002</v>
      </c>
      <c r="H1255" t="s">
        <v>4693</v>
      </c>
      <c r="I1255">
        <v>3500589022.9450002</v>
      </c>
      <c r="J1255" t="s">
        <v>4699</v>
      </c>
      <c r="K1255">
        <v>16148252.058298601</v>
      </c>
      <c r="L1255">
        <v>0.85</v>
      </c>
      <c r="M1255" t="s">
        <v>5957</v>
      </c>
      <c r="N1255">
        <v>9.1395149999999994E-2</v>
      </c>
      <c r="O1255">
        <v>52.92</v>
      </c>
      <c r="P1255">
        <v>55.66</v>
      </c>
      <c r="Q1255">
        <v>4.8366313380000001</v>
      </c>
      <c r="R1255">
        <v>2880471996.0608821</v>
      </c>
      <c r="S1255">
        <v>0</v>
      </c>
      <c r="T1255" t="s">
        <v>6242</v>
      </c>
      <c r="U1255" t="s">
        <v>6245</v>
      </c>
      <c r="V1255" t="s">
        <v>6246</v>
      </c>
    </row>
    <row r="1256" spans="1:40" x14ac:dyDescent="0.25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22911739825.390999</v>
      </c>
      <c r="J1256" t="s">
        <v>4699</v>
      </c>
      <c r="K1256">
        <v>38598920.373843201</v>
      </c>
      <c r="L1256">
        <v>1</v>
      </c>
      <c r="M1256" t="s">
        <v>5958</v>
      </c>
      <c r="N1256">
        <v>1.156136E-2</v>
      </c>
      <c r="O1256">
        <v>1669.5</v>
      </c>
      <c r="P1256">
        <v>1794</v>
      </c>
      <c r="Q1256">
        <v>19.301690520000001</v>
      </c>
      <c r="R1256">
        <v>21358133161.550892</v>
      </c>
      <c r="S1256">
        <v>0</v>
      </c>
      <c r="T1256" t="s">
        <v>6242</v>
      </c>
      <c r="AH1256" t="s">
        <v>6256</v>
      </c>
    </row>
    <row r="1257" spans="1:40" x14ac:dyDescent="0.25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8045855790.3839998</v>
      </c>
      <c r="J1257" t="s">
        <v>4699</v>
      </c>
      <c r="K1257">
        <v>13956079.5615675</v>
      </c>
      <c r="L1257">
        <v>0.95</v>
      </c>
      <c r="M1257" t="s">
        <v>5959</v>
      </c>
      <c r="N1257">
        <v>1.156136E-2</v>
      </c>
      <c r="O1257">
        <v>1251</v>
      </c>
      <c r="P1257">
        <v>1308.5</v>
      </c>
      <c r="Q1257">
        <v>14.463261360000001</v>
      </c>
      <c r="R1257">
        <v>7320162399.9574556</v>
      </c>
      <c r="S1257">
        <v>0</v>
      </c>
      <c r="T1257" t="s">
        <v>6242</v>
      </c>
      <c r="AJ1257" t="s">
        <v>6258</v>
      </c>
    </row>
    <row r="1258" spans="1:40" x14ac:dyDescent="0.25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16.354510000000001</v>
      </c>
      <c r="H1258" t="s">
        <v>96</v>
      </c>
      <c r="I1258">
        <v>37744907261.004013</v>
      </c>
      <c r="J1258" t="s">
        <v>4699</v>
      </c>
      <c r="K1258">
        <v>65044574.198561497</v>
      </c>
      <c r="L1258">
        <v>0.8</v>
      </c>
      <c r="M1258" t="s">
        <v>5960</v>
      </c>
      <c r="N1258">
        <v>1.156136E-2</v>
      </c>
      <c r="O1258">
        <v>1434.5</v>
      </c>
      <c r="P1258">
        <v>1417</v>
      </c>
      <c r="Q1258">
        <v>16.58477092</v>
      </c>
      <c r="R1258">
        <v>30621064908.475819</v>
      </c>
      <c r="S1258">
        <v>0</v>
      </c>
      <c r="T1258" t="s">
        <v>6242</v>
      </c>
      <c r="AJ1258" t="s">
        <v>6258</v>
      </c>
    </row>
    <row r="1259" spans="1:40" x14ac:dyDescent="0.25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9662335.6942890603</v>
      </c>
      <c r="L1259">
        <v>0.85</v>
      </c>
      <c r="M1259" t="s">
        <v>5961</v>
      </c>
      <c r="N1259">
        <v>5.7743899999999999E-3</v>
      </c>
      <c r="O1259">
        <v>2975.5</v>
      </c>
      <c r="P1259">
        <v>2986</v>
      </c>
      <c r="Q1259">
        <v>17.181697445000001</v>
      </c>
      <c r="R1259">
        <v>2219875309.8940001</v>
      </c>
      <c r="S1259">
        <v>0</v>
      </c>
      <c r="T1259" t="s">
        <v>6244</v>
      </c>
      <c r="W1259" t="s">
        <v>6247</v>
      </c>
      <c r="AJ1259" t="s">
        <v>6258</v>
      </c>
      <c r="AN1259" t="s">
        <v>6262</v>
      </c>
    </row>
    <row r="1260" spans="1:40" x14ac:dyDescent="0.25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75.422420000000002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0.85273301000000001</v>
      </c>
      <c r="O1260">
        <v>81.900000000000006</v>
      </c>
      <c r="P1260">
        <v>88.38</v>
      </c>
      <c r="Q1260">
        <v>69.838833519000005</v>
      </c>
      <c r="R1260">
        <v>79385802061.047302</v>
      </c>
      <c r="S1260">
        <v>0</v>
      </c>
      <c r="T1260" t="s">
        <v>6243</v>
      </c>
    </row>
    <row r="1261" spans="1:40" x14ac:dyDescent="0.25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98.549239999999998</v>
      </c>
      <c r="H1261" t="s">
        <v>97</v>
      </c>
      <c r="I1261">
        <v>27957960148.541599</v>
      </c>
      <c r="J1261" t="s">
        <v>4700</v>
      </c>
      <c r="K1261">
        <v>178639796.68801799</v>
      </c>
      <c r="L1261">
        <v>1</v>
      </c>
      <c r="M1261" t="s">
        <v>5963</v>
      </c>
      <c r="N1261">
        <v>0.85273301000000001</v>
      </c>
      <c r="O1261">
        <v>112.44</v>
      </c>
      <c r="P1261">
        <v>115.48</v>
      </c>
      <c r="Q1261">
        <v>95.881299644400002</v>
      </c>
      <c r="R1261">
        <v>27201077902.259941</v>
      </c>
      <c r="S1261">
        <v>0</v>
      </c>
      <c r="T1261" t="s">
        <v>6243</v>
      </c>
      <c r="AJ1261" t="s">
        <v>6258</v>
      </c>
    </row>
    <row r="1262" spans="1:40" x14ac:dyDescent="0.25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3849645691.4868002</v>
      </c>
      <c r="J1262" t="s">
        <v>4701</v>
      </c>
      <c r="K1262">
        <v>7037316.1023816904</v>
      </c>
      <c r="L1262">
        <v>0.9</v>
      </c>
      <c r="M1262" t="s">
        <v>5964</v>
      </c>
      <c r="N1262">
        <v>0.56652409000000004</v>
      </c>
      <c r="O1262">
        <v>6.2</v>
      </c>
      <c r="P1262">
        <v>6.28</v>
      </c>
      <c r="Q1262">
        <v>3.512449358</v>
      </c>
      <c r="R1262">
        <v>3497210736.958292</v>
      </c>
      <c r="S1262">
        <v>0</v>
      </c>
      <c r="T1262" t="s">
        <v>6244</v>
      </c>
      <c r="U1262" t="s">
        <v>6245</v>
      </c>
      <c r="W1262" t="s">
        <v>6247</v>
      </c>
      <c r="AJ1262" t="s">
        <v>6258</v>
      </c>
      <c r="AN1262" t="s">
        <v>6262</v>
      </c>
    </row>
    <row r="1263" spans="1:40" x14ac:dyDescent="0.25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113.22750000000001</v>
      </c>
      <c r="H1263" t="s">
        <v>97</v>
      </c>
      <c r="I1263">
        <v>16667607714.225</v>
      </c>
      <c r="J1263" t="s">
        <v>4700</v>
      </c>
      <c r="K1263">
        <v>162606694.37665901</v>
      </c>
      <c r="L1263">
        <v>0.95</v>
      </c>
      <c r="M1263" t="s">
        <v>5965</v>
      </c>
      <c r="N1263">
        <v>0.85273301000000001</v>
      </c>
      <c r="O1263">
        <v>130.65</v>
      </c>
      <c r="P1263">
        <v>132.68</v>
      </c>
      <c r="Q1263">
        <v>111.4095677565</v>
      </c>
      <c r="R1263">
        <v>15579999756.489161</v>
      </c>
      <c r="S1263">
        <v>0</v>
      </c>
      <c r="T1263" t="s">
        <v>6243</v>
      </c>
      <c r="AJ1263" t="s">
        <v>6258</v>
      </c>
    </row>
    <row r="1264" spans="1:40" x14ac:dyDescent="0.25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8.6460000000000008</v>
      </c>
      <c r="H1264" t="s">
        <v>98</v>
      </c>
      <c r="I1264">
        <v>25039452060.282001</v>
      </c>
      <c r="J1264" t="s">
        <v>4702</v>
      </c>
      <c r="K1264">
        <v>193050652.9971</v>
      </c>
      <c r="L1264">
        <v>0.70000000000000007</v>
      </c>
      <c r="M1264" t="s">
        <v>5966</v>
      </c>
      <c r="N1264">
        <v>1</v>
      </c>
      <c r="O1264">
        <v>7.9950000000000001</v>
      </c>
      <c r="P1264">
        <v>8.6460000000000008</v>
      </c>
      <c r="Q1264">
        <v>7.9950000000000001</v>
      </c>
      <c r="R1264">
        <v>16207875717.7155</v>
      </c>
      <c r="S1264">
        <v>0</v>
      </c>
      <c r="T1264" t="s">
        <v>6242</v>
      </c>
      <c r="AJ1264" t="s">
        <v>6258</v>
      </c>
    </row>
    <row r="1265" spans="1:40" x14ac:dyDescent="0.25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214.94280000000001</v>
      </c>
      <c r="H1265" t="s">
        <v>97</v>
      </c>
      <c r="I1265">
        <v>21169847487.108002</v>
      </c>
      <c r="J1265" t="s">
        <v>4700</v>
      </c>
      <c r="K1265">
        <v>119953181.068809</v>
      </c>
      <c r="L1265">
        <v>1</v>
      </c>
      <c r="M1265" t="s">
        <v>5967</v>
      </c>
      <c r="N1265">
        <v>0.85273301000000001</v>
      </c>
      <c r="O1265">
        <v>249.88</v>
      </c>
      <c r="P1265">
        <v>251.87</v>
      </c>
      <c r="Q1265">
        <v>213.08092453879999</v>
      </c>
      <c r="R1265">
        <v>20986470237.19038</v>
      </c>
      <c r="S1265">
        <v>0</v>
      </c>
      <c r="T1265" t="s">
        <v>6243</v>
      </c>
      <c r="AJ1265" t="s">
        <v>6258</v>
      </c>
      <c r="AN1265" t="s">
        <v>6262</v>
      </c>
    </row>
    <row r="1266" spans="1:40" x14ac:dyDescent="0.25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23.434999999999999</v>
      </c>
      <c r="H1266" t="s">
        <v>98</v>
      </c>
      <c r="I1266">
        <v>21355891795.200001</v>
      </c>
      <c r="J1266" t="s">
        <v>4702</v>
      </c>
      <c r="K1266">
        <v>63348187.292424202</v>
      </c>
      <c r="L1266">
        <v>0.70000000000000007</v>
      </c>
      <c r="M1266" t="s">
        <v>5968</v>
      </c>
      <c r="N1266">
        <v>1</v>
      </c>
      <c r="O1266">
        <v>22.184999999999999</v>
      </c>
      <c r="P1266">
        <v>23.434999999999999</v>
      </c>
      <c r="Q1266">
        <v>22.184999999999999</v>
      </c>
      <c r="R1266">
        <v>14151752576.639999</v>
      </c>
      <c r="S1266">
        <v>1</v>
      </c>
      <c r="T1266" t="s">
        <v>6242</v>
      </c>
    </row>
    <row r="1267" spans="1:40" x14ac:dyDescent="0.25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8510404978.6779985</v>
      </c>
      <c r="J1267" t="s">
        <v>4701</v>
      </c>
      <c r="K1267">
        <v>17470277.257365402</v>
      </c>
      <c r="L1267">
        <v>1</v>
      </c>
      <c r="M1267" t="s">
        <v>5969</v>
      </c>
      <c r="N1267">
        <v>0.56652409000000004</v>
      </c>
      <c r="O1267">
        <v>6.35</v>
      </c>
      <c r="P1267">
        <v>6.4</v>
      </c>
      <c r="Q1267">
        <v>3.5974279715000002</v>
      </c>
      <c r="R1267">
        <v>8633172399.7091866</v>
      </c>
      <c r="S1267">
        <v>0</v>
      </c>
      <c r="T1267" t="s">
        <v>6244</v>
      </c>
      <c r="U1267" t="s">
        <v>6245</v>
      </c>
    </row>
    <row r="1268" spans="1:40" x14ac:dyDescent="0.25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18815059.067812499</v>
      </c>
      <c r="L1268">
        <v>1</v>
      </c>
      <c r="M1268" t="s">
        <v>5970</v>
      </c>
      <c r="N1268">
        <v>1</v>
      </c>
      <c r="O1268">
        <v>9.4960000000000004</v>
      </c>
      <c r="P1268">
        <v>10.445</v>
      </c>
      <c r="Q1268">
        <v>9.4960000000000004</v>
      </c>
      <c r="R1268">
        <v>5821692778.4000006</v>
      </c>
      <c r="S1268">
        <v>0</v>
      </c>
      <c r="T1268" t="s">
        <v>6242</v>
      </c>
    </row>
    <row r="1269" spans="1:40" x14ac:dyDescent="0.25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5772215222.4816999</v>
      </c>
      <c r="J1269" t="s">
        <v>4699</v>
      </c>
      <c r="K1269">
        <v>7735362.9757061899</v>
      </c>
      <c r="L1269">
        <v>1</v>
      </c>
      <c r="M1269" t="s">
        <v>5971</v>
      </c>
      <c r="N1269">
        <v>8.6344599999999994E-2</v>
      </c>
      <c r="O1269">
        <v>154.19999999999999</v>
      </c>
      <c r="P1269">
        <v>156.19999999999999</v>
      </c>
      <c r="Q1269">
        <v>13.31433732</v>
      </c>
      <c r="R1269">
        <v>5798186345.6555176</v>
      </c>
      <c r="S1269">
        <v>0</v>
      </c>
      <c r="T1269" t="s">
        <v>6242</v>
      </c>
      <c r="U1269" t="s">
        <v>6245</v>
      </c>
      <c r="W1269" t="s">
        <v>6247</v>
      </c>
    </row>
    <row r="1270" spans="1:40" x14ac:dyDescent="0.25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305.62380000000002</v>
      </c>
      <c r="H1270" t="s">
        <v>97</v>
      </c>
      <c r="I1270">
        <v>80658002242.26001</v>
      </c>
      <c r="J1270" t="s">
        <v>4700</v>
      </c>
      <c r="K1270">
        <v>3944870376.3766098</v>
      </c>
      <c r="L1270">
        <v>1</v>
      </c>
      <c r="M1270" t="s">
        <v>5972</v>
      </c>
      <c r="N1270">
        <v>0.85273301000000001</v>
      </c>
      <c r="O1270">
        <v>331.44</v>
      </c>
      <c r="P1270">
        <v>358.13</v>
      </c>
      <c r="Q1270">
        <v>282.62982883439997</v>
      </c>
      <c r="R1270">
        <v>74589601228.224365</v>
      </c>
      <c r="S1270">
        <v>0</v>
      </c>
      <c r="T1270" t="s">
        <v>6243</v>
      </c>
      <c r="AN1270" t="s">
        <v>6262</v>
      </c>
    </row>
    <row r="1271" spans="1:40" x14ac:dyDescent="0.25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16301078316.450001</v>
      </c>
      <c r="J1271" t="s">
        <v>4699</v>
      </c>
      <c r="K1271">
        <v>34862899.8052205</v>
      </c>
      <c r="L1271">
        <v>0.75</v>
      </c>
      <c r="M1271" t="s">
        <v>5973</v>
      </c>
      <c r="N1271">
        <v>1.07032003</v>
      </c>
      <c r="O1271">
        <v>92</v>
      </c>
      <c r="P1271">
        <v>96.02</v>
      </c>
      <c r="Q1271">
        <v>98.469442759999993</v>
      </c>
      <c r="R1271">
        <v>11776102209.492371</v>
      </c>
      <c r="S1271">
        <v>0</v>
      </c>
      <c r="T1271" t="s">
        <v>6242</v>
      </c>
      <c r="U1271" t="s">
        <v>6245</v>
      </c>
    </row>
    <row r="1272" spans="1:40" x14ac:dyDescent="0.25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336.42259999999999</v>
      </c>
      <c r="H1272" t="s">
        <v>97</v>
      </c>
      <c r="I1272">
        <v>128616815864.98</v>
      </c>
      <c r="J1272" t="s">
        <v>4700</v>
      </c>
      <c r="K1272">
        <v>412930608.82059801</v>
      </c>
      <c r="L1272">
        <v>0.95</v>
      </c>
      <c r="M1272" t="s">
        <v>5974</v>
      </c>
      <c r="N1272">
        <v>0.85273301000000001</v>
      </c>
      <c r="O1272">
        <v>383.34</v>
      </c>
      <c r="P1272">
        <v>394.22</v>
      </c>
      <c r="Q1272">
        <v>326.88667205339999</v>
      </c>
      <c r="R1272">
        <v>118722602948.78481</v>
      </c>
      <c r="S1272">
        <v>0</v>
      </c>
      <c r="T1272" t="s">
        <v>6243</v>
      </c>
      <c r="AJ1272" t="s">
        <v>6258</v>
      </c>
    </row>
    <row r="1273" spans="1:40" x14ac:dyDescent="0.25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17.238610000000001</v>
      </c>
      <c r="H1273" t="s">
        <v>99</v>
      </c>
      <c r="I1273">
        <v>12636892350.075001</v>
      </c>
      <c r="J1273" t="s">
        <v>4701</v>
      </c>
      <c r="K1273">
        <v>59957853.111727402</v>
      </c>
      <c r="L1273">
        <v>0.8</v>
      </c>
      <c r="M1273" t="s">
        <v>5975</v>
      </c>
      <c r="N1273">
        <v>5.7743899999999999E-3</v>
      </c>
      <c r="O1273">
        <v>3103</v>
      </c>
      <c r="P1273">
        <v>2966.5</v>
      </c>
      <c r="Q1273">
        <v>17.91793217</v>
      </c>
      <c r="R1273">
        <v>10507899649.367821</v>
      </c>
      <c r="S1273">
        <v>0</v>
      </c>
      <c r="T1273" t="s">
        <v>6244</v>
      </c>
      <c r="AJ1273" t="s">
        <v>6258</v>
      </c>
    </row>
    <row r="1274" spans="1:40" x14ac:dyDescent="0.25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17.531510000000001</v>
      </c>
      <c r="H1274" t="s">
        <v>4695</v>
      </c>
      <c r="I1274">
        <v>5252440396</v>
      </c>
      <c r="J1274" t="s">
        <v>4699</v>
      </c>
      <c r="K1274">
        <v>6083542.3574238904</v>
      </c>
      <c r="L1274">
        <v>0.75</v>
      </c>
      <c r="M1274" t="s">
        <v>5976</v>
      </c>
      <c r="N1274">
        <v>8.6344599999999994E-2</v>
      </c>
      <c r="O1274">
        <v>201.6</v>
      </c>
      <c r="P1274">
        <v>206.6</v>
      </c>
      <c r="Q1274">
        <v>17.40707136</v>
      </c>
      <c r="R1274">
        <v>3911368934.592</v>
      </c>
      <c r="S1274">
        <v>0</v>
      </c>
      <c r="T1274" t="s">
        <v>6242</v>
      </c>
      <c r="U1274" t="s">
        <v>6245</v>
      </c>
      <c r="W1274" t="s">
        <v>6247</v>
      </c>
      <c r="AJ1274" t="s">
        <v>6258</v>
      </c>
      <c r="AN1274" t="s">
        <v>6262</v>
      </c>
    </row>
    <row r="1275" spans="1:40" x14ac:dyDescent="0.25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23.296669999999999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5.7743899999999999E-3</v>
      </c>
      <c r="O1275">
        <v>3886</v>
      </c>
      <c r="P1275">
        <v>4009</v>
      </c>
      <c r="Q1275">
        <v>22.439279540000001</v>
      </c>
      <c r="R1275">
        <v>2771141777.557559</v>
      </c>
      <c r="S1275">
        <v>0</v>
      </c>
      <c r="T1275" t="s">
        <v>6244</v>
      </c>
      <c r="AJ1275" t="s">
        <v>6258</v>
      </c>
    </row>
    <row r="1276" spans="1:40" x14ac:dyDescent="0.25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7.2086600000000001</v>
      </c>
      <c r="H1276" t="s">
        <v>99</v>
      </c>
      <c r="I1276">
        <v>2524293524.7124</v>
      </c>
      <c r="J1276" t="s">
        <v>4701</v>
      </c>
      <c r="K1276">
        <v>35129372.351865701</v>
      </c>
      <c r="L1276">
        <v>1</v>
      </c>
      <c r="M1276" t="s">
        <v>5978</v>
      </c>
      <c r="N1276">
        <v>5.7743899999999999E-3</v>
      </c>
      <c r="O1276">
        <v>1325</v>
      </c>
      <c r="P1276">
        <v>1240.5</v>
      </c>
      <c r="Q1276">
        <v>7.65106675</v>
      </c>
      <c r="R1276">
        <v>2679213370.330595</v>
      </c>
      <c r="S1276">
        <v>0</v>
      </c>
      <c r="T1276" t="s">
        <v>6244</v>
      </c>
      <c r="AJ1276" t="s">
        <v>6258</v>
      </c>
    </row>
    <row r="1277" spans="1:40" x14ac:dyDescent="0.25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2.4197389999999999</v>
      </c>
      <c r="H1277" t="s">
        <v>99</v>
      </c>
      <c r="I1277">
        <v>4011720132.3415999</v>
      </c>
      <c r="J1277" t="s">
        <v>4701</v>
      </c>
      <c r="K1277">
        <v>20309257.6498034</v>
      </c>
      <c r="L1277">
        <v>1</v>
      </c>
      <c r="M1277" t="s">
        <v>5979</v>
      </c>
      <c r="N1277">
        <v>5.7743899999999999E-3</v>
      </c>
      <c r="O1277">
        <v>487.5</v>
      </c>
      <c r="P1277">
        <v>416.4</v>
      </c>
      <c r="Q1277">
        <v>2.815015125</v>
      </c>
      <c r="R1277">
        <v>4667054111.9553003</v>
      </c>
      <c r="S1277">
        <v>0</v>
      </c>
      <c r="T1277" t="s">
        <v>6244</v>
      </c>
    </row>
    <row r="1278" spans="1:40" x14ac:dyDescent="0.25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23.639520000000001</v>
      </c>
      <c r="H1278" t="s">
        <v>99</v>
      </c>
      <c r="I1278">
        <v>28629808488.287998</v>
      </c>
      <c r="J1278" t="s">
        <v>4701</v>
      </c>
      <c r="K1278">
        <v>54982692.4922686</v>
      </c>
      <c r="L1278">
        <v>0.9</v>
      </c>
      <c r="M1278" t="s">
        <v>5980</v>
      </c>
      <c r="N1278">
        <v>5.7743899999999999E-3</v>
      </c>
      <c r="O1278">
        <v>4323</v>
      </c>
      <c r="P1278">
        <v>4068</v>
      </c>
      <c r="Q1278">
        <v>24.962687970000001</v>
      </c>
      <c r="R1278">
        <v>27209066780.568802</v>
      </c>
      <c r="S1278">
        <v>0</v>
      </c>
      <c r="T1278" t="s">
        <v>6244</v>
      </c>
      <c r="AG1278" t="s">
        <v>6255</v>
      </c>
      <c r="AH1278" t="s">
        <v>6256</v>
      </c>
      <c r="AJ1278" t="s">
        <v>6258</v>
      </c>
    </row>
    <row r="1279" spans="1:40" x14ac:dyDescent="0.25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23.226939999999999</v>
      </c>
      <c r="H1279" t="s">
        <v>99</v>
      </c>
      <c r="I1279">
        <v>18440809518.417</v>
      </c>
      <c r="J1279" t="s">
        <v>4701</v>
      </c>
      <c r="K1279">
        <v>74124232.369908497</v>
      </c>
      <c r="L1279">
        <v>1</v>
      </c>
      <c r="M1279" t="s">
        <v>5981</v>
      </c>
      <c r="N1279">
        <v>5.7743899999999999E-3</v>
      </c>
      <c r="O1279">
        <v>4181</v>
      </c>
      <c r="P1279">
        <v>3997</v>
      </c>
      <c r="Q1279">
        <v>24.14272459</v>
      </c>
      <c r="R1279">
        <v>19167888039.48312</v>
      </c>
      <c r="S1279">
        <v>0</v>
      </c>
      <c r="T1279" t="s">
        <v>6244</v>
      </c>
    </row>
    <row r="1280" spans="1:40" x14ac:dyDescent="0.25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9.7248629999999991</v>
      </c>
      <c r="H1280" t="s">
        <v>99</v>
      </c>
      <c r="I1280">
        <v>6015370412.8553991</v>
      </c>
      <c r="J1280" t="s">
        <v>4701</v>
      </c>
      <c r="K1280">
        <v>43976708.000512503</v>
      </c>
      <c r="L1280">
        <v>1</v>
      </c>
      <c r="M1280" t="s">
        <v>5982</v>
      </c>
      <c r="N1280">
        <v>5.7743899999999999E-3</v>
      </c>
      <c r="O1280">
        <v>1809.5</v>
      </c>
      <c r="P1280">
        <v>1673.5</v>
      </c>
      <c r="Q1280">
        <v>10.448758704999999</v>
      </c>
      <c r="R1280">
        <v>6463140299.7782383</v>
      </c>
      <c r="S1280">
        <v>0</v>
      </c>
      <c r="T1280" t="s">
        <v>6244</v>
      </c>
      <c r="AN1280" t="s">
        <v>6262</v>
      </c>
    </row>
    <row r="1281" spans="1:40" x14ac:dyDescent="0.25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6366029626.0313997</v>
      </c>
      <c r="J1281" t="s">
        <v>4701</v>
      </c>
      <c r="K1281">
        <v>37507379.487413302</v>
      </c>
      <c r="L1281">
        <v>0.95</v>
      </c>
      <c r="M1281" t="s">
        <v>5983</v>
      </c>
      <c r="N1281">
        <v>5.7743899999999999E-3</v>
      </c>
      <c r="O1281">
        <v>4331</v>
      </c>
      <c r="P1281">
        <v>3767</v>
      </c>
      <c r="Q1281">
        <v>25.008883090000001</v>
      </c>
      <c r="R1281">
        <v>6909287373.3416643</v>
      </c>
      <c r="S1281">
        <v>0</v>
      </c>
      <c r="T1281" t="s">
        <v>6244</v>
      </c>
      <c r="AJ1281" t="s">
        <v>6258</v>
      </c>
    </row>
    <row r="1282" spans="1:40" x14ac:dyDescent="0.25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25.098109999999998</v>
      </c>
      <c r="H1282" t="s">
        <v>99</v>
      </c>
      <c r="I1282">
        <v>17902074018.712502</v>
      </c>
      <c r="J1282" t="s">
        <v>4701</v>
      </c>
      <c r="K1282">
        <v>52884897.243463702</v>
      </c>
      <c r="L1282">
        <v>1</v>
      </c>
      <c r="M1282" t="s">
        <v>5984</v>
      </c>
      <c r="N1282">
        <v>5.7743899999999999E-3</v>
      </c>
      <c r="O1282">
        <v>4289</v>
      </c>
      <c r="P1282">
        <v>4319</v>
      </c>
      <c r="Q1282">
        <v>24.766358709999999</v>
      </c>
      <c r="R1282">
        <v>17665441214.513962</v>
      </c>
      <c r="S1282">
        <v>0</v>
      </c>
      <c r="T1282" t="s">
        <v>6244</v>
      </c>
      <c r="AJ1282" t="s">
        <v>6258</v>
      </c>
    </row>
    <row r="1283" spans="1:40" x14ac:dyDescent="0.25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36.766779999999997</v>
      </c>
      <c r="H1283" t="s">
        <v>99</v>
      </c>
      <c r="I1283">
        <v>17504148120.076599</v>
      </c>
      <c r="J1283" t="s">
        <v>4701</v>
      </c>
      <c r="K1283">
        <v>47630415.631632999</v>
      </c>
      <c r="L1283">
        <v>1</v>
      </c>
      <c r="M1283" t="s">
        <v>5985</v>
      </c>
      <c r="N1283">
        <v>5.7743899999999999E-3</v>
      </c>
      <c r="O1283">
        <v>6440</v>
      </c>
      <c r="P1283">
        <v>6327</v>
      </c>
      <c r="Q1283">
        <v>37.187071600000003</v>
      </c>
      <c r="R1283">
        <v>17704243054.145451</v>
      </c>
      <c r="S1283">
        <v>0</v>
      </c>
      <c r="T1283" t="s">
        <v>6244</v>
      </c>
    </row>
    <row r="1284" spans="1:40" x14ac:dyDescent="0.25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42729179.646538399</v>
      </c>
      <c r="L1284">
        <v>0.5</v>
      </c>
      <c r="M1284" t="s">
        <v>5986</v>
      </c>
      <c r="N1284">
        <v>0.10956983000000001</v>
      </c>
      <c r="O1284">
        <v>96.1</v>
      </c>
      <c r="P1284">
        <v>93.95</v>
      </c>
      <c r="Q1284">
        <v>10.529660663</v>
      </c>
      <c r="R1284">
        <v>15256321617.463169</v>
      </c>
      <c r="S1284">
        <v>0</v>
      </c>
      <c r="T1284" t="s">
        <v>6244</v>
      </c>
      <c r="U1284" t="s">
        <v>6245</v>
      </c>
      <c r="AN1284" t="s">
        <v>6262</v>
      </c>
    </row>
    <row r="1285" spans="1:40" x14ac:dyDescent="0.25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50.267510000000001</v>
      </c>
      <c r="H1285" t="s">
        <v>100</v>
      </c>
      <c r="I1285">
        <v>28266149751.895</v>
      </c>
      <c r="J1285" t="s">
        <v>4700</v>
      </c>
      <c r="K1285">
        <v>104893904.10120399</v>
      </c>
      <c r="L1285">
        <v>1</v>
      </c>
      <c r="M1285" t="s">
        <v>5987</v>
      </c>
      <c r="N1285">
        <v>0.61572563000000002</v>
      </c>
      <c r="O1285">
        <v>82.06</v>
      </c>
      <c r="P1285">
        <v>81.489999999999995</v>
      </c>
      <c r="Q1285">
        <v>50.526445197800001</v>
      </c>
      <c r="R1285">
        <v>28411752768.17831</v>
      </c>
      <c r="S1285">
        <v>0</v>
      </c>
      <c r="T1285" t="s">
        <v>6243</v>
      </c>
      <c r="AJ1285" t="s">
        <v>6258</v>
      </c>
    </row>
    <row r="1286" spans="1:40" x14ac:dyDescent="0.25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34.099739999999997</v>
      </c>
      <c r="H1286" t="s">
        <v>100</v>
      </c>
      <c r="I1286">
        <v>41371393615.884003</v>
      </c>
      <c r="J1286" t="s">
        <v>4700</v>
      </c>
      <c r="K1286">
        <v>258660266.68837199</v>
      </c>
      <c r="L1286">
        <v>1</v>
      </c>
      <c r="M1286" t="s">
        <v>5988</v>
      </c>
      <c r="N1286">
        <v>0.61572563000000002</v>
      </c>
      <c r="O1286">
        <v>57.75</v>
      </c>
      <c r="P1286">
        <v>55.28</v>
      </c>
      <c r="Q1286">
        <v>35.558155132499998</v>
      </c>
      <c r="R1286">
        <v>43140810816.778183</v>
      </c>
      <c r="S1286">
        <v>0</v>
      </c>
      <c r="T1286" t="s">
        <v>6243</v>
      </c>
      <c r="AH1286" t="s">
        <v>6256</v>
      </c>
      <c r="AJ1286" t="s">
        <v>6258</v>
      </c>
      <c r="AN1286" t="s">
        <v>6262</v>
      </c>
    </row>
    <row r="1287" spans="1:40" x14ac:dyDescent="0.25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29051676.319645502</v>
      </c>
      <c r="L1287">
        <v>1</v>
      </c>
      <c r="M1287" t="s">
        <v>5989</v>
      </c>
      <c r="N1287">
        <v>0.56652409000000004</v>
      </c>
      <c r="O1287">
        <v>21.18</v>
      </c>
      <c r="P1287">
        <v>21.82</v>
      </c>
      <c r="Q1287">
        <v>11.9989802262</v>
      </c>
      <c r="R1287">
        <v>12994505618.11725</v>
      </c>
      <c r="S1287">
        <v>0</v>
      </c>
      <c r="T1287" t="s">
        <v>6244</v>
      </c>
      <c r="U1287" t="s">
        <v>6245</v>
      </c>
      <c r="AJ1287" t="s">
        <v>6258</v>
      </c>
    </row>
    <row r="1288" spans="1:40" x14ac:dyDescent="0.25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53.446550000000002</v>
      </c>
      <c r="H1288" t="s">
        <v>4694</v>
      </c>
      <c r="I1288">
        <v>3808585386.2677498</v>
      </c>
      <c r="J1288" t="s">
        <v>4699</v>
      </c>
      <c r="K1288">
        <v>11093914.8106014</v>
      </c>
      <c r="L1288">
        <v>0.95</v>
      </c>
      <c r="M1288" t="s">
        <v>5990</v>
      </c>
      <c r="N1288">
        <v>1.07032003</v>
      </c>
      <c r="O1288">
        <v>49.12</v>
      </c>
      <c r="P1288">
        <v>50.2</v>
      </c>
      <c r="Q1288">
        <v>52.574119873599997</v>
      </c>
      <c r="R1288">
        <v>3559095459.1860042</v>
      </c>
      <c r="S1288">
        <v>0</v>
      </c>
      <c r="T1288" t="s">
        <v>6242</v>
      </c>
      <c r="U1288" t="s">
        <v>6245</v>
      </c>
    </row>
    <row r="1289" spans="1:40" x14ac:dyDescent="0.25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26.731030000000001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5.7743899999999999E-3</v>
      </c>
      <c r="O1289">
        <v>4601</v>
      </c>
      <c r="P1289">
        <v>4600</v>
      </c>
      <c r="Q1289">
        <v>26.567968390000001</v>
      </c>
      <c r="R1289">
        <v>3283800893.0040002</v>
      </c>
      <c r="S1289">
        <v>0</v>
      </c>
      <c r="T1289" t="s">
        <v>6244</v>
      </c>
    </row>
    <row r="1290" spans="1:40" x14ac:dyDescent="0.25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37.446660000000001</v>
      </c>
      <c r="H1290" t="s">
        <v>97</v>
      </c>
      <c r="I1290">
        <v>22348825749.216</v>
      </c>
      <c r="J1290" t="s">
        <v>4700</v>
      </c>
      <c r="K1290">
        <v>1605664208.1080999</v>
      </c>
      <c r="L1290">
        <v>0.85</v>
      </c>
      <c r="M1290" t="s">
        <v>5992</v>
      </c>
      <c r="N1290">
        <v>0.85273301000000001</v>
      </c>
      <c r="O1290">
        <v>45</v>
      </c>
      <c r="P1290">
        <v>43.88</v>
      </c>
      <c r="Q1290">
        <v>38.372985450000002</v>
      </c>
      <c r="R1290">
        <v>19466422118.938332</v>
      </c>
      <c r="S1290">
        <v>0</v>
      </c>
      <c r="T1290" t="s">
        <v>6243</v>
      </c>
      <c r="AN1290" t="s">
        <v>6262</v>
      </c>
    </row>
    <row r="1291" spans="1:40" x14ac:dyDescent="0.25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49.557000000000002</v>
      </c>
      <c r="H1291" t="s">
        <v>99</v>
      </c>
      <c r="I1291">
        <v>5752278226.8600006</v>
      </c>
      <c r="J1291" t="s">
        <v>4701</v>
      </c>
      <c r="K1291">
        <v>78959233.988145605</v>
      </c>
      <c r="L1291">
        <v>1</v>
      </c>
      <c r="M1291" t="s">
        <v>5993</v>
      </c>
      <c r="N1291">
        <v>5.7743899999999999E-3</v>
      </c>
      <c r="O1291">
        <v>7819</v>
      </c>
      <c r="P1291">
        <v>8528</v>
      </c>
      <c r="Q1291">
        <v>45.149955409999997</v>
      </c>
      <c r="R1291">
        <v>5240735021.2612314</v>
      </c>
      <c r="S1291">
        <v>0</v>
      </c>
      <c r="T1291" t="s">
        <v>6244</v>
      </c>
      <c r="AN1291" t="s">
        <v>6262</v>
      </c>
    </row>
    <row r="1292" spans="1:40" x14ac:dyDescent="0.25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34.297069999999998</v>
      </c>
      <c r="H1292" t="s">
        <v>99</v>
      </c>
      <c r="I1292">
        <v>2475123715.8864198</v>
      </c>
      <c r="J1292" t="s">
        <v>4701</v>
      </c>
      <c r="K1292">
        <v>6207908.4744540397</v>
      </c>
      <c r="L1292">
        <v>0.95</v>
      </c>
      <c r="M1292" t="s">
        <v>5994</v>
      </c>
      <c r="N1292">
        <v>5.7743899999999999E-3</v>
      </c>
      <c r="O1292">
        <v>6078</v>
      </c>
      <c r="P1292">
        <v>5902</v>
      </c>
      <c r="Q1292">
        <v>35.096742419999998</v>
      </c>
      <c r="R1292">
        <v>2406192148.1454239</v>
      </c>
      <c r="S1292">
        <v>0</v>
      </c>
      <c r="T1292" t="s">
        <v>6244</v>
      </c>
      <c r="W1292" t="s">
        <v>6247</v>
      </c>
      <c r="AJ1292" t="s">
        <v>6258</v>
      </c>
      <c r="AN1292" t="s">
        <v>6262</v>
      </c>
    </row>
    <row r="1293" spans="1:40" x14ac:dyDescent="0.25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11.520490000000001</v>
      </c>
      <c r="H1293" t="s">
        <v>99</v>
      </c>
      <c r="I1293">
        <v>22632997975.335999</v>
      </c>
      <c r="J1293" t="s">
        <v>4701</v>
      </c>
      <c r="K1293">
        <v>72595355.746847406</v>
      </c>
      <c r="L1293">
        <v>1</v>
      </c>
      <c r="M1293" t="s">
        <v>5995</v>
      </c>
      <c r="N1293">
        <v>5.7743899999999999E-3</v>
      </c>
      <c r="O1293">
        <v>2083.5</v>
      </c>
      <c r="P1293">
        <v>1982.5</v>
      </c>
      <c r="Q1293">
        <v>12.030941564999999</v>
      </c>
      <c r="R1293">
        <v>23635824177.793709</v>
      </c>
      <c r="S1293">
        <v>0</v>
      </c>
      <c r="T1293" t="s">
        <v>6244</v>
      </c>
      <c r="AJ1293" t="s">
        <v>6258</v>
      </c>
    </row>
    <row r="1294" spans="1:40" x14ac:dyDescent="0.25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14149174.690912001</v>
      </c>
      <c r="L1294">
        <v>0.85</v>
      </c>
      <c r="M1294" t="s">
        <v>5996</v>
      </c>
      <c r="N1294">
        <v>9.1395149999999994E-2</v>
      </c>
      <c r="O1294">
        <v>123.2</v>
      </c>
      <c r="P1294">
        <v>133.44999999999999</v>
      </c>
      <c r="Q1294">
        <v>11.25988248</v>
      </c>
      <c r="R1294">
        <v>6120361874.5534191</v>
      </c>
      <c r="S1294">
        <v>0</v>
      </c>
      <c r="T1294" t="s">
        <v>6242</v>
      </c>
      <c r="U1294" t="s">
        <v>6245</v>
      </c>
      <c r="AJ1294" t="s">
        <v>6258</v>
      </c>
    </row>
    <row r="1295" spans="1:40" x14ac:dyDescent="0.25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22117834408.967999</v>
      </c>
      <c r="J1295" t="s">
        <v>4699</v>
      </c>
      <c r="K1295">
        <v>43354670.792086199</v>
      </c>
      <c r="L1295">
        <v>0.8</v>
      </c>
      <c r="M1295" t="s">
        <v>5997</v>
      </c>
      <c r="N1295">
        <v>9.1395149999999994E-2</v>
      </c>
      <c r="O1295">
        <v>119.95</v>
      </c>
      <c r="P1295">
        <v>126.7</v>
      </c>
      <c r="Q1295">
        <v>10.9628482425</v>
      </c>
      <c r="R1295">
        <v>17056237847.25926</v>
      </c>
      <c r="S1295">
        <v>0</v>
      </c>
      <c r="T1295" t="s">
        <v>6242</v>
      </c>
      <c r="U1295" t="s">
        <v>6245</v>
      </c>
      <c r="AJ1295" t="s">
        <v>6258</v>
      </c>
      <c r="AN1295" t="s">
        <v>6262</v>
      </c>
    </row>
    <row r="1296" spans="1:40" x14ac:dyDescent="0.25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153.63220000000001</v>
      </c>
      <c r="H1296" t="s">
        <v>4694</v>
      </c>
      <c r="I1296">
        <v>4445501339.2000008</v>
      </c>
      <c r="J1296" t="s">
        <v>4699</v>
      </c>
      <c r="K1296">
        <v>23994376.269206699</v>
      </c>
      <c r="L1296">
        <v>1</v>
      </c>
      <c r="M1296" t="s">
        <v>5998</v>
      </c>
      <c r="N1296">
        <v>1.07032003</v>
      </c>
      <c r="O1296">
        <v>149.5</v>
      </c>
      <c r="P1296">
        <v>144.30000000000001</v>
      </c>
      <c r="Q1296">
        <v>160.01284448499999</v>
      </c>
      <c r="R1296">
        <v>4630131668.0179596</v>
      </c>
      <c r="S1296">
        <v>0</v>
      </c>
      <c r="T1296" t="s">
        <v>6242</v>
      </c>
      <c r="U1296" t="s">
        <v>6245</v>
      </c>
      <c r="AJ1296" t="s">
        <v>6258</v>
      </c>
    </row>
    <row r="1297" spans="1:40" x14ac:dyDescent="0.25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4980347937.0825996</v>
      </c>
      <c r="J1297" t="s">
        <v>4699</v>
      </c>
      <c r="K1297">
        <v>3127391.4892475698</v>
      </c>
      <c r="L1297">
        <v>0.6</v>
      </c>
      <c r="M1297" t="s">
        <v>5999</v>
      </c>
      <c r="N1297">
        <v>9.1395149999999994E-2</v>
      </c>
      <c r="O1297">
        <v>167.5</v>
      </c>
      <c r="P1297">
        <v>167</v>
      </c>
      <c r="Q1297">
        <v>15.308687624999999</v>
      </c>
      <c r="R1297">
        <v>3051660765.0750952</v>
      </c>
      <c r="S1297">
        <v>0</v>
      </c>
      <c r="T1297" t="s">
        <v>6242</v>
      </c>
      <c r="U1297" t="s">
        <v>6245</v>
      </c>
      <c r="W1297" t="s">
        <v>6247</v>
      </c>
    </row>
    <row r="1298" spans="1:40" x14ac:dyDescent="0.25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24.882239999999999</v>
      </c>
      <c r="H1298" t="s">
        <v>4693</v>
      </c>
      <c r="I1298">
        <v>28166837508.768002</v>
      </c>
      <c r="J1298" t="s">
        <v>4699</v>
      </c>
      <c r="K1298">
        <v>38816074.413873397</v>
      </c>
      <c r="L1298">
        <v>0.85</v>
      </c>
      <c r="M1298" t="s">
        <v>6000</v>
      </c>
      <c r="N1298">
        <v>9.1395149999999994E-2</v>
      </c>
      <c r="O1298">
        <v>274.5</v>
      </c>
      <c r="P1298">
        <v>277.2</v>
      </c>
      <c r="Q1298">
        <v>25.087968674999999</v>
      </c>
      <c r="R1298">
        <v>24139765010.293228</v>
      </c>
      <c r="S1298">
        <v>0</v>
      </c>
      <c r="T1298" t="s">
        <v>6242</v>
      </c>
      <c r="U1298" t="s">
        <v>6245</v>
      </c>
      <c r="AJ1298" t="s">
        <v>6258</v>
      </c>
    </row>
    <row r="1299" spans="1:40" x14ac:dyDescent="0.25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26.085059999999999</v>
      </c>
      <c r="H1299" t="s">
        <v>4693</v>
      </c>
      <c r="I1299">
        <v>9286282925.1035995</v>
      </c>
      <c r="J1299" t="s">
        <v>4699</v>
      </c>
      <c r="K1299">
        <v>7380218.8632732397</v>
      </c>
      <c r="L1299">
        <v>0.55000000000000004</v>
      </c>
      <c r="M1299" t="s">
        <v>6001</v>
      </c>
      <c r="N1299">
        <v>9.1395149999999994E-2</v>
      </c>
      <c r="O1299">
        <v>269.8</v>
      </c>
      <c r="P1299">
        <v>290.60000000000002</v>
      </c>
      <c r="Q1299">
        <v>24.658411470000001</v>
      </c>
      <c r="R1299">
        <v>4828117779.5535784</v>
      </c>
      <c r="S1299">
        <v>0</v>
      </c>
      <c r="T1299" t="s">
        <v>6242</v>
      </c>
      <c r="U1299" t="s">
        <v>6245</v>
      </c>
      <c r="W1299" t="s">
        <v>6247</v>
      </c>
      <c r="AN1299" t="s">
        <v>6262</v>
      </c>
    </row>
    <row r="1300" spans="1:40" x14ac:dyDescent="0.25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7.4484959999999996</v>
      </c>
      <c r="H1300" t="s">
        <v>4692</v>
      </c>
      <c r="I1300">
        <v>5802289002.0479994</v>
      </c>
      <c r="J1300" t="s">
        <v>4701</v>
      </c>
      <c r="K1300">
        <v>8865628.1216103192</v>
      </c>
      <c r="L1300">
        <v>0.45</v>
      </c>
      <c r="M1300" t="s">
        <v>6002</v>
      </c>
      <c r="N1300">
        <v>0.10956983000000001</v>
      </c>
      <c r="O1300">
        <v>68.3</v>
      </c>
      <c r="P1300">
        <v>68.2</v>
      </c>
      <c r="Q1300">
        <v>7.4836193889999993</v>
      </c>
      <c r="R1300">
        <v>2623342365.269249</v>
      </c>
      <c r="S1300">
        <v>0</v>
      </c>
      <c r="T1300" t="s">
        <v>6244</v>
      </c>
      <c r="U1300" t="s">
        <v>6245</v>
      </c>
      <c r="W1300" t="s">
        <v>6247</v>
      </c>
    </row>
    <row r="1301" spans="1:40" x14ac:dyDescent="0.25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44299780.686674297</v>
      </c>
      <c r="L1301">
        <v>1</v>
      </c>
      <c r="M1301" t="s">
        <v>6003</v>
      </c>
      <c r="N1301">
        <v>1.07032003</v>
      </c>
      <c r="O1301">
        <v>832.6</v>
      </c>
      <c r="P1301">
        <v>900.4</v>
      </c>
      <c r="Q1301">
        <v>891.14845697800001</v>
      </c>
      <c r="R1301">
        <v>25427122882.281052</v>
      </c>
      <c r="S1301">
        <v>0</v>
      </c>
      <c r="T1301" t="s">
        <v>6242</v>
      </c>
      <c r="U1301" t="s">
        <v>6245</v>
      </c>
      <c r="AJ1301" t="s">
        <v>6258</v>
      </c>
    </row>
    <row r="1302" spans="1:40" x14ac:dyDescent="0.25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119.56270000000001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1.07032003</v>
      </c>
      <c r="O1302">
        <v>111.6</v>
      </c>
      <c r="P1302">
        <v>112.3</v>
      </c>
      <c r="Q1302">
        <v>119.447715348</v>
      </c>
      <c r="R1302">
        <v>9583812786.1246872</v>
      </c>
      <c r="S1302">
        <v>0</v>
      </c>
      <c r="T1302" t="s">
        <v>6242</v>
      </c>
      <c r="U1302" t="s">
        <v>6245</v>
      </c>
      <c r="AN1302" t="s">
        <v>6262</v>
      </c>
    </row>
    <row r="1303" spans="1:40" x14ac:dyDescent="0.25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156.56010000000001</v>
      </c>
      <c r="H1303" t="s">
        <v>4694</v>
      </c>
      <c r="I1303">
        <v>46774164759.372002</v>
      </c>
      <c r="J1303" t="s">
        <v>4699</v>
      </c>
      <c r="K1303">
        <v>95513803.992125407</v>
      </c>
      <c r="L1303">
        <v>0.9</v>
      </c>
      <c r="M1303" t="s">
        <v>6005</v>
      </c>
      <c r="N1303">
        <v>1.07032003</v>
      </c>
      <c r="O1303">
        <v>142.75</v>
      </c>
      <c r="P1303">
        <v>147.05000000000001</v>
      </c>
      <c r="Q1303">
        <v>152.7881842825</v>
      </c>
      <c r="R1303">
        <v>41082534658.724998</v>
      </c>
      <c r="S1303">
        <v>0</v>
      </c>
      <c r="T1303" t="s">
        <v>6242</v>
      </c>
      <c r="U1303" t="s">
        <v>6245</v>
      </c>
      <c r="AJ1303" t="s">
        <v>6258</v>
      </c>
    </row>
    <row r="1304" spans="1:40" x14ac:dyDescent="0.25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629.75360000000001</v>
      </c>
      <c r="H1304" t="s">
        <v>4694</v>
      </c>
      <c r="I1304">
        <v>32622461350.751999</v>
      </c>
      <c r="J1304" t="s">
        <v>4699</v>
      </c>
      <c r="K1304">
        <v>37144558.798728898</v>
      </c>
      <c r="L1304">
        <v>0.5</v>
      </c>
      <c r="M1304" t="s">
        <v>6006</v>
      </c>
      <c r="N1304">
        <v>1.07032003</v>
      </c>
      <c r="O1304">
        <v>593</v>
      </c>
      <c r="P1304">
        <v>591.5</v>
      </c>
      <c r="Q1304">
        <v>634.69977778999998</v>
      </c>
      <c r="R1304">
        <v>16439341490.294901</v>
      </c>
      <c r="S1304">
        <v>0</v>
      </c>
      <c r="T1304" t="s">
        <v>6242</v>
      </c>
      <c r="U1304" t="s">
        <v>6245</v>
      </c>
    </row>
    <row r="1305" spans="1:40" x14ac:dyDescent="0.25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563.74400000000003</v>
      </c>
      <c r="H1305" t="s">
        <v>4694</v>
      </c>
      <c r="I1305">
        <v>8641163868.4799995</v>
      </c>
      <c r="J1305" t="s">
        <v>4699</v>
      </c>
      <c r="K1305">
        <v>19635321.456114698</v>
      </c>
      <c r="L1305">
        <v>0.7</v>
      </c>
      <c r="M1305" t="s">
        <v>6007</v>
      </c>
      <c r="N1305">
        <v>1.07032003</v>
      </c>
      <c r="O1305">
        <v>525</v>
      </c>
      <c r="P1305">
        <v>529.5</v>
      </c>
      <c r="Q1305">
        <v>561.91801575</v>
      </c>
      <c r="R1305">
        <v>6029222410.0350742</v>
      </c>
      <c r="S1305">
        <v>0</v>
      </c>
      <c r="T1305" t="s">
        <v>6242</v>
      </c>
      <c r="U1305" t="s">
        <v>6245</v>
      </c>
      <c r="AJ1305" t="s">
        <v>6258</v>
      </c>
    </row>
    <row r="1306" spans="1:40" x14ac:dyDescent="0.25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72.272769999999994</v>
      </c>
      <c r="H1306" t="s">
        <v>4696</v>
      </c>
      <c r="I1306">
        <v>3700688160.5542002</v>
      </c>
      <c r="J1306" t="s">
        <v>4699</v>
      </c>
      <c r="K1306">
        <v>5594634.9852532297</v>
      </c>
      <c r="L1306">
        <v>1</v>
      </c>
      <c r="M1306" t="s">
        <v>6008</v>
      </c>
      <c r="N1306">
        <v>0.13397104000000001</v>
      </c>
      <c r="O1306">
        <v>489.4</v>
      </c>
      <c r="P1306">
        <v>539.5</v>
      </c>
      <c r="Q1306">
        <v>65.565426975999998</v>
      </c>
      <c r="R1306">
        <v>3357242282.975513</v>
      </c>
      <c r="S1306">
        <v>0</v>
      </c>
      <c r="T1306" t="s">
        <v>6242</v>
      </c>
      <c r="U1306" t="s">
        <v>6245</v>
      </c>
      <c r="W1306" t="s">
        <v>6247</v>
      </c>
      <c r="AJ1306" t="s">
        <v>6258</v>
      </c>
      <c r="AN1306" t="s">
        <v>6262</v>
      </c>
    </row>
    <row r="1307" spans="1:40" x14ac:dyDescent="0.25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8134957250.4400005</v>
      </c>
      <c r="J1307" t="s">
        <v>4702</v>
      </c>
      <c r="K1307">
        <v>9578782.4690909199</v>
      </c>
      <c r="L1307">
        <v>0.70000000000000007</v>
      </c>
      <c r="M1307" t="s">
        <v>6009</v>
      </c>
      <c r="N1307">
        <v>1</v>
      </c>
      <c r="O1307">
        <v>72.12</v>
      </c>
      <c r="P1307">
        <v>78.28</v>
      </c>
      <c r="Q1307">
        <v>72.12</v>
      </c>
      <c r="R1307">
        <v>5246361546.1320009</v>
      </c>
      <c r="S1307">
        <v>0</v>
      </c>
      <c r="T1307" t="s">
        <v>6242</v>
      </c>
      <c r="W1307" t="s">
        <v>6247</v>
      </c>
    </row>
    <row r="1308" spans="1:40" x14ac:dyDescent="0.25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80.260000000000005</v>
      </c>
      <c r="P1308">
        <v>84.2</v>
      </c>
      <c r="Q1308">
        <v>80.260000000000005</v>
      </c>
      <c r="R1308">
        <v>10657199496.35</v>
      </c>
      <c r="S1308">
        <v>0</v>
      </c>
      <c r="T1308" t="s">
        <v>6242</v>
      </c>
    </row>
    <row r="1309" spans="1:40" x14ac:dyDescent="0.25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23241687937.504398</v>
      </c>
      <c r="J1309" t="s">
        <v>4700</v>
      </c>
      <c r="K1309">
        <v>192450826.38228399</v>
      </c>
      <c r="L1309">
        <v>1</v>
      </c>
      <c r="M1309" t="s">
        <v>6011</v>
      </c>
      <c r="N1309">
        <v>0.85273301000000001</v>
      </c>
      <c r="O1309">
        <v>75.37</v>
      </c>
      <c r="P1309">
        <v>73.2</v>
      </c>
      <c r="Q1309">
        <v>64.270486963700009</v>
      </c>
      <c r="R1309">
        <v>23912320559.726028</v>
      </c>
      <c r="S1309">
        <v>0</v>
      </c>
      <c r="T1309" t="s">
        <v>6243</v>
      </c>
      <c r="AJ1309" t="s">
        <v>6258</v>
      </c>
    </row>
    <row r="1310" spans="1:40" x14ac:dyDescent="0.25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517.59690000000001</v>
      </c>
      <c r="H1310" t="s">
        <v>97</v>
      </c>
      <c r="I1310">
        <v>95778014428.716003</v>
      </c>
      <c r="J1310" t="s">
        <v>4700</v>
      </c>
      <c r="K1310">
        <v>821254048.485677</v>
      </c>
      <c r="L1310">
        <v>1</v>
      </c>
      <c r="M1310" t="s">
        <v>6012</v>
      </c>
      <c r="N1310">
        <v>0.85273301000000001</v>
      </c>
      <c r="O1310">
        <v>425.45</v>
      </c>
      <c r="P1310">
        <v>606.52</v>
      </c>
      <c r="Q1310">
        <v>362.79525910450002</v>
      </c>
      <c r="R1310">
        <v>67132955319.439827</v>
      </c>
      <c r="S1310">
        <v>0</v>
      </c>
      <c r="T1310" t="s">
        <v>6243</v>
      </c>
    </row>
    <row r="1311" spans="1:40" x14ac:dyDescent="0.25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68.518519999999995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0.85273301000000001</v>
      </c>
      <c r="O1311">
        <v>81.290000000000006</v>
      </c>
      <c r="P1311">
        <v>80.290000000000006</v>
      </c>
      <c r="Q1311">
        <v>69.318666382900005</v>
      </c>
      <c r="R1311">
        <v>33149043736.20594</v>
      </c>
      <c r="S1311">
        <v>0</v>
      </c>
      <c r="T1311" t="s">
        <v>6243</v>
      </c>
    </row>
    <row r="1312" spans="1:40" x14ac:dyDescent="0.25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7198879204.0229998</v>
      </c>
      <c r="J1312" t="s">
        <v>4701</v>
      </c>
      <c r="K1312">
        <v>27120210.5050545</v>
      </c>
      <c r="L1312">
        <v>0.85</v>
      </c>
      <c r="M1312" t="s">
        <v>6014</v>
      </c>
      <c r="N1312">
        <v>5.7743899999999999E-3</v>
      </c>
      <c r="O1312">
        <v>1891</v>
      </c>
      <c r="P1312">
        <v>1968</v>
      </c>
      <c r="Q1312">
        <v>10.91937149</v>
      </c>
      <c r="R1312">
        <v>5842497998.8429966</v>
      </c>
      <c r="S1312">
        <v>0</v>
      </c>
      <c r="T1312" t="s">
        <v>6244</v>
      </c>
    </row>
    <row r="1313" spans="1:40" x14ac:dyDescent="0.25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22.977060000000002</v>
      </c>
      <c r="H1313" t="s">
        <v>99</v>
      </c>
      <c r="I1313">
        <v>12499520640</v>
      </c>
      <c r="J1313" t="s">
        <v>4701</v>
      </c>
      <c r="K1313">
        <v>35368838.809991397</v>
      </c>
      <c r="L1313">
        <v>0.95</v>
      </c>
      <c r="M1313" t="s">
        <v>6015</v>
      </c>
      <c r="N1313">
        <v>5.7743899999999999E-3</v>
      </c>
      <c r="O1313">
        <v>3940</v>
      </c>
      <c r="P1313">
        <v>3954</v>
      </c>
      <c r="Q1313">
        <v>22.7510966</v>
      </c>
      <c r="R1313">
        <v>11757766722.879999</v>
      </c>
      <c r="S1313">
        <v>0</v>
      </c>
      <c r="T1313" t="s">
        <v>6244</v>
      </c>
      <c r="AJ1313" t="s">
        <v>6258</v>
      </c>
    </row>
    <row r="1314" spans="1:40" x14ac:dyDescent="0.25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92.413380000000004</v>
      </c>
      <c r="H1314" t="s">
        <v>97</v>
      </c>
      <c r="I1314">
        <v>20304627965.911201</v>
      </c>
      <c r="J1314" t="s">
        <v>4700</v>
      </c>
      <c r="K1314">
        <v>130743223.840482</v>
      </c>
      <c r="L1314">
        <v>1</v>
      </c>
      <c r="M1314" t="s">
        <v>6016</v>
      </c>
      <c r="N1314">
        <v>0.85273301000000001</v>
      </c>
      <c r="O1314">
        <v>105.63</v>
      </c>
      <c r="P1314">
        <v>108.29</v>
      </c>
      <c r="Q1314">
        <v>90.074187846299992</v>
      </c>
      <c r="R1314">
        <v>19790671800.454891</v>
      </c>
      <c r="S1314">
        <v>0</v>
      </c>
      <c r="T1314" t="s">
        <v>6243</v>
      </c>
      <c r="AJ1314" t="s">
        <v>6258</v>
      </c>
    </row>
    <row r="1315" spans="1:40" x14ac:dyDescent="0.25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14.82</v>
      </c>
      <c r="P1315">
        <v>15.85</v>
      </c>
      <c r="Q1315">
        <v>14.82</v>
      </c>
      <c r="R1315">
        <v>2801497810.8000002</v>
      </c>
      <c r="S1315">
        <v>0</v>
      </c>
      <c r="T1315" t="s">
        <v>6242</v>
      </c>
      <c r="W1315" t="s">
        <v>6247</v>
      </c>
    </row>
    <row r="1316" spans="1:40" x14ac:dyDescent="0.25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22.698129999999999</v>
      </c>
      <c r="H1316" t="s">
        <v>99</v>
      </c>
      <c r="I1316">
        <v>2682727847.7454</v>
      </c>
      <c r="J1316" t="s">
        <v>4701</v>
      </c>
      <c r="K1316">
        <v>8843046.7684858199</v>
      </c>
      <c r="L1316">
        <v>0.95</v>
      </c>
      <c r="M1316" t="s">
        <v>6018</v>
      </c>
      <c r="N1316">
        <v>5.7743899999999999E-3</v>
      </c>
      <c r="O1316">
        <v>4118</v>
      </c>
      <c r="P1316">
        <v>3906</v>
      </c>
      <c r="Q1316">
        <v>23.778938019999998</v>
      </c>
      <c r="R1316">
        <v>2669946742.5405779</v>
      </c>
      <c r="S1316">
        <v>0</v>
      </c>
      <c r="T1316" t="s">
        <v>6244</v>
      </c>
      <c r="W1316" t="s">
        <v>6247</v>
      </c>
      <c r="AJ1316" t="s">
        <v>6258</v>
      </c>
    </row>
    <row r="1317" spans="1:40" x14ac:dyDescent="0.25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57.843609999999998</v>
      </c>
      <c r="H1317" t="s">
        <v>99</v>
      </c>
      <c r="I1317">
        <v>10595009855.756701</v>
      </c>
      <c r="J1317" t="s">
        <v>4701</v>
      </c>
      <c r="K1317">
        <v>35566227.741272897</v>
      </c>
      <c r="L1317">
        <v>0.9</v>
      </c>
      <c r="M1317" t="s">
        <v>6019</v>
      </c>
      <c r="N1317">
        <v>5.7743899999999999E-3</v>
      </c>
      <c r="O1317">
        <v>10250</v>
      </c>
      <c r="P1317">
        <v>9954</v>
      </c>
      <c r="Q1317">
        <v>59.187497499999999</v>
      </c>
      <c r="R1317">
        <v>9757048486.6879425</v>
      </c>
      <c r="S1317">
        <v>0</v>
      </c>
      <c r="T1317" t="s">
        <v>6244</v>
      </c>
    </row>
    <row r="1318" spans="1:40" x14ac:dyDescent="0.25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31.862220000000001</v>
      </c>
      <c r="H1318" t="s">
        <v>99</v>
      </c>
      <c r="I1318">
        <v>13799299029.882601</v>
      </c>
      <c r="J1318" t="s">
        <v>4701</v>
      </c>
      <c r="K1318">
        <v>16976316.585931301</v>
      </c>
      <c r="L1318">
        <v>0.5</v>
      </c>
      <c r="M1318" t="s">
        <v>6020</v>
      </c>
      <c r="N1318">
        <v>5.7743899999999999E-3</v>
      </c>
      <c r="O1318">
        <v>5782</v>
      </c>
      <c r="P1318">
        <v>5483</v>
      </c>
      <c r="Q1318">
        <v>33.38752298</v>
      </c>
      <c r="R1318">
        <v>7229948407.0491171</v>
      </c>
      <c r="S1318">
        <v>0</v>
      </c>
      <c r="T1318" t="s">
        <v>6244</v>
      </c>
      <c r="AJ1318" t="s">
        <v>6258</v>
      </c>
    </row>
    <row r="1319" spans="1:40" x14ac:dyDescent="0.25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17.096229999999998</v>
      </c>
      <c r="H1319" t="s">
        <v>99</v>
      </c>
      <c r="I1319">
        <v>2226245084.3304</v>
      </c>
      <c r="J1319" t="s">
        <v>4701</v>
      </c>
      <c r="K1319">
        <v>23779416.180049401</v>
      </c>
      <c r="L1319">
        <v>1</v>
      </c>
      <c r="M1319" t="s">
        <v>6021</v>
      </c>
      <c r="N1319">
        <v>5.7743899999999999E-3</v>
      </c>
      <c r="O1319">
        <v>3105</v>
      </c>
      <c r="P1319">
        <v>2942</v>
      </c>
      <c r="Q1319">
        <v>17.929480949999999</v>
      </c>
      <c r="R1319">
        <v>2334749756.4979558</v>
      </c>
      <c r="S1319">
        <v>0</v>
      </c>
      <c r="T1319" t="s">
        <v>6244</v>
      </c>
    </row>
    <row r="1320" spans="1:40" x14ac:dyDescent="0.25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49.899850000000001</v>
      </c>
      <c r="H1320" t="s">
        <v>99</v>
      </c>
      <c r="I1320">
        <v>3504935524.0900002</v>
      </c>
      <c r="J1320" t="s">
        <v>4701</v>
      </c>
      <c r="K1320">
        <v>12279987.272732999</v>
      </c>
      <c r="L1320">
        <v>0.9</v>
      </c>
      <c r="M1320" t="s">
        <v>6022</v>
      </c>
      <c r="N1320">
        <v>5.7743899999999999E-3</v>
      </c>
      <c r="O1320">
        <v>8580</v>
      </c>
      <c r="P1320">
        <v>8587</v>
      </c>
      <c r="Q1320">
        <v>49.544266200000003</v>
      </c>
      <c r="R1320">
        <v>3131963578.1954522</v>
      </c>
      <c r="S1320">
        <v>0</v>
      </c>
      <c r="T1320" t="s">
        <v>6244</v>
      </c>
    </row>
    <row r="1321" spans="1:40" x14ac:dyDescent="0.25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7.5544200000000004</v>
      </c>
      <c r="H1321" t="s">
        <v>99</v>
      </c>
      <c r="I1321">
        <v>2383920368.046</v>
      </c>
      <c r="J1321" t="s">
        <v>4701</v>
      </c>
      <c r="K1321">
        <v>11822414.235201299</v>
      </c>
      <c r="L1321">
        <v>1</v>
      </c>
      <c r="M1321" t="s">
        <v>6023</v>
      </c>
      <c r="N1321">
        <v>5.7743899999999999E-3</v>
      </c>
      <c r="O1321">
        <v>1443.5</v>
      </c>
      <c r="P1321">
        <v>1300</v>
      </c>
      <c r="Q1321">
        <v>8.335331965</v>
      </c>
      <c r="R1321">
        <v>2630349867.4667802</v>
      </c>
      <c r="S1321">
        <v>0</v>
      </c>
      <c r="T1321" t="s">
        <v>6244</v>
      </c>
      <c r="AJ1321" t="s">
        <v>6258</v>
      </c>
      <c r="AN1321" t="s">
        <v>6262</v>
      </c>
    </row>
    <row r="1322" spans="1:40" x14ac:dyDescent="0.25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26.667100000000001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5.7743899999999999E-3</v>
      </c>
      <c r="O1322">
        <v>4493</v>
      </c>
      <c r="P1322">
        <v>4589</v>
      </c>
      <c r="Q1322">
        <v>25.944334269999999</v>
      </c>
      <c r="R1322">
        <v>41276701598.910156</v>
      </c>
      <c r="S1322">
        <v>0</v>
      </c>
      <c r="T1322" t="s">
        <v>6244</v>
      </c>
    </row>
    <row r="1323" spans="1:40" x14ac:dyDescent="0.25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195.45140000000001</v>
      </c>
      <c r="H1323" t="s">
        <v>97</v>
      </c>
      <c r="I1323">
        <v>36054960802.793999</v>
      </c>
      <c r="J1323" t="s">
        <v>4700</v>
      </c>
      <c r="K1323">
        <v>391519450.362795</v>
      </c>
      <c r="L1323">
        <v>0.95</v>
      </c>
      <c r="M1323" t="s">
        <v>6025</v>
      </c>
      <c r="N1323">
        <v>0.85273301000000001</v>
      </c>
      <c r="O1323">
        <v>246.26</v>
      </c>
      <c r="P1323">
        <v>229.03</v>
      </c>
      <c r="Q1323">
        <v>209.9940310426</v>
      </c>
      <c r="R1323">
        <v>36800760854.916191</v>
      </c>
      <c r="S1323">
        <v>0</v>
      </c>
      <c r="T1323" t="s">
        <v>6243</v>
      </c>
    </row>
    <row r="1324" spans="1:40" x14ac:dyDescent="0.25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10984306.871212101</v>
      </c>
      <c r="L1324">
        <v>0.25</v>
      </c>
      <c r="M1324" t="s">
        <v>6026</v>
      </c>
      <c r="N1324">
        <v>1</v>
      </c>
      <c r="O1324">
        <v>111</v>
      </c>
      <c r="P1324">
        <v>120.6</v>
      </c>
      <c r="Q1324">
        <v>111</v>
      </c>
      <c r="R1324">
        <v>7165854750</v>
      </c>
      <c r="S1324">
        <v>0</v>
      </c>
      <c r="T1324" t="s">
        <v>6242</v>
      </c>
      <c r="AJ1324" t="s">
        <v>6258</v>
      </c>
    </row>
    <row r="1325" spans="1:40" x14ac:dyDescent="0.25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85.048649999999995</v>
      </c>
      <c r="H1325" t="s">
        <v>97</v>
      </c>
      <c r="I1325">
        <v>17700633764.599499</v>
      </c>
      <c r="J1325" t="s">
        <v>4700</v>
      </c>
      <c r="K1325">
        <v>328232575.49646097</v>
      </c>
      <c r="L1325">
        <v>1</v>
      </c>
      <c r="M1325" t="s">
        <v>6027</v>
      </c>
      <c r="N1325">
        <v>0.85273301000000001</v>
      </c>
      <c r="O1325">
        <v>106.47</v>
      </c>
      <c r="P1325">
        <v>99.66</v>
      </c>
      <c r="Q1325">
        <v>90.790483574700005</v>
      </c>
      <c r="R1325">
        <v>18895645011.021938</v>
      </c>
      <c r="S1325">
        <v>0</v>
      </c>
      <c r="T1325" t="s">
        <v>6243</v>
      </c>
    </row>
    <row r="1326" spans="1:40" x14ac:dyDescent="0.25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139.32409999999999</v>
      </c>
      <c r="H1326" t="s">
        <v>97</v>
      </c>
      <c r="I1326">
        <v>29981410828.584999</v>
      </c>
      <c r="J1326" t="s">
        <v>4700</v>
      </c>
      <c r="K1326">
        <v>238139108.80672801</v>
      </c>
      <c r="L1326">
        <v>1</v>
      </c>
      <c r="M1326" t="s">
        <v>6028</v>
      </c>
      <c r="N1326">
        <v>0.85273301000000001</v>
      </c>
      <c r="O1326">
        <v>166.38</v>
      </c>
      <c r="P1326">
        <v>163.26</v>
      </c>
      <c r="Q1326">
        <v>141.87771820379999</v>
      </c>
      <c r="R1326">
        <v>30530928654.054401</v>
      </c>
      <c r="S1326">
        <v>0</v>
      </c>
      <c r="T1326" t="s">
        <v>6243</v>
      </c>
      <c r="AH1326" t="s">
        <v>6256</v>
      </c>
      <c r="AJ1326" t="s">
        <v>6258</v>
      </c>
    </row>
    <row r="1327" spans="1:40" x14ac:dyDescent="0.25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84.690219999999997</v>
      </c>
      <c r="H1327" t="s">
        <v>97</v>
      </c>
      <c r="I1327">
        <v>38480348031.498001</v>
      </c>
      <c r="J1327" t="s">
        <v>4700</v>
      </c>
      <c r="K1327">
        <v>561894223.04160202</v>
      </c>
      <c r="L1327">
        <v>1</v>
      </c>
      <c r="M1327" t="s">
        <v>6029</v>
      </c>
      <c r="N1327">
        <v>0.85273301000000001</v>
      </c>
      <c r="O1327">
        <v>89.96</v>
      </c>
      <c r="P1327">
        <v>99.24</v>
      </c>
      <c r="Q1327">
        <v>76.711861579599997</v>
      </c>
      <c r="R1327">
        <v>34855254027.290367</v>
      </c>
      <c r="S1327">
        <v>0</v>
      </c>
      <c r="T1327" t="s">
        <v>6243</v>
      </c>
    </row>
    <row r="1328" spans="1:40" x14ac:dyDescent="0.25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1.1622440000000001</v>
      </c>
      <c r="H1328" t="s">
        <v>96</v>
      </c>
      <c r="I1328">
        <v>4115954630.184</v>
      </c>
      <c r="J1328" t="s">
        <v>4699</v>
      </c>
      <c r="K1328">
        <v>20877325.318711001</v>
      </c>
      <c r="L1328">
        <v>1</v>
      </c>
      <c r="M1328" t="s">
        <v>6030</v>
      </c>
      <c r="N1328">
        <v>1.156136E-2</v>
      </c>
      <c r="O1328">
        <v>97.76</v>
      </c>
      <c r="P1328">
        <v>100.7</v>
      </c>
      <c r="Q1328">
        <v>1.1302385535999999</v>
      </c>
      <c r="R1328">
        <v>4002610990.3792901</v>
      </c>
      <c r="S1328">
        <v>0</v>
      </c>
      <c r="T1328" t="s">
        <v>6242</v>
      </c>
    </row>
    <row r="1329" spans="1:40" x14ac:dyDescent="0.25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52.976149999999997</v>
      </c>
      <c r="H1329" t="s">
        <v>96</v>
      </c>
      <c r="I1329">
        <v>2976754767.2905002</v>
      </c>
      <c r="J1329" t="s">
        <v>4699</v>
      </c>
      <c r="K1329">
        <v>3631950.1927147098</v>
      </c>
      <c r="L1329">
        <v>1</v>
      </c>
      <c r="M1329" t="s">
        <v>6031</v>
      </c>
      <c r="N1329">
        <v>1.156136E-2</v>
      </c>
      <c r="O1329">
        <v>4440</v>
      </c>
      <c r="P1329">
        <v>4590</v>
      </c>
      <c r="Q1329">
        <v>51.332438400000001</v>
      </c>
      <c r="R1329">
        <v>2884393839.9420481</v>
      </c>
      <c r="S1329">
        <v>0</v>
      </c>
      <c r="T1329" t="s">
        <v>6242</v>
      </c>
      <c r="V1329" t="s">
        <v>6246</v>
      </c>
      <c r="W1329" t="s">
        <v>6247</v>
      </c>
      <c r="AJ1329" t="s">
        <v>6258</v>
      </c>
      <c r="AN1329" t="s">
        <v>6262</v>
      </c>
    </row>
    <row r="1330" spans="1:40" x14ac:dyDescent="0.25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5275136699.6946001</v>
      </c>
      <c r="J1330" t="s">
        <v>4701</v>
      </c>
      <c r="K1330">
        <v>6995391.86000981</v>
      </c>
      <c r="L1330">
        <v>0.9</v>
      </c>
      <c r="M1330" t="s">
        <v>6032</v>
      </c>
      <c r="N1330">
        <v>5.7743899999999999E-3</v>
      </c>
      <c r="O1330">
        <v>5521</v>
      </c>
      <c r="P1330">
        <v>5482</v>
      </c>
      <c r="Q1330">
        <v>31.88040719</v>
      </c>
      <c r="R1330">
        <v>4751199377.8413486</v>
      </c>
      <c r="S1330">
        <v>0</v>
      </c>
      <c r="T1330" t="s">
        <v>6244</v>
      </c>
      <c r="W1330" t="s">
        <v>6247</v>
      </c>
    </row>
    <row r="1331" spans="1:40" x14ac:dyDescent="0.25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0.61572563000000002</v>
      </c>
      <c r="O1331">
        <v>72.45</v>
      </c>
      <c r="P1331">
        <v>70.8</v>
      </c>
      <c r="Q1331">
        <v>44.609321893500002</v>
      </c>
      <c r="R1331">
        <v>46393694769.240013</v>
      </c>
      <c r="S1331">
        <v>0</v>
      </c>
      <c r="T1331" t="s">
        <v>6243</v>
      </c>
      <c r="AH1331" t="s">
        <v>6256</v>
      </c>
      <c r="AJ1331" t="s">
        <v>6258</v>
      </c>
      <c r="AN1331" t="s">
        <v>6262</v>
      </c>
    </row>
    <row r="1332" spans="1:40" x14ac:dyDescent="0.25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76983327.399259701</v>
      </c>
      <c r="L1332">
        <v>1</v>
      </c>
      <c r="M1332" t="s">
        <v>6034</v>
      </c>
      <c r="N1332">
        <v>5.7743899999999999E-3</v>
      </c>
      <c r="O1332">
        <v>1980</v>
      </c>
      <c r="P1332">
        <v>1915</v>
      </c>
      <c r="Q1332">
        <v>11.4332922</v>
      </c>
      <c r="R1332">
        <v>22224718232.562778</v>
      </c>
      <c r="S1332">
        <v>0</v>
      </c>
      <c r="T1332" t="s">
        <v>6244</v>
      </c>
    </row>
    <row r="1333" spans="1:40" x14ac:dyDescent="0.25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174.94450000000001</v>
      </c>
      <c r="H1333" t="s">
        <v>97</v>
      </c>
      <c r="I1333">
        <v>51692859777.860001</v>
      </c>
      <c r="J1333" t="s">
        <v>4700</v>
      </c>
      <c r="K1333">
        <v>287699041.61490399</v>
      </c>
      <c r="L1333">
        <v>1</v>
      </c>
      <c r="M1333" t="s">
        <v>6035</v>
      </c>
      <c r="N1333">
        <v>0.85273301000000001</v>
      </c>
      <c r="O1333">
        <v>209.82</v>
      </c>
      <c r="P1333">
        <v>205</v>
      </c>
      <c r="Q1333">
        <v>178.92044015819999</v>
      </c>
      <c r="R1333">
        <v>52867676460.196373</v>
      </c>
      <c r="S1333">
        <v>0</v>
      </c>
      <c r="T1333" t="s">
        <v>6243</v>
      </c>
      <c r="AJ1333" t="s">
        <v>6258</v>
      </c>
    </row>
    <row r="1334" spans="1:40" x14ac:dyDescent="0.25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7334932472.9599991</v>
      </c>
      <c r="J1334" t="s">
        <v>4702</v>
      </c>
      <c r="K1334">
        <v>9331435.6428787895</v>
      </c>
      <c r="L1334">
        <v>0.75</v>
      </c>
      <c r="M1334" t="s">
        <v>6036</v>
      </c>
      <c r="N1334">
        <v>1</v>
      </c>
      <c r="O1334">
        <v>41.28</v>
      </c>
      <c r="P1334">
        <v>41.12</v>
      </c>
      <c r="Q1334">
        <v>41.28</v>
      </c>
      <c r="R1334">
        <v>5522604799.6800003</v>
      </c>
      <c r="S1334">
        <v>1</v>
      </c>
      <c r="T1334" t="s">
        <v>6242</v>
      </c>
      <c r="W1334" t="s">
        <v>6247</v>
      </c>
      <c r="AJ1334" t="s">
        <v>6258</v>
      </c>
    </row>
    <row r="1335" spans="1:40" x14ac:dyDescent="0.25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22.269469999999998</v>
      </c>
      <c r="H1335" t="s">
        <v>4691</v>
      </c>
      <c r="I1335">
        <v>7290323657.7790995</v>
      </c>
      <c r="J1335" t="s">
        <v>4701</v>
      </c>
      <c r="K1335">
        <v>19818611.0216299</v>
      </c>
      <c r="L1335">
        <v>0.9</v>
      </c>
      <c r="M1335" t="s">
        <v>6037</v>
      </c>
      <c r="N1335">
        <v>0.56652409000000004</v>
      </c>
      <c r="O1335">
        <v>38.06</v>
      </c>
      <c r="P1335">
        <v>40.19</v>
      </c>
      <c r="Q1335">
        <v>21.561906865400001</v>
      </c>
      <c r="R1335">
        <v>6352820779.0706158</v>
      </c>
      <c r="S1335">
        <v>0</v>
      </c>
      <c r="T1335" t="s">
        <v>6244</v>
      </c>
      <c r="U1335" t="s">
        <v>6245</v>
      </c>
    </row>
    <row r="1336" spans="1:40" x14ac:dyDescent="0.25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28.032710000000002</v>
      </c>
      <c r="H1336" t="s">
        <v>99</v>
      </c>
      <c r="I1336">
        <v>2929418195</v>
      </c>
      <c r="J1336" t="s">
        <v>4701</v>
      </c>
      <c r="K1336">
        <v>24713408.602367699</v>
      </c>
      <c r="L1336">
        <v>1</v>
      </c>
      <c r="M1336" t="s">
        <v>6038</v>
      </c>
      <c r="N1336">
        <v>5.7743899999999999E-3</v>
      </c>
      <c r="O1336">
        <v>4813</v>
      </c>
      <c r="P1336">
        <v>4824</v>
      </c>
      <c r="Q1336">
        <v>27.792139070000001</v>
      </c>
      <c r="R1336">
        <v>2904278532.8150001</v>
      </c>
      <c r="S1336">
        <v>0</v>
      </c>
      <c r="T1336" t="s">
        <v>6244</v>
      </c>
    </row>
    <row r="1337" spans="1:40" x14ac:dyDescent="0.25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10.872400000000001</v>
      </c>
      <c r="H1337" t="s">
        <v>4692</v>
      </c>
      <c r="I1337">
        <v>19908397278</v>
      </c>
      <c r="J1337" t="s">
        <v>4701</v>
      </c>
      <c r="K1337">
        <v>47941334.093402296</v>
      </c>
      <c r="L1337">
        <v>0.75</v>
      </c>
      <c r="M1337" t="s">
        <v>6039</v>
      </c>
      <c r="N1337">
        <v>0.10956983000000001</v>
      </c>
      <c r="O1337">
        <v>99.15</v>
      </c>
      <c r="P1337">
        <v>99.55</v>
      </c>
      <c r="Q1337">
        <v>10.863848644500001</v>
      </c>
      <c r="R1337">
        <v>14919554200.275539</v>
      </c>
      <c r="S1337">
        <v>0</v>
      </c>
      <c r="T1337" t="s">
        <v>6244</v>
      </c>
      <c r="U1337" t="s">
        <v>6245</v>
      </c>
      <c r="AJ1337" t="s">
        <v>6258</v>
      </c>
    </row>
    <row r="1338" spans="1:40" x14ac:dyDescent="0.25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14.725580000000001</v>
      </c>
      <c r="H1338" t="s">
        <v>4693</v>
      </c>
      <c r="I1338">
        <v>10076767406.087999</v>
      </c>
      <c r="J1338" t="s">
        <v>4699</v>
      </c>
      <c r="K1338">
        <v>19532912.140966501</v>
      </c>
      <c r="L1338">
        <v>0.8</v>
      </c>
      <c r="M1338" t="s">
        <v>6040</v>
      </c>
      <c r="N1338">
        <v>9.1395149999999994E-2</v>
      </c>
      <c r="O1338">
        <v>165.25</v>
      </c>
      <c r="P1338">
        <v>164.05</v>
      </c>
      <c r="Q1338">
        <v>15.103048537499999</v>
      </c>
      <c r="R1338">
        <v>8268056388.1487865</v>
      </c>
      <c r="S1338">
        <v>0</v>
      </c>
      <c r="T1338" t="s">
        <v>6242</v>
      </c>
      <c r="U1338" t="s">
        <v>6245</v>
      </c>
    </row>
    <row r="1339" spans="1:40" x14ac:dyDescent="0.25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0.46089999999999998</v>
      </c>
      <c r="H1339" t="s">
        <v>98</v>
      </c>
      <c r="I1339">
        <v>7065351108.0064001</v>
      </c>
      <c r="J1339" t="s">
        <v>4702</v>
      </c>
      <c r="K1339">
        <v>62381876.913517803</v>
      </c>
      <c r="L1339">
        <v>0.75</v>
      </c>
      <c r="M1339" t="s">
        <v>6041</v>
      </c>
      <c r="N1339">
        <v>1</v>
      </c>
      <c r="O1339">
        <v>0.44259999999999999</v>
      </c>
      <c r="P1339">
        <v>0.46089999999999998</v>
      </c>
      <c r="Q1339">
        <v>0.44259999999999999</v>
      </c>
      <c r="R1339">
        <v>5088616403.3471994</v>
      </c>
      <c r="S1339">
        <v>0</v>
      </c>
      <c r="T1339" t="s">
        <v>6242</v>
      </c>
    </row>
    <row r="1340" spans="1:40" x14ac:dyDescent="0.25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470.26799999999997</v>
      </c>
      <c r="H1340" t="s">
        <v>97</v>
      </c>
      <c r="I1340">
        <v>22050159236.928001</v>
      </c>
      <c r="J1340" t="s">
        <v>4700</v>
      </c>
      <c r="K1340">
        <v>173711072.04628599</v>
      </c>
      <c r="L1340">
        <v>1</v>
      </c>
      <c r="M1340" t="s">
        <v>6042</v>
      </c>
      <c r="N1340">
        <v>0.85273301000000001</v>
      </c>
      <c r="O1340">
        <v>556.29</v>
      </c>
      <c r="P1340">
        <v>551.05999999999995</v>
      </c>
      <c r="Q1340">
        <v>474.36684613289998</v>
      </c>
      <c r="R1340">
        <v>22242347967.435101</v>
      </c>
      <c r="S1340">
        <v>0</v>
      </c>
      <c r="T1340" t="s">
        <v>6243</v>
      </c>
      <c r="AA1340" t="s">
        <v>6249</v>
      </c>
      <c r="AJ1340" t="s">
        <v>6258</v>
      </c>
    </row>
    <row r="1341" spans="1:40" x14ac:dyDescent="0.25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4.6500000000000004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4.5730000000000004</v>
      </c>
      <c r="P1341">
        <v>4.6500000000000004</v>
      </c>
      <c r="Q1341">
        <v>4.5730000000000004</v>
      </c>
      <c r="R1341">
        <v>16854271847.92</v>
      </c>
      <c r="S1341">
        <v>0</v>
      </c>
      <c r="T1341" t="s">
        <v>6242</v>
      </c>
    </row>
    <row r="1342" spans="1:40" x14ac:dyDescent="0.25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14.077809999999999</v>
      </c>
      <c r="H1342" t="s">
        <v>4695</v>
      </c>
      <c r="I1342">
        <v>19263371158.644089</v>
      </c>
      <c r="J1342" t="s">
        <v>4699</v>
      </c>
      <c r="K1342">
        <v>15810072.3253737</v>
      </c>
      <c r="L1342">
        <v>0.45</v>
      </c>
      <c r="M1342" t="s">
        <v>6044</v>
      </c>
      <c r="N1342">
        <v>8.6344599999999994E-2</v>
      </c>
      <c r="O1342">
        <v>170.4</v>
      </c>
      <c r="P1342">
        <v>165.9</v>
      </c>
      <c r="Q1342">
        <v>14.713119839999999</v>
      </c>
      <c r="R1342">
        <v>9059713817.0488567</v>
      </c>
      <c r="S1342">
        <v>0</v>
      </c>
      <c r="T1342" t="s">
        <v>6242</v>
      </c>
      <c r="U1342" t="s">
        <v>6245</v>
      </c>
      <c r="AN1342" t="s">
        <v>6262</v>
      </c>
    </row>
    <row r="1343" spans="1:40" x14ac:dyDescent="0.25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72.239999999999995</v>
      </c>
      <c r="H1343" t="s">
        <v>98</v>
      </c>
      <c r="I1343">
        <v>4325324127.5999994</v>
      </c>
      <c r="J1343" t="s">
        <v>4702</v>
      </c>
      <c r="K1343">
        <v>25438869.736060601</v>
      </c>
      <c r="L1343">
        <v>0.95000000000000007</v>
      </c>
      <c r="M1343" t="s">
        <v>6045</v>
      </c>
      <c r="N1343">
        <v>1</v>
      </c>
      <c r="O1343">
        <v>63.06</v>
      </c>
      <c r="P1343">
        <v>72.239999999999995</v>
      </c>
      <c r="Q1343">
        <v>63.06</v>
      </c>
      <c r="R1343">
        <v>3586893584.0549998</v>
      </c>
      <c r="S1343">
        <v>1</v>
      </c>
      <c r="T1343" t="s">
        <v>6242</v>
      </c>
    </row>
    <row r="1344" spans="1:40" x14ac:dyDescent="0.25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21670023.352923099</v>
      </c>
      <c r="L1344">
        <v>0.6</v>
      </c>
      <c r="M1344" t="s">
        <v>6046</v>
      </c>
      <c r="N1344">
        <v>9.1395149999999994E-2</v>
      </c>
      <c r="O1344">
        <v>36.01</v>
      </c>
      <c r="P1344">
        <v>35.880000000000003</v>
      </c>
      <c r="Q1344">
        <v>3.2911393515</v>
      </c>
      <c r="R1344">
        <v>7764671988.4458303</v>
      </c>
      <c r="S1344">
        <v>0</v>
      </c>
      <c r="T1344" t="s">
        <v>6242</v>
      </c>
      <c r="U1344" t="s">
        <v>6245</v>
      </c>
    </row>
    <row r="1345" spans="1:39" x14ac:dyDescent="0.25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10.156739999999999</v>
      </c>
      <c r="H1345" t="s">
        <v>4691</v>
      </c>
      <c r="I1345">
        <v>3437031167.0970001</v>
      </c>
      <c r="J1345" t="s">
        <v>4701</v>
      </c>
      <c r="K1345">
        <v>22173726.730930299</v>
      </c>
      <c r="L1345">
        <v>0.85</v>
      </c>
      <c r="M1345" t="s">
        <v>6047</v>
      </c>
      <c r="N1345">
        <v>0.56652409000000004</v>
      </c>
      <c r="O1345">
        <v>13.69</v>
      </c>
      <c r="P1345">
        <v>18.329999999999998</v>
      </c>
      <c r="Q1345">
        <v>7.7557147921</v>
      </c>
      <c r="R1345">
        <v>2230847540.0599489</v>
      </c>
      <c r="S1345">
        <v>0</v>
      </c>
      <c r="T1345" t="s">
        <v>6244</v>
      </c>
      <c r="U1345" t="s">
        <v>6245</v>
      </c>
    </row>
    <row r="1346" spans="1:39" x14ac:dyDescent="0.25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2.7982290000000001</v>
      </c>
      <c r="H1346" t="s">
        <v>4691</v>
      </c>
      <c r="I1346">
        <v>31857918313.640999</v>
      </c>
      <c r="J1346" t="s">
        <v>4701</v>
      </c>
      <c r="K1346">
        <v>65575747.367864497</v>
      </c>
      <c r="L1346">
        <v>1</v>
      </c>
      <c r="M1346" t="s">
        <v>6048</v>
      </c>
      <c r="N1346">
        <v>0.56652409000000004</v>
      </c>
      <c r="O1346">
        <v>4.96</v>
      </c>
      <c r="P1346">
        <v>5.05</v>
      </c>
      <c r="Q1346">
        <v>2.8099594863999999</v>
      </c>
      <c r="R1346">
        <v>31991470241.489109</v>
      </c>
      <c r="S1346">
        <v>0</v>
      </c>
      <c r="T1346" t="s">
        <v>6244</v>
      </c>
      <c r="U1346" t="s">
        <v>6245</v>
      </c>
    </row>
    <row r="1347" spans="1:39" x14ac:dyDescent="0.25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14.150650000000001</v>
      </c>
      <c r="H1347" t="s">
        <v>100</v>
      </c>
      <c r="I1347">
        <v>21579741250</v>
      </c>
      <c r="J1347" t="s">
        <v>4700</v>
      </c>
      <c r="K1347">
        <v>47701401.601434797</v>
      </c>
      <c r="L1347">
        <v>1</v>
      </c>
      <c r="M1347" t="s">
        <v>6049</v>
      </c>
      <c r="N1347">
        <v>0.61572563000000002</v>
      </c>
      <c r="O1347">
        <v>22.1</v>
      </c>
      <c r="P1347">
        <v>22.94</v>
      </c>
      <c r="Q1347">
        <v>13.607536423000001</v>
      </c>
      <c r="R1347">
        <v>20751493045.075001</v>
      </c>
      <c r="S1347">
        <v>0</v>
      </c>
      <c r="T1347" t="s">
        <v>6243</v>
      </c>
    </row>
    <row r="1348" spans="1:39" x14ac:dyDescent="0.25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76.337000000000003</v>
      </c>
      <c r="H1348" t="s">
        <v>4694</v>
      </c>
      <c r="I1348">
        <v>5489176109.5500002</v>
      </c>
      <c r="J1348" t="s">
        <v>4699</v>
      </c>
      <c r="K1348">
        <v>17351860.604420099</v>
      </c>
      <c r="L1348">
        <v>0.85</v>
      </c>
      <c r="M1348" t="s">
        <v>6050</v>
      </c>
      <c r="N1348">
        <v>1.07032003</v>
      </c>
      <c r="O1348">
        <v>63.3</v>
      </c>
      <c r="P1348">
        <v>71.7</v>
      </c>
      <c r="Q1348">
        <v>67.751257898999995</v>
      </c>
      <c r="R1348">
        <v>4141029884.7672658</v>
      </c>
      <c r="S1348">
        <v>0</v>
      </c>
      <c r="T1348" t="s">
        <v>6242</v>
      </c>
      <c r="U1348" t="s">
        <v>6245</v>
      </c>
    </row>
    <row r="1349" spans="1:39" x14ac:dyDescent="0.25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33025381.512384601</v>
      </c>
      <c r="L1349">
        <v>0.35</v>
      </c>
      <c r="M1349" t="s">
        <v>6051</v>
      </c>
      <c r="N1349">
        <v>1</v>
      </c>
      <c r="O1349">
        <v>15.39</v>
      </c>
      <c r="P1349">
        <v>15.645</v>
      </c>
      <c r="Q1349">
        <v>15.39</v>
      </c>
      <c r="R1349">
        <v>5774300690.4450006</v>
      </c>
      <c r="S1349">
        <v>0</v>
      </c>
      <c r="T1349" t="s">
        <v>6242</v>
      </c>
      <c r="AJ1349" t="s">
        <v>6258</v>
      </c>
    </row>
    <row r="1350" spans="1:39" x14ac:dyDescent="0.25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98.395629999999997</v>
      </c>
      <c r="H1350" t="s">
        <v>97</v>
      </c>
      <c r="I1350">
        <v>15652140200.673901</v>
      </c>
      <c r="J1350" t="s">
        <v>4700</v>
      </c>
      <c r="K1350">
        <v>316893160.57971197</v>
      </c>
      <c r="L1350">
        <v>1</v>
      </c>
      <c r="M1350" t="s">
        <v>6052</v>
      </c>
      <c r="N1350">
        <v>0.85273301000000001</v>
      </c>
      <c r="O1350">
        <v>112.24</v>
      </c>
      <c r="P1350">
        <v>115.3</v>
      </c>
      <c r="Q1350">
        <v>95.7107530424</v>
      </c>
      <c r="R1350">
        <v>15225047345.412809</v>
      </c>
      <c r="S1350">
        <v>0</v>
      </c>
      <c r="T1350" t="s">
        <v>6243</v>
      </c>
      <c r="AJ1350" t="s">
        <v>6258</v>
      </c>
    </row>
    <row r="1351" spans="1:39" x14ac:dyDescent="0.25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8.6720000000000006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0.70000000000000007</v>
      </c>
      <c r="M1351" t="s">
        <v>6053</v>
      </c>
      <c r="N1351">
        <v>1</v>
      </c>
      <c r="O1351">
        <v>8.5039999999999996</v>
      </c>
      <c r="P1351">
        <v>8.6720000000000006</v>
      </c>
      <c r="Q1351">
        <v>8.5039999999999996</v>
      </c>
      <c r="R1351">
        <v>11965080377.6</v>
      </c>
      <c r="S1351">
        <v>0</v>
      </c>
      <c r="T1351" t="s">
        <v>6242</v>
      </c>
    </row>
    <row r="1352" spans="1:39" x14ac:dyDescent="0.25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15.913679999999999</v>
      </c>
      <c r="H1352" t="s">
        <v>99</v>
      </c>
      <c r="I1352">
        <v>23561153286.695999</v>
      </c>
      <c r="J1352" t="s">
        <v>4701</v>
      </c>
      <c r="K1352">
        <v>56270163.210262701</v>
      </c>
      <c r="L1352">
        <v>1</v>
      </c>
      <c r="M1352" t="s">
        <v>6054</v>
      </c>
      <c r="N1352">
        <v>5.7743899999999999E-3</v>
      </c>
      <c r="O1352">
        <v>2590.5</v>
      </c>
      <c r="P1352">
        <v>2738.5</v>
      </c>
      <c r="Q1352">
        <v>14.958557295</v>
      </c>
      <c r="R1352">
        <v>22147037101.118011</v>
      </c>
      <c r="S1352">
        <v>0</v>
      </c>
      <c r="T1352" t="s">
        <v>6244</v>
      </c>
    </row>
    <row r="1353" spans="1:39" x14ac:dyDescent="0.25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4.9202029999999999</v>
      </c>
      <c r="H1353" t="s">
        <v>96</v>
      </c>
      <c r="I1353">
        <v>32158737099.977001</v>
      </c>
      <c r="J1353" t="s">
        <v>4699</v>
      </c>
      <c r="K1353">
        <v>55517161.2397599</v>
      </c>
      <c r="L1353">
        <v>1</v>
      </c>
      <c r="M1353" t="s">
        <v>6055</v>
      </c>
      <c r="N1353">
        <v>1.156136E-2</v>
      </c>
      <c r="O1353">
        <v>438.9</v>
      </c>
      <c r="P1353">
        <v>426.3</v>
      </c>
      <c r="Q1353">
        <v>5.0742809039999992</v>
      </c>
      <c r="R1353">
        <v>33165799371.117329</v>
      </c>
      <c r="S1353">
        <v>0</v>
      </c>
      <c r="T1353" t="s">
        <v>6242</v>
      </c>
    </row>
    <row r="1354" spans="1:39" x14ac:dyDescent="0.25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290.16039999999998</v>
      </c>
      <c r="H1354" t="s">
        <v>97</v>
      </c>
      <c r="I1354">
        <v>935897572019.59998</v>
      </c>
      <c r="J1354" t="s">
        <v>4700</v>
      </c>
      <c r="K1354">
        <v>27999683608.127899</v>
      </c>
      <c r="L1354">
        <v>0.85</v>
      </c>
      <c r="M1354" t="s">
        <v>6056</v>
      </c>
      <c r="N1354">
        <v>0.85273301000000001</v>
      </c>
      <c r="O1354">
        <v>395.94</v>
      </c>
      <c r="P1354">
        <v>340.01</v>
      </c>
      <c r="Q1354">
        <v>337.63110797939999</v>
      </c>
      <c r="R1354">
        <v>925660131660.8905</v>
      </c>
      <c r="S1354">
        <v>0</v>
      </c>
      <c r="T1354" t="s">
        <v>6243</v>
      </c>
      <c r="AJ1354" t="s">
        <v>6258</v>
      </c>
    </row>
    <row r="1355" spans="1:39" x14ac:dyDescent="0.25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175.84909999999999</v>
      </c>
      <c r="H1355" t="s">
        <v>97</v>
      </c>
      <c r="I1355">
        <v>159870949604.065</v>
      </c>
      <c r="J1355" t="s">
        <v>4700</v>
      </c>
      <c r="K1355">
        <v>1128612098.6382699</v>
      </c>
      <c r="L1355">
        <v>1</v>
      </c>
      <c r="M1355" t="s">
        <v>6057</v>
      </c>
      <c r="N1355">
        <v>0.85273301000000001</v>
      </c>
      <c r="O1355">
        <v>182.6</v>
      </c>
      <c r="P1355">
        <v>206.06</v>
      </c>
      <c r="Q1355">
        <v>155.709047626</v>
      </c>
      <c r="R1355">
        <v>141560879787.91589</v>
      </c>
      <c r="S1355">
        <v>0</v>
      </c>
      <c r="T1355" t="s">
        <v>6243</v>
      </c>
      <c r="AJ1355" t="s">
        <v>6258</v>
      </c>
    </row>
    <row r="1356" spans="1:39" x14ac:dyDescent="0.25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777.97410000000002</v>
      </c>
      <c r="H1356" t="s">
        <v>97</v>
      </c>
      <c r="I1356">
        <v>17883544256.256599</v>
      </c>
      <c r="J1356" t="s">
        <v>4700</v>
      </c>
      <c r="K1356">
        <v>135563802.83721101</v>
      </c>
      <c r="L1356">
        <v>1</v>
      </c>
      <c r="M1356" t="s">
        <v>6058</v>
      </c>
      <c r="N1356">
        <v>0.85273301000000001</v>
      </c>
      <c r="O1356">
        <v>937.17</v>
      </c>
      <c r="P1356">
        <v>911.63</v>
      </c>
      <c r="Q1356">
        <v>799.15579498169996</v>
      </c>
      <c r="R1356">
        <v>18370454784.033501</v>
      </c>
      <c r="S1356">
        <v>0</v>
      </c>
      <c r="T1356" t="s">
        <v>6243</v>
      </c>
      <c r="AH1356" t="s">
        <v>6256</v>
      </c>
      <c r="AJ1356" t="s">
        <v>6258</v>
      </c>
    </row>
    <row r="1357" spans="1:39" x14ac:dyDescent="0.25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0.30980200000000002</v>
      </c>
      <c r="H1357" t="s">
        <v>4698</v>
      </c>
      <c r="I1357">
        <v>7785474823.7720003</v>
      </c>
      <c r="J1357" t="s">
        <v>4701</v>
      </c>
      <c r="K1357">
        <v>8045084.5127785197</v>
      </c>
      <c r="L1357">
        <v>0.35</v>
      </c>
      <c r="M1357" t="s">
        <v>6059</v>
      </c>
      <c r="N1357">
        <v>0.66458430000000002</v>
      </c>
      <c r="O1357">
        <v>0.46500000000000002</v>
      </c>
      <c r="P1357">
        <v>0.46500000000000002</v>
      </c>
      <c r="Q1357">
        <v>0.30903169949999998</v>
      </c>
      <c r="R1357">
        <v>2718140879.2443352</v>
      </c>
      <c r="S1357">
        <v>0</v>
      </c>
      <c r="T1357" t="s">
        <v>6244</v>
      </c>
      <c r="U1357" t="s">
        <v>6245</v>
      </c>
      <c r="W1357" t="s">
        <v>6247</v>
      </c>
    </row>
    <row r="1358" spans="1:39" x14ac:dyDescent="0.25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47840306389.900002</v>
      </c>
      <c r="J1358" t="s">
        <v>4702</v>
      </c>
      <c r="K1358">
        <v>67615049.412878901</v>
      </c>
      <c r="L1358">
        <v>0.45</v>
      </c>
      <c r="M1358" t="s">
        <v>6060</v>
      </c>
      <c r="N1358">
        <v>1</v>
      </c>
      <c r="O1358">
        <v>250.5</v>
      </c>
      <c r="P1358">
        <v>232.3</v>
      </c>
      <c r="Q1358">
        <v>250.5</v>
      </c>
      <c r="R1358">
        <v>23214802142.924999</v>
      </c>
      <c r="S1358">
        <v>1</v>
      </c>
      <c r="T1358" t="s">
        <v>6242</v>
      </c>
      <c r="AA1358" t="s">
        <v>6249</v>
      </c>
      <c r="AM1358" t="s">
        <v>6261</v>
      </c>
    </row>
    <row r="1359" spans="1:39" x14ac:dyDescent="0.25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890137433.60251498</v>
      </c>
      <c r="L1359">
        <v>1</v>
      </c>
      <c r="M1359" t="s">
        <v>6061</v>
      </c>
      <c r="N1359">
        <v>0.85273301000000001</v>
      </c>
      <c r="O1359">
        <v>115.96</v>
      </c>
      <c r="P1359">
        <v>118.86</v>
      </c>
      <c r="Q1359">
        <v>98.882919839599992</v>
      </c>
      <c r="R1359">
        <v>177784943822.3074</v>
      </c>
      <c r="S1359">
        <v>0</v>
      </c>
      <c r="T1359" t="s">
        <v>6243</v>
      </c>
    </row>
    <row r="1360" spans="1:39" x14ac:dyDescent="0.25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426.68540000000002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0.85273301000000001</v>
      </c>
      <c r="O1360">
        <v>479.46</v>
      </c>
      <c r="P1360">
        <v>499.99</v>
      </c>
      <c r="Q1360">
        <v>408.85136897460001</v>
      </c>
      <c r="R1360">
        <v>154387232203.40091</v>
      </c>
      <c r="S1360">
        <v>0</v>
      </c>
      <c r="T1360" t="s">
        <v>6243</v>
      </c>
    </row>
    <row r="1361" spans="1:40" x14ac:dyDescent="0.25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17983317.045880899</v>
      </c>
      <c r="L1361">
        <v>0.85</v>
      </c>
      <c r="M1361" t="s">
        <v>6063</v>
      </c>
      <c r="N1361">
        <v>5.7743899999999999E-3</v>
      </c>
      <c r="O1361">
        <v>4050</v>
      </c>
      <c r="P1361">
        <v>3936</v>
      </c>
      <c r="Q1361">
        <v>23.386279500000001</v>
      </c>
      <c r="R1361">
        <v>2581339294.6430178</v>
      </c>
      <c r="S1361">
        <v>0</v>
      </c>
      <c r="T1361" t="s">
        <v>6244</v>
      </c>
      <c r="AJ1361" t="s">
        <v>6258</v>
      </c>
    </row>
    <row r="1362" spans="1:40" x14ac:dyDescent="0.25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152.27680000000001</v>
      </c>
      <c r="H1362" t="s">
        <v>100</v>
      </c>
      <c r="I1362">
        <v>68597412266.656013</v>
      </c>
      <c r="J1362" t="s">
        <v>4700</v>
      </c>
      <c r="K1362">
        <v>64846915.573622897</v>
      </c>
      <c r="L1362">
        <v>0.3</v>
      </c>
      <c r="M1362" t="s">
        <v>6064</v>
      </c>
      <c r="N1362">
        <v>0.61572563000000002</v>
      </c>
      <c r="O1362">
        <v>239.5</v>
      </c>
      <c r="P1362">
        <v>246.86</v>
      </c>
      <c r="Q1362">
        <v>147.46628838500001</v>
      </c>
      <c r="R1362">
        <v>19929114178.48175</v>
      </c>
      <c r="S1362">
        <v>0</v>
      </c>
      <c r="T1362" t="s">
        <v>6243</v>
      </c>
    </row>
    <row r="1363" spans="1:40" x14ac:dyDescent="0.25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8.7899999999999991</v>
      </c>
      <c r="H1363" t="s">
        <v>98</v>
      </c>
      <c r="I1363">
        <v>5472053994.5999994</v>
      </c>
      <c r="J1363" t="s">
        <v>4702</v>
      </c>
      <c r="K1363">
        <v>35161767.095060602</v>
      </c>
      <c r="L1363">
        <v>0.8</v>
      </c>
      <c r="M1363" t="s">
        <v>6065</v>
      </c>
      <c r="N1363">
        <v>1</v>
      </c>
      <c r="O1363">
        <v>10.515000000000001</v>
      </c>
      <c r="P1363">
        <v>8.7899999999999991</v>
      </c>
      <c r="Q1363">
        <v>10.515000000000001</v>
      </c>
      <c r="R1363">
        <v>5236736996.8800011</v>
      </c>
      <c r="S1363">
        <v>0</v>
      </c>
      <c r="T1363" t="s">
        <v>6242</v>
      </c>
      <c r="AA1363" t="s">
        <v>6249</v>
      </c>
    </row>
    <row r="1364" spans="1:40" x14ac:dyDescent="0.25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29.404129999999999</v>
      </c>
      <c r="H1364" t="s">
        <v>99</v>
      </c>
      <c r="I1364">
        <v>6946237897.9832993</v>
      </c>
      <c r="J1364" t="s">
        <v>4701</v>
      </c>
      <c r="K1364">
        <v>16394050.7047197</v>
      </c>
      <c r="L1364">
        <v>1</v>
      </c>
      <c r="M1364" t="s">
        <v>6066</v>
      </c>
      <c r="N1364">
        <v>5.7743899999999999E-3</v>
      </c>
      <c r="O1364">
        <v>5184</v>
      </c>
      <c r="P1364">
        <v>5060</v>
      </c>
      <c r="Q1364">
        <v>29.934437760000002</v>
      </c>
      <c r="R1364">
        <v>7071514308.477561</v>
      </c>
      <c r="S1364">
        <v>0</v>
      </c>
      <c r="T1364" t="s">
        <v>6244</v>
      </c>
    </row>
    <row r="1365" spans="1:40" x14ac:dyDescent="0.25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116.52160000000001</v>
      </c>
      <c r="H1365" t="s">
        <v>97</v>
      </c>
      <c r="I1365">
        <v>129993314696.96001</v>
      </c>
      <c r="J1365" t="s">
        <v>4700</v>
      </c>
      <c r="K1365">
        <v>582155868.90683401</v>
      </c>
      <c r="L1365">
        <v>1</v>
      </c>
      <c r="M1365" t="s">
        <v>6067</v>
      </c>
      <c r="N1365">
        <v>0.85273301000000001</v>
      </c>
      <c r="O1365">
        <v>139.47999999999999</v>
      </c>
      <c r="P1365">
        <v>136.54</v>
      </c>
      <c r="Q1365">
        <v>118.9392002348</v>
      </c>
      <c r="R1365">
        <v>132690427233.46651</v>
      </c>
      <c r="S1365">
        <v>0</v>
      </c>
      <c r="T1365" t="s">
        <v>6243</v>
      </c>
      <c r="AJ1365" t="s">
        <v>6258</v>
      </c>
    </row>
    <row r="1366" spans="1:40" x14ac:dyDescent="0.25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241977598652.01001</v>
      </c>
      <c r="J1366" t="s">
        <v>4700</v>
      </c>
      <c r="K1366">
        <v>904998140.99359</v>
      </c>
      <c r="L1366">
        <v>0.35</v>
      </c>
      <c r="M1366" t="s">
        <v>6068</v>
      </c>
      <c r="N1366">
        <v>0.85273301000000001</v>
      </c>
      <c r="O1366">
        <v>241.72</v>
      </c>
      <c r="P1366">
        <v>251.95</v>
      </c>
      <c r="Q1366">
        <v>206.12262317720001</v>
      </c>
      <c r="R1366">
        <v>81191017973.00325</v>
      </c>
      <c r="S1366">
        <v>0</v>
      </c>
      <c r="T1366" t="s">
        <v>6243</v>
      </c>
    </row>
    <row r="1367" spans="1:40" x14ac:dyDescent="0.25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293340381.56318802</v>
      </c>
      <c r="L1367">
        <v>0.95</v>
      </c>
      <c r="M1367" t="s">
        <v>6069</v>
      </c>
      <c r="N1367">
        <v>0.85273301000000001</v>
      </c>
      <c r="O1367">
        <v>39.950000000000003</v>
      </c>
      <c r="P1367">
        <v>44</v>
      </c>
      <c r="Q1367">
        <v>34.066683749500001</v>
      </c>
      <c r="R1367">
        <v>16505308276.63275</v>
      </c>
      <c r="S1367">
        <v>0</v>
      </c>
      <c r="T1367" t="s">
        <v>6243</v>
      </c>
      <c r="AJ1367" t="s">
        <v>6258</v>
      </c>
      <c r="AN1367" t="s">
        <v>6262</v>
      </c>
    </row>
    <row r="1368" spans="1:40" x14ac:dyDescent="0.25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3134843684.5068002</v>
      </c>
      <c r="J1368" t="s">
        <v>4701</v>
      </c>
      <c r="K1368">
        <v>8535714.0364775099</v>
      </c>
      <c r="L1368">
        <v>1</v>
      </c>
      <c r="M1368" t="s">
        <v>6070</v>
      </c>
      <c r="N1368">
        <v>5.7743899999999999E-3</v>
      </c>
      <c r="O1368">
        <v>2718</v>
      </c>
      <c r="P1368">
        <v>2681</v>
      </c>
      <c r="Q1368">
        <v>15.69479202</v>
      </c>
      <c r="R1368">
        <v>3158034168.1169481</v>
      </c>
      <c r="S1368">
        <v>0</v>
      </c>
      <c r="T1368" t="s">
        <v>6244</v>
      </c>
      <c r="W1368" t="s">
        <v>6247</v>
      </c>
      <c r="AJ1368" t="s">
        <v>6258</v>
      </c>
      <c r="AN1368" t="s">
        <v>6262</v>
      </c>
    </row>
    <row r="1369" spans="1:40" x14ac:dyDescent="0.25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57.018439999999998</v>
      </c>
      <c r="H1369" t="s">
        <v>99</v>
      </c>
      <c r="I1369">
        <v>10035245440</v>
      </c>
      <c r="J1369" t="s">
        <v>4701</v>
      </c>
      <c r="K1369">
        <v>36199502.202724703</v>
      </c>
      <c r="L1369">
        <v>0.8</v>
      </c>
      <c r="M1369" t="s">
        <v>6071</v>
      </c>
      <c r="N1369">
        <v>5.7743899999999999E-3</v>
      </c>
      <c r="O1369">
        <v>9420</v>
      </c>
      <c r="P1369">
        <v>9812</v>
      </c>
      <c r="Q1369">
        <v>54.394753799999997</v>
      </c>
      <c r="R1369">
        <v>7658781335.04</v>
      </c>
      <c r="S1369">
        <v>0</v>
      </c>
      <c r="T1369" t="s">
        <v>6244</v>
      </c>
    </row>
    <row r="1370" spans="1:40" x14ac:dyDescent="0.25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2631802266.5707502</v>
      </c>
      <c r="J1370" t="s">
        <v>4701</v>
      </c>
      <c r="K1370">
        <v>5083594.0880217403</v>
      </c>
      <c r="L1370">
        <v>0.95</v>
      </c>
      <c r="M1370" t="s">
        <v>6072</v>
      </c>
      <c r="N1370">
        <v>5.7743899999999999E-3</v>
      </c>
      <c r="O1370">
        <v>4400</v>
      </c>
      <c r="P1370">
        <v>4611</v>
      </c>
      <c r="Q1370">
        <v>25.407316000000002</v>
      </c>
      <c r="R1370">
        <v>2370733300.2847672</v>
      </c>
      <c r="S1370">
        <v>0</v>
      </c>
      <c r="T1370" t="s">
        <v>6244</v>
      </c>
      <c r="W1370" t="s">
        <v>6247</v>
      </c>
      <c r="AH1370" t="s">
        <v>6256</v>
      </c>
      <c r="AJ1370" t="s">
        <v>6258</v>
      </c>
    </row>
    <row r="1371" spans="1:40" x14ac:dyDescent="0.25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5.7743899999999999E-3</v>
      </c>
      <c r="O1371">
        <v>1160.5</v>
      </c>
      <c r="P1371">
        <v>1189</v>
      </c>
      <c r="Q1371">
        <v>6.7011795950000002</v>
      </c>
      <c r="R1371">
        <v>3369906617.8005471</v>
      </c>
      <c r="S1371">
        <v>0</v>
      </c>
      <c r="T1371" t="s">
        <v>6244</v>
      </c>
      <c r="AG1371" t="s">
        <v>6255</v>
      </c>
      <c r="AH1371" t="s">
        <v>6256</v>
      </c>
      <c r="AI1371" t="s">
        <v>6257</v>
      </c>
      <c r="AJ1371" t="s">
        <v>6258</v>
      </c>
      <c r="AN1371" t="s">
        <v>6262</v>
      </c>
    </row>
    <row r="1372" spans="1:40" x14ac:dyDescent="0.25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38.161450000000002</v>
      </c>
      <c r="H1372" t="s">
        <v>99</v>
      </c>
      <c r="I1372">
        <v>73804244300</v>
      </c>
      <c r="J1372" t="s">
        <v>4701</v>
      </c>
      <c r="K1372">
        <v>151724716.58101499</v>
      </c>
      <c r="L1372">
        <v>1</v>
      </c>
      <c r="M1372" t="s">
        <v>6074</v>
      </c>
      <c r="N1372">
        <v>5.7743899999999999E-3</v>
      </c>
      <c r="O1372">
        <v>6458</v>
      </c>
      <c r="P1372">
        <v>6567</v>
      </c>
      <c r="Q1372">
        <v>37.291010620000002</v>
      </c>
      <c r="R1372">
        <v>72120814539.080002</v>
      </c>
      <c r="S1372">
        <v>0</v>
      </c>
      <c r="T1372" t="s">
        <v>6244</v>
      </c>
      <c r="AJ1372" t="s">
        <v>6258</v>
      </c>
    </row>
    <row r="1373" spans="1:40" x14ac:dyDescent="0.25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4.4268900000000002</v>
      </c>
      <c r="H1373" t="s">
        <v>99</v>
      </c>
      <c r="I1373">
        <v>7114089700.5750008</v>
      </c>
      <c r="J1373" t="s">
        <v>4701</v>
      </c>
      <c r="K1373">
        <v>234468770.89411801</v>
      </c>
      <c r="L1373">
        <v>1</v>
      </c>
      <c r="M1373" t="s">
        <v>6075</v>
      </c>
      <c r="N1373">
        <v>5.7743899999999999E-3</v>
      </c>
      <c r="O1373">
        <v>749.5</v>
      </c>
      <c r="P1373">
        <v>761.8</v>
      </c>
      <c r="Q1373">
        <v>4.3279053049999998</v>
      </c>
      <c r="R1373">
        <v>6955019563.4778376</v>
      </c>
      <c r="S1373">
        <v>0</v>
      </c>
      <c r="T1373" t="s">
        <v>6244</v>
      </c>
      <c r="AG1373" t="s">
        <v>6255</v>
      </c>
      <c r="AH1373" t="s">
        <v>6256</v>
      </c>
      <c r="AI1373" t="s">
        <v>6257</v>
      </c>
      <c r="AJ1373" t="s">
        <v>6258</v>
      </c>
    </row>
    <row r="1374" spans="1:40" x14ac:dyDescent="0.25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55074392082.008003</v>
      </c>
      <c r="J1374" t="s">
        <v>4701</v>
      </c>
      <c r="K1374">
        <v>600803680.17478204</v>
      </c>
      <c r="L1374">
        <v>1</v>
      </c>
      <c r="M1374" t="s">
        <v>6076</v>
      </c>
      <c r="N1374">
        <v>5.7743899999999999E-3</v>
      </c>
      <c r="O1374">
        <v>22585</v>
      </c>
      <c r="P1374">
        <v>20095</v>
      </c>
      <c r="Q1374">
        <v>130.41459814999999</v>
      </c>
      <c r="R1374">
        <v>61507791653.19146</v>
      </c>
      <c r="S1374">
        <v>0</v>
      </c>
      <c r="T1374" t="s">
        <v>6244</v>
      </c>
    </row>
    <row r="1375" spans="1:40" x14ac:dyDescent="0.25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33.785690000000002</v>
      </c>
      <c r="H1375" t="s">
        <v>99</v>
      </c>
      <c r="I1375">
        <v>12537560419.936501</v>
      </c>
      <c r="J1375" t="s">
        <v>4701</v>
      </c>
      <c r="K1375">
        <v>40359729.576693401</v>
      </c>
      <c r="L1375">
        <v>0.8</v>
      </c>
      <c r="M1375" t="s">
        <v>6077</v>
      </c>
      <c r="N1375">
        <v>5.7743899999999999E-3</v>
      </c>
      <c r="O1375">
        <v>5780</v>
      </c>
      <c r="P1375">
        <v>5814</v>
      </c>
      <c r="Q1375">
        <v>33.375974200000002</v>
      </c>
      <c r="R1375">
        <v>9908414908.3648567</v>
      </c>
      <c r="S1375">
        <v>0</v>
      </c>
      <c r="T1375" t="s">
        <v>6244</v>
      </c>
      <c r="AH1375" t="s">
        <v>6256</v>
      </c>
      <c r="AJ1375" t="s">
        <v>6258</v>
      </c>
    </row>
    <row r="1376" spans="1:40" x14ac:dyDescent="0.25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36129099.794114903</v>
      </c>
      <c r="L1376">
        <v>0.5</v>
      </c>
      <c r="M1376" t="s">
        <v>6078</v>
      </c>
      <c r="N1376">
        <v>5.7743899999999999E-3</v>
      </c>
      <c r="O1376">
        <v>1717.5</v>
      </c>
      <c r="P1376">
        <v>1739.5</v>
      </c>
      <c r="Q1376">
        <v>9.9175148249999996</v>
      </c>
      <c r="R1376">
        <v>2881038056.6624999</v>
      </c>
      <c r="S1376">
        <v>0</v>
      </c>
      <c r="T1376" t="s">
        <v>6244</v>
      </c>
      <c r="AJ1376" t="s">
        <v>6258</v>
      </c>
    </row>
    <row r="1377" spans="1:40" x14ac:dyDescent="0.25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26.760079999999999</v>
      </c>
      <c r="H1377" t="s">
        <v>99</v>
      </c>
      <c r="I1377">
        <v>3419938224</v>
      </c>
      <c r="J1377" t="s">
        <v>4701</v>
      </c>
      <c r="K1377">
        <v>15022164.082369201</v>
      </c>
      <c r="L1377">
        <v>0.9</v>
      </c>
      <c r="M1377" t="s">
        <v>6079</v>
      </c>
      <c r="N1377">
        <v>5.7743899999999999E-3</v>
      </c>
      <c r="O1377">
        <v>4918</v>
      </c>
      <c r="P1377">
        <v>4605</v>
      </c>
      <c r="Q1377">
        <v>28.398450019999999</v>
      </c>
      <c r="R1377">
        <v>3266389721.3003998</v>
      </c>
      <c r="S1377">
        <v>0</v>
      </c>
      <c r="T1377" t="s">
        <v>6244</v>
      </c>
      <c r="AJ1377" t="s">
        <v>6258</v>
      </c>
    </row>
    <row r="1378" spans="1:40" x14ac:dyDescent="0.25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3473877746.2080002</v>
      </c>
      <c r="J1378" t="s">
        <v>4701</v>
      </c>
      <c r="K1378">
        <v>13723497.3539082</v>
      </c>
      <c r="L1378">
        <v>1</v>
      </c>
      <c r="M1378" t="s">
        <v>6080</v>
      </c>
      <c r="N1378">
        <v>5.7743899999999999E-3</v>
      </c>
      <c r="O1378">
        <v>2905.5</v>
      </c>
      <c r="P1378">
        <v>2858</v>
      </c>
      <c r="Q1378">
        <v>16.777490145000002</v>
      </c>
      <c r="R1378">
        <v>3509308689.8525128</v>
      </c>
      <c r="S1378">
        <v>0</v>
      </c>
      <c r="T1378" t="s">
        <v>6244</v>
      </c>
    </row>
    <row r="1379" spans="1:40" x14ac:dyDescent="0.25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11.154389999999999</v>
      </c>
      <c r="H1379" t="s">
        <v>99</v>
      </c>
      <c r="I1379">
        <v>6970042563.8610001</v>
      </c>
      <c r="J1379" t="s">
        <v>4701</v>
      </c>
      <c r="K1379">
        <v>15251538.303831499</v>
      </c>
      <c r="L1379">
        <v>0.9</v>
      </c>
      <c r="M1379" t="s">
        <v>6081</v>
      </c>
      <c r="N1379">
        <v>5.7743899999999999E-3</v>
      </c>
      <c r="O1379">
        <v>1872.5</v>
      </c>
      <c r="P1379">
        <v>1919.5</v>
      </c>
      <c r="Q1379">
        <v>10.812545275</v>
      </c>
      <c r="R1379">
        <v>6080790676.2612495</v>
      </c>
      <c r="S1379">
        <v>0</v>
      </c>
      <c r="T1379" t="s">
        <v>6244</v>
      </c>
      <c r="AJ1379" t="s">
        <v>6258</v>
      </c>
    </row>
    <row r="1380" spans="1:40" x14ac:dyDescent="0.25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7.0430440000000001</v>
      </c>
      <c r="H1380" t="s">
        <v>99</v>
      </c>
      <c r="I1380">
        <v>5069801405.5640001</v>
      </c>
      <c r="J1380" t="s">
        <v>4701</v>
      </c>
      <c r="K1380">
        <v>14882765.0687599</v>
      </c>
      <c r="L1380">
        <v>0.85</v>
      </c>
      <c r="M1380" t="s">
        <v>6082</v>
      </c>
      <c r="N1380">
        <v>5.7743899999999999E-3</v>
      </c>
      <c r="O1380">
        <v>1262</v>
      </c>
      <c r="P1380">
        <v>1212</v>
      </c>
      <c r="Q1380">
        <v>7.2872801799999998</v>
      </c>
      <c r="R1380">
        <v>4458768652.3621426</v>
      </c>
      <c r="S1380">
        <v>0</v>
      </c>
      <c r="T1380" t="s">
        <v>6244</v>
      </c>
    </row>
    <row r="1381" spans="1:40" x14ac:dyDescent="0.25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21.861329999999999</v>
      </c>
      <c r="H1381" t="s">
        <v>99</v>
      </c>
      <c r="I1381">
        <v>6442670365.6991997</v>
      </c>
      <c r="J1381" t="s">
        <v>4701</v>
      </c>
      <c r="K1381">
        <v>23499106.382332601</v>
      </c>
      <c r="L1381">
        <v>0.95</v>
      </c>
      <c r="M1381" t="s">
        <v>6083</v>
      </c>
      <c r="N1381">
        <v>5.7743899999999999E-3</v>
      </c>
      <c r="O1381">
        <v>4034</v>
      </c>
      <c r="P1381">
        <v>3762</v>
      </c>
      <c r="Q1381">
        <v>23.29388926</v>
      </c>
      <c r="R1381">
        <v>6521611792.8514328</v>
      </c>
      <c r="S1381">
        <v>0</v>
      </c>
      <c r="T1381" t="s">
        <v>6244</v>
      </c>
    </row>
    <row r="1382" spans="1:40" x14ac:dyDescent="0.25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5.7157900000000001</v>
      </c>
      <c r="H1382" t="s">
        <v>99</v>
      </c>
      <c r="I1382">
        <v>9325204499.7270012</v>
      </c>
      <c r="J1382" t="s">
        <v>4701</v>
      </c>
      <c r="K1382">
        <v>27308357.341130901</v>
      </c>
      <c r="L1382">
        <v>0.85</v>
      </c>
      <c r="M1382" t="s">
        <v>6084</v>
      </c>
      <c r="N1382">
        <v>5.7743899999999999E-3</v>
      </c>
      <c r="O1382">
        <v>983.7</v>
      </c>
      <c r="P1382">
        <v>983.6</v>
      </c>
      <c r="Q1382">
        <v>5.680267443</v>
      </c>
      <c r="R1382">
        <v>7877162595.4153175</v>
      </c>
      <c r="S1382">
        <v>0</v>
      </c>
      <c r="T1382" t="s">
        <v>6244</v>
      </c>
      <c r="AD1382" t="s">
        <v>6252</v>
      </c>
      <c r="AJ1382" t="s">
        <v>6258</v>
      </c>
      <c r="AN1382" t="s">
        <v>6262</v>
      </c>
    </row>
    <row r="1383" spans="1:40" x14ac:dyDescent="0.25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63.462029999999999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0.61572563000000002</v>
      </c>
      <c r="O1383">
        <v>106.32</v>
      </c>
      <c r="P1383">
        <v>102.88</v>
      </c>
      <c r="Q1383">
        <v>65.463948981599998</v>
      </c>
      <c r="R1383">
        <v>114673199431.0687</v>
      </c>
      <c r="S1383">
        <v>0</v>
      </c>
      <c r="T1383" t="s">
        <v>6243</v>
      </c>
      <c r="AJ1383" t="s">
        <v>6258</v>
      </c>
    </row>
    <row r="1384" spans="1:40" x14ac:dyDescent="0.25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4356208394.7648001</v>
      </c>
      <c r="J1384" t="s">
        <v>4701</v>
      </c>
      <c r="K1384">
        <v>14813748.477154</v>
      </c>
      <c r="L1384">
        <v>0.95</v>
      </c>
      <c r="M1384" t="s">
        <v>6086</v>
      </c>
      <c r="N1384">
        <v>5.7743899999999999E-3</v>
      </c>
      <c r="O1384">
        <v>2357</v>
      </c>
      <c r="P1384">
        <v>2306</v>
      </c>
      <c r="Q1384">
        <v>13.610237229999999</v>
      </c>
      <c r="R1384">
        <v>4203207535.3283339</v>
      </c>
      <c r="S1384">
        <v>0</v>
      </c>
      <c r="T1384" t="s">
        <v>6244</v>
      </c>
      <c r="AJ1384" t="s">
        <v>6258</v>
      </c>
    </row>
    <row r="1385" spans="1:40" x14ac:dyDescent="0.25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220292906.70840901</v>
      </c>
      <c r="L1385">
        <v>0.9</v>
      </c>
      <c r="M1385" t="s">
        <v>6087</v>
      </c>
      <c r="N1385">
        <v>1</v>
      </c>
      <c r="O1385">
        <v>52.12</v>
      </c>
      <c r="P1385">
        <v>54.63</v>
      </c>
      <c r="Q1385">
        <v>52.12</v>
      </c>
      <c r="R1385">
        <v>107006822962.632</v>
      </c>
      <c r="S1385">
        <v>1</v>
      </c>
      <c r="T1385" t="s">
        <v>6242</v>
      </c>
      <c r="AA1385" t="s">
        <v>6249</v>
      </c>
      <c r="AH1385" t="s">
        <v>6256</v>
      </c>
      <c r="AJ1385" t="s">
        <v>6258</v>
      </c>
    </row>
    <row r="1386" spans="1:40" x14ac:dyDescent="0.25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3875217941.0599999</v>
      </c>
      <c r="J1386" t="s">
        <v>4701</v>
      </c>
      <c r="K1386">
        <v>18883120.926032901</v>
      </c>
      <c r="L1386">
        <v>0.9</v>
      </c>
      <c r="M1386" t="s">
        <v>6088</v>
      </c>
      <c r="N1386">
        <v>5.7743899999999999E-3</v>
      </c>
      <c r="O1386">
        <v>4050</v>
      </c>
      <c r="P1386">
        <v>3768</v>
      </c>
      <c r="Q1386">
        <v>23.386279500000001</v>
      </c>
      <c r="R1386">
        <v>3725040733.2660151</v>
      </c>
      <c r="S1386">
        <v>0</v>
      </c>
      <c r="T1386" t="s">
        <v>6244</v>
      </c>
    </row>
    <row r="1387" spans="1:40" x14ac:dyDescent="0.25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20.803709999999999</v>
      </c>
      <c r="H1387" t="s">
        <v>99</v>
      </c>
      <c r="I1387">
        <v>3394378259.6135998</v>
      </c>
      <c r="J1387" t="s">
        <v>4701</v>
      </c>
      <c r="K1387">
        <v>6890489.1914659198</v>
      </c>
      <c r="L1387">
        <v>0.75</v>
      </c>
      <c r="M1387" t="s">
        <v>6089</v>
      </c>
      <c r="N1387">
        <v>5.7743899999999999E-3</v>
      </c>
      <c r="O1387">
        <v>3608</v>
      </c>
      <c r="P1387">
        <v>3580</v>
      </c>
      <c r="Q1387">
        <v>20.833999120000001</v>
      </c>
      <c r="R1387">
        <v>2549490223.3929739</v>
      </c>
      <c r="S1387">
        <v>0</v>
      </c>
      <c r="T1387" t="s">
        <v>6244</v>
      </c>
      <c r="W1387" t="s">
        <v>6247</v>
      </c>
    </row>
    <row r="1388" spans="1:40" x14ac:dyDescent="0.25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59.796140000000001</v>
      </c>
      <c r="H1388" t="s">
        <v>99</v>
      </c>
      <c r="I1388">
        <v>6630255799.3400002</v>
      </c>
      <c r="J1388" t="s">
        <v>4701</v>
      </c>
      <c r="K1388">
        <v>22475770.452094499</v>
      </c>
      <c r="L1388">
        <v>0.9</v>
      </c>
      <c r="M1388" t="s">
        <v>6090</v>
      </c>
      <c r="N1388">
        <v>5.7743899999999999E-3</v>
      </c>
      <c r="O1388">
        <v>10355</v>
      </c>
      <c r="P1388">
        <v>10290</v>
      </c>
      <c r="Q1388">
        <v>59.79380845</v>
      </c>
      <c r="R1388">
        <v>5966997547.2700052</v>
      </c>
      <c r="S1388">
        <v>0</v>
      </c>
      <c r="T1388" t="s">
        <v>6244</v>
      </c>
      <c r="AJ1388" t="s">
        <v>6258</v>
      </c>
      <c r="AN1388" t="s">
        <v>6262</v>
      </c>
    </row>
    <row r="1389" spans="1:40" x14ac:dyDescent="0.25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21.791599999999999</v>
      </c>
      <c r="H1389" t="s">
        <v>99</v>
      </c>
      <c r="I1389">
        <v>3358325703.4320002</v>
      </c>
      <c r="J1389" t="s">
        <v>4701</v>
      </c>
      <c r="K1389">
        <v>20611461.653527498</v>
      </c>
      <c r="L1389">
        <v>0.8</v>
      </c>
      <c r="M1389" t="s">
        <v>6091</v>
      </c>
      <c r="N1389">
        <v>5.7743899999999999E-3</v>
      </c>
      <c r="O1389">
        <v>4048</v>
      </c>
      <c r="P1389">
        <v>3750</v>
      </c>
      <c r="Q1389">
        <v>23.374730719999999</v>
      </c>
      <c r="R1389">
        <v>2881842874.7876282</v>
      </c>
      <c r="S1389">
        <v>0</v>
      </c>
      <c r="T1389" t="s">
        <v>6244</v>
      </c>
    </row>
    <row r="1390" spans="1:40" x14ac:dyDescent="0.25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95.069469999999995</v>
      </c>
      <c r="H1390" t="s">
        <v>99</v>
      </c>
      <c r="I1390">
        <v>30977496949.260799</v>
      </c>
      <c r="J1390" t="s">
        <v>4701</v>
      </c>
      <c r="K1390">
        <v>89834207.510267496</v>
      </c>
      <c r="L1390">
        <v>0.7</v>
      </c>
      <c r="M1390" t="s">
        <v>6092</v>
      </c>
      <c r="N1390">
        <v>5.7743899999999999E-3</v>
      </c>
      <c r="O1390">
        <v>16465</v>
      </c>
      <c r="P1390">
        <v>16360</v>
      </c>
      <c r="Q1390">
        <v>95.075331349999999</v>
      </c>
      <c r="R1390">
        <v>21685584770.707241</v>
      </c>
      <c r="S1390">
        <v>0</v>
      </c>
      <c r="T1390" t="s">
        <v>6244</v>
      </c>
    </row>
    <row r="1391" spans="1:40" x14ac:dyDescent="0.25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17.102049999999998</v>
      </c>
      <c r="H1391" t="s">
        <v>99</v>
      </c>
      <c r="I1391">
        <v>270126657423.35001</v>
      </c>
      <c r="J1391" t="s">
        <v>4701</v>
      </c>
      <c r="K1391">
        <v>455681538.57539099</v>
      </c>
      <c r="L1391">
        <v>0.75</v>
      </c>
      <c r="M1391" t="s">
        <v>6093</v>
      </c>
      <c r="N1391">
        <v>5.7743899999999999E-3</v>
      </c>
      <c r="O1391">
        <v>2889</v>
      </c>
      <c r="P1391">
        <v>2943</v>
      </c>
      <c r="Q1391">
        <v>16.682212710000002</v>
      </c>
      <c r="R1391">
        <v>197621499664.26349</v>
      </c>
      <c r="S1391">
        <v>0</v>
      </c>
      <c r="T1391" t="s">
        <v>6244</v>
      </c>
      <c r="AM1391" t="s">
        <v>6261</v>
      </c>
    </row>
    <row r="1392" spans="1:40" x14ac:dyDescent="0.25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22.314589999999999</v>
      </c>
      <c r="H1392" t="s">
        <v>99</v>
      </c>
      <c r="I1392">
        <v>23701879134.464001</v>
      </c>
      <c r="J1392" t="s">
        <v>4701</v>
      </c>
      <c r="K1392">
        <v>39071918.820983797</v>
      </c>
      <c r="L1392">
        <v>0.65</v>
      </c>
      <c r="M1392" t="s">
        <v>6094</v>
      </c>
      <c r="N1392">
        <v>5.7743899999999999E-3</v>
      </c>
      <c r="O1392">
        <v>4066</v>
      </c>
      <c r="P1392">
        <v>3840</v>
      </c>
      <c r="Q1392">
        <v>23.478669740000001</v>
      </c>
      <c r="R1392">
        <v>16209914010.074141</v>
      </c>
      <c r="S1392">
        <v>0</v>
      </c>
      <c r="T1392" t="s">
        <v>6244</v>
      </c>
      <c r="AJ1392" t="s">
        <v>6258</v>
      </c>
    </row>
    <row r="1393" spans="1:40" x14ac:dyDescent="0.25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27863390316.701801</v>
      </c>
      <c r="J1393" t="s">
        <v>4700</v>
      </c>
      <c r="K1393">
        <v>268982297.58725899</v>
      </c>
      <c r="L1393">
        <v>1</v>
      </c>
      <c r="M1393" t="s">
        <v>6095</v>
      </c>
      <c r="N1393">
        <v>0.85273301000000001</v>
      </c>
      <c r="O1393">
        <v>60.61</v>
      </c>
      <c r="P1393">
        <v>61.61</v>
      </c>
      <c r="Q1393">
        <v>51.684147736100002</v>
      </c>
      <c r="R1393">
        <v>27390099888.431438</v>
      </c>
      <c r="S1393">
        <v>0</v>
      </c>
      <c r="T1393" t="s">
        <v>6243</v>
      </c>
      <c r="AJ1393" t="s">
        <v>6258</v>
      </c>
    </row>
    <row r="1394" spans="1:40" x14ac:dyDescent="0.25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45.400239999999997</v>
      </c>
      <c r="H1394" t="s">
        <v>97</v>
      </c>
      <c r="I1394">
        <v>20233385582.063202</v>
      </c>
      <c r="J1394" t="s">
        <v>4700</v>
      </c>
      <c r="K1394">
        <v>793102858.08574903</v>
      </c>
      <c r="L1394">
        <v>1</v>
      </c>
      <c r="M1394" t="s">
        <v>6096</v>
      </c>
      <c r="N1394">
        <v>0.85273301000000001</v>
      </c>
      <c r="O1394">
        <v>45.15</v>
      </c>
      <c r="P1394">
        <v>53.2</v>
      </c>
      <c r="Q1394">
        <v>38.500895401500003</v>
      </c>
      <c r="R1394">
        <v>17158575855.83762</v>
      </c>
      <c r="S1394">
        <v>0</v>
      </c>
      <c r="T1394" t="s">
        <v>6243</v>
      </c>
    </row>
    <row r="1395" spans="1:40" x14ac:dyDescent="0.25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361.93040000000002</v>
      </c>
      <c r="H1395" t="s">
        <v>97</v>
      </c>
      <c r="I1395">
        <v>80535076870.248001</v>
      </c>
      <c r="J1395" t="s">
        <v>4700</v>
      </c>
      <c r="K1395">
        <v>456675443.98159301</v>
      </c>
      <c r="L1395">
        <v>1</v>
      </c>
      <c r="M1395" t="s">
        <v>6097</v>
      </c>
      <c r="N1395">
        <v>0.85273301000000001</v>
      </c>
      <c r="O1395">
        <v>400.77</v>
      </c>
      <c r="P1395">
        <v>424.11</v>
      </c>
      <c r="Q1395">
        <v>341.74980841770002</v>
      </c>
      <c r="R1395">
        <v>76044585067.493622</v>
      </c>
      <c r="S1395">
        <v>0</v>
      </c>
      <c r="T1395" t="s">
        <v>6243</v>
      </c>
    </row>
    <row r="1396" spans="1:40" x14ac:dyDescent="0.25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67730957609.455002</v>
      </c>
      <c r="J1396" t="s">
        <v>4700</v>
      </c>
      <c r="K1396">
        <v>385576303.36944503</v>
      </c>
      <c r="L1396">
        <v>1</v>
      </c>
      <c r="M1396" t="s">
        <v>6098</v>
      </c>
      <c r="N1396">
        <v>0.85273301000000001</v>
      </c>
      <c r="O1396">
        <v>1271.45</v>
      </c>
      <c r="P1396">
        <v>1408.46</v>
      </c>
      <c r="Q1396">
        <v>1084.2073855645001</v>
      </c>
      <c r="R1396">
        <v>61095395175.664467</v>
      </c>
      <c r="S1396">
        <v>0</v>
      </c>
      <c r="T1396" t="s">
        <v>6243</v>
      </c>
      <c r="AD1396" t="s">
        <v>6252</v>
      </c>
      <c r="AJ1396" t="s">
        <v>6258</v>
      </c>
      <c r="AN1396" t="s">
        <v>6262</v>
      </c>
    </row>
    <row r="1397" spans="1:40" x14ac:dyDescent="0.25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77.709500000000006</v>
      </c>
      <c r="H1397" t="s">
        <v>97</v>
      </c>
      <c r="I1397">
        <v>15137810600</v>
      </c>
      <c r="J1397" t="s">
        <v>4700</v>
      </c>
      <c r="K1397">
        <v>167624087.24495801</v>
      </c>
      <c r="L1397">
        <v>1</v>
      </c>
      <c r="M1397" t="s">
        <v>6099</v>
      </c>
      <c r="N1397">
        <v>0.85273301000000001</v>
      </c>
      <c r="O1397">
        <v>91.72</v>
      </c>
      <c r="P1397">
        <v>91.06</v>
      </c>
      <c r="Q1397">
        <v>78.212671677200007</v>
      </c>
      <c r="R1397">
        <v>15235828442.718559</v>
      </c>
      <c r="S1397">
        <v>0</v>
      </c>
      <c r="T1397" t="s">
        <v>6243</v>
      </c>
    </row>
    <row r="1398" spans="1:40" x14ac:dyDescent="0.25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8.1952099999999994</v>
      </c>
      <c r="H1398" t="s">
        <v>4691</v>
      </c>
      <c r="I1398">
        <v>25519775763.228001</v>
      </c>
      <c r="J1398" t="s">
        <v>4701</v>
      </c>
      <c r="K1398">
        <v>36501376.7790749</v>
      </c>
      <c r="L1398">
        <v>1</v>
      </c>
      <c r="M1398" t="s">
        <v>6100</v>
      </c>
      <c r="N1398">
        <v>0.56652409000000004</v>
      </c>
      <c r="O1398">
        <v>14.5</v>
      </c>
      <c r="P1398">
        <v>14.79</v>
      </c>
      <c r="Q1398">
        <v>8.2145993050000001</v>
      </c>
      <c r="R1398">
        <v>25580153803.05917</v>
      </c>
      <c r="S1398">
        <v>0</v>
      </c>
      <c r="T1398" t="s">
        <v>6244</v>
      </c>
      <c r="U1398" t="s">
        <v>6245</v>
      </c>
    </row>
    <row r="1399" spans="1:40" x14ac:dyDescent="0.25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53082639785.358002</v>
      </c>
      <c r="J1399" t="s">
        <v>4700</v>
      </c>
      <c r="K1399">
        <v>291765835.12643701</v>
      </c>
      <c r="L1399">
        <v>1</v>
      </c>
      <c r="M1399" t="s">
        <v>6101</v>
      </c>
      <c r="N1399">
        <v>0.85273301000000001</v>
      </c>
      <c r="O1399">
        <v>278.93</v>
      </c>
      <c r="P1399">
        <v>276.29000000000002</v>
      </c>
      <c r="Q1399">
        <v>237.8528184793</v>
      </c>
      <c r="R1399">
        <v>53548716000.539581</v>
      </c>
      <c r="S1399">
        <v>0</v>
      </c>
      <c r="T1399" t="s">
        <v>6243</v>
      </c>
      <c r="AJ1399" t="s">
        <v>6258</v>
      </c>
    </row>
    <row r="1400" spans="1:40" x14ac:dyDescent="0.25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4.4605439999999996</v>
      </c>
      <c r="H1400" t="s">
        <v>4691</v>
      </c>
      <c r="I1400">
        <v>3619403382.9888</v>
      </c>
      <c r="J1400" t="s">
        <v>4701</v>
      </c>
      <c r="K1400">
        <v>31487857.409385402</v>
      </c>
      <c r="L1400">
        <v>1</v>
      </c>
      <c r="M1400" t="s">
        <v>6102</v>
      </c>
      <c r="N1400">
        <v>0.56652409000000004</v>
      </c>
      <c r="O1400">
        <v>7.58</v>
      </c>
      <c r="P1400">
        <v>8.0500000000000007</v>
      </c>
      <c r="Q1400">
        <v>4.2942526022000003</v>
      </c>
      <c r="R1400">
        <v>3484470144.4064078</v>
      </c>
      <c r="S1400">
        <v>0</v>
      </c>
      <c r="T1400" t="s">
        <v>6244</v>
      </c>
      <c r="U1400" t="s">
        <v>6245</v>
      </c>
      <c r="AJ1400" t="s">
        <v>6258</v>
      </c>
    </row>
    <row r="1401" spans="1:40" x14ac:dyDescent="0.25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6581624428.6550999</v>
      </c>
      <c r="J1401" t="s">
        <v>4699</v>
      </c>
      <c r="K1401">
        <v>9163432.9916177709</v>
      </c>
      <c r="L1401">
        <v>1</v>
      </c>
      <c r="M1401" t="s">
        <v>6103</v>
      </c>
      <c r="N1401">
        <v>9.1395149999999994E-2</v>
      </c>
      <c r="O1401">
        <v>374.7</v>
      </c>
      <c r="P1401">
        <v>361.5</v>
      </c>
      <c r="Q1401">
        <v>34.245762704999997</v>
      </c>
      <c r="R1401">
        <v>6946012228.8619404</v>
      </c>
      <c r="S1401">
        <v>0</v>
      </c>
      <c r="T1401" t="s">
        <v>6242</v>
      </c>
      <c r="U1401" t="s">
        <v>6245</v>
      </c>
      <c r="W1401" t="s">
        <v>6247</v>
      </c>
    </row>
    <row r="1402" spans="1:40" x14ac:dyDescent="0.25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45.582210000000003</v>
      </c>
      <c r="H1402" t="s">
        <v>99</v>
      </c>
      <c r="I1402">
        <v>6422606776.3581009</v>
      </c>
      <c r="J1402" t="s">
        <v>4701</v>
      </c>
      <c r="K1402">
        <v>33644855.948004</v>
      </c>
      <c r="L1402">
        <v>0.85</v>
      </c>
      <c r="M1402" t="s">
        <v>6104</v>
      </c>
      <c r="N1402">
        <v>5.7743899999999999E-3</v>
      </c>
      <c r="O1402">
        <v>8150</v>
      </c>
      <c r="P1402">
        <v>7844</v>
      </c>
      <c r="Q1402">
        <v>47.0612785</v>
      </c>
      <c r="R1402">
        <v>5636358422.9121265</v>
      </c>
      <c r="S1402">
        <v>0</v>
      </c>
      <c r="T1402" t="s">
        <v>6244</v>
      </c>
      <c r="AN1402" t="s">
        <v>6262</v>
      </c>
    </row>
    <row r="1403" spans="1:40" x14ac:dyDescent="0.25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16770343326.370199</v>
      </c>
      <c r="J1403" t="s">
        <v>4700</v>
      </c>
      <c r="K1403">
        <v>109442726.43040401</v>
      </c>
      <c r="L1403">
        <v>1</v>
      </c>
      <c r="M1403" t="s">
        <v>6105</v>
      </c>
      <c r="N1403">
        <v>0.85273301000000001</v>
      </c>
      <c r="O1403">
        <v>80.88</v>
      </c>
      <c r="P1403">
        <v>82.58</v>
      </c>
      <c r="Q1403">
        <v>68.969045848799993</v>
      </c>
      <c r="R1403">
        <v>16412501078.807211</v>
      </c>
      <c r="S1403">
        <v>0</v>
      </c>
      <c r="T1403" t="s">
        <v>6243</v>
      </c>
    </row>
    <row r="1404" spans="1:40" x14ac:dyDescent="0.25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4079930593.4099998</v>
      </c>
      <c r="J1404" t="s">
        <v>4699</v>
      </c>
      <c r="K1404">
        <v>6409342.4980803002</v>
      </c>
      <c r="L1404">
        <v>0.9</v>
      </c>
      <c r="M1404" t="s">
        <v>6106</v>
      </c>
      <c r="N1404">
        <v>1.156136E-2</v>
      </c>
      <c r="O1404">
        <v>135.5</v>
      </c>
      <c r="P1404">
        <v>142.5</v>
      </c>
      <c r="Q1404">
        <v>1.5665642799999999</v>
      </c>
      <c r="R1404">
        <v>3497526685.5297298</v>
      </c>
      <c r="S1404">
        <v>0</v>
      </c>
      <c r="T1404" t="s">
        <v>6242</v>
      </c>
      <c r="W1404" t="s">
        <v>6247</v>
      </c>
    </row>
    <row r="1405" spans="1:40" x14ac:dyDescent="0.25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39.179040000000001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0.85273301000000001</v>
      </c>
      <c r="O1405">
        <v>45.2</v>
      </c>
      <c r="P1405">
        <v>45.91</v>
      </c>
      <c r="Q1405">
        <v>38.543532052000003</v>
      </c>
      <c r="R1405">
        <v>49699386960.177032</v>
      </c>
      <c r="S1405">
        <v>0</v>
      </c>
      <c r="T1405" t="s">
        <v>6243</v>
      </c>
      <c r="AJ1405" t="s">
        <v>6258</v>
      </c>
    </row>
    <row r="1406" spans="1:40" x14ac:dyDescent="0.25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22.733429999999998</v>
      </c>
      <c r="H1406" t="s">
        <v>4696</v>
      </c>
      <c r="I1406">
        <v>13898634852.849001</v>
      </c>
      <c r="J1406" t="s">
        <v>4699</v>
      </c>
      <c r="K1406">
        <v>13638254.049906701</v>
      </c>
      <c r="L1406">
        <v>0.5</v>
      </c>
      <c r="M1406" t="s">
        <v>6108</v>
      </c>
      <c r="N1406">
        <v>0.13397104000000001</v>
      </c>
      <c r="O1406">
        <v>167.5</v>
      </c>
      <c r="P1406">
        <v>169.7</v>
      </c>
      <c r="Q1406">
        <v>22.4401492</v>
      </c>
      <c r="R1406">
        <v>6859665254.5227814</v>
      </c>
      <c r="S1406">
        <v>0</v>
      </c>
      <c r="T1406" t="s">
        <v>6242</v>
      </c>
      <c r="U1406" t="s">
        <v>6245</v>
      </c>
      <c r="AJ1406" t="s">
        <v>6258</v>
      </c>
    </row>
    <row r="1407" spans="1:40" x14ac:dyDescent="0.25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66.537009999999995</v>
      </c>
      <c r="H1407" t="s">
        <v>99</v>
      </c>
      <c r="I1407">
        <v>3302043306.9506698</v>
      </c>
      <c r="J1407" t="s">
        <v>4701</v>
      </c>
      <c r="K1407">
        <v>13585962.824952001</v>
      </c>
      <c r="L1407">
        <v>0.7</v>
      </c>
      <c r="M1407" t="s">
        <v>6109</v>
      </c>
      <c r="N1407">
        <v>5.7743899999999999E-3</v>
      </c>
      <c r="O1407">
        <v>2481</v>
      </c>
      <c r="P1407">
        <v>11450</v>
      </c>
      <c r="Q1407">
        <v>14.32626159</v>
      </c>
      <c r="R1407">
        <v>497680243.48883092</v>
      </c>
      <c r="S1407">
        <v>0</v>
      </c>
      <c r="T1407" t="s">
        <v>6244</v>
      </c>
      <c r="AJ1407" t="s">
        <v>6258</v>
      </c>
    </row>
    <row r="1408" spans="1:40" x14ac:dyDescent="0.25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7148723238.8000002</v>
      </c>
      <c r="J1408" t="s">
        <v>4702</v>
      </c>
      <c r="K1408">
        <v>2097861.5409090901</v>
      </c>
      <c r="L1408">
        <v>0.45</v>
      </c>
      <c r="M1408" t="s">
        <v>6110</v>
      </c>
      <c r="N1408">
        <v>1</v>
      </c>
      <c r="O1408">
        <v>169.2</v>
      </c>
      <c r="P1408">
        <v>160.6</v>
      </c>
      <c r="Q1408">
        <v>169.2</v>
      </c>
      <c r="R1408">
        <v>3389189211.7199998</v>
      </c>
      <c r="S1408">
        <v>0</v>
      </c>
      <c r="T1408" t="s">
        <v>6242</v>
      </c>
      <c r="W1408" t="s">
        <v>6247</v>
      </c>
    </row>
    <row r="1409" spans="1:40" x14ac:dyDescent="0.25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9.1379999999999999</v>
      </c>
      <c r="H1409" t="s">
        <v>98</v>
      </c>
      <c r="I1409">
        <v>4636904752.1400003</v>
      </c>
      <c r="J1409" t="s">
        <v>4702</v>
      </c>
      <c r="K1409">
        <v>32447700.539590899</v>
      </c>
      <c r="L1409">
        <v>0.9</v>
      </c>
      <c r="M1409" t="s">
        <v>6111</v>
      </c>
      <c r="N1409">
        <v>1</v>
      </c>
      <c r="O1409">
        <v>8.07</v>
      </c>
      <c r="P1409">
        <v>9.1379999999999999</v>
      </c>
      <c r="Q1409">
        <v>8.07</v>
      </c>
      <c r="R1409">
        <v>3685471570.8899999</v>
      </c>
      <c r="S1409">
        <v>0</v>
      </c>
      <c r="T1409" t="s">
        <v>6242</v>
      </c>
    </row>
    <row r="1410" spans="1:40" x14ac:dyDescent="0.25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478.87009999999998</v>
      </c>
      <c r="H1410" t="s">
        <v>97</v>
      </c>
      <c r="I1410">
        <v>20716787280.881001</v>
      </c>
      <c r="J1410" t="s">
        <v>4700</v>
      </c>
      <c r="K1410">
        <v>158354373.822274</v>
      </c>
      <c r="L1410">
        <v>1</v>
      </c>
      <c r="M1410" t="s">
        <v>6112</v>
      </c>
      <c r="N1410">
        <v>0.85273301000000001</v>
      </c>
      <c r="O1410">
        <v>544.99</v>
      </c>
      <c r="P1410">
        <v>561.14</v>
      </c>
      <c r="Q1410">
        <v>464.73096311990003</v>
      </c>
      <c r="R1410">
        <v>20105102627.610119</v>
      </c>
      <c r="S1410">
        <v>0</v>
      </c>
      <c r="T1410" t="s">
        <v>6243</v>
      </c>
    </row>
    <row r="1411" spans="1:40" x14ac:dyDescent="0.25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41.201569999999997</v>
      </c>
      <c r="H1411" t="s">
        <v>97</v>
      </c>
      <c r="I1411">
        <v>64117450617.514992</v>
      </c>
      <c r="J1411" t="s">
        <v>4700</v>
      </c>
      <c r="K1411">
        <v>399635621.73099202</v>
      </c>
      <c r="L1411">
        <v>1</v>
      </c>
      <c r="M1411" t="s">
        <v>6113</v>
      </c>
      <c r="N1411">
        <v>0.85273301000000001</v>
      </c>
      <c r="O1411">
        <v>49.13</v>
      </c>
      <c r="P1411">
        <v>48.28</v>
      </c>
      <c r="Q1411">
        <v>41.894772781300013</v>
      </c>
      <c r="R1411">
        <v>65196205507.144867</v>
      </c>
      <c r="S1411">
        <v>0</v>
      </c>
      <c r="T1411" t="s">
        <v>6243</v>
      </c>
      <c r="AJ1411" t="s">
        <v>6258</v>
      </c>
    </row>
    <row r="1412" spans="1:40" x14ac:dyDescent="0.25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82.599419999999995</v>
      </c>
      <c r="H1412" t="s">
        <v>97</v>
      </c>
      <c r="I1412">
        <v>172254375077.15399</v>
      </c>
      <c r="J1412" t="s">
        <v>4700</v>
      </c>
      <c r="K1412">
        <v>1509283570.7553599</v>
      </c>
      <c r="L1412">
        <v>1</v>
      </c>
      <c r="M1412" t="s">
        <v>6114</v>
      </c>
      <c r="N1412">
        <v>0.85273301000000001</v>
      </c>
      <c r="O1412">
        <v>95.89</v>
      </c>
      <c r="P1412">
        <v>96.79</v>
      </c>
      <c r="Q1412">
        <v>81.768568328900002</v>
      </c>
      <c r="R1412">
        <v>170521701465.3158</v>
      </c>
      <c r="S1412">
        <v>0</v>
      </c>
      <c r="T1412" t="s">
        <v>6243</v>
      </c>
    </row>
    <row r="1413" spans="1:40" x14ac:dyDescent="0.25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34.410209999999999</v>
      </c>
      <c r="H1413" t="s">
        <v>4694</v>
      </c>
      <c r="I1413">
        <v>114984531470.17799</v>
      </c>
      <c r="J1413" t="s">
        <v>4699</v>
      </c>
      <c r="K1413">
        <v>210998847.78689101</v>
      </c>
      <c r="L1413">
        <v>0.95</v>
      </c>
      <c r="M1413" t="s">
        <v>6115</v>
      </c>
      <c r="N1413">
        <v>1.07032003</v>
      </c>
      <c r="O1413">
        <v>32.36</v>
      </c>
      <c r="P1413">
        <v>32.32</v>
      </c>
      <c r="Q1413">
        <v>34.635556170800001</v>
      </c>
      <c r="R1413">
        <v>109950666926.5618</v>
      </c>
      <c r="S1413">
        <v>0</v>
      </c>
      <c r="T1413" t="s">
        <v>6242</v>
      </c>
      <c r="U1413" t="s">
        <v>6245</v>
      </c>
      <c r="AJ1413" t="s">
        <v>6258</v>
      </c>
    </row>
    <row r="1414" spans="1:40" x14ac:dyDescent="0.25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38375966323.400002</v>
      </c>
      <c r="J1414" t="s">
        <v>4702</v>
      </c>
      <c r="K1414">
        <v>36401470.527651504</v>
      </c>
      <c r="L1414">
        <v>0.65</v>
      </c>
      <c r="M1414" t="s">
        <v>6116</v>
      </c>
      <c r="N1414">
        <v>1</v>
      </c>
      <c r="O1414">
        <v>207.4</v>
      </c>
      <c r="P1414">
        <v>197.3</v>
      </c>
      <c r="Q1414">
        <v>207.4</v>
      </c>
      <c r="R1414">
        <v>26221307754.98</v>
      </c>
      <c r="S1414">
        <v>0</v>
      </c>
      <c r="T1414" t="s">
        <v>6242</v>
      </c>
    </row>
    <row r="1415" spans="1:40" x14ac:dyDescent="0.25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20309521543.053398</v>
      </c>
      <c r="J1415" t="s">
        <v>4700</v>
      </c>
      <c r="K1415">
        <v>304694752.89728099</v>
      </c>
      <c r="L1415">
        <v>1</v>
      </c>
      <c r="M1415" t="s">
        <v>6117</v>
      </c>
      <c r="N1415">
        <v>0.85273301000000001</v>
      </c>
      <c r="O1415">
        <v>514.62</v>
      </c>
      <c r="P1415">
        <v>529.5</v>
      </c>
      <c r="Q1415">
        <v>438.83346160619999</v>
      </c>
      <c r="R1415">
        <v>19723635864.968391</v>
      </c>
      <c r="S1415">
        <v>0</v>
      </c>
      <c r="T1415" t="s">
        <v>6243</v>
      </c>
    </row>
    <row r="1416" spans="1:40" x14ac:dyDescent="0.25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55337602.842727304</v>
      </c>
      <c r="L1416">
        <v>0.60000000000000009</v>
      </c>
      <c r="M1416" t="s">
        <v>6118</v>
      </c>
      <c r="N1416">
        <v>1</v>
      </c>
      <c r="O1416">
        <v>24.59</v>
      </c>
      <c r="P1416">
        <v>24.81</v>
      </c>
      <c r="Q1416">
        <v>24.59</v>
      </c>
      <c r="R1416">
        <v>27060308818.049999</v>
      </c>
      <c r="S1416">
        <v>0</v>
      </c>
      <c r="T1416" t="s">
        <v>6242</v>
      </c>
      <c r="AN1416" t="s">
        <v>6262</v>
      </c>
    </row>
    <row r="1417" spans="1:40" x14ac:dyDescent="0.25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7788470.9813636299</v>
      </c>
      <c r="L1417">
        <v>0.75</v>
      </c>
      <c r="M1417" t="s">
        <v>6119</v>
      </c>
      <c r="N1417">
        <v>1</v>
      </c>
      <c r="O1417">
        <v>13.16</v>
      </c>
      <c r="P1417">
        <v>13.88</v>
      </c>
      <c r="Q1417">
        <v>13.16</v>
      </c>
      <c r="R1417">
        <v>2431968000</v>
      </c>
      <c r="S1417">
        <v>0</v>
      </c>
      <c r="T1417" t="s">
        <v>6242</v>
      </c>
      <c r="W1417" t="s">
        <v>6247</v>
      </c>
    </row>
    <row r="1418" spans="1:40" x14ac:dyDescent="0.25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30300941.584848501</v>
      </c>
      <c r="L1418">
        <v>0.85000000000000009</v>
      </c>
      <c r="M1418" t="s">
        <v>6120</v>
      </c>
      <c r="N1418">
        <v>1</v>
      </c>
      <c r="O1418">
        <v>89.34</v>
      </c>
      <c r="P1418">
        <v>91.7</v>
      </c>
      <c r="Q1418">
        <v>89.34</v>
      </c>
      <c r="R1418">
        <v>10877861323.653</v>
      </c>
      <c r="S1418">
        <v>1</v>
      </c>
      <c r="T1418" t="s">
        <v>6242</v>
      </c>
    </row>
    <row r="1419" spans="1:40" x14ac:dyDescent="0.25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5.8953530000000001</v>
      </c>
      <c r="H1419" t="s">
        <v>99</v>
      </c>
      <c r="I1419">
        <v>10980112059.023701</v>
      </c>
      <c r="J1419" t="s">
        <v>4701</v>
      </c>
      <c r="K1419">
        <v>38208893.9341425</v>
      </c>
      <c r="L1419">
        <v>0.7</v>
      </c>
      <c r="M1419" t="s">
        <v>6121</v>
      </c>
      <c r="N1419">
        <v>5.7743899999999999E-3</v>
      </c>
      <c r="O1419">
        <v>979.2</v>
      </c>
      <c r="P1419">
        <v>1014.5</v>
      </c>
      <c r="Q1419">
        <v>5.6542826880000003</v>
      </c>
      <c r="R1419">
        <v>7371782532.6738567</v>
      </c>
      <c r="S1419">
        <v>0</v>
      </c>
      <c r="T1419" t="s">
        <v>6244</v>
      </c>
    </row>
    <row r="1420" spans="1:40" x14ac:dyDescent="0.25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307637562.66069198</v>
      </c>
      <c r="L1420">
        <v>1</v>
      </c>
      <c r="M1420" t="s">
        <v>6122</v>
      </c>
      <c r="N1420">
        <v>1</v>
      </c>
      <c r="O1420">
        <v>66.7</v>
      </c>
      <c r="P1420">
        <v>69.19</v>
      </c>
      <c r="Q1420">
        <v>66.7</v>
      </c>
      <c r="R1420">
        <v>103896934239.2</v>
      </c>
      <c r="S1420">
        <v>0</v>
      </c>
      <c r="T1420" t="s">
        <v>6242</v>
      </c>
      <c r="AJ1420" t="s">
        <v>6258</v>
      </c>
      <c r="AN1420" t="s">
        <v>6262</v>
      </c>
    </row>
    <row r="1421" spans="1:40" x14ac:dyDescent="0.25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45336315.628636397</v>
      </c>
      <c r="L1421">
        <v>1</v>
      </c>
      <c r="M1421" t="s">
        <v>6123</v>
      </c>
      <c r="N1421">
        <v>1</v>
      </c>
      <c r="O1421">
        <v>53.62</v>
      </c>
      <c r="P1421">
        <v>53.98</v>
      </c>
      <c r="Q1421">
        <v>53.62</v>
      </c>
      <c r="R1421">
        <v>141435821054.64001</v>
      </c>
      <c r="S1421">
        <v>0</v>
      </c>
      <c r="T1421" t="s">
        <v>6242</v>
      </c>
    </row>
    <row r="1422" spans="1:40" x14ac:dyDescent="0.25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771268000.95312703</v>
      </c>
      <c r="L1422">
        <v>1</v>
      </c>
      <c r="M1422" t="s">
        <v>6124</v>
      </c>
      <c r="N1422">
        <v>0.85273301000000001</v>
      </c>
      <c r="O1422">
        <v>214.91</v>
      </c>
      <c r="P1422">
        <v>227.85</v>
      </c>
      <c r="Q1422">
        <v>183.2608511791</v>
      </c>
      <c r="R1422">
        <v>108680989526.7343</v>
      </c>
      <c r="S1422">
        <v>0</v>
      </c>
      <c r="T1422" t="s">
        <v>6243</v>
      </c>
      <c r="AF1422" t="s">
        <v>6254</v>
      </c>
      <c r="AG1422" t="s">
        <v>6255</v>
      </c>
    </row>
    <row r="1423" spans="1:40" x14ac:dyDescent="0.25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18.329999999999998</v>
      </c>
      <c r="H1423" t="s">
        <v>98</v>
      </c>
      <c r="I1423">
        <v>13151289401.639999</v>
      </c>
      <c r="J1423" t="s">
        <v>4702</v>
      </c>
      <c r="K1423">
        <v>24249504.811307698</v>
      </c>
      <c r="L1423">
        <v>0.55000000000000004</v>
      </c>
      <c r="M1423" t="s">
        <v>6125</v>
      </c>
      <c r="N1423">
        <v>1</v>
      </c>
      <c r="O1423">
        <v>17.649999999999999</v>
      </c>
      <c r="P1423">
        <v>18.329999999999998</v>
      </c>
      <c r="Q1423">
        <v>17.649999999999999</v>
      </c>
      <c r="R1423">
        <v>6964874078.9099998</v>
      </c>
      <c r="S1423">
        <v>0</v>
      </c>
      <c r="T1423" t="s">
        <v>6242</v>
      </c>
      <c r="AJ1423" t="s">
        <v>6258</v>
      </c>
    </row>
    <row r="1424" spans="1:40" x14ac:dyDescent="0.25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8.4888790000000007</v>
      </c>
      <c r="H1424" t="s">
        <v>96</v>
      </c>
      <c r="I1424">
        <v>4154316127.65344</v>
      </c>
      <c r="J1424" t="s">
        <v>4699</v>
      </c>
      <c r="K1424">
        <v>7030993.4679035004</v>
      </c>
      <c r="L1424">
        <v>0.9</v>
      </c>
      <c r="M1424" t="s">
        <v>6126</v>
      </c>
      <c r="N1424">
        <v>1.156136E-2</v>
      </c>
      <c r="O1424">
        <v>709.5</v>
      </c>
      <c r="P1424">
        <v>735.5</v>
      </c>
      <c r="Q1424">
        <v>8.2027849199999991</v>
      </c>
      <c r="R1424">
        <v>3612875800.9562378</v>
      </c>
      <c r="S1424">
        <v>0</v>
      </c>
      <c r="T1424" t="s">
        <v>6242</v>
      </c>
      <c r="W1424" t="s">
        <v>6247</v>
      </c>
      <c r="AN1424" t="s">
        <v>6262</v>
      </c>
    </row>
    <row r="1425" spans="1:40" x14ac:dyDescent="0.25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87.881900000000002</v>
      </c>
      <c r="H1425" t="s">
        <v>97</v>
      </c>
      <c r="I1425">
        <v>28450192038.990002</v>
      </c>
      <c r="J1425" t="s">
        <v>4700</v>
      </c>
      <c r="K1425">
        <v>505670860.951617</v>
      </c>
      <c r="L1425">
        <v>1</v>
      </c>
      <c r="M1425" t="s">
        <v>6127</v>
      </c>
      <c r="N1425">
        <v>0.85273301000000001</v>
      </c>
      <c r="O1425">
        <v>106.58</v>
      </c>
      <c r="P1425">
        <v>102.98</v>
      </c>
      <c r="Q1425">
        <v>90.8842842058</v>
      </c>
      <c r="R1425">
        <v>29422160182.940472</v>
      </c>
      <c r="S1425">
        <v>0</v>
      </c>
      <c r="T1425" t="s">
        <v>6243</v>
      </c>
    </row>
    <row r="1426" spans="1:40" x14ac:dyDescent="0.25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237602123567.02499</v>
      </c>
      <c r="J1426" t="s">
        <v>4700</v>
      </c>
      <c r="K1426">
        <v>4142938564.3520002</v>
      </c>
      <c r="L1426">
        <v>1</v>
      </c>
      <c r="M1426" t="s">
        <v>6128</v>
      </c>
      <c r="N1426">
        <v>0.85273301000000001</v>
      </c>
      <c r="O1426">
        <v>352.51</v>
      </c>
      <c r="P1426">
        <v>307.42</v>
      </c>
      <c r="Q1426">
        <v>300.59691335510001</v>
      </c>
      <c r="R1426">
        <v>272242703697.04721</v>
      </c>
      <c r="S1426">
        <v>0</v>
      </c>
      <c r="T1426" t="s">
        <v>6243</v>
      </c>
      <c r="AJ1426" t="s">
        <v>6258</v>
      </c>
    </row>
    <row r="1427" spans="1:40" x14ac:dyDescent="0.25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39514710590.459999</v>
      </c>
      <c r="J1427" t="s">
        <v>4701</v>
      </c>
      <c r="K1427">
        <v>72216281.678237006</v>
      </c>
      <c r="L1427">
        <v>0.85</v>
      </c>
      <c r="M1427" t="s">
        <v>6129</v>
      </c>
      <c r="N1427">
        <v>0.66458430000000002</v>
      </c>
      <c r="O1427">
        <v>35.299999999999997</v>
      </c>
      <c r="P1427">
        <v>35.4</v>
      </c>
      <c r="Q1427">
        <v>23.45982579</v>
      </c>
      <c r="R1427">
        <v>33409342008.02338</v>
      </c>
      <c r="S1427">
        <v>0</v>
      </c>
      <c r="T1427" t="s">
        <v>6244</v>
      </c>
      <c r="U1427" t="s">
        <v>6245</v>
      </c>
      <c r="AJ1427" t="s">
        <v>6258</v>
      </c>
    </row>
    <row r="1428" spans="1:40" x14ac:dyDescent="0.25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793.60820000000001</v>
      </c>
      <c r="H1428" t="s">
        <v>97</v>
      </c>
      <c r="I1428">
        <v>51061723758.044998</v>
      </c>
      <c r="J1428" t="s">
        <v>4700</v>
      </c>
      <c r="K1428">
        <v>370638386.729433</v>
      </c>
      <c r="L1428">
        <v>1</v>
      </c>
      <c r="M1428" t="s">
        <v>6130</v>
      </c>
      <c r="N1428">
        <v>0.85273301000000001</v>
      </c>
      <c r="O1428">
        <v>938</v>
      </c>
      <c r="P1428">
        <v>929.95</v>
      </c>
      <c r="Q1428">
        <v>799.86356337999996</v>
      </c>
      <c r="R1428">
        <v>51464201500.734337</v>
      </c>
      <c r="S1428">
        <v>0</v>
      </c>
      <c r="T1428" t="s">
        <v>6243</v>
      </c>
    </row>
    <row r="1429" spans="1:40" x14ac:dyDescent="0.25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1031.4690000000001</v>
      </c>
      <c r="H1429" t="s">
        <v>99</v>
      </c>
      <c r="I1429">
        <v>3196100560.1789999</v>
      </c>
      <c r="J1429" t="s">
        <v>4701</v>
      </c>
      <c r="K1429">
        <v>8434421.8853900898</v>
      </c>
      <c r="L1429">
        <v>0.9</v>
      </c>
      <c r="M1429" t="s">
        <v>6131</v>
      </c>
      <c r="N1429">
        <v>5.7743899999999999E-3</v>
      </c>
      <c r="O1429">
        <v>181000</v>
      </c>
      <c r="P1429">
        <v>177500</v>
      </c>
      <c r="Q1429">
        <v>1045.1645900000001</v>
      </c>
      <c r="R1429">
        <v>2914683832.8834209</v>
      </c>
      <c r="S1429">
        <v>0</v>
      </c>
      <c r="T1429" t="s">
        <v>6244</v>
      </c>
      <c r="W1429" t="s">
        <v>6247</v>
      </c>
    </row>
    <row r="1430" spans="1:40" x14ac:dyDescent="0.25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13.463329999999999</v>
      </c>
      <c r="H1430" t="s">
        <v>96</v>
      </c>
      <c r="I1430">
        <v>9180488552.3719997</v>
      </c>
      <c r="J1430" t="s">
        <v>4699</v>
      </c>
      <c r="K1430">
        <v>17691825.003540698</v>
      </c>
      <c r="L1430">
        <v>1</v>
      </c>
      <c r="M1430" t="s">
        <v>6132</v>
      </c>
      <c r="N1430">
        <v>1.156136E-2</v>
      </c>
      <c r="O1430">
        <v>1147.5</v>
      </c>
      <c r="P1430">
        <v>1166.5</v>
      </c>
      <c r="Q1430">
        <v>13.2666606</v>
      </c>
      <c r="R1430">
        <v>9046381969.877039</v>
      </c>
      <c r="S1430">
        <v>0</v>
      </c>
      <c r="T1430" t="s">
        <v>6242</v>
      </c>
    </row>
    <row r="1431" spans="1:40" x14ac:dyDescent="0.25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4.9035330000000004</v>
      </c>
      <c r="H1431" t="s">
        <v>4698</v>
      </c>
      <c r="I1431">
        <v>4143207060.4669199</v>
      </c>
      <c r="J1431" t="s">
        <v>4701</v>
      </c>
      <c r="K1431">
        <v>9258684.1460800394</v>
      </c>
      <c r="L1431">
        <v>0.7</v>
      </c>
      <c r="M1431" t="s">
        <v>6133</v>
      </c>
      <c r="N1431">
        <v>0.66458430000000002</v>
      </c>
      <c r="O1431">
        <v>7.8</v>
      </c>
      <c r="P1431">
        <v>7.36</v>
      </c>
      <c r="Q1431">
        <v>5.1837575400000002</v>
      </c>
      <c r="R1431">
        <v>3065986623.8554211</v>
      </c>
      <c r="S1431">
        <v>0</v>
      </c>
      <c r="T1431" t="s">
        <v>6244</v>
      </c>
      <c r="U1431" t="s">
        <v>6245</v>
      </c>
      <c r="W1431" t="s">
        <v>6247</v>
      </c>
      <c r="AN1431" t="s">
        <v>6262</v>
      </c>
    </row>
    <row r="1432" spans="1:40" x14ac:dyDescent="0.25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25993156.063593701</v>
      </c>
      <c r="L1432">
        <v>1</v>
      </c>
      <c r="M1432" t="s">
        <v>6134</v>
      </c>
      <c r="N1432">
        <v>1</v>
      </c>
      <c r="O1432">
        <v>23.13</v>
      </c>
      <c r="P1432">
        <v>25.35</v>
      </c>
      <c r="Q1432">
        <v>23.13</v>
      </c>
      <c r="R1432">
        <v>12206526741</v>
      </c>
      <c r="S1432">
        <v>0</v>
      </c>
      <c r="T1432" t="s">
        <v>6242</v>
      </c>
    </row>
    <row r="1433" spans="1:40" x14ac:dyDescent="0.25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75.797920000000005</v>
      </c>
      <c r="H1433" t="s">
        <v>97</v>
      </c>
      <c r="I1433">
        <v>55790520850.768013</v>
      </c>
      <c r="J1433" t="s">
        <v>4700</v>
      </c>
      <c r="K1433">
        <v>537108132.86704302</v>
      </c>
      <c r="L1433">
        <v>1</v>
      </c>
      <c r="M1433" t="s">
        <v>6135</v>
      </c>
      <c r="N1433">
        <v>0.85273301000000001</v>
      </c>
      <c r="O1433">
        <v>84.35</v>
      </c>
      <c r="P1433">
        <v>88.82</v>
      </c>
      <c r="Q1433">
        <v>71.928029393499997</v>
      </c>
      <c r="R1433">
        <v>52942115346.076981</v>
      </c>
      <c r="S1433">
        <v>0</v>
      </c>
      <c r="T1433" t="s">
        <v>6243</v>
      </c>
      <c r="AJ1433" t="s">
        <v>6258</v>
      </c>
      <c r="AN1433" t="s">
        <v>6262</v>
      </c>
    </row>
    <row r="1434" spans="1:40" x14ac:dyDescent="0.25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66.623999999999995</v>
      </c>
      <c r="H1434" t="s">
        <v>97</v>
      </c>
      <c r="I1434">
        <v>15001834010.879999</v>
      </c>
      <c r="J1434" t="s">
        <v>4700</v>
      </c>
      <c r="K1434">
        <v>154313840.53942701</v>
      </c>
      <c r="L1434">
        <v>1</v>
      </c>
      <c r="M1434" t="s">
        <v>6136</v>
      </c>
      <c r="N1434">
        <v>0.85273301000000001</v>
      </c>
      <c r="O1434">
        <v>79.459999999999994</v>
      </c>
      <c r="P1434">
        <v>78.069999999999993</v>
      </c>
      <c r="Q1434">
        <v>67.758164974599993</v>
      </c>
      <c r="R1434">
        <v>15257215775.55794</v>
      </c>
      <c r="S1434">
        <v>0</v>
      </c>
      <c r="T1434" t="s">
        <v>6243</v>
      </c>
    </row>
    <row r="1435" spans="1:40" x14ac:dyDescent="0.25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13215987.921795599</v>
      </c>
      <c r="L1435">
        <v>0.85</v>
      </c>
      <c r="M1435" t="s">
        <v>6137</v>
      </c>
      <c r="N1435">
        <v>5.7743899999999999E-3</v>
      </c>
      <c r="O1435">
        <v>1814</v>
      </c>
      <c r="P1435">
        <v>1790.5</v>
      </c>
      <c r="Q1435">
        <v>10.474743459999999</v>
      </c>
      <c r="R1435">
        <v>4220274140.0339999</v>
      </c>
      <c r="S1435">
        <v>0</v>
      </c>
      <c r="T1435" t="s">
        <v>6244</v>
      </c>
    </row>
    <row r="1436" spans="1:40" x14ac:dyDescent="0.25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2655496685.9200001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10.494999999999999</v>
      </c>
      <c r="P1436">
        <v>10.855</v>
      </c>
      <c r="Q1436">
        <v>10.494999999999999</v>
      </c>
      <c r="R1436">
        <v>2310685762.0320001</v>
      </c>
      <c r="S1436">
        <v>1</v>
      </c>
      <c r="T1436" t="s">
        <v>6242</v>
      </c>
      <c r="AM1436" t="s">
        <v>6261</v>
      </c>
    </row>
    <row r="1437" spans="1:40" x14ac:dyDescent="0.25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38538521668.610001</v>
      </c>
      <c r="J1437" t="s">
        <v>4700</v>
      </c>
      <c r="K1437">
        <v>357061441.49065101</v>
      </c>
      <c r="L1437">
        <v>1</v>
      </c>
      <c r="M1437" t="s">
        <v>6139</v>
      </c>
      <c r="N1437">
        <v>0.85273301000000001</v>
      </c>
      <c r="O1437">
        <v>156.72</v>
      </c>
      <c r="P1437">
        <v>145.37</v>
      </c>
      <c r="Q1437">
        <v>133.64031732719999</v>
      </c>
      <c r="R1437">
        <v>41515595775.443657</v>
      </c>
      <c r="S1437">
        <v>0</v>
      </c>
      <c r="T1437" t="s">
        <v>6243</v>
      </c>
      <c r="AH1437" t="s">
        <v>6256</v>
      </c>
      <c r="AJ1437" t="s">
        <v>6258</v>
      </c>
      <c r="AN1437" t="s">
        <v>6262</v>
      </c>
    </row>
    <row r="1438" spans="1:40" x14ac:dyDescent="0.25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8982260.5832575802</v>
      </c>
      <c r="L1438">
        <v>0.70000000000000007</v>
      </c>
      <c r="M1438" t="s">
        <v>6140</v>
      </c>
      <c r="N1438">
        <v>1</v>
      </c>
      <c r="O1438">
        <v>15.79</v>
      </c>
      <c r="P1438">
        <v>15.885</v>
      </c>
      <c r="Q1438">
        <v>15.79</v>
      </c>
      <c r="R1438">
        <v>2590371640.7379999</v>
      </c>
      <c r="S1438">
        <v>1</v>
      </c>
      <c r="T1438" t="s">
        <v>6242</v>
      </c>
      <c r="W1438" t="s">
        <v>6247</v>
      </c>
    </row>
    <row r="1439" spans="1:40" x14ac:dyDescent="0.25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9296050.1984375101</v>
      </c>
      <c r="L1439">
        <v>0.8</v>
      </c>
      <c r="M1439" t="s">
        <v>6141</v>
      </c>
      <c r="N1439">
        <v>1</v>
      </c>
      <c r="O1439">
        <v>30.56</v>
      </c>
      <c r="P1439">
        <v>30.09</v>
      </c>
      <c r="Q1439">
        <v>30.56</v>
      </c>
      <c r="R1439">
        <v>4511379660.8000002</v>
      </c>
      <c r="S1439">
        <v>0</v>
      </c>
      <c r="T1439" t="s">
        <v>6242</v>
      </c>
      <c r="W1439" t="s">
        <v>6247</v>
      </c>
    </row>
    <row r="1440" spans="1:40" x14ac:dyDescent="0.25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293.31720000000001</v>
      </c>
      <c r="H1440" t="s">
        <v>4694</v>
      </c>
      <c r="I1440">
        <v>8799516000</v>
      </c>
      <c r="J1440" t="s">
        <v>4699</v>
      </c>
      <c r="K1440">
        <v>31865356.456882901</v>
      </c>
      <c r="L1440">
        <v>0.9</v>
      </c>
      <c r="M1440" t="s">
        <v>6142</v>
      </c>
      <c r="N1440">
        <v>1.07032003</v>
      </c>
      <c r="O1440">
        <v>306</v>
      </c>
      <c r="P1440">
        <v>275.5</v>
      </c>
      <c r="Q1440">
        <v>327.51792918000001</v>
      </c>
      <c r="R1440">
        <v>8842984087.8600006</v>
      </c>
      <c r="S1440">
        <v>0</v>
      </c>
      <c r="T1440" t="s">
        <v>6242</v>
      </c>
      <c r="U1440" t="s">
        <v>6245</v>
      </c>
      <c r="AJ1440" t="s">
        <v>6258</v>
      </c>
    </row>
    <row r="1441" spans="1:40" x14ac:dyDescent="0.25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248.21639999999999</v>
      </c>
      <c r="H1441" t="s">
        <v>97</v>
      </c>
      <c r="I1441">
        <v>40561607857.391998</v>
      </c>
      <c r="J1441" t="s">
        <v>4700</v>
      </c>
      <c r="K1441">
        <v>343898948.44190198</v>
      </c>
      <c r="L1441">
        <v>0.9</v>
      </c>
      <c r="M1441" t="s">
        <v>6143</v>
      </c>
      <c r="N1441">
        <v>0.85273301000000001</v>
      </c>
      <c r="O1441">
        <v>276.43</v>
      </c>
      <c r="P1441">
        <v>290.86</v>
      </c>
      <c r="Q1441">
        <v>235.72098595430001</v>
      </c>
      <c r="R1441">
        <v>34667733382.776123</v>
      </c>
      <c r="S1441">
        <v>0</v>
      </c>
      <c r="T1441" t="s">
        <v>6243</v>
      </c>
      <c r="AN1441" t="s">
        <v>6262</v>
      </c>
    </row>
    <row r="1442" spans="1:40" x14ac:dyDescent="0.25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57.851170000000003</v>
      </c>
      <c r="H1442" t="s">
        <v>97</v>
      </c>
      <c r="I1442">
        <v>26291690651.304001</v>
      </c>
      <c r="J1442" t="s">
        <v>4700</v>
      </c>
      <c r="K1442">
        <v>172353414.44175801</v>
      </c>
      <c r="L1442">
        <v>1</v>
      </c>
      <c r="M1442" t="s">
        <v>6144</v>
      </c>
      <c r="N1442">
        <v>0.85273301000000001</v>
      </c>
      <c r="O1442">
        <v>69.73</v>
      </c>
      <c r="P1442">
        <v>67.790000000000006</v>
      </c>
      <c r="Q1442">
        <v>59.461072787299997</v>
      </c>
      <c r="R1442">
        <v>27023345102.93158</v>
      </c>
      <c r="S1442">
        <v>0</v>
      </c>
      <c r="T1442" t="s">
        <v>6243</v>
      </c>
    </row>
    <row r="1443" spans="1:40" x14ac:dyDescent="0.25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3.0697410000000001</v>
      </c>
      <c r="H1443" t="s">
        <v>4691</v>
      </c>
      <c r="I1443">
        <v>2566821341.3067002</v>
      </c>
      <c r="J1443" t="s">
        <v>4701</v>
      </c>
      <c r="K1443">
        <v>5415848.6939467397</v>
      </c>
      <c r="L1443">
        <v>0.95</v>
      </c>
      <c r="M1443" t="s">
        <v>6145</v>
      </c>
      <c r="N1443">
        <v>0.56652409000000004</v>
      </c>
      <c r="O1443">
        <v>5.31</v>
      </c>
      <c r="P1443">
        <v>5.54</v>
      </c>
      <c r="Q1443">
        <v>3.0082429179000001</v>
      </c>
      <c r="R1443">
        <v>2389628641.4474168</v>
      </c>
      <c r="S1443">
        <v>0</v>
      </c>
      <c r="T1443" t="s">
        <v>6244</v>
      </c>
      <c r="U1443" t="s">
        <v>6245</v>
      </c>
      <c r="W1443" t="s">
        <v>6247</v>
      </c>
      <c r="AG1443" t="s">
        <v>6255</v>
      </c>
    </row>
    <row r="1444" spans="1:40" x14ac:dyDescent="0.25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8.9409519999999993</v>
      </c>
      <c r="H1444" t="s">
        <v>4698</v>
      </c>
      <c r="I1444">
        <v>2585018771.3824</v>
      </c>
      <c r="J1444" t="s">
        <v>4701</v>
      </c>
      <c r="K1444">
        <v>4814531.4478471996</v>
      </c>
      <c r="L1444">
        <v>0.85</v>
      </c>
      <c r="M1444" t="s">
        <v>6146</v>
      </c>
      <c r="N1444">
        <v>0.66458430000000002</v>
      </c>
      <c r="O1444">
        <v>13.72</v>
      </c>
      <c r="P1444">
        <v>13.42</v>
      </c>
      <c r="Q1444">
        <v>9.1180965960000009</v>
      </c>
      <c r="R1444">
        <v>2240799775.1187201</v>
      </c>
      <c r="S1444">
        <v>0</v>
      </c>
      <c r="T1444" t="s">
        <v>6244</v>
      </c>
      <c r="U1444" t="s">
        <v>6245</v>
      </c>
      <c r="W1444" t="s">
        <v>6247</v>
      </c>
      <c r="AJ1444" t="s">
        <v>6258</v>
      </c>
      <c r="AN1444" t="s">
        <v>6262</v>
      </c>
    </row>
    <row r="1445" spans="1:40" x14ac:dyDescent="0.25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22526140781.689999</v>
      </c>
      <c r="J1445" t="s">
        <v>4702</v>
      </c>
      <c r="K1445">
        <v>53033031.410378799</v>
      </c>
      <c r="L1445">
        <v>0.9</v>
      </c>
      <c r="M1445" t="s">
        <v>6147</v>
      </c>
      <c r="N1445">
        <v>1</v>
      </c>
      <c r="O1445">
        <v>29.14</v>
      </c>
      <c r="P1445">
        <v>30.37</v>
      </c>
      <c r="Q1445">
        <v>29.14</v>
      </c>
      <c r="R1445">
        <v>19452438858.762001</v>
      </c>
      <c r="S1445">
        <v>1</v>
      </c>
      <c r="T1445" t="s">
        <v>6242</v>
      </c>
      <c r="AA1445" t="s">
        <v>6249</v>
      </c>
      <c r="AG1445" t="s">
        <v>6255</v>
      </c>
    </row>
    <row r="1446" spans="1:40" x14ac:dyDescent="0.25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93.147289999999998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0.85273301000000001</v>
      </c>
      <c r="O1446">
        <v>109.03</v>
      </c>
      <c r="P1446">
        <v>109.15</v>
      </c>
      <c r="Q1446">
        <v>92.973480080300007</v>
      </c>
      <c r="R1446">
        <v>23072376914.45052</v>
      </c>
      <c r="S1446">
        <v>0</v>
      </c>
      <c r="T1446" t="s">
        <v>6243</v>
      </c>
      <c r="AJ1446" t="s">
        <v>6258</v>
      </c>
    </row>
    <row r="1447" spans="1:40" x14ac:dyDescent="0.25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7893523.5037878798</v>
      </c>
      <c r="L1447">
        <v>0.4</v>
      </c>
      <c r="M1447" t="s">
        <v>6149</v>
      </c>
      <c r="N1447">
        <v>1</v>
      </c>
      <c r="O1447">
        <v>60.75</v>
      </c>
      <c r="P1447">
        <v>63.45</v>
      </c>
      <c r="Q1447">
        <v>60.75</v>
      </c>
      <c r="R1447">
        <v>4136678181</v>
      </c>
      <c r="S1447">
        <v>0</v>
      </c>
      <c r="T1447" t="s">
        <v>6242</v>
      </c>
      <c r="W1447" t="s">
        <v>6247</v>
      </c>
      <c r="AJ1447" t="s">
        <v>6258</v>
      </c>
    </row>
    <row r="1448" spans="1:40" x14ac:dyDescent="0.25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21486843343.713001</v>
      </c>
      <c r="J1448" t="s">
        <v>4700</v>
      </c>
      <c r="K1448">
        <v>204446633.527778</v>
      </c>
      <c r="L1448">
        <v>0.9</v>
      </c>
      <c r="M1448" t="s">
        <v>6150</v>
      </c>
      <c r="N1448">
        <v>0.85273301000000001</v>
      </c>
      <c r="O1448">
        <v>285.52</v>
      </c>
      <c r="P1448">
        <v>269.55</v>
      </c>
      <c r="Q1448">
        <v>243.47232901519999</v>
      </c>
      <c r="R1448">
        <v>20468166261.59333</v>
      </c>
      <c r="S1448">
        <v>0</v>
      </c>
      <c r="T1448" t="s">
        <v>6243</v>
      </c>
    </row>
    <row r="1449" spans="1:40" x14ac:dyDescent="0.25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32318769059.921001</v>
      </c>
      <c r="J1449" t="s">
        <v>4700</v>
      </c>
      <c r="K1449">
        <v>249424607.56179199</v>
      </c>
      <c r="L1449">
        <v>1</v>
      </c>
      <c r="M1449" t="s">
        <v>6151</v>
      </c>
      <c r="N1449">
        <v>0.85273301000000001</v>
      </c>
      <c r="O1449">
        <v>262.2</v>
      </c>
      <c r="P1449">
        <v>271.06</v>
      </c>
      <c r="Q1449">
        <v>223.586595222</v>
      </c>
      <c r="R1449">
        <v>31238394443.843868</v>
      </c>
      <c r="S1449">
        <v>0</v>
      </c>
      <c r="T1449" t="s">
        <v>6243</v>
      </c>
    </row>
    <row r="1450" spans="1:40" x14ac:dyDescent="0.25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159902259064.63199</v>
      </c>
      <c r="J1450" t="s">
        <v>4700</v>
      </c>
      <c r="K1450">
        <v>652433401.58422196</v>
      </c>
      <c r="L1450">
        <v>1</v>
      </c>
      <c r="M1450" t="s">
        <v>6152</v>
      </c>
      <c r="N1450">
        <v>0.85273301000000001</v>
      </c>
      <c r="O1450">
        <v>43.97</v>
      </c>
      <c r="P1450">
        <v>44.44</v>
      </c>
      <c r="Q1450">
        <v>37.494670449700003</v>
      </c>
      <c r="R1450">
        <v>158089705135.43021</v>
      </c>
      <c r="S1450">
        <v>0</v>
      </c>
      <c r="T1450" t="s">
        <v>6243</v>
      </c>
    </row>
    <row r="1451" spans="1:40" x14ac:dyDescent="0.25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337.19060000000002</v>
      </c>
      <c r="H1451" t="s">
        <v>97</v>
      </c>
      <c r="I1451">
        <v>86452520479.796005</v>
      </c>
      <c r="J1451" t="s">
        <v>4700</v>
      </c>
      <c r="K1451">
        <v>605139436.31567895</v>
      </c>
      <c r="L1451">
        <v>1</v>
      </c>
      <c r="M1451" t="s">
        <v>6153</v>
      </c>
      <c r="N1451">
        <v>0.85273301000000001</v>
      </c>
      <c r="O1451">
        <v>394.53</v>
      </c>
      <c r="P1451">
        <v>395.12</v>
      </c>
      <c r="Q1451">
        <v>336.42875443529999</v>
      </c>
      <c r="R1451">
        <v>86257190392.644485</v>
      </c>
      <c r="S1451">
        <v>0</v>
      </c>
      <c r="T1451" t="s">
        <v>6243</v>
      </c>
    </row>
    <row r="1452" spans="1:40" x14ac:dyDescent="0.25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41051163451.670998</v>
      </c>
      <c r="J1452" t="s">
        <v>4700</v>
      </c>
      <c r="K1452">
        <v>764972108.39400399</v>
      </c>
      <c r="L1452">
        <v>1</v>
      </c>
      <c r="M1452" t="s">
        <v>6154</v>
      </c>
      <c r="N1452">
        <v>0.85273301000000001</v>
      </c>
      <c r="O1452">
        <v>134.84</v>
      </c>
      <c r="P1452">
        <v>125.97</v>
      </c>
      <c r="Q1452">
        <v>114.98251906839999</v>
      </c>
      <c r="R1452">
        <v>43907991664.861412</v>
      </c>
      <c r="S1452">
        <v>0</v>
      </c>
      <c r="T1452" t="s">
        <v>6243</v>
      </c>
      <c r="AJ1452" t="s">
        <v>6258</v>
      </c>
    </row>
    <row r="1453" spans="1:40" x14ac:dyDescent="0.25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18.446639999999999</v>
      </c>
      <c r="H1453" t="s">
        <v>4696</v>
      </c>
      <c r="I1453">
        <v>18628657608.540001</v>
      </c>
      <c r="J1453" t="s">
        <v>4699</v>
      </c>
      <c r="K1453">
        <v>43793311.926212497</v>
      </c>
      <c r="L1453">
        <v>1</v>
      </c>
      <c r="M1453" t="s">
        <v>6155</v>
      </c>
      <c r="N1453">
        <v>0.13397104000000001</v>
      </c>
      <c r="O1453">
        <v>115.25</v>
      </c>
      <c r="P1453">
        <v>137.69999999999999</v>
      </c>
      <c r="Q1453">
        <v>15.44016236</v>
      </c>
      <c r="R1453">
        <v>15592514302.046709</v>
      </c>
      <c r="S1453">
        <v>0</v>
      </c>
      <c r="T1453" t="s">
        <v>6242</v>
      </c>
      <c r="U1453" t="s">
        <v>6245</v>
      </c>
    </row>
    <row r="1454" spans="1:40" x14ac:dyDescent="0.25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28.503160000000001</v>
      </c>
      <c r="H1454" t="s">
        <v>97</v>
      </c>
      <c r="I1454">
        <v>30394909028.568001</v>
      </c>
      <c r="J1454" t="s">
        <v>4700</v>
      </c>
      <c r="K1454">
        <v>178741696.091198</v>
      </c>
      <c r="L1454">
        <v>1</v>
      </c>
      <c r="M1454" t="s">
        <v>6156</v>
      </c>
      <c r="N1454">
        <v>0.85273301000000001</v>
      </c>
      <c r="O1454">
        <v>33.159999999999997</v>
      </c>
      <c r="P1454">
        <v>33.4</v>
      </c>
      <c r="Q1454">
        <v>28.276626611600001</v>
      </c>
      <c r="R1454">
        <v>30153340664.486568</v>
      </c>
      <c r="S1454">
        <v>0</v>
      </c>
      <c r="T1454" t="s">
        <v>6243</v>
      </c>
      <c r="AN1454" t="s">
        <v>6262</v>
      </c>
    </row>
    <row r="1455" spans="1:40" x14ac:dyDescent="0.25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1.4462140000000001</v>
      </c>
      <c r="H1455" t="s">
        <v>4691</v>
      </c>
      <c r="I1455">
        <v>6598898622.3776007</v>
      </c>
      <c r="J1455" t="s">
        <v>4701</v>
      </c>
      <c r="K1455">
        <v>13432645.412062399</v>
      </c>
      <c r="L1455">
        <v>0.85</v>
      </c>
      <c r="M1455" t="s">
        <v>6157</v>
      </c>
      <c r="N1455">
        <v>0.56652409000000004</v>
      </c>
      <c r="O1455">
        <v>2.6</v>
      </c>
      <c r="P1455">
        <v>2.61</v>
      </c>
      <c r="Q1455">
        <v>1.4729626339999999</v>
      </c>
      <c r="R1455">
        <v>5712806978.6828499</v>
      </c>
      <c r="S1455">
        <v>0</v>
      </c>
      <c r="T1455" t="s">
        <v>6244</v>
      </c>
      <c r="U1455" t="s">
        <v>6245</v>
      </c>
    </row>
    <row r="1456" spans="1:40" x14ac:dyDescent="0.25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118.5</v>
      </c>
      <c r="P1456">
        <v>129</v>
      </c>
      <c r="Q1456">
        <v>118.5</v>
      </c>
      <c r="R1456">
        <v>62162739634.050003</v>
      </c>
      <c r="S1456">
        <v>1</v>
      </c>
      <c r="T1456" t="s">
        <v>6242</v>
      </c>
      <c r="AM1456" t="s">
        <v>6261</v>
      </c>
    </row>
    <row r="1457" spans="1:40" x14ac:dyDescent="0.25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1967634288.4717901</v>
      </c>
      <c r="L1457">
        <v>1</v>
      </c>
      <c r="M1457" t="s">
        <v>6159</v>
      </c>
      <c r="N1457">
        <v>0.85273301000000001</v>
      </c>
      <c r="O1457">
        <v>339.43</v>
      </c>
      <c r="P1457">
        <v>350.04</v>
      </c>
      <c r="Q1457">
        <v>289.4431655843</v>
      </c>
      <c r="R1457">
        <v>491672040122.65271</v>
      </c>
      <c r="S1457">
        <v>0</v>
      </c>
      <c r="T1457" t="s">
        <v>6243</v>
      </c>
    </row>
    <row r="1458" spans="1:40" x14ac:dyDescent="0.25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60.4</v>
      </c>
      <c r="P1458">
        <v>60.2</v>
      </c>
      <c r="Q1458">
        <v>60.4</v>
      </c>
      <c r="R1458">
        <v>2246880000</v>
      </c>
      <c r="S1458">
        <v>0</v>
      </c>
      <c r="T1458" t="s">
        <v>6242</v>
      </c>
      <c r="W1458" t="s">
        <v>6247</v>
      </c>
      <c r="AJ1458" t="s">
        <v>6258</v>
      </c>
    </row>
    <row r="1459" spans="1:40" x14ac:dyDescent="0.25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162.53630000000001</v>
      </c>
      <c r="H1459" t="s">
        <v>97</v>
      </c>
      <c r="I1459">
        <v>55070597926.890007</v>
      </c>
      <c r="J1459" t="s">
        <v>4700</v>
      </c>
      <c r="K1459">
        <v>811042257.42667699</v>
      </c>
      <c r="L1459">
        <v>0.95</v>
      </c>
      <c r="M1459" t="s">
        <v>6161</v>
      </c>
      <c r="N1459">
        <v>0.85273301000000001</v>
      </c>
      <c r="O1459">
        <v>209.7</v>
      </c>
      <c r="P1459">
        <v>190.46</v>
      </c>
      <c r="Q1459">
        <v>178.818112197</v>
      </c>
      <c r="R1459">
        <v>57557846099.020142</v>
      </c>
      <c r="S1459">
        <v>0</v>
      </c>
      <c r="T1459" t="s">
        <v>6243</v>
      </c>
      <c r="AG1459" t="s">
        <v>6255</v>
      </c>
      <c r="AH1459" t="s">
        <v>6256</v>
      </c>
      <c r="AI1459" t="s">
        <v>6257</v>
      </c>
      <c r="AN1459" t="s">
        <v>6262</v>
      </c>
    </row>
    <row r="1460" spans="1:40" x14ac:dyDescent="0.25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3.1440000000000001</v>
      </c>
      <c r="H1460" t="s">
        <v>98</v>
      </c>
      <c r="I1460">
        <v>3238062585</v>
      </c>
      <c r="J1460" t="s">
        <v>4703</v>
      </c>
      <c r="K1460">
        <v>5778355.2865378801</v>
      </c>
      <c r="L1460">
        <v>0.70000000000000007</v>
      </c>
      <c r="M1460" t="s">
        <v>6162</v>
      </c>
      <c r="N1460">
        <v>1</v>
      </c>
      <c r="O1460">
        <v>3.0659999999999998</v>
      </c>
      <c r="P1460">
        <v>3.1440000000000001</v>
      </c>
      <c r="Q1460">
        <v>3.0659999999999998</v>
      </c>
      <c r="R1460">
        <v>2210410279.875</v>
      </c>
      <c r="S1460">
        <v>1</v>
      </c>
      <c r="T1460" t="s">
        <v>6242</v>
      </c>
      <c r="W1460" t="s">
        <v>6247</v>
      </c>
    </row>
    <row r="1461" spans="1:40" x14ac:dyDescent="0.25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1.0230509999999999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1.156136E-2</v>
      </c>
      <c r="O1461">
        <v>87.8</v>
      </c>
      <c r="P1461">
        <v>88.64</v>
      </c>
      <c r="Q1461">
        <v>1.0150874080000001</v>
      </c>
      <c r="R1461">
        <v>20821156510.150921</v>
      </c>
      <c r="S1461">
        <v>0</v>
      </c>
      <c r="T1461" t="s">
        <v>6242</v>
      </c>
      <c r="AN1461" t="s">
        <v>6262</v>
      </c>
    </row>
    <row r="1462" spans="1:40" x14ac:dyDescent="0.25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6888634.8165151495</v>
      </c>
      <c r="L1462">
        <v>0.6</v>
      </c>
      <c r="M1462" t="s">
        <v>6164</v>
      </c>
      <c r="N1462">
        <v>1</v>
      </c>
      <c r="O1462">
        <v>28.9</v>
      </c>
      <c r="P1462">
        <v>28.2</v>
      </c>
      <c r="Q1462">
        <v>28.9</v>
      </c>
      <c r="R1462">
        <v>3096042434.4000001</v>
      </c>
      <c r="S1462">
        <v>0</v>
      </c>
      <c r="T1462" t="s">
        <v>6242</v>
      </c>
      <c r="W1462" t="s">
        <v>6247</v>
      </c>
    </row>
    <row r="1463" spans="1:40" x14ac:dyDescent="0.25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95313156.382575795</v>
      </c>
      <c r="L1463">
        <v>1</v>
      </c>
      <c r="M1463" t="s">
        <v>6165</v>
      </c>
      <c r="N1463">
        <v>1</v>
      </c>
      <c r="O1463">
        <v>102</v>
      </c>
      <c r="P1463">
        <v>102.4</v>
      </c>
      <c r="Q1463">
        <v>102</v>
      </c>
      <c r="R1463">
        <v>21032954880</v>
      </c>
      <c r="S1463">
        <v>0</v>
      </c>
      <c r="T1463" t="s">
        <v>6242</v>
      </c>
      <c r="AA1463" t="s">
        <v>6249</v>
      </c>
    </row>
    <row r="1464" spans="1:40" x14ac:dyDescent="0.25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26.928830000000001</v>
      </c>
      <c r="H1464" t="s">
        <v>4693</v>
      </c>
      <c r="I1464">
        <v>42781107835.473</v>
      </c>
      <c r="J1464" t="s">
        <v>4699</v>
      </c>
      <c r="K1464">
        <v>72835759.647455707</v>
      </c>
      <c r="L1464">
        <v>1</v>
      </c>
      <c r="M1464" t="s">
        <v>6166</v>
      </c>
      <c r="N1464">
        <v>9.1395149999999994E-2</v>
      </c>
      <c r="O1464">
        <v>273.60000000000002</v>
      </c>
      <c r="P1464">
        <v>300</v>
      </c>
      <c r="Q1464">
        <v>25.00571304</v>
      </c>
      <c r="R1464">
        <v>39725903652.967216</v>
      </c>
      <c r="S1464">
        <v>0</v>
      </c>
      <c r="T1464" t="s">
        <v>6242</v>
      </c>
      <c r="U1464" t="s">
        <v>6245</v>
      </c>
    </row>
    <row r="1465" spans="1:40" x14ac:dyDescent="0.25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23915486185.200001</v>
      </c>
      <c r="J1465" t="s">
        <v>4702</v>
      </c>
      <c r="K1465">
        <v>63824213.989242397</v>
      </c>
      <c r="L1465">
        <v>0.85</v>
      </c>
      <c r="M1465" t="s">
        <v>6167</v>
      </c>
      <c r="N1465">
        <v>1</v>
      </c>
      <c r="O1465">
        <v>26.42</v>
      </c>
      <c r="P1465">
        <v>28.62</v>
      </c>
      <c r="Q1465">
        <v>26.42</v>
      </c>
      <c r="R1465">
        <v>18765551127.220001</v>
      </c>
      <c r="S1465">
        <v>0</v>
      </c>
      <c r="T1465" t="s">
        <v>6242</v>
      </c>
    </row>
    <row r="1466" spans="1:40" x14ac:dyDescent="0.25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4929427632.3200006</v>
      </c>
      <c r="J1466" t="s">
        <v>4703</v>
      </c>
      <c r="K1466">
        <v>4962090.6598484898</v>
      </c>
      <c r="L1466">
        <v>0.5</v>
      </c>
      <c r="M1466" t="s">
        <v>6168</v>
      </c>
      <c r="N1466">
        <v>1</v>
      </c>
      <c r="O1466">
        <v>40.76</v>
      </c>
      <c r="P1466">
        <v>41.84</v>
      </c>
      <c r="Q1466">
        <v>40.76</v>
      </c>
      <c r="R1466">
        <v>2401093096.2399998</v>
      </c>
      <c r="S1466">
        <v>0</v>
      </c>
      <c r="T1466" t="s">
        <v>6242</v>
      </c>
      <c r="W1466" t="s">
        <v>6247</v>
      </c>
      <c r="AH1466" t="s">
        <v>6256</v>
      </c>
      <c r="AJ1466" t="s">
        <v>6258</v>
      </c>
    </row>
    <row r="1467" spans="1:40" x14ac:dyDescent="0.25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249.53059999999999</v>
      </c>
      <c r="H1467" t="s">
        <v>97</v>
      </c>
      <c r="I1467">
        <v>32969020919.296001</v>
      </c>
      <c r="J1467" t="s">
        <v>4700</v>
      </c>
      <c r="K1467">
        <v>239591177.727027</v>
      </c>
      <c r="L1467">
        <v>1</v>
      </c>
      <c r="M1467" t="s">
        <v>6169</v>
      </c>
      <c r="N1467">
        <v>0.85273301000000001</v>
      </c>
      <c r="O1467">
        <v>294.94</v>
      </c>
      <c r="P1467">
        <v>292.39999999999998</v>
      </c>
      <c r="Q1467">
        <v>251.5050739694</v>
      </c>
      <c r="R1467">
        <v>33229896633.944839</v>
      </c>
      <c r="S1467">
        <v>0</v>
      </c>
      <c r="T1467" t="s">
        <v>6243</v>
      </c>
      <c r="AJ1467" t="s">
        <v>6258</v>
      </c>
      <c r="AN1467" t="s">
        <v>6262</v>
      </c>
    </row>
    <row r="1468" spans="1:40" x14ac:dyDescent="0.25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188.23410000000001</v>
      </c>
      <c r="H1468" t="s">
        <v>4694</v>
      </c>
      <c r="I1468">
        <v>7529364000.000001</v>
      </c>
      <c r="J1468" t="s">
        <v>4699</v>
      </c>
      <c r="K1468">
        <v>4734583.6249352796</v>
      </c>
      <c r="L1468">
        <v>0.4</v>
      </c>
      <c r="M1468" t="s">
        <v>6170</v>
      </c>
      <c r="N1468">
        <v>1.07032003</v>
      </c>
      <c r="O1468">
        <v>176.8</v>
      </c>
      <c r="P1468">
        <v>176.8</v>
      </c>
      <c r="Q1468">
        <v>189.23258130400001</v>
      </c>
      <c r="R1468">
        <v>3027721300.8639998</v>
      </c>
      <c r="S1468">
        <v>0</v>
      </c>
      <c r="T1468" t="s">
        <v>6242</v>
      </c>
      <c r="U1468" t="s">
        <v>6245</v>
      </c>
      <c r="W1468" t="s">
        <v>6247</v>
      </c>
      <c r="AJ1468" t="s">
        <v>6258</v>
      </c>
    </row>
    <row r="1469" spans="1:40" x14ac:dyDescent="0.25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61.563409999999998</v>
      </c>
      <c r="H1469" t="s">
        <v>97</v>
      </c>
      <c r="I1469">
        <v>23350558156.448002</v>
      </c>
      <c r="J1469" t="s">
        <v>4700</v>
      </c>
      <c r="K1469">
        <v>119587682.724985</v>
      </c>
      <c r="L1469">
        <v>0.8</v>
      </c>
      <c r="M1469" t="s">
        <v>6171</v>
      </c>
      <c r="N1469">
        <v>0.85273301000000001</v>
      </c>
      <c r="O1469">
        <v>73.819999999999993</v>
      </c>
      <c r="P1469">
        <v>72.14</v>
      </c>
      <c r="Q1469">
        <v>62.948750798200003</v>
      </c>
      <c r="R1469">
        <v>19100806357.401211</v>
      </c>
      <c r="S1469">
        <v>0</v>
      </c>
      <c r="T1469" t="s">
        <v>6243</v>
      </c>
      <c r="AJ1469" t="s">
        <v>6258</v>
      </c>
      <c r="AN1469" t="s">
        <v>6262</v>
      </c>
    </row>
    <row r="1470" spans="1:40" x14ac:dyDescent="0.25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872.04300000000001</v>
      </c>
      <c r="H1470" t="s">
        <v>97</v>
      </c>
      <c r="I1470">
        <v>41711774426.535004</v>
      </c>
      <c r="J1470" t="s">
        <v>4700</v>
      </c>
      <c r="K1470">
        <v>259298029.06085399</v>
      </c>
      <c r="L1470">
        <v>0.95</v>
      </c>
      <c r="M1470" t="s">
        <v>6172</v>
      </c>
      <c r="N1470">
        <v>0.85273301000000001</v>
      </c>
      <c r="O1470">
        <v>1004.06</v>
      </c>
      <c r="P1470">
        <v>1021.86</v>
      </c>
      <c r="Q1470">
        <v>856.19510602059995</v>
      </c>
      <c r="R1470">
        <v>38906047375.029404</v>
      </c>
      <c r="S1470">
        <v>0</v>
      </c>
      <c r="T1470" t="s">
        <v>6243</v>
      </c>
      <c r="AJ1470" t="s">
        <v>6258</v>
      </c>
      <c r="AN1470" t="s">
        <v>6262</v>
      </c>
    </row>
    <row r="1471" spans="1:40" x14ac:dyDescent="0.25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82.633560000000003</v>
      </c>
      <c r="H1471" t="s">
        <v>97</v>
      </c>
      <c r="I1471">
        <v>659450349628.08008</v>
      </c>
      <c r="J1471" t="s">
        <v>4700</v>
      </c>
      <c r="K1471">
        <v>1379758554.62344</v>
      </c>
      <c r="L1471">
        <v>0.55000000000000004</v>
      </c>
      <c r="M1471" t="s">
        <v>6173</v>
      </c>
      <c r="N1471">
        <v>0.85273301000000001</v>
      </c>
      <c r="O1471">
        <v>103.49</v>
      </c>
      <c r="P1471">
        <v>96.83</v>
      </c>
      <c r="Q1471">
        <v>88.249339204899997</v>
      </c>
      <c r="R1471">
        <v>387346638293.38928</v>
      </c>
      <c r="S1471">
        <v>0</v>
      </c>
      <c r="T1471" t="s">
        <v>6243</v>
      </c>
    </row>
    <row r="1472" spans="1:40" x14ac:dyDescent="0.25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10.283329999999999</v>
      </c>
      <c r="H1472" t="s">
        <v>97</v>
      </c>
      <c r="I1472">
        <v>25459182537.425999</v>
      </c>
      <c r="J1472" t="s">
        <v>4700</v>
      </c>
      <c r="K1472">
        <v>607852993.28184104</v>
      </c>
      <c r="L1472">
        <v>1</v>
      </c>
      <c r="M1472" t="s">
        <v>6174</v>
      </c>
      <c r="N1472">
        <v>0.85273301000000001</v>
      </c>
      <c r="O1472">
        <v>18.87</v>
      </c>
      <c r="P1472">
        <v>12.05</v>
      </c>
      <c r="Q1472">
        <v>16.091071898700001</v>
      </c>
      <c r="R1472">
        <v>39837828475.002678</v>
      </c>
      <c r="S1472">
        <v>0</v>
      </c>
      <c r="T1472" t="s">
        <v>6243</v>
      </c>
    </row>
    <row r="1473" spans="1:40" x14ac:dyDescent="0.25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26.4</v>
      </c>
      <c r="P1473">
        <v>24.47</v>
      </c>
      <c r="Q1473">
        <v>26.4</v>
      </c>
      <c r="R1473">
        <v>12497198208</v>
      </c>
      <c r="S1473">
        <v>0</v>
      </c>
      <c r="T1473" t="s">
        <v>6242</v>
      </c>
      <c r="AA1473" t="s">
        <v>6249</v>
      </c>
      <c r="AJ1473" t="s">
        <v>6258</v>
      </c>
    </row>
    <row r="1474" spans="1:40" x14ac:dyDescent="0.25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23.361059999999998</v>
      </c>
      <c r="H1474" t="s">
        <v>4691</v>
      </c>
      <c r="I1474">
        <v>8593594859.3879986</v>
      </c>
      <c r="J1474" t="s">
        <v>4701</v>
      </c>
      <c r="K1474">
        <v>13393252.3238854</v>
      </c>
      <c r="L1474">
        <v>0.7</v>
      </c>
      <c r="M1474" t="s">
        <v>6176</v>
      </c>
      <c r="N1474">
        <v>0.56652409000000004</v>
      </c>
      <c r="O1474">
        <v>42.51</v>
      </c>
      <c r="P1474">
        <v>42.16</v>
      </c>
      <c r="Q1474">
        <v>24.0829390659</v>
      </c>
      <c r="R1474">
        <v>6201401603.7359123</v>
      </c>
      <c r="S1474">
        <v>0</v>
      </c>
      <c r="T1474" t="s">
        <v>6244</v>
      </c>
      <c r="U1474" t="s">
        <v>6245</v>
      </c>
      <c r="AG1474" t="s">
        <v>6255</v>
      </c>
      <c r="AH1474" t="s">
        <v>6256</v>
      </c>
      <c r="AJ1474" t="s">
        <v>6258</v>
      </c>
      <c r="AN1474" t="s">
        <v>6262</v>
      </c>
    </row>
    <row r="1475" spans="1:40" x14ac:dyDescent="0.25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157.63730000000001</v>
      </c>
      <c r="H1475" t="s">
        <v>100</v>
      </c>
      <c r="I1475">
        <v>40586245081.800003</v>
      </c>
      <c r="J1475" t="s">
        <v>4700</v>
      </c>
      <c r="K1475">
        <v>49547638.886406504</v>
      </c>
      <c r="L1475">
        <v>1</v>
      </c>
      <c r="M1475" t="s">
        <v>6177</v>
      </c>
      <c r="N1475">
        <v>0.61572563000000002</v>
      </c>
      <c r="O1475">
        <v>243.84</v>
      </c>
      <c r="P1475">
        <v>255.55</v>
      </c>
      <c r="Q1475">
        <v>150.13853761920001</v>
      </c>
      <c r="R1475">
        <v>38655568726.664948</v>
      </c>
      <c r="S1475">
        <v>0</v>
      </c>
      <c r="T1475" t="s">
        <v>6243</v>
      </c>
      <c r="AJ1475" t="s">
        <v>6258</v>
      </c>
      <c r="AN1475" t="s">
        <v>6262</v>
      </c>
    </row>
    <row r="1476" spans="1:40" x14ac:dyDescent="0.25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193.73609999999999</v>
      </c>
      <c r="H1476" t="s">
        <v>97</v>
      </c>
      <c r="I1476">
        <v>78042775158.552002</v>
      </c>
      <c r="J1476" t="s">
        <v>4700</v>
      </c>
      <c r="K1476">
        <v>333571948.66792297</v>
      </c>
      <c r="L1476">
        <v>0.9</v>
      </c>
      <c r="M1476" t="s">
        <v>6178</v>
      </c>
      <c r="N1476">
        <v>0.85273301000000001</v>
      </c>
      <c r="O1476">
        <v>218.16</v>
      </c>
      <c r="P1476">
        <v>227.02</v>
      </c>
      <c r="Q1476">
        <v>186.03223346159999</v>
      </c>
      <c r="R1476">
        <v>67445481722.08593</v>
      </c>
      <c r="S1476">
        <v>0</v>
      </c>
      <c r="T1476" t="s">
        <v>6243</v>
      </c>
    </row>
    <row r="1477" spans="1:40" x14ac:dyDescent="0.25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257.88529999999997</v>
      </c>
      <c r="H1477" t="s">
        <v>97</v>
      </c>
      <c r="I1477">
        <v>15350398122.289</v>
      </c>
      <c r="J1477" t="s">
        <v>4700</v>
      </c>
      <c r="K1477">
        <v>203989033.87283099</v>
      </c>
      <c r="L1477">
        <v>1</v>
      </c>
      <c r="M1477" t="s">
        <v>6179</v>
      </c>
      <c r="N1477">
        <v>0.85273301000000001</v>
      </c>
      <c r="O1477">
        <v>295.39</v>
      </c>
      <c r="P1477">
        <v>302.19</v>
      </c>
      <c r="Q1477">
        <v>251.88880382389999</v>
      </c>
      <c r="R1477">
        <v>14993461904.35832</v>
      </c>
      <c r="S1477">
        <v>0</v>
      </c>
      <c r="T1477" t="s">
        <v>6243</v>
      </c>
      <c r="AJ1477" t="s">
        <v>6258</v>
      </c>
    </row>
    <row r="1478" spans="1:40" x14ac:dyDescent="0.25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5230059694.4799995</v>
      </c>
      <c r="J1478" t="s">
        <v>4702</v>
      </c>
      <c r="K1478">
        <v>5622080.9669696996</v>
      </c>
      <c r="L1478">
        <v>0.8</v>
      </c>
      <c r="M1478" t="s">
        <v>6180</v>
      </c>
      <c r="N1478">
        <v>1</v>
      </c>
      <c r="O1478">
        <v>21.12</v>
      </c>
      <c r="P1478">
        <v>22.48</v>
      </c>
      <c r="Q1478">
        <v>21.12</v>
      </c>
      <c r="R1478">
        <v>3930920311.296</v>
      </c>
      <c r="S1478">
        <v>0</v>
      </c>
      <c r="T1478" t="s">
        <v>6242</v>
      </c>
      <c r="W1478" t="s">
        <v>6247</v>
      </c>
    </row>
    <row r="1479" spans="1:40" x14ac:dyDescent="0.25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92.626729999999995</v>
      </c>
      <c r="H1479" t="s">
        <v>97</v>
      </c>
      <c r="I1479">
        <v>29813432128.872002</v>
      </c>
      <c r="J1479" t="s">
        <v>4700</v>
      </c>
      <c r="K1479">
        <v>193414092.99129099</v>
      </c>
      <c r="L1479">
        <v>1</v>
      </c>
      <c r="M1479" t="s">
        <v>6181</v>
      </c>
      <c r="N1479">
        <v>0.85273301000000001</v>
      </c>
      <c r="O1479">
        <v>110.52</v>
      </c>
      <c r="P1479">
        <v>108.54</v>
      </c>
      <c r="Q1479">
        <v>94.244052265199997</v>
      </c>
      <c r="R1479">
        <v>30333993824.011768</v>
      </c>
      <c r="S1479">
        <v>0</v>
      </c>
      <c r="T1479" t="s">
        <v>6243</v>
      </c>
      <c r="AG1479" t="s">
        <v>6255</v>
      </c>
      <c r="AH1479" t="s">
        <v>6256</v>
      </c>
      <c r="AJ1479" t="s">
        <v>6258</v>
      </c>
    </row>
    <row r="1480" spans="1:40" x14ac:dyDescent="0.25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28.992609999999999</v>
      </c>
      <c r="H1480" t="s">
        <v>96</v>
      </c>
      <c r="I1480">
        <v>7526831206.8765993</v>
      </c>
      <c r="J1480" t="s">
        <v>4699</v>
      </c>
      <c r="K1480">
        <v>11161105.453201201</v>
      </c>
      <c r="L1480">
        <v>1</v>
      </c>
      <c r="M1480" t="s">
        <v>6182</v>
      </c>
      <c r="N1480">
        <v>1.156136E-2</v>
      </c>
      <c r="O1480">
        <v>2606</v>
      </c>
      <c r="P1480">
        <v>2512</v>
      </c>
      <c r="Q1480">
        <v>30.128904160000001</v>
      </c>
      <c r="R1480">
        <v>7821826874.5201693</v>
      </c>
      <c r="S1480">
        <v>0</v>
      </c>
      <c r="T1480" t="s">
        <v>6242</v>
      </c>
      <c r="AG1480" t="s">
        <v>6255</v>
      </c>
    </row>
    <row r="1481" spans="1:40" x14ac:dyDescent="0.25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67.502979999999994</v>
      </c>
      <c r="H1481" t="s">
        <v>97</v>
      </c>
      <c r="I1481">
        <v>216241827254.776</v>
      </c>
      <c r="J1481" t="s">
        <v>4700</v>
      </c>
      <c r="K1481">
        <v>1127764229.9707799</v>
      </c>
      <c r="L1481">
        <v>1</v>
      </c>
      <c r="M1481" t="s">
        <v>6183</v>
      </c>
      <c r="N1481">
        <v>0.85273301000000001</v>
      </c>
      <c r="O1481">
        <v>81.459999999999994</v>
      </c>
      <c r="P1481">
        <v>79.099999999999994</v>
      </c>
      <c r="Q1481">
        <v>69.463630994599995</v>
      </c>
      <c r="R1481">
        <v>222522657429.69861</v>
      </c>
      <c r="S1481">
        <v>0</v>
      </c>
      <c r="T1481" t="s">
        <v>6243</v>
      </c>
      <c r="AJ1481" t="s">
        <v>6258</v>
      </c>
    </row>
    <row r="1482" spans="1:40" x14ac:dyDescent="0.25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140.32259999999999</v>
      </c>
      <c r="H1482" t="s">
        <v>97</v>
      </c>
      <c r="I1482">
        <v>93727624702.139999</v>
      </c>
      <c r="J1482" t="s">
        <v>4700</v>
      </c>
      <c r="K1482">
        <v>385231468.61611801</v>
      </c>
      <c r="L1482">
        <v>1</v>
      </c>
      <c r="M1482" t="s">
        <v>6184</v>
      </c>
      <c r="N1482">
        <v>0.85273301000000001</v>
      </c>
      <c r="O1482">
        <v>169.13</v>
      </c>
      <c r="P1482">
        <v>164.43</v>
      </c>
      <c r="Q1482">
        <v>144.2227339813</v>
      </c>
      <c r="R1482">
        <v>96332695404.13205</v>
      </c>
      <c r="S1482">
        <v>0</v>
      </c>
      <c r="T1482" t="s">
        <v>6243</v>
      </c>
    </row>
    <row r="1483" spans="1:40" x14ac:dyDescent="0.25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</v>
      </c>
      <c r="H1483" t="s">
        <v>98</v>
      </c>
      <c r="I1483">
        <v>3823584064.1999998</v>
      </c>
      <c r="J1483" t="s">
        <v>4703</v>
      </c>
      <c r="K1483">
        <v>3627337.6246212102</v>
      </c>
      <c r="L1483">
        <v>0.65</v>
      </c>
      <c r="M1483" t="s">
        <v>6185</v>
      </c>
      <c r="N1483">
        <v>1</v>
      </c>
      <c r="O1483">
        <v>81.8</v>
      </c>
      <c r="P1483">
        <v>85.9</v>
      </c>
      <c r="Q1483">
        <v>81.8</v>
      </c>
      <c r="R1483">
        <v>2366705060.46</v>
      </c>
      <c r="S1483">
        <v>1</v>
      </c>
      <c r="T1483" t="s">
        <v>6242</v>
      </c>
      <c r="W1483" t="s">
        <v>6247</v>
      </c>
    </row>
    <row r="1484" spans="1:40" x14ac:dyDescent="0.25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52.434939999999997</v>
      </c>
      <c r="H1484" t="s">
        <v>4691</v>
      </c>
      <c r="I1484">
        <v>59502163161.152</v>
      </c>
      <c r="J1484" t="s">
        <v>4701</v>
      </c>
      <c r="K1484">
        <v>67356965.045715794</v>
      </c>
      <c r="L1484">
        <v>1</v>
      </c>
      <c r="M1484" t="s">
        <v>6186</v>
      </c>
      <c r="N1484">
        <v>0.56652409000000004</v>
      </c>
      <c r="O1484">
        <v>92.65</v>
      </c>
      <c r="P1484">
        <v>94.63</v>
      </c>
      <c r="Q1484">
        <v>52.488456938500008</v>
      </c>
      <c r="R1484">
        <v>59562893155.436592</v>
      </c>
      <c r="S1484">
        <v>0</v>
      </c>
      <c r="T1484" t="s">
        <v>6244</v>
      </c>
      <c r="U1484" t="s">
        <v>6245</v>
      </c>
      <c r="AJ1484" t="s">
        <v>6258</v>
      </c>
    </row>
    <row r="1485" spans="1:40" x14ac:dyDescent="0.25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19.281199999999998</v>
      </c>
      <c r="H1485" t="s">
        <v>99</v>
      </c>
      <c r="I1485">
        <v>9081634155.7599983</v>
      </c>
      <c r="J1485" t="s">
        <v>4701</v>
      </c>
      <c r="K1485">
        <v>30782581.747152101</v>
      </c>
      <c r="L1485">
        <v>1</v>
      </c>
      <c r="M1485" t="s">
        <v>6187</v>
      </c>
      <c r="N1485">
        <v>5.7743899999999999E-3</v>
      </c>
      <c r="O1485">
        <v>3350</v>
      </c>
      <c r="P1485">
        <v>3318</v>
      </c>
      <c r="Q1485">
        <v>19.344206499999999</v>
      </c>
      <c r="R1485">
        <v>9111310834.7236996</v>
      </c>
      <c r="S1485">
        <v>0</v>
      </c>
      <c r="T1485" t="s">
        <v>6244</v>
      </c>
      <c r="AJ1485" t="s">
        <v>6258</v>
      </c>
    </row>
    <row r="1486" spans="1:40" x14ac:dyDescent="0.25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211.51220000000001</v>
      </c>
      <c r="H1486" t="s">
        <v>97</v>
      </c>
      <c r="I1486">
        <v>15209276718.377199</v>
      </c>
      <c r="J1486" t="s">
        <v>4700</v>
      </c>
      <c r="K1486">
        <v>139514337.023114</v>
      </c>
      <c r="L1486">
        <v>1</v>
      </c>
      <c r="M1486" t="s">
        <v>6188</v>
      </c>
      <c r="N1486">
        <v>0.85273301000000001</v>
      </c>
      <c r="O1486">
        <v>253.5</v>
      </c>
      <c r="P1486">
        <v>247.85</v>
      </c>
      <c r="Q1486">
        <v>216.16781803500001</v>
      </c>
      <c r="R1486">
        <v>15544049762.151421</v>
      </c>
      <c r="S1486">
        <v>0</v>
      </c>
      <c r="T1486" t="s">
        <v>6243</v>
      </c>
      <c r="AJ1486" t="s">
        <v>6258</v>
      </c>
    </row>
    <row r="1487" spans="1:40" x14ac:dyDescent="0.25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65.685270000000003</v>
      </c>
      <c r="H1487" t="s">
        <v>97</v>
      </c>
      <c r="I1487">
        <v>22787673121.172401</v>
      </c>
      <c r="J1487" t="s">
        <v>4700</v>
      </c>
      <c r="K1487">
        <v>376130558.344814</v>
      </c>
      <c r="L1487">
        <v>1</v>
      </c>
      <c r="M1487" t="s">
        <v>6189</v>
      </c>
      <c r="N1487">
        <v>0.85273301000000001</v>
      </c>
      <c r="O1487">
        <v>97.66</v>
      </c>
      <c r="P1487">
        <v>76.97</v>
      </c>
      <c r="Q1487">
        <v>83.277905756599992</v>
      </c>
      <c r="R1487">
        <v>28890947614.239868</v>
      </c>
      <c r="S1487">
        <v>0</v>
      </c>
      <c r="T1487" t="s">
        <v>6243</v>
      </c>
    </row>
    <row r="1488" spans="1:40" x14ac:dyDescent="0.25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167.04220000000001</v>
      </c>
      <c r="H1488" t="s">
        <v>97</v>
      </c>
      <c r="I1488">
        <v>28556393613.773998</v>
      </c>
      <c r="J1488" t="s">
        <v>4700</v>
      </c>
      <c r="K1488">
        <v>184017476.39416701</v>
      </c>
      <c r="L1488">
        <v>1</v>
      </c>
      <c r="M1488" t="s">
        <v>6190</v>
      </c>
      <c r="N1488">
        <v>0.85273301000000001</v>
      </c>
      <c r="O1488">
        <v>188.82</v>
      </c>
      <c r="P1488">
        <v>195.74</v>
      </c>
      <c r="Q1488">
        <v>161.01304694820001</v>
      </c>
      <c r="R1488">
        <v>27525690787.15361</v>
      </c>
      <c r="S1488">
        <v>0</v>
      </c>
      <c r="T1488" t="s">
        <v>6243</v>
      </c>
      <c r="AJ1488" t="s">
        <v>6258</v>
      </c>
      <c r="AN1488" t="s">
        <v>6262</v>
      </c>
    </row>
    <row r="1489" spans="1:40" x14ac:dyDescent="0.25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73876210926.699997</v>
      </c>
      <c r="J1489" t="s">
        <v>4701</v>
      </c>
      <c r="K1489">
        <v>91989938.038928494</v>
      </c>
      <c r="L1489">
        <v>1</v>
      </c>
      <c r="M1489" t="s">
        <v>6191</v>
      </c>
      <c r="N1489">
        <v>0.56652409000000004</v>
      </c>
      <c r="O1489">
        <v>38.479999999999997</v>
      </c>
      <c r="P1489">
        <v>38.979999999999997</v>
      </c>
      <c r="Q1489">
        <v>21.799846983199998</v>
      </c>
      <c r="R1489">
        <v>74563178568.483154</v>
      </c>
      <c r="S1489">
        <v>0</v>
      </c>
      <c r="T1489" t="s">
        <v>6244</v>
      </c>
      <c r="U1489" t="s">
        <v>6245</v>
      </c>
      <c r="AJ1489" t="s">
        <v>6258</v>
      </c>
    </row>
    <row r="1490" spans="1:40" x14ac:dyDescent="0.25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100362426.28578199</v>
      </c>
      <c r="L1490">
        <v>1</v>
      </c>
      <c r="M1490" t="s">
        <v>6192</v>
      </c>
      <c r="N1490">
        <v>0.85273301000000001</v>
      </c>
      <c r="O1490">
        <v>24.9</v>
      </c>
      <c r="P1490">
        <v>26.83</v>
      </c>
      <c r="Q1490">
        <v>21.233051949</v>
      </c>
      <c r="R1490">
        <v>15319880544.77494</v>
      </c>
      <c r="S1490">
        <v>0</v>
      </c>
      <c r="T1490" t="s">
        <v>6243</v>
      </c>
    </row>
    <row r="1491" spans="1:40" x14ac:dyDescent="0.25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6193</v>
      </c>
      <c r="N1491">
        <v>0.10956983000000001</v>
      </c>
      <c r="O1491">
        <v>8.81</v>
      </c>
      <c r="P1491">
        <v>8.2799999999999994</v>
      </c>
      <c r="Q1491">
        <v>0.96531020229999998</v>
      </c>
      <c r="R1491">
        <v>7431085358.2521029</v>
      </c>
      <c r="S1491">
        <v>0</v>
      </c>
      <c r="T1491" t="s">
        <v>6244</v>
      </c>
      <c r="U1491" t="s">
        <v>6245</v>
      </c>
      <c r="AJ1491" t="s">
        <v>6258</v>
      </c>
      <c r="AN1491" t="s">
        <v>6262</v>
      </c>
    </row>
    <row r="1492" spans="1:40" x14ac:dyDescent="0.25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2.5490900000000001</v>
      </c>
      <c r="H1492" t="s">
        <v>4692</v>
      </c>
      <c r="I1492">
        <v>7739616648.1570005</v>
      </c>
      <c r="J1492" t="s">
        <v>4701</v>
      </c>
      <c r="K1492">
        <v>11383319.943026099</v>
      </c>
      <c r="L1492">
        <v>0.5</v>
      </c>
      <c r="M1492" t="s">
        <v>6194</v>
      </c>
      <c r="N1492">
        <v>0.10956983000000001</v>
      </c>
      <c r="O1492">
        <v>24.28</v>
      </c>
      <c r="P1492">
        <v>23.34</v>
      </c>
      <c r="Q1492">
        <v>2.6603554724</v>
      </c>
      <c r="R1492">
        <v>4038721956.5026379</v>
      </c>
      <c r="S1492">
        <v>0</v>
      </c>
      <c r="T1492" t="s">
        <v>6244</v>
      </c>
      <c r="U1492" t="s">
        <v>6245</v>
      </c>
    </row>
    <row r="1493" spans="1:40" x14ac:dyDescent="0.25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81.523539999999997</v>
      </c>
      <c r="H1493" t="s">
        <v>100</v>
      </c>
      <c r="I1493">
        <v>37008044688.232803</v>
      </c>
      <c r="J1493" t="s">
        <v>4700</v>
      </c>
      <c r="K1493">
        <v>55683015.134463497</v>
      </c>
      <c r="L1493">
        <v>1</v>
      </c>
      <c r="M1493" t="s">
        <v>6195</v>
      </c>
      <c r="N1493">
        <v>0.61572563000000002</v>
      </c>
      <c r="O1493">
        <v>147.63</v>
      </c>
      <c r="P1493">
        <v>132.16</v>
      </c>
      <c r="Q1493">
        <v>90.899574756899995</v>
      </c>
      <c r="R1493">
        <v>41264345546.632462</v>
      </c>
      <c r="S1493">
        <v>0</v>
      </c>
      <c r="T1493" t="s">
        <v>6243</v>
      </c>
    </row>
    <row r="1494" spans="1:40" x14ac:dyDescent="0.25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36.967880000000001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6196</v>
      </c>
      <c r="N1494">
        <v>1.156136E-2</v>
      </c>
      <c r="O1494">
        <v>3108</v>
      </c>
      <c r="P1494">
        <v>3203</v>
      </c>
      <c r="Q1494">
        <v>35.932706879999998</v>
      </c>
      <c r="R1494">
        <v>6252048810.6756287</v>
      </c>
      <c r="S1494">
        <v>0</v>
      </c>
      <c r="T1494" t="s">
        <v>6242</v>
      </c>
    </row>
    <row r="1495" spans="1:40" x14ac:dyDescent="0.25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3.6183040000000002</v>
      </c>
      <c r="H1495" t="s">
        <v>4691</v>
      </c>
      <c r="I1495">
        <v>3011962365.2351999</v>
      </c>
      <c r="J1495" t="s">
        <v>4701</v>
      </c>
      <c r="K1495">
        <v>18804297.366262101</v>
      </c>
      <c r="L1495">
        <v>1</v>
      </c>
      <c r="M1495" t="s">
        <v>6197</v>
      </c>
      <c r="N1495">
        <v>0.56652409000000004</v>
      </c>
      <c r="O1495">
        <v>6.1</v>
      </c>
      <c r="P1495">
        <v>6.53</v>
      </c>
      <c r="Q1495">
        <v>3.4557969489999998</v>
      </c>
      <c r="R1495">
        <v>2876687628.3149862</v>
      </c>
      <c r="S1495">
        <v>0</v>
      </c>
      <c r="T1495" t="s">
        <v>6244</v>
      </c>
      <c r="U1495" t="s">
        <v>6245</v>
      </c>
      <c r="AG1495" t="s">
        <v>6255</v>
      </c>
      <c r="AH1495" t="s">
        <v>6256</v>
      </c>
      <c r="AJ1495" t="s">
        <v>6258</v>
      </c>
    </row>
    <row r="1496" spans="1:40" x14ac:dyDescent="0.25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3523635857.2800002</v>
      </c>
      <c r="J1496" t="s">
        <v>4702</v>
      </c>
      <c r="K1496">
        <v>5368013.5598484902</v>
      </c>
      <c r="L1496">
        <v>1</v>
      </c>
      <c r="M1496" t="s">
        <v>6198</v>
      </c>
      <c r="N1496">
        <v>1</v>
      </c>
      <c r="O1496">
        <v>28.66</v>
      </c>
      <c r="P1496">
        <v>32.18</v>
      </c>
      <c r="Q1496">
        <v>28.66</v>
      </c>
      <c r="R1496">
        <v>3138203967.3600001</v>
      </c>
      <c r="S1496">
        <v>0</v>
      </c>
      <c r="T1496" t="s">
        <v>6242</v>
      </c>
      <c r="W1496" t="s">
        <v>6247</v>
      </c>
      <c r="AJ1496" t="s">
        <v>6258</v>
      </c>
    </row>
    <row r="1497" spans="1:40" x14ac:dyDescent="0.25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48.702849999999998</v>
      </c>
      <c r="H1497" t="s">
        <v>97</v>
      </c>
      <c r="I1497">
        <v>59474819735.589996</v>
      </c>
      <c r="J1497" t="s">
        <v>4700</v>
      </c>
      <c r="K1497">
        <v>406816336.56008101</v>
      </c>
      <c r="L1497">
        <v>1</v>
      </c>
      <c r="M1497" t="s">
        <v>6199</v>
      </c>
      <c r="N1497">
        <v>0.85273301000000001</v>
      </c>
      <c r="O1497">
        <v>58.81</v>
      </c>
      <c r="P1497">
        <v>57.07</v>
      </c>
      <c r="Q1497">
        <v>50.1492283181</v>
      </c>
      <c r="R1497">
        <v>61241104249.503731</v>
      </c>
      <c r="S1497">
        <v>0</v>
      </c>
      <c r="T1497" t="s">
        <v>6243</v>
      </c>
      <c r="AH1497" t="s">
        <v>6256</v>
      </c>
      <c r="AJ1497" t="s">
        <v>6258</v>
      </c>
    </row>
    <row r="1498" spans="1:40" x14ac:dyDescent="0.25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173.59620000000001</v>
      </c>
      <c r="H1498" t="s">
        <v>97</v>
      </c>
      <c r="I1498">
        <v>21351995823.372002</v>
      </c>
      <c r="J1498" t="s">
        <v>4700</v>
      </c>
      <c r="K1498">
        <v>223550067.172243</v>
      </c>
      <c r="L1498">
        <v>0.95</v>
      </c>
      <c r="M1498" t="s">
        <v>6200</v>
      </c>
      <c r="N1498">
        <v>0.85273301000000001</v>
      </c>
      <c r="O1498">
        <v>196.95</v>
      </c>
      <c r="P1498">
        <v>203.42</v>
      </c>
      <c r="Q1498">
        <v>167.9457663195</v>
      </c>
      <c r="R1498">
        <v>19624153270.38625</v>
      </c>
      <c r="S1498">
        <v>0</v>
      </c>
      <c r="T1498" t="s">
        <v>6243</v>
      </c>
    </row>
    <row r="1499" spans="1:40" x14ac:dyDescent="0.25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289.51190000000003</v>
      </c>
      <c r="H1499" t="s">
        <v>97</v>
      </c>
      <c r="I1499">
        <v>28241303926.081001</v>
      </c>
      <c r="J1499" t="s">
        <v>4700</v>
      </c>
      <c r="K1499">
        <v>181145376.82472101</v>
      </c>
      <c r="L1499">
        <v>1</v>
      </c>
      <c r="M1499" t="s">
        <v>6201</v>
      </c>
      <c r="N1499">
        <v>0.85273301000000001</v>
      </c>
      <c r="O1499">
        <v>338.79</v>
      </c>
      <c r="P1499">
        <v>339.25</v>
      </c>
      <c r="Q1499">
        <v>288.89741645790002</v>
      </c>
      <c r="R1499">
        <v>28181362291.661072</v>
      </c>
      <c r="S1499">
        <v>0</v>
      </c>
      <c r="T1499" t="s">
        <v>6243</v>
      </c>
    </row>
    <row r="1500" spans="1:40" x14ac:dyDescent="0.25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12414664126.160999</v>
      </c>
      <c r="J1500" t="s">
        <v>4701</v>
      </c>
      <c r="K1500">
        <v>13391294.5822054</v>
      </c>
      <c r="L1500">
        <v>0.45</v>
      </c>
      <c r="M1500" t="s">
        <v>6202</v>
      </c>
      <c r="N1500">
        <v>0.66458430000000002</v>
      </c>
      <c r="O1500">
        <v>2.95</v>
      </c>
      <c r="P1500">
        <v>2.91</v>
      </c>
      <c r="Q1500">
        <v>1.9605236850000001</v>
      </c>
      <c r="R1500">
        <v>5649308696.2737083</v>
      </c>
      <c r="S1500">
        <v>0</v>
      </c>
      <c r="T1500" t="s">
        <v>6244</v>
      </c>
      <c r="U1500" t="s">
        <v>6245</v>
      </c>
    </row>
    <row r="1501" spans="1:40" x14ac:dyDescent="0.25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12.522679999999999</v>
      </c>
      <c r="H1501" t="s">
        <v>96</v>
      </c>
      <c r="I1501">
        <v>12835749504.535999</v>
      </c>
      <c r="J1501" t="s">
        <v>4699</v>
      </c>
      <c r="K1501">
        <v>15819670.120589999</v>
      </c>
      <c r="L1501">
        <v>0.7</v>
      </c>
      <c r="M1501" t="s">
        <v>6203</v>
      </c>
      <c r="N1501">
        <v>1.156136E-2</v>
      </c>
      <c r="O1501">
        <v>1123</v>
      </c>
      <c r="P1501">
        <v>1085</v>
      </c>
      <c r="Q1501">
        <v>12.98340728</v>
      </c>
      <c r="R1501">
        <v>9315596541.0770187</v>
      </c>
      <c r="S1501">
        <v>0</v>
      </c>
      <c r="T1501" t="s">
        <v>6242</v>
      </c>
      <c r="AJ1501" t="s">
        <v>6258</v>
      </c>
      <c r="AN1501" t="s">
        <v>6262</v>
      </c>
    </row>
    <row r="1502" spans="1:40" x14ac:dyDescent="0.25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62.386659999999999</v>
      </c>
      <c r="H1502" t="s">
        <v>4691</v>
      </c>
      <c r="I1502">
        <v>20876011329.18</v>
      </c>
      <c r="J1502" t="s">
        <v>4701</v>
      </c>
      <c r="K1502">
        <v>33667096.394716203</v>
      </c>
      <c r="L1502">
        <v>0.55000000000000004</v>
      </c>
      <c r="M1502" t="s">
        <v>6204</v>
      </c>
      <c r="N1502">
        <v>0.56652409000000004</v>
      </c>
      <c r="O1502">
        <v>94.93</v>
      </c>
      <c r="P1502">
        <v>112.59</v>
      </c>
      <c r="Q1502">
        <v>53.780131863700007</v>
      </c>
      <c r="R1502">
        <v>9897837985.5447903</v>
      </c>
      <c r="S1502">
        <v>0</v>
      </c>
      <c r="T1502" t="s">
        <v>6244</v>
      </c>
      <c r="U1502" t="s">
        <v>6245</v>
      </c>
    </row>
    <row r="1503" spans="1:40" x14ac:dyDescent="0.25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27500912440.900002</v>
      </c>
      <c r="J1503" t="s">
        <v>4702</v>
      </c>
      <c r="K1503">
        <v>86599219.077272698</v>
      </c>
      <c r="L1503">
        <v>1</v>
      </c>
      <c r="M1503" t="s">
        <v>6205</v>
      </c>
      <c r="N1503">
        <v>1</v>
      </c>
      <c r="O1503">
        <v>112.3</v>
      </c>
      <c r="P1503">
        <v>115.3</v>
      </c>
      <c r="Q1503">
        <v>112.3</v>
      </c>
      <c r="R1503">
        <v>26785363981.900002</v>
      </c>
      <c r="S1503">
        <v>0</v>
      </c>
      <c r="T1503" t="s">
        <v>6242</v>
      </c>
    </row>
    <row r="1504" spans="1:40" x14ac:dyDescent="0.25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14.744730000000001</v>
      </c>
      <c r="H1504" t="s">
        <v>4691</v>
      </c>
      <c r="I1504">
        <v>27996553138.554001</v>
      </c>
      <c r="J1504" t="s">
        <v>4701</v>
      </c>
      <c r="K1504">
        <v>68830454.581132904</v>
      </c>
      <c r="L1504">
        <v>1</v>
      </c>
      <c r="M1504" t="s">
        <v>6206</v>
      </c>
      <c r="N1504">
        <v>0.56652409000000004</v>
      </c>
      <c r="O1504">
        <v>24.22</v>
      </c>
      <c r="P1504">
        <v>26.61</v>
      </c>
      <c r="Q1504">
        <v>13.7212134598</v>
      </c>
      <c r="R1504">
        <v>26053151312.552559</v>
      </c>
      <c r="S1504">
        <v>0</v>
      </c>
      <c r="T1504" t="s">
        <v>6244</v>
      </c>
      <c r="U1504" t="s">
        <v>6245</v>
      </c>
      <c r="AH1504" t="s">
        <v>6256</v>
      </c>
      <c r="AJ1504" t="s">
        <v>6258</v>
      </c>
    </row>
    <row r="1505" spans="1:40" x14ac:dyDescent="0.25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18.351949999999999</v>
      </c>
      <c r="H1505" t="s">
        <v>4691</v>
      </c>
      <c r="I1505">
        <v>22418655865.834999</v>
      </c>
      <c r="J1505" t="s">
        <v>4701</v>
      </c>
      <c r="K1505">
        <v>35846581.831985302</v>
      </c>
      <c r="L1505">
        <v>1</v>
      </c>
      <c r="M1505" t="s">
        <v>6207</v>
      </c>
      <c r="N1505">
        <v>0.56652409000000004</v>
      </c>
      <c r="O1505">
        <v>27.97</v>
      </c>
      <c r="P1505">
        <v>33.119999999999997</v>
      </c>
      <c r="Q1505">
        <v>15.8456787973</v>
      </c>
      <c r="R1505">
        <v>19357006744.091331</v>
      </c>
      <c r="S1505">
        <v>0</v>
      </c>
      <c r="T1505" t="s">
        <v>6244</v>
      </c>
      <c r="U1505" t="s">
        <v>6245</v>
      </c>
    </row>
    <row r="1506" spans="1:40" x14ac:dyDescent="0.25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188.82919999999999</v>
      </c>
      <c r="H1506" t="s">
        <v>97</v>
      </c>
      <c r="I1506">
        <v>40975936400</v>
      </c>
      <c r="J1506" t="s">
        <v>4700</v>
      </c>
      <c r="K1506">
        <v>574257196.19502699</v>
      </c>
      <c r="L1506">
        <v>1</v>
      </c>
      <c r="M1506" t="s">
        <v>6208</v>
      </c>
      <c r="N1506">
        <v>0.85273301000000001</v>
      </c>
      <c r="O1506">
        <v>223.39</v>
      </c>
      <c r="P1506">
        <v>221.27</v>
      </c>
      <c r="Q1506">
        <v>190.4920271039</v>
      </c>
      <c r="R1506">
        <v>41336769881.546303</v>
      </c>
      <c r="S1506">
        <v>0</v>
      </c>
      <c r="T1506" t="s">
        <v>6243</v>
      </c>
    </row>
    <row r="1507" spans="1:40" x14ac:dyDescent="0.25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7.1534930000000001</v>
      </c>
      <c r="H1507" t="s">
        <v>4691</v>
      </c>
      <c r="I1507">
        <v>3691479943.5283999</v>
      </c>
      <c r="J1507" t="s">
        <v>4701</v>
      </c>
      <c r="K1507">
        <v>15919274.804109801</v>
      </c>
      <c r="L1507">
        <v>0.95</v>
      </c>
      <c r="M1507" t="s">
        <v>6209</v>
      </c>
      <c r="N1507">
        <v>0.56652409000000004</v>
      </c>
      <c r="O1507">
        <v>14.23</v>
      </c>
      <c r="P1507">
        <v>12.91</v>
      </c>
      <c r="Q1507">
        <v>8.0616378007000016</v>
      </c>
      <c r="R1507">
        <v>3952112001.8724751</v>
      </c>
      <c r="S1507">
        <v>0</v>
      </c>
      <c r="T1507" t="s">
        <v>6244</v>
      </c>
      <c r="U1507" t="s">
        <v>6245</v>
      </c>
      <c r="AJ1507" t="s">
        <v>6258</v>
      </c>
    </row>
    <row r="1508" spans="1:40" x14ac:dyDescent="0.25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4.6293540000000002</v>
      </c>
      <c r="H1508" t="s">
        <v>96</v>
      </c>
      <c r="I1508">
        <v>4994158205.6496</v>
      </c>
      <c r="J1508" t="s">
        <v>4699</v>
      </c>
      <c r="K1508">
        <v>20360419.092711199</v>
      </c>
      <c r="L1508">
        <v>0.95</v>
      </c>
      <c r="M1508" t="s">
        <v>6210</v>
      </c>
      <c r="N1508">
        <v>1.156136E-2</v>
      </c>
      <c r="O1508">
        <v>399.3</v>
      </c>
      <c r="P1508">
        <v>401.1</v>
      </c>
      <c r="Q1508">
        <v>4.6164510480000001</v>
      </c>
      <c r="R1508">
        <v>4731226546.5616693</v>
      </c>
      <c r="S1508">
        <v>0</v>
      </c>
      <c r="T1508" t="s">
        <v>6242</v>
      </c>
    </row>
    <row r="1509" spans="1:40" x14ac:dyDescent="0.25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176.34030000000001</v>
      </c>
      <c r="H1509" t="s">
        <v>100</v>
      </c>
      <c r="I1509">
        <v>23017508911.476002</v>
      </c>
      <c r="J1509" t="s">
        <v>4700</v>
      </c>
      <c r="K1509">
        <v>38029841.812792398</v>
      </c>
      <c r="L1509">
        <v>0.85</v>
      </c>
      <c r="M1509" t="s">
        <v>6211</v>
      </c>
      <c r="N1509">
        <v>0.61572563000000002</v>
      </c>
      <c r="O1509">
        <v>288.27999999999997</v>
      </c>
      <c r="P1509">
        <v>285.87</v>
      </c>
      <c r="Q1509">
        <v>177.5013846164</v>
      </c>
      <c r="R1509">
        <v>19693704427.610809</v>
      </c>
      <c r="S1509">
        <v>0</v>
      </c>
      <c r="T1509" t="s">
        <v>6243</v>
      </c>
    </row>
    <row r="1510" spans="1:40" x14ac:dyDescent="0.25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3.5953740000000001</v>
      </c>
      <c r="H1510" t="s">
        <v>4692</v>
      </c>
      <c r="I1510">
        <v>14635017325.9368</v>
      </c>
      <c r="J1510" t="s">
        <v>4701</v>
      </c>
      <c r="K1510">
        <v>158932013.51374599</v>
      </c>
      <c r="L1510">
        <v>0.85</v>
      </c>
      <c r="M1510" t="s">
        <v>6212</v>
      </c>
      <c r="N1510">
        <v>0.10956983000000001</v>
      </c>
      <c r="O1510">
        <v>36.479999999999997</v>
      </c>
      <c r="P1510">
        <v>32.92</v>
      </c>
      <c r="Q1510">
        <v>3.997107398399999</v>
      </c>
      <c r="R1510">
        <v>13829736662.95413</v>
      </c>
      <c r="S1510">
        <v>0</v>
      </c>
      <c r="T1510" t="s">
        <v>6244</v>
      </c>
      <c r="U1510" t="s">
        <v>6245</v>
      </c>
    </row>
    <row r="1511" spans="1:40" x14ac:dyDescent="0.25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63.372590000000002</v>
      </c>
      <c r="H1511" t="s">
        <v>97</v>
      </c>
      <c r="I1511">
        <v>37480206919.2285</v>
      </c>
      <c r="J1511" t="s">
        <v>4700</v>
      </c>
      <c r="K1511">
        <v>194912697.94400501</v>
      </c>
      <c r="L1511">
        <v>1</v>
      </c>
      <c r="M1511" t="s">
        <v>6213</v>
      </c>
      <c r="N1511">
        <v>0.85273301000000001</v>
      </c>
      <c r="O1511">
        <v>73.349999999999994</v>
      </c>
      <c r="P1511">
        <v>74.260000000000005</v>
      </c>
      <c r="Q1511">
        <v>62.547966283500003</v>
      </c>
      <c r="R1511">
        <v>36992502889.380211</v>
      </c>
      <c r="S1511">
        <v>0</v>
      </c>
      <c r="T1511" t="s">
        <v>6243</v>
      </c>
      <c r="AG1511" t="s">
        <v>6255</v>
      </c>
      <c r="AH1511" t="s">
        <v>6256</v>
      </c>
      <c r="AJ1511" t="s">
        <v>6258</v>
      </c>
    </row>
    <row r="1512" spans="1:40" x14ac:dyDescent="0.25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93.078519999999997</v>
      </c>
      <c r="H1512" t="s">
        <v>4691</v>
      </c>
      <c r="I1512">
        <v>15393476424.802401</v>
      </c>
      <c r="J1512" t="s">
        <v>4701</v>
      </c>
      <c r="K1512">
        <v>51635695.633689903</v>
      </c>
      <c r="L1512">
        <v>1</v>
      </c>
      <c r="M1512" t="s">
        <v>6214</v>
      </c>
      <c r="N1512">
        <v>0.56652409000000004</v>
      </c>
      <c r="O1512">
        <v>162.18</v>
      </c>
      <c r="P1512">
        <v>167.98</v>
      </c>
      <c r="Q1512">
        <v>91.878876916200014</v>
      </c>
      <c r="R1512">
        <v>15195077508.181761</v>
      </c>
      <c r="S1512">
        <v>0</v>
      </c>
      <c r="T1512" t="s">
        <v>6244</v>
      </c>
      <c r="U1512" t="s">
        <v>6245</v>
      </c>
      <c r="AN1512" t="s">
        <v>6262</v>
      </c>
    </row>
    <row r="1513" spans="1:40" x14ac:dyDescent="0.25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847292936.29060996</v>
      </c>
      <c r="L1513">
        <v>0.8</v>
      </c>
      <c r="M1513" t="s">
        <v>6215</v>
      </c>
      <c r="N1513">
        <v>0.10956983000000001</v>
      </c>
      <c r="O1513">
        <v>55.15</v>
      </c>
      <c r="P1513">
        <v>52.55</v>
      </c>
      <c r="Q1513">
        <v>6.0427761244999996</v>
      </c>
      <c r="R1513">
        <v>103697059684.48219</v>
      </c>
      <c r="S1513">
        <v>0</v>
      </c>
      <c r="T1513" t="s">
        <v>6244</v>
      </c>
      <c r="U1513" t="s">
        <v>6245</v>
      </c>
      <c r="AJ1513" t="s">
        <v>6258</v>
      </c>
    </row>
    <row r="1514" spans="1:40" x14ac:dyDescent="0.25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4461772162.2273998</v>
      </c>
      <c r="J1514" t="s">
        <v>4701</v>
      </c>
      <c r="K1514">
        <v>111080869.63296799</v>
      </c>
      <c r="L1514">
        <v>0.8</v>
      </c>
      <c r="M1514" t="s">
        <v>6216</v>
      </c>
      <c r="N1514">
        <v>0.10956983000000001</v>
      </c>
      <c r="O1514">
        <v>10.220000000000001</v>
      </c>
      <c r="P1514">
        <v>10.17</v>
      </c>
      <c r="Q1514">
        <v>1.1198036626000001</v>
      </c>
      <c r="R1514">
        <v>3598602573.064342</v>
      </c>
      <c r="S1514">
        <v>0</v>
      </c>
      <c r="T1514" t="s">
        <v>6244</v>
      </c>
      <c r="U1514" t="s">
        <v>6245</v>
      </c>
    </row>
    <row r="1515" spans="1:40" x14ac:dyDescent="0.25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29858091806.880001</v>
      </c>
      <c r="J1515" t="s">
        <v>4700</v>
      </c>
      <c r="K1515">
        <v>136556979.36285201</v>
      </c>
      <c r="L1515">
        <v>1</v>
      </c>
      <c r="M1515" t="s">
        <v>6217</v>
      </c>
      <c r="N1515">
        <v>0.85273301000000001</v>
      </c>
      <c r="O1515">
        <v>141.55000000000001</v>
      </c>
      <c r="P1515">
        <v>143.74</v>
      </c>
      <c r="Q1515">
        <v>120.7043575655</v>
      </c>
      <c r="R1515">
        <v>29380609049.62394</v>
      </c>
      <c r="S1515">
        <v>0</v>
      </c>
      <c r="T1515" t="s">
        <v>6243</v>
      </c>
    </row>
    <row r="1516" spans="1:40" x14ac:dyDescent="0.25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14.550979999999999</v>
      </c>
      <c r="H1516" t="s">
        <v>99</v>
      </c>
      <c r="I1516">
        <v>4830710442.0254002</v>
      </c>
      <c r="J1516" t="s">
        <v>4701</v>
      </c>
      <c r="K1516">
        <v>27654844.680642501</v>
      </c>
      <c r="L1516">
        <v>0.9</v>
      </c>
      <c r="M1516" t="s">
        <v>6218</v>
      </c>
      <c r="N1516">
        <v>5.7743899999999999E-3</v>
      </c>
      <c r="O1516">
        <v>2457.5</v>
      </c>
      <c r="P1516">
        <v>2504</v>
      </c>
      <c r="Q1516">
        <v>14.190563425000001</v>
      </c>
      <c r="R1516">
        <v>4239951716.230392</v>
      </c>
      <c r="S1516">
        <v>0</v>
      </c>
      <c r="T1516" t="s">
        <v>6244</v>
      </c>
      <c r="AJ1516" t="s">
        <v>6258</v>
      </c>
    </row>
    <row r="1517" spans="1:40" x14ac:dyDescent="0.25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2469985329.4577999</v>
      </c>
      <c r="J1517" t="s">
        <v>4701</v>
      </c>
      <c r="K1517">
        <v>6311686.2331364099</v>
      </c>
      <c r="L1517">
        <v>0.9</v>
      </c>
      <c r="M1517" t="s">
        <v>6219</v>
      </c>
      <c r="N1517">
        <v>5.7743899999999999E-3</v>
      </c>
      <c r="O1517">
        <v>1807.5</v>
      </c>
      <c r="P1517">
        <v>1810.5</v>
      </c>
      <c r="Q1517">
        <v>10.437209924999999</v>
      </c>
      <c r="R1517">
        <v>2205286946.2444758</v>
      </c>
      <c r="S1517">
        <v>0</v>
      </c>
      <c r="T1517" t="s">
        <v>6244</v>
      </c>
      <c r="W1517" t="s">
        <v>6247</v>
      </c>
      <c r="AJ1517" t="s">
        <v>6258</v>
      </c>
    </row>
    <row r="1518" spans="1:40" x14ac:dyDescent="0.25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5.8052809999999999</v>
      </c>
      <c r="H1518" t="s">
        <v>99</v>
      </c>
      <c r="I1518">
        <v>2920056343</v>
      </c>
      <c r="J1518" t="s">
        <v>4701</v>
      </c>
      <c r="K1518">
        <v>10718355.818945499</v>
      </c>
      <c r="L1518">
        <v>0.9</v>
      </c>
      <c r="M1518" t="s">
        <v>6220</v>
      </c>
      <c r="N1518">
        <v>5.7743899999999999E-3</v>
      </c>
      <c r="O1518">
        <v>1015.5</v>
      </c>
      <c r="P1518">
        <v>999</v>
      </c>
      <c r="Q1518">
        <v>5.8638930450000002</v>
      </c>
      <c r="R1518">
        <v>2654584381.4714999</v>
      </c>
      <c r="S1518">
        <v>0</v>
      </c>
      <c r="T1518" t="s">
        <v>6244</v>
      </c>
    </row>
    <row r="1519" spans="1:40" x14ac:dyDescent="0.25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6.3050350000000002</v>
      </c>
      <c r="H1519" t="s">
        <v>99</v>
      </c>
      <c r="I1519">
        <v>6419314389.8785</v>
      </c>
      <c r="J1519" t="s">
        <v>4701</v>
      </c>
      <c r="K1519">
        <v>38548919.082948603</v>
      </c>
      <c r="L1519">
        <v>0.9</v>
      </c>
      <c r="M1519" t="s">
        <v>6221</v>
      </c>
      <c r="N1519">
        <v>5.7743899999999999E-3</v>
      </c>
      <c r="O1519">
        <v>1122.5</v>
      </c>
      <c r="P1519">
        <v>1085</v>
      </c>
      <c r="Q1519">
        <v>6.4817527749999986</v>
      </c>
      <c r="R1519">
        <v>5939311672.9999371</v>
      </c>
      <c r="S1519">
        <v>0</v>
      </c>
      <c r="T1519" t="s">
        <v>6244</v>
      </c>
      <c r="AJ1519" t="s">
        <v>6258</v>
      </c>
    </row>
    <row r="1520" spans="1:40" x14ac:dyDescent="0.25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5181682961.9099998</v>
      </c>
      <c r="J1520" t="s">
        <v>4701</v>
      </c>
      <c r="K1520">
        <v>17470974.259995099</v>
      </c>
      <c r="L1520">
        <v>0.8</v>
      </c>
      <c r="M1520" t="s">
        <v>6222</v>
      </c>
      <c r="N1520">
        <v>5.7743899999999999E-3</v>
      </c>
      <c r="O1520">
        <v>2443</v>
      </c>
      <c r="P1520">
        <v>2473.5</v>
      </c>
      <c r="Q1520">
        <v>14.106834770000001</v>
      </c>
      <c r="R1520">
        <v>4068371648.530643</v>
      </c>
      <c r="S1520">
        <v>0</v>
      </c>
      <c r="T1520" t="s">
        <v>6244</v>
      </c>
      <c r="AJ1520" t="s">
        <v>6258</v>
      </c>
    </row>
    <row r="1521" spans="1:40" x14ac:dyDescent="0.25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54.996180000000003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6223</v>
      </c>
      <c r="N1521">
        <v>5.7743899999999999E-3</v>
      </c>
      <c r="O1521">
        <v>9891</v>
      </c>
      <c r="P1521">
        <v>9464</v>
      </c>
      <c r="Q1521">
        <v>57.114491489999999</v>
      </c>
      <c r="R1521">
        <v>2598709362.7950001</v>
      </c>
      <c r="S1521">
        <v>0</v>
      </c>
      <c r="T1521" t="s">
        <v>6244</v>
      </c>
      <c r="AJ1521" t="s">
        <v>6258</v>
      </c>
      <c r="AN1521" t="s">
        <v>6262</v>
      </c>
    </row>
    <row r="1522" spans="1:40" x14ac:dyDescent="0.25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19.943670000000001</v>
      </c>
      <c r="H1522" t="s">
        <v>99</v>
      </c>
      <c r="I1522">
        <v>4393248865.9329004</v>
      </c>
      <c r="J1522" t="s">
        <v>4701</v>
      </c>
      <c r="K1522">
        <v>9873692.2742548194</v>
      </c>
      <c r="L1522">
        <v>0.7</v>
      </c>
      <c r="M1522" t="s">
        <v>6224</v>
      </c>
      <c r="N1522">
        <v>5.7743899999999999E-3</v>
      </c>
      <c r="O1522">
        <v>3345</v>
      </c>
      <c r="P1522">
        <v>3432</v>
      </c>
      <c r="Q1522">
        <v>19.315334549999999</v>
      </c>
      <c r="R1522">
        <v>2978386130.7789111</v>
      </c>
      <c r="S1522">
        <v>0</v>
      </c>
      <c r="T1522" t="s">
        <v>6244</v>
      </c>
      <c r="W1522" t="s">
        <v>6247</v>
      </c>
      <c r="AJ1522" t="s">
        <v>6258</v>
      </c>
    </row>
    <row r="1523" spans="1:40" x14ac:dyDescent="0.25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31.762060000000002</v>
      </c>
      <c r="H1523" t="s">
        <v>4695</v>
      </c>
      <c r="I1523">
        <v>8090610648.3116207</v>
      </c>
      <c r="J1523" t="s">
        <v>4699</v>
      </c>
      <c r="K1523">
        <v>17224241.0786836</v>
      </c>
      <c r="L1523">
        <v>0.65</v>
      </c>
      <c r="M1523" t="s">
        <v>6225</v>
      </c>
      <c r="N1523">
        <v>8.6344599999999994E-2</v>
      </c>
      <c r="O1523">
        <v>370.5</v>
      </c>
      <c r="P1523">
        <v>374.3</v>
      </c>
      <c r="Q1523">
        <v>31.990674299999998</v>
      </c>
      <c r="R1523">
        <v>5296748969.993186</v>
      </c>
      <c r="S1523">
        <v>0</v>
      </c>
      <c r="T1523" t="s">
        <v>6242</v>
      </c>
      <c r="U1523" t="s">
        <v>6245</v>
      </c>
      <c r="AJ1523" t="s">
        <v>6258</v>
      </c>
    </row>
    <row r="1524" spans="1:40" x14ac:dyDescent="0.25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17.444900000000001</v>
      </c>
      <c r="H1524" t="s">
        <v>99</v>
      </c>
      <c r="I1524">
        <v>4652389103.4499998</v>
      </c>
      <c r="J1524" t="s">
        <v>4701</v>
      </c>
      <c r="K1524">
        <v>55644388.487046599</v>
      </c>
      <c r="L1524">
        <v>1</v>
      </c>
      <c r="M1524" t="s">
        <v>6226</v>
      </c>
      <c r="N1524">
        <v>5.7743899999999999E-3</v>
      </c>
      <c r="O1524">
        <v>3029</v>
      </c>
      <c r="P1524">
        <v>3002</v>
      </c>
      <c r="Q1524">
        <v>17.490627310000001</v>
      </c>
      <c r="R1524">
        <v>4664584142.6175556</v>
      </c>
      <c r="S1524">
        <v>0</v>
      </c>
      <c r="T1524" t="s">
        <v>6244</v>
      </c>
    </row>
    <row r="1525" spans="1:40" x14ac:dyDescent="0.25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6646745236.9349995</v>
      </c>
      <c r="J1525" t="s">
        <v>4701</v>
      </c>
      <c r="K1525">
        <v>18761549.081122201</v>
      </c>
      <c r="L1525">
        <v>0.9</v>
      </c>
      <c r="M1525" t="s">
        <v>6227</v>
      </c>
      <c r="N1525">
        <v>5.7743899999999999E-3</v>
      </c>
      <c r="O1525">
        <v>4385</v>
      </c>
      <c r="P1525">
        <v>4258</v>
      </c>
      <c r="Q1525">
        <v>25.32070015</v>
      </c>
      <c r="R1525">
        <v>6121584375.6993074</v>
      </c>
      <c r="S1525">
        <v>0</v>
      </c>
      <c r="T1525" t="s">
        <v>6244</v>
      </c>
    </row>
    <row r="1526" spans="1:40" x14ac:dyDescent="0.25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31.682079999999999</v>
      </c>
      <c r="H1526" t="s">
        <v>99</v>
      </c>
      <c r="I1526">
        <v>5271783422.8703995</v>
      </c>
      <c r="J1526" t="s">
        <v>4701</v>
      </c>
      <c r="K1526">
        <v>20577511.7649705</v>
      </c>
      <c r="L1526">
        <v>0.9</v>
      </c>
      <c r="M1526" t="s">
        <v>6228</v>
      </c>
      <c r="N1526">
        <v>5.7743899999999999E-3</v>
      </c>
      <c r="O1526">
        <v>5921</v>
      </c>
      <c r="P1526">
        <v>5452</v>
      </c>
      <c r="Q1526">
        <v>34.19016319</v>
      </c>
      <c r="R1526">
        <v>5120207447.7827272</v>
      </c>
      <c r="S1526">
        <v>0</v>
      </c>
      <c r="T1526" t="s">
        <v>6244</v>
      </c>
      <c r="AJ1526" t="s">
        <v>6258</v>
      </c>
    </row>
    <row r="1527" spans="1:40" x14ac:dyDescent="0.25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35022368750.849998</v>
      </c>
      <c r="J1527" t="s">
        <v>4700</v>
      </c>
      <c r="K1527">
        <v>250771887.697171</v>
      </c>
      <c r="L1527">
        <v>1</v>
      </c>
      <c r="M1527" t="s">
        <v>6229</v>
      </c>
      <c r="N1527">
        <v>0.85273301000000001</v>
      </c>
      <c r="O1527">
        <v>149.49</v>
      </c>
      <c r="P1527">
        <v>147.87</v>
      </c>
      <c r="Q1527">
        <v>127.47505766490001</v>
      </c>
      <c r="R1527">
        <v>35378879361.56839</v>
      </c>
      <c r="S1527">
        <v>0</v>
      </c>
      <c r="T1527" t="s">
        <v>6243</v>
      </c>
    </row>
    <row r="1528" spans="1:40" x14ac:dyDescent="0.25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6612063215.9000006</v>
      </c>
      <c r="J1528" t="s">
        <v>4702</v>
      </c>
      <c r="K1528">
        <v>29612170.8879545</v>
      </c>
      <c r="L1528">
        <v>0.9</v>
      </c>
      <c r="M1528" t="s">
        <v>6230</v>
      </c>
      <c r="N1528">
        <v>1</v>
      </c>
      <c r="O1528">
        <v>25.18</v>
      </c>
      <c r="P1528">
        <v>25.03</v>
      </c>
      <c r="Q1528">
        <v>25.18</v>
      </c>
      <c r="R1528">
        <v>5986519240.8599997</v>
      </c>
      <c r="S1528">
        <v>0</v>
      </c>
      <c r="T1528" t="s">
        <v>6242</v>
      </c>
    </row>
    <row r="1529" spans="1:40" x14ac:dyDescent="0.25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55.808779999999999</v>
      </c>
      <c r="H1529" t="s">
        <v>4696</v>
      </c>
      <c r="I1529">
        <v>3981610438.5640001</v>
      </c>
      <c r="J1529" t="s">
        <v>4699</v>
      </c>
      <c r="K1529">
        <v>27812183.516151201</v>
      </c>
      <c r="L1529">
        <v>0.9</v>
      </c>
      <c r="M1529" t="s">
        <v>6231</v>
      </c>
      <c r="N1529">
        <v>0.13397104000000001</v>
      </c>
      <c r="O1529">
        <v>412.4</v>
      </c>
      <c r="P1529">
        <v>416.6</v>
      </c>
      <c r="Q1529">
        <v>55.249656895999998</v>
      </c>
      <c r="R1529">
        <v>3547548424.4911609</v>
      </c>
      <c r="S1529">
        <v>0</v>
      </c>
      <c r="T1529" t="s">
        <v>6242</v>
      </c>
      <c r="U1529" t="s">
        <v>6245</v>
      </c>
    </row>
    <row r="1530" spans="1:40" x14ac:dyDescent="0.25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10120723492.940001</v>
      </c>
      <c r="J1530" t="s">
        <v>4699</v>
      </c>
      <c r="K1530">
        <v>2921214.85716186</v>
      </c>
      <c r="L1530">
        <v>0.3</v>
      </c>
      <c r="M1530" t="s">
        <v>6232</v>
      </c>
      <c r="N1530">
        <v>1.156136E-2</v>
      </c>
      <c r="O1530">
        <v>1225</v>
      </c>
      <c r="P1530">
        <v>1155</v>
      </c>
      <c r="Q1530">
        <v>14.162666</v>
      </c>
      <c r="R1530">
        <v>3225730871.278019</v>
      </c>
      <c r="S1530">
        <v>0</v>
      </c>
      <c r="T1530" t="s">
        <v>6242</v>
      </c>
      <c r="W1530" t="s">
        <v>6247</v>
      </c>
    </row>
    <row r="1531" spans="1:40" x14ac:dyDescent="0.25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56.948709999999998</v>
      </c>
      <c r="H1531" t="s">
        <v>99</v>
      </c>
      <c r="I1531">
        <v>9153550102.6332989</v>
      </c>
      <c r="J1531" t="s">
        <v>4701</v>
      </c>
      <c r="K1531">
        <v>32450104.563188098</v>
      </c>
      <c r="L1531">
        <v>0.6</v>
      </c>
      <c r="M1531" t="s">
        <v>6233</v>
      </c>
      <c r="N1531">
        <v>5.7743899999999999E-3</v>
      </c>
      <c r="O1531">
        <v>9593</v>
      </c>
      <c r="P1531">
        <v>9800</v>
      </c>
      <c r="Q1531">
        <v>55.393723270000002</v>
      </c>
      <c r="R1531">
        <v>5342167237.7479582</v>
      </c>
      <c r="S1531">
        <v>0</v>
      </c>
      <c r="T1531" t="s">
        <v>6244</v>
      </c>
    </row>
    <row r="1532" spans="1:40" x14ac:dyDescent="0.25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91.918419999999998</v>
      </c>
      <c r="H1532" t="s">
        <v>97</v>
      </c>
      <c r="I1532">
        <v>18208669489.951599</v>
      </c>
      <c r="J1532" t="s">
        <v>4700</v>
      </c>
      <c r="K1532">
        <v>154814754.725003</v>
      </c>
      <c r="L1532">
        <v>1</v>
      </c>
      <c r="M1532" t="s">
        <v>6234</v>
      </c>
      <c r="N1532">
        <v>0.85273301000000001</v>
      </c>
      <c r="O1532">
        <v>103.08</v>
      </c>
      <c r="P1532">
        <v>107.71</v>
      </c>
      <c r="Q1532">
        <v>87.899718670799999</v>
      </c>
      <c r="R1532">
        <v>17412580911.816422</v>
      </c>
      <c r="S1532">
        <v>0</v>
      </c>
      <c r="T1532" t="s">
        <v>6243</v>
      </c>
      <c r="AN1532" t="s">
        <v>6262</v>
      </c>
    </row>
    <row r="1533" spans="1:40" x14ac:dyDescent="0.25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2682213478.2368999</v>
      </c>
      <c r="J1533" t="s">
        <v>4701</v>
      </c>
      <c r="K1533">
        <v>26834434.247707799</v>
      </c>
      <c r="L1533">
        <v>1</v>
      </c>
      <c r="M1533" t="s">
        <v>6235</v>
      </c>
      <c r="N1533">
        <v>0.56652409000000004</v>
      </c>
      <c r="O1533">
        <v>4.51</v>
      </c>
      <c r="P1533">
        <v>3.75</v>
      </c>
      <c r="Q1533">
        <v>2.5550236459</v>
      </c>
      <c r="R1533">
        <v>3298109604.4151282</v>
      </c>
      <c r="S1533">
        <v>0</v>
      </c>
      <c r="T1533" t="s">
        <v>6244</v>
      </c>
      <c r="U1533" t="s">
        <v>6245</v>
      </c>
      <c r="AJ1533" t="s">
        <v>6258</v>
      </c>
    </row>
    <row r="1534" spans="1:40" x14ac:dyDescent="0.25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59234838959.872002</v>
      </c>
      <c r="J1534" t="s">
        <v>4700</v>
      </c>
      <c r="K1534">
        <v>426060542.74639201</v>
      </c>
      <c r="L1534">
        <v>1</v>
      </c>
      <c r="M1534" t="s">
        <v>6236</v>
      </c>
      <c r="N1534">
        <v>0.85273301000000001</v>
      </c>
      <c r="O1534">
        <v>148.19999999999999</v>
      </c>
      <c r="P1534">
        <v>156.62</v>
      </c>
      <c r="Q1534">
        <v>126.375032082</v>
      </c>
      <c r="R1534">
        <v>56007325239.462082</v>
      </c>
      <c r="S1534">
        <v>0</v>
      </c>
      <c r="T1534" t="s">
        <v>6243</v>
      </c>
      <c r="AJ1534" t="s">
        <v>6258</v>
      </c>
    </row>
    <row r="1535" spans="1:40" x14ac:dyDescent="0.25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70.378910000000005</v>
      </c>
      <c r="H1535" t="s">
        <v>97</v>
      </c>
      <c r="I1535">
        <v>18752713933.576</v>
      </c>
      <c r="J1535" t="s">
        <v>4700</v>
      </c>
      <c r="K1535">
        <v>208774494.10967401</v>
      </c>
      <c r="L1535">
        <v>1</v>
      </c>
      <c r="M1535" t="s">
        <v>6237</v>
      </c>
      <c r="N1535">
        <v>0.85273301000000001</v>
      </c>
      <c r="O1535">
        <v>83.98</v>
      </c>
      <c r="P1535">
        <v>82.47</v>
      </c>
      <c r="Q1535">
        <v>71.612518179800006</v>
      </c>
      <c r="R1535">
        <v>19081413274.073158</v>
      </c>
      <c r="S1535">
        <v>0</v>
      </c>
      <c r="T1535" t="s">
        <v>6243</v>
      </c>
    </row>
    <row r="1536" spans="1:40" x14ac:dyDescent="0.25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8.4289889999999996</v>
      </c>
      <c r="H1536" t="s">
        <v>99</v>
      </c>
      <c r="I1536">
        <v>7518930865.7941494</v>
      </c>
      <c r="J1536" t="s">
        <v>4701</v>
      </c>
      <c r="K1536">
        <v>22228340.099283401</v>
      </c>
      <c r="L1536">
        <v>0.5</v>
      </c>
      <c r="M1536" t="s">
        <v>6238</v>
      </c>
      <c r="N1536">
        <v>5.7743899999999999E-3</v>
      </c>
      <c r="O1536">
        <v>1451</v>
      </c>
      <c r="P1536">
        <v>1450.5</v>
      </c>
      <c r="Q1536">
        <v>8.3786398900000005</v>
      </c>
      <c r="R1536">
        <v>3737008915.4402208</v>
      </c>
      <c r="S1536">
        <v>0</v>
      </c>
      <c r="T1536" t="s">
        <v>6244</v>
      </c>
    </row>
    <row r="1537" spans="1:40" x14ac:dyDescent="0.25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232.56100000000001</v>
      </c>
      <c r="H1537" t="s">
        <v>97</v>
      </c>
      <c r="I1537">
        <v>36208743036.480003</v>
      </c>
      <c r="J1537" t="s">
        <v>4700</v>
      </c>
      <c r="K1537">
        <v>541991930.91077697</v>
      </c>
      <c r="L1537">
        <v>0.65</v>
      </c>
      <c r="M1537" t="s">
        <v>6239</v>
      </c>
      <c r="N1537">
        <v>0.85273301000000001</v>
      </c>
      <c r="O1537">
        <v>283.19</v>
      </c>
      <c r="P1537">
        <v>272.51499999999999</v>
      </c>
      <c r="Q1537">
        <v>241.4854611019</v>
      </c>
      <c r="R1537">
        <v>24438857999.643021</v>
      </c>
      <c r="S1537">
        <v>0</v>
      </c>
      <c r="T1537" t="s">
        <v>6243</v>
      </c>
      <c r="AN1537" t="s">
        <v>6262</v>
      </c>
    </row>
    <row r="1538" spans="1:40" x14ac:dyDescent="0.25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16.142050000000001</v>
      </c>
      <c r="H1538" t="s">
        <v>4692</v>
      </c>
      <c r="I1538">
        <v>9658893761.1634998</v>
      </c>
      <c r="J1538" t="s">
        <v>4701</v>
      </c>
      <c r="K1538">
        <v>45062917.7336656</v>
      </c>
      <c r="L1538">
        <v>0.7</v>
      </c>
      <c r="M1538" t="s">
        <v>6240</v>
      </c>
      <c r="N1538">
        <v>0.10956983000000001</v>
      </c>
      <c r="O1538">
        <v>149.1</v>
      </c>
      <c r="P1538">
        <v>147.80000000000001</v>
      </c>
      <c r="Q1538">
        <v>16.336861653</v>
      </c>
      <c r="R1538">
        <v>6842824038.3350954</v>
      </c>
      <c r="S1538">
        <v>0</v>
      </c>
      <c r="T1538" t="s">
        <v>6244</v>
      </c>
      <c r="U1538" t="s">
        <v>6245</v>
      </c>
      <c r="AJ1538" t="s">
        <v>6258</v>
      </c>
    </row>
    <row r="1539" spans="1:40" x14ac:dyDescent="0.25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631.35059999999999</v>
      </c>
      <c r="H1539" t="s">
        <v>4694</v>
      </c>
      <c r="I1539">
        <v>92401796889.455994</v>
      </c>
      <c r="J1539" t="s">
        <v>4699</v>
      </c>
      <c r="K1539">
        <v>117164138.64685699</v>
      </c>
      <c r="L1539">
        <v>1</v>
      </c>
      <c r="M1539" t="s">
        <v>6241</v>
      </c>
      <c r="N1539">
        <v>1.07032003</v>
      </c>
      <c r="O1539">
        <v>571.20000000000005</v>
      </c>
      <c r="P1539">
        <v>593</v>
      </c>
      <c r="Q1539">
        <v>611.36680113600005</v>
      </c>
      <c r="R1539">
        <v>89477052819.028152</v>
      </c>
      <c r="S1539">
        <v>0</v>
      </c>
      <c r="T1539" t="s">
        <v>6242</v>
      </c>
      <c r="U1539" t="s">
        <v>6245</v>
      </c>
      <c r="AJ1539" t="s">
        <v>6258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41"/>
  <sheetViews>
    <sheetView tabSelected="1" topLeftCell="AN1" workbookViewId="0">
      <pane ySplit="1" topLeftCell="A9" activePane="bottomLeft" state="frozen"/>
      <selection activeCell="AB1" sqref="AB1"/>
      <selection pane="bottomLeft" activeCell="BG1" sqref="BG1:BG1048576"/>
    </sheetView>
  </sheetViews>
  <sheetFormatPr defaultRowHeight="15" x14ac:dyDescent="0.25"/>
  <cols>
    <col min="1" max="1" width="5.28515625" bestFit="1" customWidth="1"/>
    <col min="2" max="2" width="10" bestFit="1" customWidth="1"/>
    <col min="3" max="3" width="22.7109375" bestFit="1" customWidth="1"/>
    <col min="4" max="4" width="15.140625" bestFit="1" customWidth="1"/>
    <col min="5" max="5" width="6.140625" bestFit="1" customWidth="1"/>
    <col min="6" max="6" width="11" bestFit="1" customWidth="1"/>
    <col min="7" max="7" width="11" customWidth="1"/>
    <col min="8" max="8" width="11.28515625" bestFit="1" customWidth="1"/>
    <col min="9" max="9" width="11.28515625" customWidth="1"/>
    <col min="10" max="10" width="15.28515625" bestFit="1" customWidth="1"/>
    <col min="11" max="11" width="12" bestFit="1" customWidth="1"/>
    <col min="12" max="12" width="11.85546875" bestFit="1" customWidth="1"/>
    <col min="13" max="13" width="14.5703125" bestFit="1" customWidth="1"/>
    <col min="14" max="14" width="9.85546875" bestFit="1" customWidth="1"/>
    <col min="15" max="15" width="10.140625" bestFit="1" customWidth="1"/>
    <col min="16" max="16" width="12.42578125" bestFit="1" customWidth="1"/>
    <col min="17" max="17" width="13.85546875" bestFit="1" customWidth="1"/>
    <col min="18" max="18" width="12.5703125" bestFit="1" customWidth="1"/>
    <col min="19" max="19" width="21.7109375" bestFit="1" customWidth="1"/>
    <col min="20" max="20" width="21.7109375" customWidth="1"/>
    <col min="21" max="21" width="18.42578125" bestFit="1" customWidth="1"/>
    <col min="22" max="22" width="9.7109375" bestFit="1" customWidth="1"/>
    <col min="24" max="32" width="11.42578125" bestFit="1" customWidth="1"/>
    <col min="33" max="43" width="12.42578125" bestFit="1" customWidth="1"/>
    <col min="44" max="44" width="12.85546875" bestFit="1" customWidth="1"/>
    <col min="45" max="45" width="17.5703125" bestFit="1" customWidth="1"/>
    <col min="46" max="46" width="12" bestFit="1" customWidth="1"/>
    <col min="47" max="47" width="9.5703125" bestFit="1" customWidth="1"/>
    <col min="48" max="49" width="12" bestFit="1" customWidth="1"/>
    <col min="50" max="50" width="9.5703125" bestFit="1" customWidth="1"/>
    <col min="51" max="52" width="12" bestFit="1" customWidth="1"/>
    <col min="53" max="53" width="9.5703125" bestFit="1" customWidth="1"/>
    <col min="54" max="54" width="12" bestFit="1" customWidth="1"/>
    <col min="55" max="56" width="12" customWidth="1"/>
    <col min="57" max="57" width="12" bestFit="1" customWidth="1"/>
    <col min="58" max="59" width="12" customWidth="1"/>
    <col min="60" max="60" width="12.85546875" bestFit="1" customWidth="1"/>
    <col min="61" max="61" width="23.140625" bestFit="1" customWidth="1"/>
  </cols>
  <sheetData>
    <row r="1" spans="1:61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/>
      <c r="H1" s="1" t="s">
        <v>120</v>
      </c>
      <c r="I1" s="1"/>
      <c r="J1" s="1" t="s">
        <v>121</v>
      </c>
      <c r="K1" s="1" t="s">
        <v>122</v>
      </c>
      <c r="L1" s="1" t="s">
        <v>123</v>
      </c>
      <c r="M1" s="1" t="s">
        <v>124</v>
      </c>
      <c r="N1" s="1" t="s">
        <v>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/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6263</v>
      </c>
      <c r="AS1" s="1" t="s">
        <v>6264</v>
      </c>
      <c r="AT1" s="1" t="s">
        <v>6265</v>
      </c>
      <c r="AU1" s="1" t="s">
        <v>6266</v>
      </c>
      <c r="AV1" s="1" t="s">
        <v>6267</v>
      </c>
      <c r="AW1" s="1" t="s">
        <v>6268</v>
      </c>
      <c r="AX1" s="1" t="s">
        <v>6269</v>
      </c>
      <c r="AY1" s="1" t="s">
        <v>6270</v>
      </c>
      <c r="AZ1" s="1" t="s">
        <v>6271</v>
      </c>
      <c r="BA1" s="1" t="s">
        <v>6272</v>
      </c>
      <c r="BB1" s="1" t="s">
        <v>6273</v>
      </c>
      <c r="BC1" s="1"/>
      <c r="BD1" s="1"/>
      <c r="BE1" s="1" t="s">
        <v>6274</v>
      </c>
      <c r="BF1" s="1"/>
      <c r="BG1" s="1"/>
      <c r="BH1" s="1" t="s">
        <v>6275</v>
      </c>
      <c r="BI1" s="1" t="s">
        <v>6</v>
      </c>
    </row>
    <row r="2" spans="1:61" x14ac:dyDescent="0.25">
      <c r="A2">
        <v>20</v>
      </c>
      <c r="B2" t="s">
        <v>172</v>
      </c>
      <c r="C2" t="s">
        <v>10</v>
      </c>
      <c r="D2" t="s">
        <v>49</v>
      </c>
      <c r="E2" t="s">
        <v>88</v>
      </c>
      <c r="F2">
        <v>244966893</v>
      </c>
      <c r="G2" t="b">
        <f>F2=[1]full_dataframe_final!F4</f>
        <v>1</v>
      </c>
      <c r="H2">
        <v>44.76</v>
      </c>
      <c r="J2" t="s">
        <v>98</v>
      </c>
      <c r="K2">
        <v>10964718130.68</v>
      </c>
      <c r="L2" t="s">
        <v>4702</v>
      </c>
      <c r="M2">
        <v>30697958.705833301</v>
      </c>
      <c r="N2">
        <v>0.85000000000000009</v>
      </c>
      <c r="O2" t="s">
        <v>4723</v>
      </c>
      <c r="P2">
        <v>1</v>
      </c>
      <c r="Q2">
        <v>41.21</v>
      </c>
      <c r="R2">
        <v>44.76</v>
      </c>
      <c r="S2">
        <v>41.21</v>
      </c>
      <c r="T2" t="b">
        <f>S2=[1]full_dataframe_final!BN4</f>
        <v>1</v>
      </c>
      <c r="U2">
        <v>8580822811.4505014</v>
      </c>
      <c r="V2">
        <v>1</v>
      </c>
      <c r="W2" t="s">
        <v>6242</v>
      </c>
      <c r="AR2">
        <v>106</v>
      </c>
      <c r="AS2">
        <v>2.2930000000000001</v>
      </c>
      <c r="AT2">
        <v>1.109598990500766E-2</v>
      </c>
      <c r="AU2">
        <v>0</v>
      </c>
      <c r="AV2">
        <v>8580822811.4505014</v>
      </c>
      <c r="AW2">
        <v>1.109598990500766E-2</v>
      </c>
      <c r="AX2">
        <v>0</v>
      </c>
      <c r="AY2">
        <v>8580822811.4505014</v>
      </c>
      <c r="AZ2">
        <v>1.109598990500766E-2</v>
      </c>
      <c r="BA2">
        <v>0</v>
      </c>
      <c r="BB2">
        <v>8580822811.4505014</v>
      </c>
      <c r="BC2">
        <f>_xlfn.XLOOKUP(D2,[1]full_dataframe_final!$C$2:$C$41,[1]full_dataframe_final!$BO$2:$BO$41)</f>
        <v>8580822811.4504995</v>
      </c>
      <c r="BD2" t="b">
        <f>BC2=BB2</f>
        <v>1</v>
      </c>
      <c r="BE2">
        <v>1.109598990500766E-2</v>
      </c>
      <c r="BH2">
        <v>1</v>
      </c>
      <c r="BI2" t="s">
        <v>95</v>
      </c>
    </row>
    <row r="3" spans="1:61" x14ac:dyDescent="0.25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 t="b">
        <f>F3=[1]full_dataframe_final!F6</f>
        <v>0</v>
      </c>
      <c r="H3">
        <v>21.89</v>
      </c>
      <c r="J3" t="s">
        <v>98</v>
      </c>
      <c r="K3">
        <v>10113835955.74</v>
      </c>
      <c r="L3" t="s">
        <v>4702</v>
      </c>
      <c r="M3">
        <v>24240482.7000379</v>
      </c>
      <c r="N3">
        <v>0.75</v>
      </c>
      <c r="O3" t="s">
        <v>4773</v>
      </c>
      <c r="P3">
        <v>1</v>
      </c>
      <c r="Q3">
        <v>20.94</v>
      </c>
      <c r="R3">
        <v>21.89</v>
      </c>
      <c r="S3">
        <v>20.94</v>
      </c>
      <c r="T3" t="b">
        <f>S3=[1]full_dataframe_final!BN6</f>
        <v>0</v>
      </c>
      <c r="U3">
        <v>7256180616.0300007</v>
      </c>
      <c r="V3">
        <v>1</v>
      </c>
      <c r="W3" t="s">
        <v>6242</v>
      </c>
      <c r="AR3">
        <v>1980</v>
      </c>
      <c r="AS3">
        <v>3.093</v>
      </c>
      <c r="AT3">
        <v>9.3830753336312019E-3</v>
      </c>
      <c r="AU3">
        <v>0</v>
      </c>
      <c r="AV3">
        <v>7256180616.0300007</v>
      </c>
      <c r="AW3">
        <v>9.3830753336312019E-3</v>
      </c>
      <c r="AX3">
        <v>0</v>
      </c>
      <c r="AY3">
        <v>7256180616.0300007</v>
      </c>
      <c r="AZ3">
        <v>9.3830753336312019E-3</v>
      </c>
      <c r="BA3">
        <v>0</v>
      </c>
      <c r="BB3">
        <v>7256180616.0300007</v>
      </c>
      <c r="BC3">
        <f>_xlfn.XLOOKUP(D3,[1]full_dataframe_final!$C$2:$C$41,[1]full_dataframe_final!$BO$2:$BO$41)</f>
        <v>7256180616.0300007</v>
      </c>
      <c r="BD3" t="b">
        <f>BC3=BB3</f>
        <v>1</v>
      </c>
      <c r="BE3">
        <v>9.3830753336312019E-3</v>
      </c>
      <c r="BH3">
        <v>1</v>
      </c>
      <c r="BI3" t="s">
        <v>95</v>
      </c>
    </row>
    <row r="4" spans="1:61" x14ac:dyDescent="0.25">
      <c r="A4">
        <v>202</v>
      </c>
      <c r="B4" t="s">
        <v>354</v>
      </c>
      <c r="C4" t="s">
        <v>15</v>
      </c>
      <c r="D4" t="s">
        <v>54</v>
      </c>
      <c r="E4" t="s">
        <v>88</v>
      </c>
      <c r="F4">
        <v>118361220</v>
      </c>
      <c r="G4" t="b">
        <f>F4=[1]full_dataframe_final!F9</f>
        <v>1</v>
      </c>
      <c r="H4">
        <v>127.4</v>
      </c>
      <c r="J4" t="s">
        <v>98</v>
      </c>
      <c r="K4">
        <v>15079219428</v>
      </c>
      <c r="L4" t="s">
        <v>4702</v>
      </c>
      <c r="M4">
        <v>12598459.105303001</v>
      </c>
      <c r="N4">
        <v>0.4</v>
      </c>
      <c r="O4" t="s">
        <v>4905</v>
      </c>
      <c r="P4">
        <v>1</v>
      </c>
      <c r="Q4">
        <v>115.1</v>
      </c>
      <c r="R4">
        <v>127.4</v>
      </c>
      <c r="S4">
        <v>115.1</v>
      </c>
      <c r="T4" t="b">
        <f>S4=[1]full_dataframe_final!BN9</f>
        <v>1</v>
      </c>
      <c r="U4">
        <v>5449350568.8000002</v>
      </c>
      <c r="V4">
        <v>1</v>
      </c>
      <c r="W4" t="s">
        <v>6242</v>
      </c>
      <c r="AR4">
        <v>0</v>
      </c>
      <c r="AS4">
        <v>2.851</v>
      </c>
      <c r="AT4">
        <v>7.0466364623640787E-3</v>
      </c>
      <c r="AU4">
        <v>0</v>
      </c>
      <c r="AV4">
        <v>5449350568.8000002</v>
      </c>
      <c r="AW4">
        <v>7.0466364623640787E-3</v>
      </c>
      <c r="AX4">
        <v>0</v>
      </c>
      <c r="AY4">
        <v>5449350568.8000002</v>
      </c>
      <c r="AZ4">
        <v>7.0466364623640787E-3</v>
      </c>
      <c r="BA4">
        <v>0</v>
      </c>
      <c r="BB4">
        <v>5449350568.8000002</v>
      </c>
      <c r="BC4">
        <f>_xlfn.XLOOKUP(D4,[1]full_dataframe_final!$C$2:$C$41,[1]full_dataframe_final!$BO$2:$BO$41)</f>
        <v>5449350568.8000002</v>
      </c>
      <c r="BD4" t="b">
        <f>BC4=BB4</f>
        <v>1</v>
      </c>
      <c r="BE4">
        <v>7.0466364623640787E-3</v>
      </c>
      <c r="BH4">
        <v>1</v>
      </c>
      <c r="BI4" t="s">
        <v>95</v>
      </c>
    </row>
    <row r="5" spans="1:61" x14ac:dyDescent="0.25">
      <c r="A5">
        <v>374</v>
      </c>
      <c r="B5" t="s">
        <v>526</v>
      </c>
      <c r="C5" t="s">
        <v>17</v>
      </c>
      <c r="D5" t="s">
        <v>56</v>
      </c>
      <c r="E5" t="s">
        <v>88</v>
      </c>
      <c r="F5">
        <v>681394483</v>
      </c>
      <c r="G5" t="b">
        <f>F5=[1]full_dataframe_final!F11</f>
        <v>1</v>
      </c>
      <c r="H5">
        <v>73.239999999999995</v>
      </c>
      <c r="J5" t="s">
        <v>98</v>
      </c>
      <c r="K5">
        <v>49905331934.919998</v>
      </c>
      <c r="L5" t="s">
        <v>4702</v>
      </c>
      <c r="M5">
        <v>77221971.694091007</v>
      </c>
      <c r="N5">
        <v>0.95000000000000007</v>
      </c>
      <c r="O5" t="s">
        <v>5077</v>
      </c>
      <c r="P5">
        <v>1</v>
      </c>
      <c r="Q5">
        <v>74.64</v>
      </c>
      <c r="R5">
        <v>73.239999999999995</v>
      </c>
      <c r="S5">
        <v>74.64</v>
      </c>
      <c r="T5" t="b">
        <f>S5=[1]full_dataframe_final!BN11</f>
        <v>1</v>
      </c>
      <c r="U5">
        <v>48316320000.564003</v>
      </c>
      <c r="V5">
        <v>1</v>
      </c>
      <c r="W5" t="s">
        <v>6242</v>
      </c>
      <c r="AR5">
        <v>100</v>
      </c>
      <c r="AS5">
        <v>2.6579999999999999</v>
      </c>
      <c r="AT5">
        <v>6.2478553718411142E-2</v>
      </c>
      <c r="AU5">
        <v>0</v>
      </c>
      <c r="AV5">
        <v>48316320000.564003</v>
      </c>
      <c r="AW5">
        <v>6.2478553718411142E-2</v>
      </c>
      <c r="AX5">
        <v>0</v>
      </c>
      <c r="AY5">
        <v>48316320000.564003</v>
      </c>
      <c r="AZ5">
        <v>6.2478553718411142E-2</v>
      </c>
      <c r="BA5">
        <v>0</v>
      </c>
      <c r="BB5">
        <v>48316320000.564003</v>
      </c>
      <c r="BC5">
        <f>_xlfn.XLOOKUP(D5,[1]full_dataframe_final!$C$2:$C$41,[1]full_dataframe_final!$BO$2:$BO$41)</f>
        <v>48316320000.564003</v>
      </c>
      <c r="BD5" t="b">
        <f>BC5=BB5</f>
        <v>1</v>
      </c>
      <c r="BE5">
        <v>6.2478553718411142E-2</v>
      </c>
      <c r="BH5">
        <v>1</v>
      </c>
      <c r="BI5" t="s">
        <v>95</v>
      </c>
    </row>
    <row r="6" spans="1:61" x14ac:dyDescent="0.25">
      <c r="A6">
        <v>378</v>
      </c>
      <c r="B6" t="s">
        <v>530</v>
      </c>
      <c r="C6" t="s">
        <v>18</v>
      </c>
      <c r="D6" t="s">
        <v>57</v>
      </c>
      <c r="E6" t="s">
        <v>88</v>
      </c>
      <c r="F6">
        <v>1344379776</v>
      </c>
      <c r="G6" t="b">
        <f>F6=[1]full_dataframe_final!F12</f>
        <v>1</v>
      </c>
      <c r="H6">
        <v>27.13</v>
      </c>
      <c r="J6" t="s">
        <v>98</v>
      </c>
      <c r="K6">
        <v>36473023322.879997</v>
      </c>
      <c r="L6" t="s">
        <v>4702</v>
      </c>
      <c r="M6">
        <v>47583220.401363596</v>
      </c>
      <c r="N6">
        <v>0.5</v>
      </c>
      <c r="O6" t="s">
        <v>5081</v>
      </c>
      <c r="P6">
        <v>1</v>
      </c>
      <c r="Q6">
        <v>27.56</v>
      </c>
      <c r="R6">
        <v>27.13</v>
      </c>
      <c r="S6">
        <v>27.56</v>
      </c>
      <c r="T6" t="b">
        <f>S6=[1]full_dataframe_final!BN12</f>
        <v>1</v>
      </c>
      <c r="U6">
        <v>18525553313.279999</v>
      </c>
      <c r="V6">
        <v>1</v>
      </c>
      <c r="W6" t="s">
        <v>6242</v>
      </c>
      <c r="AR6">
        <v>0</v>
      </c>
      <c r="AS6">
        <v>2.7530000000000001</v>
      </c>
      <c r="AT6">
        <v>2.395566917831372E-2</v>
      </c>
      <c r="AU6">
        <v>0</v>
      </c>
      <c r="AV6">
        <v>18525553313.279999</v>
      </c>
      <c r="AW6">
        <v>2.395566917831372E-2</v>
      </c>
      <c r="AX6">
        <v>0</v>
      </c>
      <c r="AY6">
        <v>18525553313.279999</v>
      </c>
      <c r="AZ6">
        <v>2.395566917831372E-2</v>
      </c>
      <c r="BA6">
        <v>0</v>
      </c>
      <c r="BB6">
        <v>18525553313.279999</v>
      </c>
      <c r="BC6">
        <f>_xlfn.XLOOKUP(D6,[1]full_dataframe_final!$C$2:$C$41,[1]full_dataframe_final!$BO$2:$BO$41)</f>
        <v>18525553313.279999</v>
      </c>
      <c r="BD6" t="b">
        <f>BC6=BB6</f>
        <v>1</v>
      </c>
      <c r="BE6">
        <v>2.395566917831372E-2</v>
      </c>
      <c r="BH6">
        <v>1</v>
      </c>
      <c r="BI6" t="s">
        <v>95</v>
      </c>
    </row>
    <row r="7" spans="1:61" x14ac:dyDescent="0.25">
      <c r="A7">
        <v>471</v>
      </c>
      <c r="B7" t="s">
        <v>623</v>
      </c>
      <c r="C7" t="s">
        <v>21</v>
      </c>
      <c r="D7" t="s">
        <v>60</v>
      </c>
      <c r="E7" t="s">
        <v>88</v>
      </c>
      <c r="F7">
        <v>101542528</v>
      </c>
      <c r="G7" t="b">
        <f>F7=[1]full_dataframe_final!F15</f>
        <v>1</v>
      </c>
      <c r="H7">
        <v>143</v>
      </c>
      <c r="J7" t="s">
        <v>98</v>
      </c>
      <c r="K7">
        <v>14520581504</v>
      </c>
      <c r="L7" t="s">
        <v>4702</v>
      </c>
      <c r="M7">
        <v>27660804.966666698</v>
      </c>
      <c r="N7">
        <v>0.75</v>
      </c>
      <c r="O7" t="s">
        <v>5174</v>
      </c>
      <c r="P7">
        <v>1</v>
      </c>
      <c r="Q7">
        <v>138.4</v>
      </c>
      <c r="R7">
        <v>143</v>
      </c>
      <c r="S7">
        <v>138.4</v>
      </c>
      <c r="T7" t="b">
        <f>S7=[1]full_dataframe_final!BN15</f>
        <v>1</v>
      </c>
      <c r="U7">
        <v>10540114406.4</v>
      </c>
      <c r="V7">
        <v>1</v>
      </c>
      <c r="W7" t="s">
        <v>6242</v>
      </c>
      <c r="AR7">
        <v>0</v>
      </c>
      <c r="AS7">
        <v>2.907</v>
      </c>
      <c r="AT7">
        <v>1.362957907660961E-2</v>
      </c>
      <c r="AU7">
        <v>0</v>
      </c>
      <c r="AV7">
        <v>10540114406.4</v>
      </c>
      <c r="AW7">
        <v>1.362957907660961E-2</v>
      </c>
      <c r="AX7">
        <v>0</v>
      </c>
      <c r="AY7">
        <v>10540114406.4</v>
      </c>
      <c r="AZ7">
        <v>1.362957907660961E-2</v>
      </c>
      <c r="BA7">
        <v>0</v>
      </c>
      <c r="BB7">
        <v>10540114406.4</v>
      </c>
      <c r="BC7">
        <f>_xlfn.XLOOKUP(D7,[1]full_dataframe_final!$C$2:$C$41,[1]full_dataframe_final!$BO$2:$BO$41)</f>
        <v>10540114406.4</v>
      </c>
      <c r="BD7" t="b">
        <f>BC7=BB7</f>
        <v>1</v>
      </c>
      <c r="BE7">
        <v>1.362957907660961E-2</v>
      </c>
      <c r="BH7">
        <v>1</v>
      </c>
      <c r="BI7" t="s">
        <v>95</v>
      </c>
    </row>
    <row r="8" spans="1:61" x14ac:dyDescent="0.25">
      <c r="A8">
        <v>594</v>
      </c>
      <c r="B8" t="s">
        <v>746</v>
      </c>
      <c r="C8" t="s">
        <v>24</v>
      </c>
      <c r="D8" t="s">
        <v>63</v>
      </c>
      <c r="E8" t="s">
        <v>88</v>
      </c>
      <c r="F8">
        <v>105569412</v>
      </c>
      <c r="G8" t="b">
        <f>F8=[1]full_dataframe_final!F18</f>
        <v>1</v>
      </c>
      <c r="H8">
        <v>2095</v>
      </c>
      <c r="J8" t="s">
        <v>98</v>
      </c>
      <c r="K8">
        <v>221167918140</v>
      </c>
      <c r="L8" t="s">
        <v>4702</v>
      </c>
      <c r="M8">
        <v>124022566.03787901</v>
      </c>
      <c r="N8">
        <v>0.3</v>
      </c>
      <c r="O8" t="s">
        <v>5297</v>
      </c>
      <c r="P8">
        <v>1</v>
      </c>
      <c r="Q8">
        <v>2090</v>
      </c>
      <c r="R8">
        <v>2095</v>
      </c>
      <c r="S8">
        <v>2090</v>
      </c>
      <c r="T8" t="b">
        <f>S8=[1]full_dataframe_final!BN18</f>
        <v>1</v>
      </c>
      <c r="U8">
        <v>66192021324.000008</v>
      </c>
      <c r="V8">
        <v>1</v>
      </c>
      <c r="W8" t="s">
        <v>6242</v>
      </c>
      <c r="AR8">
        <v>596</v>
      </c>
      <c r="AS8">
        <v>2.895</v>
      </c>
      <c r="AT8">
        <v>8.5593889600314652E-2</v>
      </c>
      <c r="AU8">
        <v>0</v>
      </c>
      <c r="AV8">
        <v>66192021324.000008</v>
      </c>
      <c r="AW8">
        <v>8.5593889600314652E-2</v>
      </c>
      <c r="AX8">
        <v>0</v>
      </c>
      <c r="AY8">
        <v>66192021324.000008</v>
      </c>
      <c r="AZ8">
        <v>8.5593889600314652E-2</v>
      </c>
      <c r="BA8">
        <v>0</v>
      </c>
      <c r="BB8">
        <v>66192021324.000008</v>
      </c>
      <c r="BC8">
        <f>_xlfn.XLOOKUP(D8,[1]full_dataframe_final!$C$2:$C$41,[1]full_dataframe_final!$BO$2:$BO$41)</f>
        <v>66192021323.999992</v>
      </c>
      <c r="BD8" t="b">
        <f>BC8=BB8</f>
        <v>1</v>
      </c>
      <c r="BE8">
        <v>8.5593889600314652E-2</v>
      </c>
      <c r="BH8">
        <v>1</v>
      </c>
      <c r="BI8" t="s">
        <v>95</v>
      </c>
    </row>
    <row r="9" spans="1:61" x14ac:dyDescent="0.25">
      <c r="A9">
        <v>734</v>
      </c>
      <c r="B9" t="s">
        <v>886</v>
      </c>
      <c r="C9" t="s">
        <v>26</v>
      </c>
      <c r="D9" t="s">
        <v>65</v>
      </c>
      <c r="E9" t="s">
        <v>88</v>
      </c>
      <c r="F9">
        <v>123420778</v>
      </c>
      <c r="G9" t="b">
        <f>F9=[1]full_dataframe_final!F20</f>
        <v>1</v>
      </c>
      <c r="H9">
        <v>223.8</v>
      </c>
      <c r="J9" t="s">
        <v>98</v>
      </c>
      <c r="K9">
        <v>27621570116.400002</v>
      </c>
      <c r="L9" t="s">
        <v>4702</v>
      </c>
      <c r="M9">
        <v>68218505.263712093</v>
      </c>
      <c r="N9">
        <v>0.60000000000000009</v>
      </c>
      <c r="O9" t="s">
        <v>5437</v>
      </c>
      <c r="P9">
        <v>1</v>
      </c>
      <c r="Q9">
        <v>241.3</v>
      </c>
      <c r="R9">
        <v>223.8</v>
      </c>
      <c r="S9">
        <v>241.3</v>
      </c>
      <c r="T9" t="b">
        <f>S9=[1]full_dataframe_final!BN20</f>
        <v>1</v>
      </c>
      <c r="U9">
        <v>17868860238.84</v>
      </c>
      <c r="V9">
        <v>1</v>
      </c>
      <c r="W9" t="s">
        <v>6242</v>
      </c>
      <c r="AR9">
        <v>0</v>
      </c>
      <c r="AS9">
        <v>2.7490000000000001</v>
      </c>
      <c r="AT9">
        <v>2.3106489573421859E-2</v>
      </c>
      <c r="AU9">
        <v>0</v>
      </c>
      <c r="AV9">
        <v>17868860238.84</v>
      </c>
      <c r="AW9">
        <v>2.3106489573421859E-2</v>
      </c>
      <c r="AX9">
        <v>0</v>
      </c>
      <c r="AY9">
        <v>17868860238.84</v>
      </c>
      <c r="AZ9">
        <v>2.3106489573421859E-2</v>
      </c>
      <c r="BA9">
        <v>0</v>
      </c>
      <c r="BB9">
        <v>17868860238.84</v>
      </c>
      <c r="BC9">
        <f>_xlfn.XLOOKUP(D9,[1]full_dataframe_final!$C$2:$C$41,[1]full_dataframe_final!$BO$2:$BO$41)</f>
        <v>17868860238.84</v>
      </c>
      <c r="BD9" t="b">
        <f>BC9=BB9</f>
        <v>1</v>
      </c>
      <c r="BE9">
        <v>2.3106489573421859E-2</v>
      </c>
      <c r="BH9">
        <v>1</v>
      </c>
      <c r="BI9" t="s">
        <v>95</v>
      </c>
    </row>
    <row r="10" spans="1:61" x14ac:dyDescent="0.25">
      <c r="A10">
        <v>787</v>
      </c>
      <c r="B10" t="s">
        <v>939</v>
      </c>
      <c r="C10" t="s">
        <v>28</v>
      </c>
      <c r="D10" t="s">
        <v>67</v>
      </c>
      <c r="E10" t="s">
        <v>88</v>
      </c>
      <c r="F10">
        <v>262245733</v>
      </c>
      <c r="G10" t="b">
        <f>F10=[1]full_dataframe_final!F21</f>
        <v>0</v>
      </c>
      <c r="H10">
        <v>132.1</v>
      </c>
      <c r="J10" t="s">
        <v>98</v>
      </c>
      <c r="K10">
        <v>34642661329.300003</v>
      </c>
      <c r="L10" t="s">
        <v>4702</v>
      </c>
      <c r="M10">
        <v>60250024.703030303</v>
      </c>
      <c r="N10">
        <v>1</v>
      </c>
      <c r="O10" t="s">
        <v>5490</v>
      </c>
      <c r="P10">
        <v>1</v>
      </c>
      <c r="Q10">
        <v>139.1</v>
      </c>
      <c r="R10">
        <v>132.1</v>
      </c>
      <c r="S10">
        <v>139.1</v>
      </c>
      <c r="T10" t="b">
        <f>S10=[1]full_dataframe_final!BN21</f>
        <v>0</v>
      </c>
      <c r="U10">
        <v>36478381460.300003</v>
      </c>
      <c r="V10">
        <v>1</v>
      </c>
      <c r="W10" t="s">
        <v>6242</v>
      </c>
      <c r="AR10">
        <v>0</v>
      </c>
      <c r="AS10">
        <v>2.74</v>
      </c>
      <c r="AT10">
        <v>4.7170738905641857E-2</v>
      </c>
      <c r="AU10">
        <v>0</v>
      </c>
      <c r="AV10">
        <v>36478381460.300003</v>
      </c>
      <c r="AW10">
        <v>4.7170738905641857E-2</v>
      </c>
      <c r="AX10">
        <v>0</v>
      </c>
      <c r="AY10">
        <v>36478381460.300003</v>
      </c>
      <c r="AZ10">
        <v>4.7170738905641857E-2</v>
      </c>
      <c r="BA10">
        <v>0</v>
      </c>
      <c r="BB10">
        <v>36478381460.300003</v>
      </c>
      <c r="BC10">
        <f>_xlfn.XLOOKUP(D10,[1]full_dataframe_final!$C$2:$C$41,[1]full_dataframe_final!$BO$2:$BO$41)</f>
        <v>36478381460.300003</v>
      </c>
      <c r="BD10" t="b">
        <f>BC10=BB10</f>
        <v>1</v>
      </c>
      <c r="BE10">
        <v>4.7170738905641857E-2</v>
      </c>
      <c r="BH10">
        <v>1</v>
      </c>
      <c r="BI10" t="s">
        <v>95</v>
      </c>
    </row>
    <row r="11" spans="1:61" x14ac:dyDescent="0.25">
      <c r="A11">
        <v>809</v>
      </c>
      <c r="B11" t="s">
        <v>961</v>
      </c>
      <c r="C11" t="s">
        <v>27</v>
      </c>
      <c r="D11" t="s">
        <v>66</v>
      </c>
      <c r="E11" t="s">
        <v>88</v>
      </c>
      <c r="F11">
        <v>533204913</v>
      </c>
      <c r="G11" t="b">
        <f>F11=[1]full_dataframe_final!F22</f>
        <v>0</v>
      </c>
      <c r="H11">
        <v>399</v>
      </c>
      <c r="J11" t="s">
        <v>98</v>
      </c>
      <c r="K11">
        <v>212748760287</v>
      </c>
      <c r="L11" t="s">
        <v>4702</v>
      </c>
      <c r="M11">
        <v>110349748.387879</v>
      </c>
      <c r="N11">
        <v>0.45</v>
      </c>
      <c r="O11" t="s">
        <v>5512</v>
      </c>
      <c r="P11">
        <v>1</v>
      </c>
      <c r="Q11">
        <v>381.05</v>
      </c>
      <c r="R11">
        <v>399</v>
      </c>
      <c r="S11">
        <v>381.05</v>
      </c>
      <c r="T11" t="b">
        <f>S11=[1]full_dataframe_final!BN22</f>
        <v>0</v>
      </c>
      <c r="U11">
        <v>91429979444.392502</v>
      </c>
      <c r="V11">
        <v>1</v>
      </c>
      <c r="W11" t="s">
        <v>6242</v>
      </c>
      <c r="AR11">
        <v>200</v>
      </c>
      <c r="AS11">
        <v>2.657</v>
      </c>
      <c r="AT11">
        <v>0.11822946950684619</v>
      </c>
      <c r="AU11">
        <v>0</v>
      </c>
      <c r="AV11">
        <v>91429979444.392502</v>
      </c>
      <c r="AW11">
        <v>0.11822946950684619</v>
      </c>
      <c r="AX11">
        <v>0</v>
      </c>
      <c r="AY11">
        <v>91429979444.392502</v>
      </c>
      <c r="AZ11">
        <v>0.11822946950684619</v>
      </c>
      <c r="BA11">
        <v>0</v>
      </c>
      <c r="BB11">
        <v>91429979444.392502</v>
      </c>
      <c r="BC11">
        <f>_xlfn.XLOOKUP(D11,[1]full_dataframe_final!$C$2:$C$41,[1]full_dataframe_final!$BO$2:$BO$41)</f>
        <v>91429979444.392502</v>
      </c>
      <c r="BD11" t="b">
        <f>BC11=BB11</f>
        <v>1</v>
      </c>
      <c r="BE11">
        <v>0.11822946950684619</v>
      </c>
      <c r="BH11">
        <v>1</v>
      </c>
      <c r="BI11" t="s">
        <v>95</v>
      </c>
    </row>
    <row r="12" spans="1:61" x14ac:dyDescent="0.25">
      <c r="A12">
        <v>818</v>
      </c>
      <c r="B12" t="s">
        <v>970</v>
      </c>
      <c r="C12" t="s">
        <v>29</v>
      </c>
      <c r="D12" t="s">
        <v>68</v>
      </c>
      <c r="E12" t="s">
        <v>88</v>
      </c>
      <c r="F12">
        <v>500141700</v>
      </c>
      <c r="G12" t="b">
        <f>F12=[1]full_dataframe_final!F23</f>
        <v>0</v>
      </c>
      <c r="H12">
        <v>495.1</v>
      </c>
      <c r="J12" t="s">
        <v>98</v>
      </c>
      <c r="K12">
        <v>247620155670</v>
      </c>
      <c r="L12" t="s">
        <v>4702</v>
      </c>
      <c r="M12">
        <v>239689973.029167</v>
      </c>
      <c r="N12">
        <v>0.5</v>
      </c>
      <c r="O12" t="s">
        <v>5521</v>
      </c>
      <c r="P12">
        <v>1</v>
      </c>
      <c r="Q12">
        <v>490.65</v>
      </c>
      <c r="R12">
        <v>495.1</v>
      </c>
      <c r="S12">
        <v>490.65</v>
      </c>
      <c r="T12" t="b">
        <f>S12=[1]full_dataframe_final!BN23</f>
        <v>0</v>
      </c>
      <c r="U12">
        <v>122697262552.5</v>
      </c>
      <c r="V12">
        <v>1</v>
      </c>
      <c r="W12" t="s">
        <v>6242</v>
      </c>
      <c r="AR12">
        <v>1336</v>
      </c>
      <c r="AS12">
        <v>2.4540000000000002</v>
      </c>
      <c r="AT12">
        <v>0.15866165944341129</v>
      </c>
      <c r="AU12">
        <v>0</v>
      </c>
      <c r="AV12">
        <v>122697262552.5</v>
      </c>
      <c r="AW12">
        <v>0.15866165944341129</v>
      </c>
      <c r="AX12">
        <v>0</v>
      </c>
      <c r="AY12">
        <v>122697262552.5</v>
      </c>
      <c r="AZ12">
        <v>0.15866165944341129</v>
      </c>
      <c r="BA12">
        <v>0</v>
      </c>
      <c r="BB12">
        <v>122697262552.5</v>
      </c>
      <c r="BC12">
        <f>_xlfn.XLOOKUP(D12,[1]full_dataframe_final!$C$2:$C$41,[1]full_dataframe_final!$BO$2:$BO$41)</f>
        <v>122697262552.5</v>
      </c>
      <c r="BD12" t="b">
        <f>BC12=BB12</f>
        <v>1</v>
      </c>
      <c r="BE12">
        <v>0.15866165944341129</v>
      </c>
      <c r="BH12">
        <v>1</v>
      </c>
      <c r="BI12" t="s">
        <v>95</v>
      </c>
    </row>
    <row r="13" spans="1:61" x14ac:dyDescent="0.25">
      <c r="A13">
        <v>925</v>
      </c>
      <c r="B13" t="s">
        <v>1077</v>
      </c>
      <c r="C13" t="s">
        <v>33</v>
      </c>
      <c r="D13" t="s">
        <v>72</v>
      </c>
      <c r="E13" t="s">
        <v>88</v>
      </c>
      <c r="F13">
        <v>43744779</v>
      </c>
      <c r="G13" t="b">
        <f>F13=[1]full_dataframe_final!F27</f>
        <v>0</v>
      </c>
      <c r="H13">
        <v>137</v>
      </c>
      <c r="J13" t="s">
        <v>98</v>
      </c>
      <c r="K13">
        <v>5993034723</v>
      </c>
      <c r="L13" t="s">
        <v>4702</v>
      </c>
      <c r="M13">
        <v>11479960.9393939</v>
      </c>
      <c r="N13">
        <v>0.8</v>
      </c>
      <c r="O13" t="s">
        <v>5628</v>
      </c>
      <c r="P13">
        <v>1</v>
      </c>
      <c r="Q13">
        <v>133.69999999999999</v>
      </c>
      <c r="R13">
        <v>137</v>
      </c>
      <c r="S13">
        <v>133.69999999999999</v>
      </c>
      <c r="T13" t="b">
        <f>S13=[1]full_dataframe_final!BN27</f>
        <v>0</v>
      </c>
      <c r="U13">
        <v>4678941561.8399992</v>
      </c>
      <c r="V13">
        <v>1</v>
      </c>
      <c r="W13" t="s">
        <v>6242</v>
      </c>
      <c r="AR13">
        <v>55</v>
      </c>
      <c r="AS13">
        <v>2.4340000000000002</v>
      </c>
      <c r="AT13">
        <v>6.0504090897923199E-3</v>
      </c>
      <c r="AU13">
        <v>0</v>
      </c>
      <c r="AV13">
        <v>4678941561.8399992</v>
      </c>
      <c r="AW13">
        <v>6.0504090897923199E-3</v>
      </c>
      <c r="AX13">
        <v>0</v>
      </c>
      <c r="AY13">
        <v>4678941561.8399992</v>
      </c>
      <c r="AZ13">
        <v>6.0504090897923199E-3</v>
      </c>
      <c r="BA13">
        <v>0</v>
      </c>
      <c r="BB13">
        <v>4678941561.8399992</v>
      </c>
      <c r="BC13">
        <f>_xlfn.XLOOKUP(D13,[1]full_dataframe_final!$C$2:$C$41,[1]full_dataframe_final!$BO$2:$BO$41)</f>
        <v>4678941561.8400002</v>
      </c>
      <c r="BD13" t="b">
        <f>BC13=BB13</f>
        <v>1</v>
      </c>
      <c r="BE13">
        <v>6.0504090897923199E-3</v>
      </c>
      <c r="BH13">
        <v>1</v>
      </c>
      <c r="BI13" t="s">
        <v>95</v>
      </c>
    </row>
    <row r="14" spans="1:61" x14ac:dyDescent="0.25">
      <c r="A14">
        <v>998</v>
      </c>
      <c r="B14" t="s">
        <v>1150</v>
      </c>
      <c r="C14" t="s">
        <v>36</v>
      </c>
      <c r="D14" t="s">
        <v>75</v>
      </c>
      <c r="E14" t="s">
        <v>88</v>
      </c>
      <c r="F14">
        <v>2660056599</v>
      </c>
      <c r="G14" t="b">
        <f>F14=[1]full_dataframe_final!F30</f>
        <v>0</v>
      </c>
      <c r="H14">
        <v>14.48</v>
      </c>
      <c r="J14" t="s">
        <v>98</v>
      </c>
      <c r="K14">
        <v>38517619553.519997</v>
      </c>
      <c r="L14" t="s">
        <v>4702</v>
      </c>
      <c r="M14">
        <v>66815837.344962202</v>
      </c>
      <c r="N14">
        <v>0.65</v>
      </c>
      <c r="O14" t="s">
        <v>5701</v>
      </c>
      <c r="P14">
        <v>1</v>
      </c>
      <c r="Q14">
        <v>13.9</v>
      </c>
      <c r="R14">
        <v>14.48</v>
      </c>
      <c r="S14">
        <v>13.9</v>
      </c>
      <c r="T14" t="b">
        <f>S14=[1]full_dataframe_final!BN30</f>
        <v>0</v>
      </c>
      <c r="U14">
        <v>24033611371.965</v>
      </c>
      <c r="V14">
        <v>1</v>
      </c>
      <c r="W14" t="s">
        <v>6242</v>
      </c>
      <c r="AR14">
        <v>150</v>
      </c>
      <c r="AS14">
        <v>2.637</v>
      </c>
      <c r="AT14">
        <v>3.1078221171090929E-2</v>
      </c>
      <c r="AU14">
        <v>0</v>
      </c>
      <c r="AV14">
        <v>24033611371.965</v>
      </c>
      <c r="AW14">
        <v>3.1078221171090929E-2</v>
      </c>
      <c r="AX14">
        <v>0</v>
      </c>
      <c r="AY14">
        <v>24033611371.965</v>
      </c>
      <c r="AZ14">
        <v>3.1078221171090929E-2</v>
      </c>
      <c r="BA14">
        <v>0</v>
      </c>
      <c r="BB14">
        <v>24033611371.965</v>
      </c>
      <c r="BC14">
        <f>_xlfn.XLOOKUP(D14,[1]full_dataframe_final!$C$2:$C$41,[1]full_dataframe_final!$BO$2:$BO$41)</f>
        <v>24033611371.965</v>
      </c>
      <c r="BD14" t="b">
        <f>BC14=BB14</f>
        <v>1</v>
      </c>
      <c r="BE14">
        <v>3.1078221171090929E-2</v>
      </c>
      <c r="BH14">
        <v>1</v>
      </c>
      <c r="BI14" t="s">
        <v>95</v>
      </c>
    </row>
    <row r="15" spans="1:61" x14ac:dyDescent="0.25">
      <c r="A15">
        <v>1092</v>
      </c>
      <c r="B15" t="s">
        <v>1244</v>
      </c>
      <c r="C15" t="s">
        <v>39</v>
      </c>
      <c r="D15" t="s">
        <v>78</v>
      </c>
      <c r="E15" t="s">
        <v>88</v>
      </c>
      <c r="F15">
        <v>295722284</v>
      </c>
      <c r="G15" t="b">
        <f>F15=[1]full_dataframe_final!F33</f>
        <v>0</v>
      </c>
      <c r="H15">
        <v>33.56</v>
      </c>
      <c r="J15" t="s">
        <v>98</v>
      </c>
      <c r="K15">
        <v>9924439851.0400009</v>
      </c>
      <c r="L15" t="s">
        <v>4702</v>
      </c>
      <c r="M15">
        <v>47544175.640454501</v>
      </c>
      <c r="N15">
        <v>0.65</v>
      </c>
      <c r="O15" t="s">
        <v>5795</v>
      </c>
      <c r="P15">
        <v>1</v>
      </c>
      <c r="Q15">
        <v>34.369999999999997</v>
      </c>
      <c r="R15">
        <v>33.56</v>
      </c>
      <c r="S15">
        <v>34.369999999999997</v>
      </c>
      <c r="T15" t="b">
        <f>S15=[1]full_dataframe_final!BN33</f>
        <v>0</v>
      </c>
      <c r="U15">
        <v>6606583685.7020006</v>
      </c>
      <c r="V15">
        <v>1</v>
      </c>
      <c r="W15" t="s">
        <v>6242</v>
      </c>
      <c r="AR15">
        <v>1826</v>
      </c>
      <c r="AS15">
        <v>2.552</v>
      </c>
      <c r="AT15">
        <v>8.5430718584836914E-3</v>
      </c>
      <c r="AU15">
        <v>0</v>
      </c>
      <c r="AV15">
        <v>6606583685.7020006</v>
      </c>
      <c r="AW15">
        <v>8.5430718584836914E-3</v>
      </c>
      <c r="AX15">
        <v>0</v>
      </c>
      <c r="AY15">
        <v>6606583685.7020006</v>
      </c>
      <c r="AZ15">
        <v>8.5430718584836914E-3</v>
      </c>
      <c r="BA15">
        <v>0</v>
      </c>
      <c r="BB15">
        <v>6606583685.7020006</v>
      </c>
      <c r="BC15">
        <f>_xlfn.XLOOKUP(D15,[1]full_dataframe_final!$C$2:$C$41,[1]full_dataframe_final!$BO$2:$BO$41)</f>
        <v>6606583685.7019997</v>
      </c>
      <c r="BD15" t="b">
        <f>BC15=BB15</f>
        <v>1</v>
      </c>
      <c r="BE15">
        <v>8.5430718584836914E-3</v>
      </c>
      <c r="BH15">
        <v>1</v>
      </c>
      <c r="BI15" t="s">
        <v>95</v>
      </c>
    </row>
    <row r="16" spans="1:61" x14ac:dyDescent="0.25">
      <c r="A16">
        <v>1102</v>
      </c>
      <c r="B16" t="s">
        <v>1254</v>
      </c>
      <c r="C16" t="s">
        <v>40</v>
      </c>
      <c r="D16" t="s">
        <v>79</v>
      </c>
      <c r="E16" t="s">
        <v>88</v>
      </c>
      <c r="F16">
        <v>299036619</v>
      </c>
      <c r="G16" t="b">
        <f>F16=[1]full_dataframe_final!F34</f>
        <v>0</v>
      </c>
      <c r="H16">
        <v>28.21</v>
      </c>
      <c r="J16" t="s">
        <v>98</v>
      </c>
      <c r="K16">
        <v>8435823021.9900007</v>
      </c>
      <c r="L16" t="s">
        <v>4702</v>
      </c>
      <c r="M16">
        <v>14616258.907348501</v>
      </c>
      <c r="N16">
        <v>0.75</v>
      </c>
      <c r="O16" t="s">
        <v>5805</v>
      </c>
      <c r="P16">
        <v>1</v>
      </c>
      <c r="Q16">
        <v>27.63</v>
      </c>
      <c r="R16">
        <v>28.21</v>
      </c>
      <c r="S16">
        <v>27.63</v>
      </c>
      <c r="T16" t="b">
        <f>S16=[1]full_dataframe_final!BN34</f>
        <v>0</v>
      </c>
      <c r="U16">
        <v>6196786337.227499</v>
      </c>
      <c r="V16">
        <v>1</v>
      </c>
      <c r="W16" t="s">
        <v>6242</v>
      </c>
      <c r="AR16">
        <v>5</v>
      </c>
      <c r="AS16">
        <v>2.5009999999999999</v>
      </c>
      <c r="AT16">
        <v>8.0131567976920639E-3</v>
      </c>
      <c r="AU16">
        <v>0</v>
      </c>
      <c r="AV16">
        <v>6196786337.227499</v>
      </c>
      <c r="AW16">
        <v>8.0131567976920639E-3</v>
      </c>
      <c r="AX16">
        <v>0</v>
      </c>
      <c r="AY16">
        <v>6196786337.227499</v>
      </c>
      <c r="AZ16">
        <v>8.0131567976920639E-3</v>
      </c>
      <c r="BA16">
        <v>0</v>
      </c>
      <c r="BB16">
        <v>6196786337.227499</v>
      </c>
      <c r="BC16">
        <f>_xlfn.XLOOKUP(D16,[1]full_dataframe_final!$C$2:$C$41,[1]full_dataframe_final!$BO$2:$BO$41)</f>
        <v>6196786337.2275</v>
      </c>
      <c r="BD16" t="b">
        <f>BC16=BB16</f>
        <v>1</v>
      </c>
      <c r="BE16">
        <v>8.0131567976920639E-3</v>
      </c>
      <c r="BH16">
        <v>1</v>
      </c>
      <c r="BI16" t="s">
        <v>95</v>
      </c>
    </row>
    <row r="17" spans="1:61" x14ac:dyDescent="0.25">
      <c r="A17">
        <v>1134</v>
      </c>
      <c r="B17" t="s">
        <v>1286</v>
      </c>
      <c r="C17" t="s">
        <v>41</v>
      </c>
      <c r="D17" t="s">
        <v>80</v>
      </c>
      <c r="E17" t="s">
        <v>88</v>
      </c>
      <c r="F17">
        <v>499063699</v>
      </c>
      <c r="G17" t="b">
        <f>F17=[1]full_dataframe_final!F35</f>
        <v>0</v>
      </c>
      <c r="H17">
        <v>98.16</v>
      </c>
      <c r="J17" t="s">
        <v>98</v>
      </c>
      <c r="K17">
        <v>48988092693.839996</v>
      </c>
      <c r="L17" t="s">
        <v>4702</v>
      </c>
      <c r="M17">
        <v>81709919.195605993</v>
      </c>
      <c r="N17">
        <v>0.9</v>
      </c>
      <c r="O17" t="s">
        <v>5837</v>
      </c>
      <c r="P17">
        <v>1</v>
      </c>
      <c r="Q17">
        <v>93.9</v>
      </c>
      <c r="R17">
        <v>98.16</v>
      </c>
      <c r="S17">
        <v>93.9</v>
      </c>
      <c r="T17" t="b">
        <f>S17=[1]full_dataframe_final!BN35</f>
        <v>0</v>
      </c>
      <c r="U17">
        <v>42175873202.490013</v>
      </c>
      <c r="V17">
        <v>1</v>
      </c>
      <c r="W17" t="s">
        <v>6242</v>
      </c>
      <c r="AR17">
        <v>65</v>
      </c>
      <c r="AS17">
        <v>2.6579999999999999</v>
      </c>
      <c r="AT17">
        <v>5.453825041873861E-2</v>
      </c>
      <c r="AU17">
        <v>0</v>
      </c>
      <c r="AV17">
        <v>42175873202.490013</v>
      </c>
      <c r="AW17">
        <v>5.453825041873861E-2</v>
      </c>
      <c r="AX17">
        <v>0</v>
      </c>
      <c r="AY17">
        <v>42175873202.490013</v>
      </c>
      <c r="AZ17">
        <v>5.453825041873861E-2</v>
      </c>
      <c r="BA17">
        <v>0</v>
      </c>
      <c r="BB17">
        <v>42175873202.490013</v>
      </c>
      <c r="BC17">
        <f>_xlfn.XLOOKUP(D17,[1]full_dataframe_final!$C$2:$C$41,[1]full_dataframe_final!$BO$2:$BO$41)</f>
        <v>42175873202.490013</v>
      </c>
      <c r="BD17" t="b">
        <f>BC17=BB17</f>
        <v>1</v>
      </c>
      <c r="BE17">
        <v>5.453825041873861E-2</v>
      </c>
      <c r="BH17">
        <v>1</v>
      </c>
      <c r="BI17" t="s">
        <v>95</v>
      </c>
    </row>
    <row r="18" spans="1:61" x14ac:dyDescent="0.25">
      <c r="A18">
        <v>1146</v>
      </c>
      <c r="B18" t="s">
        <v>1298</v>
      </c>
      <c r="C18" t="s">
        <v>42</v>
      </c>
      <c r="D18" t="s">
        <v>81</v>
      </c>
      <c r="E18" t="s">
        <v>88</v>
      </c>
      <c r="F18">
        <v>1227468973</v>
      </c>
      <c r="G18" t="b">
        <f>F18=[1]full_dataframe_final!F36</f>
        <v>0</v>
      </c>
      <c r="H18">
        <v>87.34</v>
      </c>
      <c r="J18" t="s">
        <v>98</v>
      </c>
      <c r="K18">
        <v>107207140101.82001</v>
      </c>
      <c r="L18" t="s">
        <v>4702</v>
      </c>
      <c r="M18">
        <v>158913818.45727301</v>
      </c>
      <c r="N18">
        <v>0.95000000000000007</v>
      </c>
      <c r="O18" t="s">
        <v>5849</v>
      </c>
      <c r="P18">
        <v>1</v>
      </c>
      <c r="Q18">
        <v>80.7</v>
      </c>
      <c r="R18">
        <v>87.34</v>
      </c>
      <c r="S18">
        <v>80.7</v>
      </c>
      <c r="T18" t="b">
        <f>S18=[1]full_dataframe_final!BN36</f>
        <v>0</v>
      </c>
      <c r="U18">
        <v>94103908815.045013</v>
      </c>
      <c r="V18">
        <v>1</v>
      </c>
      <c r="W18" t="s">
        <v>6242</v>
      </c>
      <c r="AR18">
        <v>4337</v>
      </c>
      <c r="AS18">
        <v>2.6019999999999999</v>
      </c>
      <c r="AT18">
        <v>0.121687167440414</v>
      </c>
      <c r="AU18">
        <v>0</v>
      </c>
      <c r="AV18">
        <v>94103908815.045013</v>
      </c>
      <c r="AW18">
        <v>0.121687167440414</v>
      </c>
      <c r="AX18">
        <v>0</v>
      </c>
      <c r="AY18">
        <v>94103908815.045013</v>
      </c>
      <c r="AZ18">
        <v>0.121687167440414</v>
      </c>
      <c r="BA18">
        <v>0</v>
      </c>
      <c r="BB18">
        <v>94103908815.045013</v>
      </c>
      <c r="BC18">
        <f>_xlfn.XLOOKUP(D18,[1]full_dataframe_final!$C$2:$C$41,[1]full_dataframe_final!$BO$2:$BO$41)</f>
        <v>94103908815.044998</v>
      </c>
      <c r="BD18" t="b">
        <f>BC18=BB18</f>
        <v>1</v>
      </c>
      <c r="BE18">
        <v>0.121687167440414</v>
      </c>
      <c r="BH18">
        <v>1</v>
      </c>
      <c r="BI18" t="s">
        <v>95</v>
      </c>
    </row>
    <row r="19" spans="1:61" x14ac:dyDescent="0.25">
      <c r="A19">
        <v>1162</v>
      </c>
      <c r="B19" t="s">
        <v>1314</v>
      </c>
      <c r="C19" t="s">
        <v>43</v>
      </c>
      <c r="D19" t="s">
        <v>82</v>
      </c>
      <c r="E19" t="s">
        <v>88</v>
      </c>
      <c r="F19">
        <v>577122512</v>
      </c>
      <c r="G19" t="b">
        <f>F19=[1]full_dataframe_final!F37</f>
        <v>0</v>
      </c>
      <c r="H19">
        <v>215.4</v>
      </c>
      <c r="J19" t="s">
        <v>98</v>
      </c>
      <c r="K19">
        <v>124312189084.8</v>
      </c>
      <c r="L19" t="s">
        <v>4702</v>
      </c>
      <c r="M19">
        <v>198576007.52083299</v>
      </c>
      <c r="N19">
        <v>1</v>
      </c>
      <c r="O19" t="s">
        <v>5865</v>
      </c>
      <c r="P19">
        <v>1</v>
      </c>
      <c r="Q19">
        <v>232</v>
      </c>
      <c r="R19">
        <v>215.4</v>
      </c>
      <c r="S19">
        <v>232</v>
      </c>
      <c r="T19" t="b">
        <f>S19=[1]full_dataframe_final!BN37</f>
        <v>0</v>
      </c>
      <c r="U19">
        <v>133892422784</v>
      </c>
      <c r="V19">
        <v>1</v>
      </c>
      <c r="W19" t="s">
        <v>6242</v>
      </c>
      <c r="AR19">
        <v>0</v>
      </c>
      <c r="AS19">
        <v>2.9009999999999998</v>
      </c>
      <c r="AT19">
        <v>0.17313828804223311</v>
      </c>
      <c r="AU19">
        <v>0</v>
      </c>
      <c r="AV19">
        <v>133892422784</v>
      </c>
      <c r="AW19">
        <v>0.17313828804223311</v>
      </c>
      <c r="AX19">
        <v>0</v>
      </c>
      <c r="AY19">
        <v>133892422784</v>
      </c>
      <c r="AZ19">
        <v>0.17313828804223311</v>
      </c>
      <c r="BA19">
        <v>0</v>
      </c>
      <c r="BB19">
        <v>133892422784</v>
      </c>
      <c r="BC19">
        <f>_xlfn.XLOOKUP(D19,[1]full_dataframe_final!$C$2:$C$41,[1]full_dataframe_final!$BO$2:$BO$41)</f>
        <v>133892422784</v>
      </c>
      <c r="BD19" t="b">
        <f>BC19=BB19</f>
        <v>1</v>
      </c>
      <c r="BE19">
        <v>0.17313828804223311</v>
      </c>
      <c r="BH19">
        <v>1</v>
      </c>
      <c r="BI19" t="s">
        <v>95</v>
      </c>
    </row>
    <row r="20" spans="1:61" x14ac:dyDescent="0.25">
      <c r="A20">
        <v>1265</v>
      </c>
      <c r="B20" t="s">
        <v>1417</v>
      </c>
      <c r="C20" t="s">
        <v>46</v>
      </c>
      <c r="D20" t="s">
        <v>85</v>
      </c>
      <c r="E20" t="s">
        <v>88</v>
      </c>
      <c r="F20">
        <v>911281920</v>
      </c>
      <c r="G20" t="b">
        <f>F20=[1]full_dataframe_final!F40</f>
        <v>0</v>
      </c>
      <c r="H20">
        <v>23.434999999999999</v>
      </c>
      <c r="J20" t="s">
        <v>98</v>
      </c>
      <c r="K20">
        <v>21355891795.200001</v>
      </c>
      <c r="L20" t="s">
        <v>4702</v>
      </c>
      <c r="M20">
        <v>63348187.292424202</v>
      </c>
      <c r="N20">
        <v>0.70000000000000007</v>
      </c>
      <c r="O20" t="s">
        <v>5968</v>
      </c>
      <c r="P20">
        <v>1</v>
      </c>
      <c r="Q20">
        <v>22.184999999999999</v>
      </c>
      <c r="R20">
        <v>23.434999999999999</v>
      </c>
      <c r="S20">
        <v>22.184999999999999</v>
      </c>
      <c r="T20" t="b">
        <f>S20=[1]full_dataframe_final!BN40</f>
        <v>0</v>
      </c>
      <c r="U20">
        <v>14151752576.639999</v>
      </c>
      <c r="V20">
        <v>1</v>
      </c>
      <c r="W20" t="s">
        <v>6242</v>
      </c>
      <c r="AR20">
        <v>57</v>
      </c>
      <c r="AS20">
        <v>2.508</v>
      </c>
      <c r="AT20">
        <v>1.8299842238791039E-2</v>
      </c>
      <c r="AU20">
        <v>0</v>
      </c>
      <c r="AV20">
        <v>14151752576.639999</v>
      </c>
      <c r="AW20">
        <v>1.8299842238791039E-2</v>
      </c>
      <c r="AX20">
        <v>0</v>
      </c>
      <c r="AY20">
        <v>14151752576.639999</v>
      </c>
      <c r="AZ20">
        <v>1.8299842238791039E-2</v>
      </c>
      <c r="BA20">
        <v>0</v>
      </c>
      <c r="BB20">
        <v>14151752576.639999</v>
      </c>
      <c r="BC20">
        <f>_xlfn.XLOOKUP(D20,[1]full_dataframe_final!$C$2:$C$41,[1]full_dataframe_final!$BO$2:$BO$41)</f>
        <v>14151752576.639999</v>
      </c>
      <c r="BD20" t="b">
        <f>BC20=BB20</f>
        <v>1</v>
      </c>
      <c r="BE20">
        <v>1.8299842238791039E-2</v>
      </c>
      <c r="BH20">
        <v>1</v>
      </c>
      <c r="BI20" t="s">
        <v>95</v>
      </c>
    </row>
    <row r="21" spans="1:61" x14ac:dyDescent="0.25">
      <c r="A21">
        <v>1265</v>
      </c>
      <c r="B21" t="s">
        <v>1417</v>
      </c>
      <c r="C21" t="s">
        <v>46</v>
      </c>
      <c r="D21" t="s">
        <v>85</v>
      </c>
      <c r="E21" t="s">
        <v>88</v>
      </c>
      <c r="F21">
        <v>911281920</v>
      </c>
      <c r="G21" t="b">
        <f>F21=[1]full_dataframe_final!F41</f>
        <v>1</v>
      </c>
      <c r="H21">
        <v>23.434999999999999</v>
      </c>
      <c r="J21" t="s">
        <v>98</v>
      </c>
      <c r="K21">
        <v>21355891795.200001</v>
      </c>
      <c r="L21" t="s">
        <v>4702</v>
      </c>
      <c r="M21">
        <v>63348187.292424202</v>
      </c>
      <c r="N21">
        <v>0.70000000000000007</v>
      </c>
      <c r="O21" t="s">
        <v>5968</v>
      </c>
      <c r="P21">
        <v>1</v>
      </c>
      <c r="Q21">
        <v>22.184999999999999</v>
      </c>
      <c r="R21">
        <v>23.434999999999999</v>
      </c>
      <c r="S21">
        <v>22.184999999999999</v>
      </c>
      <c r="T21" t="b">
        <f>S21=[1]full_dataframe_final!BN41</f>
        <v>1</v>
      </c>
      <c r="U21">
        <v>14151752576.639999</v>
      </c>
      <c r="V21">
        <v>1</v>
      </c>
      <c r="W21" t="s">
        <v>6242</v>
      </c>
      <c r="AR21">
        <v>57</v>
      </c>
      <c r="AS21">
        <v>2.508</v>
      </c>
      <c r="AT21">
        <v>1.8299842238791039E-2</v>
      </c>
      <c r="AU21">
        <v>0</v>
      </c>
      <c r="AV21">
        <v>14151752576.639999</v>
      </c>
      <c r="AW21">
        <v>1.8299842238791039E-2</v>
      </c>
      <c r="AX21">
        <v>0</v>
      </c>
      <c r="AY21">
        <v>14151752576.639999</v>
      </c>
      <c r="AZ21">
        <v>1.8299842238791039E-2</v>
      </c>
      <c r="BA21">
        <v>0</v>
      </c>
      <c r="BB21">
        <v>14151752576.639999</v>
      </c>
      <c r="BC21">
        <f>_xlfn.XLOOKUP(D21,[1]full_dataframe_final!$C$2:$C$41,[1]full_dataframe_final!$BO$2:$BO$41)</f>
        <v>14151752576.639999</v>
      </c>
      <c r="BD21" t="b">
        <f>BC21=BB21</f>
        <v>1</v>
      </c>
      <c r="BE21">
        <v>1.8299842238791039E-2</v>
      </c>
      <c r="BH21">
        <v>1</v>
      </c>
      <c r="BI21" t="s">
        <v>95</v>
      </c>
    </row>
    <row r="22" spans="1:61" x14ac:dyDescent="0.25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 t="b">
        <f>F22=[1]full_dataframe_final!F2</f>
        <v>1</v>
      </c>
      <c r="H22">
        <v>47.436160000000001</v>
      </c>
      <c r="I22">
        <f>_xlfn.XLOOKUP(D22,[1]full_dataframe_final!$C$2:$C$41,[1]full_dataframe_final!$BO$2:$BO$41)</f>
        <v>42866387692.824226</v>
      </c>
      <c r="J22" t="s">
        <v>96</v>
      </c>
      <c r="K22">
        <v>46174958685.785599</v>
      </c>
      <c r="L22" t="s">
        <v>4699</v>
      </c>
      <c r="M22">
        <v>45905128.7150921</v>
      </c>
      <c r="N22">
        <v>1</v>
      </c>
      <c r="O22" t="s">
        <v>4704</v>
      </c>
      <c r="P22">
        <v>1.156136E-2</v>
      </c>
      <c r="Q22">
        <v>3809</v>
      </c>
      <c r="R22">
        <v>4110</v>
      </c>
      <c r="S22">
        <v>44.037220240000003</v>
      </c>
      <c r="T22" t="b">
        <f>S22=[1]full_dataframe_final!BN2</f>
        <v>1</v>
      </c>
      <c r="U22">
        <v>42866387692.824226</v>
      </c>
      <c r="V22">
        <v>0</v>
      </c>
      <c r="W22" t="s">
        <v>6242</v>
      </c>
      <c r="AR22">
        <v>2942</v>
      </c>
      <c r="AS22">
        <v>2.726</v>
      </c>
      <c r="AT22">
        <v>3.1695491585051402E-2</v>
      </c>
      <c r="AU22">
        <v>0</v>
      </c>
      <c r="AV22">
        <v>42866387692.824226</v>
      </c>
      <c r="AW22">
        <v>3.1695491585051402E-2</v>
      </c>
      <c r="AX22">
        <v>0</v>
      </c>
      <c r="AY22">
        <v>42866387692.824226</v>
      </c>
      <c r="AZ22">
        <v>3.1695491585051402E-2</v>
      </c>
      <c r="BA22">
        <v>0</v>
      </c>
      <c r="BB22">
        <v>42866387692.824226</v>
      </c>
      <c r="BC22">
        <f>_xlfn.XLOOKUP(D22,[1]full_dataframe_final!$C$2:$C$41,[1]full_dataframe_final!$BO$2:$BO$41)</f>
        <v>42866387692.824226</v>
      </c>
      <c r="BD22" t="b">
        <f>BC22=BB22</f>
        <v>1</v>
      </c>
      <c r="BE22">
        <v>3.1695491585051402E-2</v>
      </c>
      <c r="BF22">
        <f>BC22/SUM(BC22:BC41)</f>
        <v>3.1695491585051395E-2</v>
      </c>
      <c r="BH22">
        <v>0.57179912391561005</v>
      </c>
      <c r="BI22" t="s">
        <v>95</v>
      </c>
    </row>
    <row r="23" spans="1:61" x14ac:dyDescent="0.25">
      <c r="A23">
        <v>18</v>
      </c>
      <c r="B23" t="s">
        <v>170</v>
      </c>
      <c r="C23" t="s">
        <v>9</v>
      </c>
      <c r="D23" t="s">
        <v>48</v>
      </c>
      <c r="E23" t="s">
        <v>87</v>
      </c>
      <c r="F23">
        <v>622852700</v>
      </c>
      <c r="G23" t="b">
        <f>F23=[1]full_dataframe_final!F3</f>
        <v>1</v>
      </c>
      <c r="H23">
        <v>221.21520000000001</v>
      </c>
      <c r="J23" t="s">
        <v>97</v>
      </c>
      <c r="K23">
        <v>137784484601.04001</v>
      </c>
      <c r="L23" t="s">
        <v>4700</v>
      </c>
      <c r="M23">
        <v>956711431.80120504</v>
      </c>
      <c r="N23">
        <v>1</v>
      </c>
      <c r="O23" t="s">
        <v>4721</v>
      </c>
      <c r="P23">
        <v>0.85273301000000001</v>
      </c>
      <c r="Q23">
        <v>238.54</v>
      </c>
      <c r="R23">
        <v>259.22000000000003</v>
      </c>
      <c r="S23">
        <v>203.4109322054</v>
      </c>
      <c r="T23" t="b">
        <f>S23=[1]full_dataframe_final!BN3</f>
        <v>1</v>
      </c>
      <c r="U23">
        <v>126695048333.6503</v>
      </c>
      <c r="V23">
        <v>0</v>
      </c>
      <c r="W23" t="s">
        <v>6243</v>
      </c>
      <c r="AR23">
        <v>790</v>
      </c>
      <c r="AS23">
        <v>2.2000000000000002</v>
      </c>
      <c r="AT23">
        <v>9.367856855825317E-2</v>
      </c>
      <c r="AU23">
        <v>0</v>
      </c>
      <c r="AV23">
        <v>126695048333.6503</v>
      </c>
      <c r="AW23">
        <v>9.367856855825317E-2</v>
      </c>
      <c r="AX23">
        <v>0</v>
      </c>
      <c r="AY23">
        <v>126695048333.6503</v>
      </c>
      <c r="AZ23">
        <v>9.367856855825317E-2</v>
      </c>
      <c r="BA23">
        <v>0</v>
      </c>
      <c r="BB23">
        <v>126695048333.6503</v>
      </c>
      <c r="BC23">
        <f>_xlfn.XLOOKUP(D23,[1]full_dataframe_final!$C$2:$C$41,[1]full_dataframe_final!$BO$2:$BO$41)</f>
        <v>126695048333.6503</v>
      </c>
      <c r="BD23" t="b">
        <f>BC23=BB23</f>
        <v>1</v>
      </c>
      <c r="BE23">
        <v>9.367856855825317E-2</v>
      </c>
      <c r="BF23">
        <f t="shared" ref="BF23:BF41" si="0">BC23/SUM(BC23:BC42)</f>
        <v>9.6744947218720317E-2</v>
      </c>
      <c r="BH23">
        <v>0.57179912391561005</v>
      </c>
      <c r="BI23" t="s">
        <v>95</v>
      </c>
    </row>
    <row r="24" spans="1:61" x14ac:dyDescent="0.25">
      <c r="A24">
        <v>54</v>
      </c>
      <c r="B24" t="s">
        <v>206</v>
      </c>
      <c r="C24" t="s">
        <v>11</v>
      </c>
      <c r="D24" t="s">
        <v>50</v>
      </c>
      <c r="E24" t="s">
        <v>89</v>
      </c>
      <c r="F24">
        <v>1005637630</v>
      </c>
      <c r="G24" t="b">
        <f>F24=[1]full_dataframe_final!F5</f>
        <v>0</v>
      </c>
      <c r="H24">
        <v>23.500060000000001</v>
      </c>
      <c r="J24" t="s">
        <v>99</v>
      </c>
      <c r="K24">
        <v>23632544643.257801</v>
      </c>
      <c r="L24" t="s">
        <v>4701</v>
      </c>
      <c r="M24">
        <v>54147630.977162398</v>
      </c>
      <c r="N24">
        <v>0.95</v>
      </c>
      <c r="O24" t="s">
        <v>4757</v>
      </c>
      <c r="P24">
        <v>5.7743899999999999E-3</v>
      </c>
      <c r="Q24">
        <v>4262</v>
      </c>
      <c r="R24">
        <v>4044</v>
      </c>
      <c r="S24">
        <v>24.610450180000001</v>
      </c>
      <c r="T24" t="b">
        <f>S24=[1]full_dataframe_final!BN5</f>
        <v>0</v>
      </c>
      <c r="U24">
        <v>23511735052.63586</v>
      </c>
      <c r="V24">
        <v>0</v>
      </c>
      <c r="W24" t="s">
        <v>6244</v>
      </c>
      <c r="AR24">
        <v>70</v>
      </c>
      <c r="AS24">
        <v>2.4870000000000001</v>
      </c>
      <c r="AT24">
        <v>1.738462325892522E-2</v>
      </c>
      <c r="AU24">
        <v>0</v>
      </c>
      <c r="AV24">
        <v>23511735052.63586</v>
      </c>
      <c r="AW24">
        <v>1.738462325892522E-2</v>
      </c>
      <c r="AX24">
        <v>0</v>
      </c>
      <c r="AY24">
        <v>23511735052.63586</v>
      </c>
      <c r="AZ24">
        <v>1.738462325892522E-2</v>
      </c>
      <c r="BA24">
        <v>0</v>
      </c>
      <c r="BB24">
        <v>23511735052.63586</v>
      </c>
      <c r="BC24">
        <f>_xlfn.XLOOKUP(D24,[1]full_dataframe_final!$C$2:$C$41,[1]full_dataframe_final!$BO$2:$BO$41)</f>
        <v>23511735052.63586</v>
      </c>
      <c r="BD24" t="b">
        <f>BC24=BB24</f>
        <v>1</v>
      </c>
      <c r="BE24">
        <v>1.738462325892522E-2</v>
      </c>
      <c r="BF24">
        <f t="shared" si="0"/>
        <v>1.9876638076585778E-2</v>
      </c>
      <c r="BH24">
        <v>0.57179912391561005</v>
      </c>
      <c r="BI24" t="s">
        <v>95</v>
      </c>
    </row>
    <row r="25" spans="1:61" x14ac:dyDescent="0.25">
      <c r="A25">
        <v>117</v>
      </c>
      <c r="B25" t="s">
        <v>269</v>
      </c>
      <c r="C25" t="s">
        <v>13</v>
      </c>
      <c r="D25" t="s">
        <v>52</v>
      </c>
      <c r="E25" t="s">
        <v>89</v>
      </c>
      <c r="F25">
        <v>217434680</v>
      </c>
      <c r="G25" t="b">
        <f>F25=[1]full_dataframe_final!F7</f>
        <v>0</v>
      </c>
      <c r="H25">
        <v>27.120370000000001</v>
      </c>
      <c r="J25" t="s">
        <v>99</v>
      </c>
      <c r="K25">
        <v>5896908972.4316006</v>
      </c>
      <c r="L25" t="s">
        <v>4701</v>
      </c>
      <c r="M25">
        <v>29212825.3630413</v>
      </c>
      <c r="N25">
        <v>1</v>
      </c>
      <c r="O25" t="s">
        <v>4820</v>
      </c>
      <c r="P25">
        <v>5.7743899999999999E-3</v>
      </c>
      <c r="Q25">
        <v>4731</v>
      </c>
      <c r="R25">
        <v>4667</v>
      </c>
      <c r="S25">
        <v>27.318639090000001</v>
      </c>
      <c r="T25" t="b">
        <f>S25=[1]full_dataframe_final!BN7</f>
        <v>0</v>
      </c>
      <c r="U25">
        <v>5940019548.5696411</v>
      </c>
      <c r="V25">
        <v>0</v>
      </c>
      <c r="W25" t="s">
        <v>6244</v>
      </c>
      <c r="AR25">
        <v>100</v>
      </c>
      <c r="AS25">
        <v>2.1520000000000001</v>
      </c>
      <c r="AT25">
        <v>4.3920621668862084E-3</v>
      </c>
      <c r="AU25">
        <v>0</v>
      </c>
      <c r="AV25">
        <v>5940019548.5696411</v>
      </c>
      <c r="AW25">
        <v>4.3920621668862084E-3</v>
      </c>
      <c r="AX25">
        <v>0</v>
      </c>
      <c r="AY25">
        <v>5940019548.5696411</v>
      </c>
      <c r="AZ25">
        <v>4.3920621668862084E-3</v>
      </c>
      <c r="BA25">
        <v>0</v>
      </c>
      <c r="BB25">
        <v>5940019548.5696411</v>
      </c>
      <c r="BC25">
        <f>_xlfn.XLOOKUP(D25,[1]full_dataframe_final!$C$2:$C$41,[1]full_dataframe_final!$BO$2:$BO$41)</f>
        <v>5940019548.5696411</v>
      </c>
      <c r="BD25" t="b">
        <f>BC25=BB25</f>
        <v>1</v>
      </c>
      <c r="BE25">
        <v>4.3920621668862084E-3</v>
      </c>
      <c r="BF25">
        <f t="shared" si="0"/>
        <v>5.1234839966854094E-3</v>
      </c>
      <c r="BH25">
        <v>0.57179912391561005</v>
      </c>
      <c r="BI25" t="s">
        <v>95</v>
      </c>
    </row>
    <row r="26" spans="1:61" x14ac:dyDescent="0.25">
      <c r="A26">
        <v>131</v>
      </c>
      <c r="B26" t="s">
        <v>283</v>
      </c>
      <c r="C26" t="s">
        <v>14</v>
      </c>
      <c r="D26" t="s">
        <v>53</v>
      </c>
      <c r="E26" t="s">
        <v>86</v>
      </c>
      <c r="F26">
        <v>1550682600</v>
      </c>
      <c r="G26" t="b">
        <f>F26=[1]full_dataframe_final!F8</f>
        <v>1</v>
      </c>
      <c r="H26">
        <v>138.13040000000001</v>
      </c>
      <c r="J26" t="s">
        <v>96</v>
      </c>
      <c r="K26">
        <v>214196407811.04001</v>
      </c>
      <c r="L26" t="s">
        <v>4699</v>
      </c>
      <c r="M26">
        <v>159716281.94266301</v>
      </c>
      <c r="N26">
        <v>1</v>
      </c>
      <c r="O26" t="s">
        <v>4834</v>
      </c>
      <c r="P26">
        <v>1.156136E-2</v>
      </c>
      <c r="Q26">
        <v>11794</v>
      </c>
      <c r="R26">
        <v>11968</v>
      </c>
      <c r="S26">
        <v>136.35467983999999</v>
      </c>
      <c r="T26" t="b">
        <f>S26=[1]full_dataframe_final!BN8</f>
        <v>1</v>
      </c>
      <c r="U26">
        <v>211442829456.4588</v>
      </c>
      <c r="V26">
        <v>0</v>
      </c>
      <c r="W26" t="s">
        <v>6242</v>
      </c>
      <c r="AR26">
        <v>100</v>
      </c>
      <c r="AS26">
        <v>2.5499999999999998</v>
      </c>
      <c r="AT26">
        <v>0.15634124502817659</v>
      </c>
      <c r="AU26">
        <v>0</v>
      </c>
      <c r="AV26">
        <v>211442829456.4588</v>
      </c>
      <c r="AW26">
        <v>0.15634124502817659</v>
      </c>
      <c r="AX26">
        <v>0</v>
      </c>
      <c r="AY26">
        <v>211442829456.4588</v>
      </c>
      <c r="AZ26">
        <v>0.15634124502817659</v>
      </c>
      <c r="BA26">
        <v>0</v>
      </c>
      <c r="BB26">
        <v>211442829456.4588</v>
      </c>
      <c r="BC26">
        <f>_xlfn.XLOOKUP(D26,[1]full_dataframe_final!$C$2:$C$41,[1]full_dataframe_final!$BO$2:$BO$41)</f>
        <v>211442829456.4588</v>
      </c>
      <c r="BD26" t="b">
        <f>BC26=BB26</f>
        <v>1</v>
      </c>
      <c r="BE26">
        <v>0.15634124502817659</v>
      </c>
      <c r="BF26">
        <f t="shared" si="0"/>
        <v>0.18331638823147572</v>
      </c>
      <c r="BH26">
        <v>0.57179912391561005</v>
      </c>
      <c r="BI26" t="s">
        <v>95</v>
      </c>
    </row>
    <row r="27" spans="1:61" x14ac:dyDescent="0.25">
      <c r="A27">
        <v>273</v>
      </c>
      <c r="B27" t="s">
        <v>425</v>
      </c>
      <c r="C27" t="s">
        <v>16</v>
      </c>
      <c r="D27" t="s">
        <v>55</v>
      </c>
      <c r="E27" t="s">
        <v>90</v>
      </c>
      <c r="F27">
        <v>198795360</v>
      </c>
      <c r="G27" t="b">
        <f>F27=[1]full_dataframe_final!F10</f>
        <v>1</v>
      </c>
      <c r="H27">
        <v>82.707909999999998</v>
      </c>
      <c r="J27" t="s">
        <v>100</v>
      </c>
      <c r="K27">
        <v>16441948743.2976</v>
      </c>
      <c r="L27" t="s">
        <v>4700</v>
      </c>
      <c r="M27">
        <v>36815764.283965603</v>
      </c>
      <c r="N27">
        <v>0.9</v>
      </c>
      <c r="O27" t="s">
        <v>4976</v>
      </c>
      <c r="P27">
        <v>0.61572563000000002</v>
      </c>
      <c r="Q27">
        <v>129.30000000000001</v>
      </c>
      <c r="R27">
        <v>134.08000000000001</v>
      </c>
      <c r="S27">
        <v>79.613323959000013</v>
      </c>
      <c r="T27" t="b">
        <f>S27=[1]full_dataframe_final!BN10</f>
        <v>1</v>
      </c>
      <c r="U27">
        <v>14244083457.503429</v>
      </c>
      <c r="V27">
        <v>0</v>
      </c>
      <c r="W27" t="s">
        <v>6243</v>
      </c>
      <c r="AR27">
        <v>550</v>
      </c>
      <c r="AS27">
        <v>2.6419999999999999</v>
      </c>
      <c r="AT27">
        <v>1.053210339530535E-2</v>
      </c>
      <c r="AU27">
        <v>0</v>
      </c>
      <c r="AV27">
        <v>14244083457.503429</v>
      </c>
      <c r="AW27">
        <v>1.053210339530535E-2</v>
      </c>
      <c r="AX27">
        <v>0</v>
      </c>
      <c r="AY27">
        <v>14244083457.503429</v>
      </c>
      <c r="AZ27">
        <v>1.053210339530535E-2</v>
      </c>
      <c r="BA27">
        <v>0</v>
      </c>
      <c r="BB27">
        <v>14244083457.503429</v>
      </c>
      <c r="BC27">
        <f>_xlfn.XLOOKUP(D27,[1]full_dataframe_final!$C$2:$C$41,[1]full_dataframe_final!$BO$2:$BO$41)</f>
        <v>14244083457.503429</v>
      </c>
      <c r="BD27" t="b">
        <f>BC27=BB27</f>
        <v>1</v>
      </c>
      <c r="BE27">
        <v>1.053210339530535E-2</v>
      </c>
      <c r="BF27">
        <f t="shared" si="0"/>
        <v>1.5121295452635483E-2</v>
      </c>
      <c r="BH27">
        <v>0.57179912391561005</v>
      </c>
      <c r="BI27" t="s">
        <v>95</v>
      </c>
    </row>
    <row r="28" spans="1:61" x14ac:dyDescent="0.25">
      <c r="A28">
        <v>399</v>
      </c>
      <c r="B28" t="s">
        <v>551</v>
      </c>
      <c r="C28" t="s">
        <v>19</v>
      </c>
      <c r="D28" t="s">
        <v>58</v>
      </c>
      <c r="E28" t="s">
        <v>87</v>
      </c>
      <c r="F28">
        <v>341050450</v>
      </c>
      <c r="G28" t="b">
        <f>F28=[1]full_dataframe_final!F13</f>
        <v>1</v>
      </c>
      <c r="H28">
        <v>142.56700000000001</v>
      </c>
      <c r="J28" t="s">
        <v>97</v>
      </c>
      <c r="K28">
        <v>48622539505.150002</v>
      </c>
      <c r="L28" t="s">
        <v>4700</v>
      </c>
      <c r="M28">
        <v>248742996.40768701</v>
      </c>
      <c r="N28">
        <v>0.95</v>
      </c>
      <c r="O28" t="s">
        <v>5102</v>
      </c>
      <c r="P28">
        <v>0.85273301000000001</v>
      </c>
      <c r="Q28">
        <v>173.5</v>
      </c>
      <c r="R28">
        <v>167.06</v>
      </c>
      <c r="S28">
        <v>147.94917723500001</v>
      </c>
      <c r="T28" t="b">
        <f>S28=[1]full_dataframe_final!BN13</f>
        <v>1</v>
      </c>
      <c r="U28">
        <v>47935226799.470177</v>
      </c>
      <c r="V28">
        <v>0</v>
      </c>
      <c r="W28" t="s">
        <v>6243</v>
      </c>
      <c r="AR28">
        <v>750</v>
      </c>
      <c r="AS28">
        <v>2.36</v>
      </c>
      <c r="AT28">
        <v>3.5443401215364621E-2</v>
      </c>
      <c r="AU28">
        <v>0</v>
      </c>
      <c r="AV28">
        <v>47935226799.470177</v>
      </c>
      <c r="AW28">
        <v>3.5443401215364621E-2</v>
      </c>
      <c r="AX28">
        <v>0</v>
      </c>
      <c r="AY28">
        <v>47935226799.470177</v>
      </c>
      <c r="AZ28">
        <v>3.5443401215364621E-2</v>
      </c>
      <c r="BA28">
        <v>0</v>
      </c>
      <c r="BB28">
        <v>47935226799.470177</v>
      </c>
      <c r="BC28">
        <f>_xlfn.XLOOKUP(D28,[1]full_dataframe_final!$C$2:$C$41,[1]full_dataframe_final!$BO$2:$BO$41)</f>
        <v>47935226799.470177</v>
      </c>
      <c r="BD28" t="b">
        <f>BC28=BB28</f>
        <v>1</v>
      </c>
      <c r="BE28">
        <v>3.5443401215364621E-2</v>
      </c>
      <c r="BF28">
        <f t="shared" si="0"/>
        <v>5.1668580346584586E-2</v>
      </c>
      <c r="BH28">
        <v>0.57179912391561005</v>
      </c>
      <c r="BI28" t="s">
        <v>95</v>
      </c>
    </row>
    <row r="29" spans="1:61" x14ac:dyDescent="0.25">
      <c r="A29">
        <v>461</v>
      </c>
      <c r="B29" t="s">
        <v>613</v>
      </c>
      <c r="C29" t="s">
        <v>20</v>
      </c>
      <c r="D29" t="s">
        <v>59</v>
      </c>
      <c r="E29" t="s">
        <v>91</v>
      </c>
      <c r="F29">
        <v>97863980</v>
      </c>
      <c r="G29" t="b">
        <f>F29=[1]full_dataframe_final!F14</f>
        <v>1</v>
      </c>
      <c r="H29">
        <v>671.16399999999999</v>
      </c>
      <c r="J29" t="s">
        <v>97</v>
      </c>
      <c r="K29">
        <v>65682780272.720001</v>
      </c>
      <c r="L29" t="s">
        <v>4700</v>
      </c>
      <c r="M29">
        <v>436109513.719181</v>
      </c>
      <c r="N29">
        <v>1</v>
      </c>
      <c r="O29" t="s">
        <v>5164</v>
      </c>
      <c r="P29">
        <v>0.85273301000000001</v>
      </c>
      <c r="Q29">
        <v>788.61</v>
      </c>
      <c r="R29">
        <v>786.47</v>
      </c>
      <c r="S29">
        <v>672.47377901610002</v>
      </c>
      <c r="T29" t="b">
        <f>S29=[1]full_dataframe_final!BN14</f>
        <v>1</v>
      </c>
      <c r="U29">
        <v>65810960460.156029</v>
      </c>
      <c r="V29">
        <v>0</v>
      </c>
      <c r="W29" t="s">
        <v>6243</v>
      </c>
      <c r="AR29">
        <v>90</v>
      </c>
      <c r="AS29">
        <v>2.399</v>
      </c>
      <c r="AT29">
        <v>4.8660753931878513E-2</v>
      </c>
      <c r="AU29">
        <v>0</v>
      </c>
      <c r="AV29">
        <v>65810960460.156029</v>
      </c>
      <c r="AW29">
        <v>4.8660753931878513E-2</v>
      </c>
      <c r="AX29">
        <v>0</v>
      </c>
      <c r="AY29">
        <v>65810960460.156029</v>
      </c>
      <c r="AZ29">
        <v>4.8660753931878513E-2</v>
      </c>
      <c r="BA29">
        <v>0</v>
      </c>
      <c r="BB29">
        <v>65810960460.156029</v>
      </c>
      <c r="BC29">
        <f>_xlfn.XLOOKUP(D29,[1]full_dataframe_final!$C$2:$C$41,[1]full_dataframe_final!$BO$2:$BO$41)</f>
        <v>65810960460.156029</v>
      </c>
      <c r="BD29" t="b">
        <f>BC29=BB29</f>
        <v>1</v>
      </c>
      <c r="BE29">
        <v>4.8660753931878513E-2</v>
      </c>
      <c r="BF29">
        <f t="shared" si="0"/>
        <v>7.4801418181916074E-2</v>
      </c>
      <c r="BH29">
        <v>0.57179912391561005</v>
      </c>
      <c r="BI29" t="s">
        <v>95</v>
      </c>
    </row>
    <row r="30" spans="1:61" x14ac:dyDescent="0.25">
      <c r="A30">
        <v>538</v>
      </c>
      <c r="B30" t="s">
        <v>690</v>
      </c>
      <c r="C30" t="s">
        <v>22</v>
      </c>
      <c r="D30" t="s">
        <v>61</v>
      </c>
      <c r="E30" t="s">
        <v>87</v>
      </c>
      <c r="F30">
        <v>1060439300</v>
      </c>
      <c r="G30" t="b">
        <f>F30=[1]full_dataframe_final!F16</f>
        <v>1</v>
      </c>
      <c r="H30">
        <v>227.45349999999999</v>
      </c>
      <c r="J30" t="s">
        <v>97</v>
      </c>
      <c r="K30">
        <v>241200630322.54999</v>
      </c>
      <c r="L30" t="s">
        <v>4700</v>
      </c>
      <c r="M30">
        <v>1398586699.16436</v>
      </c>
      <c r="N30">
        <v>1</v>
      </c>
      <c r="O30" t="s">
        <v>5241</v>
      </c>
      <c r="P30">
        <v>0.85273301000000001</v>
      </c>
      <c r="Q30">
        <v>281.69</v>
      </c>
      <c r="R30">
        <v>266.52999999999997</v>
      </c>
      <c r="S30">
        <v>240.20636158689999</v>
      </c>
      <c r="T30" t="b">
        <f>S30=[1]full_dataframe_final!BN16</f>
        <v>1</v>
      </c>
      <c r="U30">
        <v>254724265936.75919</v>
      </c>
      <c r="V30">
        <v>0</v>
      </c>
      <c r="W30" t="s">
        <v>6243</v>
      </c>
      <c r="AR30">
        <v>125</v>
      </c>
      <c r="AS30">
        <v>2.0630000000000002</v>
      </c>
      <c r="AT30">
        <v>0.1883436245050911</v>
      </c>
      <c r="AU30">
        <v>0</v>
      </c>
      <c r="AV30">
        <v>254724265936.75919</v>
      </c>
      <c r="AW30">
        <v>0.1883436245050911</v>
      </c>
      <c r="AX30">
        <v>0</v>
      </c>
      <c r="AY30">
        <v>254724265936.75919</v>
      </c>
      <c r="AZ30">
        <v>0.1883436245050911</v>
      </c>
      <c r="BA30">
        <v>0</v>
      </c>
      <c r="BB30">
        <v>254724265936.75919</v>
      </c>
      <c r="BC30">
        <f>_xlfn.XLOOKUP(D30,[1]full_dataframe_final!$C$2:$C$41,[1]full_dataframe_final!$BO$2:$BO$41)</f>
        <v>254724265936.75919</v>
      </c>
      <c r="BD30" t="b">
        <f>BC30=BB30</f>
        <v>1</v>
      </c>
      <c r="BE30">
        <v>0.1883436245050911</v>
      </c>
      <c r="BF30">
        <f t="shared" si="0"/>
        <v>0.31292982971193062</v>
      </c>
      <c r="BH30">
        <v>0.57179912391561005</v>
      </c>
      <c r="BI30" t="s">
        <v>95</v>
      </c>
    </row>
    <row r="31" spans="1:61" x14ac:dyDescent="0.25">
      <c r="A31">
        <v>570</v>
      </c>
      <c r="B31" t="s">
        <v>722</v>
      </c>
      <c r="C31" t="s">
        <v>23</v>
      </c>
      <c r="D31" t="s">
        <v>62</v>
      </c>
      <c r="E31" t="s">
        <v>86</v>
      </c>
      <c r="F31">
        <v>4072228000</v>
      </c>
      <c r="G31" t="b">
        <f>F31=[1]full_dataframe_final!F17</f>
        <v>1</v>
      </c>
      <c r="H31">
        <v>17.075859999999999</v>
      </c>
      <c r="J31" t="s">
        <v>96</v>
      </c>
      <c r="K31">
        <v>69536795216.080002</v>
      </c>
      <c r="L31" t="s">
        <v>4699</v>
      </c>
      <c r="M31">
        <v>107929853.296655</v>
      </c>
      <c r="N31">
        <v>1</v>
      </c>
      <c r="O31" t="s">
        <v>5273</v>
      </c>
      <c r="P31">
        <v>1.156136E-2</v>
      </c>
      <c r="Q31">
        <v>1503.5</v>
      </c>
      <c r="R31">
        <v>1479.5</v>
      </c>
      <c r="S31">
        <v>17.38250476</v>
      </c>
      <c r="T31" t="b">
        <f>S31=[1]full_dataframe_final!BN17</f>
        <v>1</v>
      </c>
      <c r="U31">
        <v>70785522593.805283</v>
      </c>
      <c r="V31">
        <v>0</v>
      </c>
      <c r="W31" t="s">
        <v>6242</v>
      </c>
      <c r="AR31">
        <v>170</v>
      </c>
      <c r="AS31">
        <v>2.339</v>
      </c>
      <c r="AT31">
        <v>5.233895498246037E-2</v>
      </c>
      <c r="AU31">
        <v>0</v>
      </c>
      <c r="AV31">
        <v>70785522593.805283</v>
      </c>
      <c r="AW31">
        <v>5.233895498246037E-2</v>
      </c>
      <c r="AX31">
        <v>0</v>
      </c>
      <c r="AY31">
        <v>70785522593.805283</v>
      </c>
      <c r="AZ31">
        <v>5.233895498246037E-2</v>
      </c>
      <c r="BA31">
        <v>0</v>
      </c>
      <c r="BB31">
        <v>70785522593.805283</v>
      </c>
      <c r="BC31">
        <f>_xlfn.XLOOKUP(D31,[1]full_dataframe_final!$C$2:$C$41,[1]full_dataframe_final!$BO$2:$BO$41)</f>
        <v>70785522593.805283</v>
      </c>
      <c r="BD31" t="b">
        <f>BC31=BB31</f>
        <v>1</v>
      </c>
      <c r="BE31">
        <v>5.233895498246037E-2</v>
      </c>
      <c r="BF31">
        <f t="shared" si="0"/>
        <v>0.12656685639206205</v>
      </c>
      <c r="BH31">
        <v>0.57179912391561005</v>
      </c>
      <c r="BI31" t="s">
        <v>95</v>
      </c>
    </row>
    <row r="32" spans="1:61" x14ac:dyDescent="0.25">
      <c r="A32">
        <v>724</v>
      </c>
      <c r="B32" t="s">
        <v>876</v>
      </c>
      <c r="C32" t="s">
        <v>25</v>
      </c>
      <c r="D32" t="s">
        <v>64</v>
      </c>
      <c r="E32" t="s">
        <v>89</v>
      </c>
      <c r="F32">
        <v>4187847700</v>
      </c>
      <c r="G32" t="b">
        <f>F32=[1]full_dataframe_final!F19</f>
        <v>1</v>
      </c>
      <c r="H32">
        <v>15.55048</v>
      </c>
      <c r="J32" t="s">
        <v>99</v>
      </c>
      <c r="K32">
        <v>65123041901.896004</v>
      </c>
      <c r="L32" t="s">
        <v>4701</v>
      </c>
      <c r="M32">
        <v>113746571.291697</v>
      </c>
      <c r="N32">
        <v>0.7</v>
      </c>
      <c r="O32" t="s">
        <v>5427</v>
      </c>
      <c r="P32">
        <v>5.7743899999999999E-3</v>
      </c>
      <c r="Q32">
        <v>2495.5</v>
      </c>
      <c r="R32">
        <v>2676</v>
      </c>
      <c r="S32">
        <v>14.409990244999999</v>
      </c>
      <c r="T32" t="b">
        <f>S32=[1]full_dataframe_final!BN19</f>
        <v>1</v>
      </c>
      <c r="U32">
        <v>42242791153.181976</v>
      </c>
      <c r="V32">
        <v>0</v>
      </c>
      <c r="W32" t="s">
        <v>6244</v>
      </c>
      <c r="AR32">
        <v>100</v>
      </c>
      <c r="AS32">
        <v>2.254</v>
      </c>
      <c r="AT32">
        <v>3.123440307401721E-2</v>
      </c>
      <c r="AU32">
        <v>0</v>
      </c>
      <c r="AV32">
        <v>42242791153.181976</v>
      </c>
      <c r="AW32">
        <v>3.123440307401721E-2</v>
      </c>
      <c r="AX32">
        <v>0</v>
      </c>
      <c r="AY32">
        <v>42242791153.181976</v>
      </c>
      <c r="AZ32">
        <v>3.123440307401721E-2</v>
      </c>
      <c r="BA32">
        <v>0</v>
      </c>
      <c r="BB32">
        <v>42242791153.181976</v>
      </c>
      <c r="BC32">
        <f>_xlfn.XLOOKUP(D32,[1]full_dataframe_final!$C$2:$C$41,[1]full_dataframe_final!$BO$2:$BO$41)</f>
        <v>42242791153.181976</v>
      </c>
      <c r="BD32" t="b">
        <f>BC32=BB32</f>
        <v>1</v>
      </c>
      <c r="BE32">
        <v>3.123440307401721E-2</v>
      </c>
      <c r="BF32">
        <f t="shared" si="0"/>
        <v>8.6476576679524478E-2</v>
      </c>
      <c r="BH32">
        <v>0.57179912391561005</v>
      </c>
      <c r="BI32" t="s">
        <v>95</v>
      </c>
    </row>
    <row r="33" spans="1:61" x14ac:dyDescent="0.25">
      <c r="A33">
        <v>854</v>
      </c>
      <c r="B33" t="s">
        <v>1006</v>
      </c>
      <c r="C33" t="s">
        <v>30</v>
      </c>
      <c r="D33" t="s">
        <v>69</v>
      </c>
      <c r="E33" t="s">
        <v>92</v>
      </c>
      <c r="F33">
        <v>962903700</v>
      </c>
      <c r="G33" t="b">
        <f>F33=[1]full_dataframe_final!F24</f>
        <v>0</v>
      </c>
      <c r="H33">
        <v>55.14</v>
      </c>
      <c r="J33" t="s">
        <v>98</v>
      </c>
      <c r="K33">
        <v>53094510018</v>
      </c>
      <c r="L33" t="s">
        <v>4702</v>
      </c>
      <c r="M33">
        <v>106722557.193864</v>
      </c>
      <c r="N33">
        <v>0.75</v>
      </c>
      <c r="O33" t="s">
        <v>5557</v>
      </c>
      <c r="P33">
        <v>1</v>
      </c>
      <c r="Q33">
        <v>51.69</v>
      </c>
      <c r="R33">
        <v>55.14</v>
      </c>
      <c r="S33">
        <v>51.69</v>
      </c>
      <c r="T33" t="b">
        <f>S33=[1]full_dataframe_final!BN24</f>
        <v>0</v>
      </c>
      <c r="U33">
        <v>37329369189.75</v>
      </c>
      <c r="V33">
        <v>0</v>
      </c>
      <c r="W33" t="s">
        <v>6242</v>
      </c>
      <c r="AR33">
        <v>1222</v>
      </c>
      <c r="AS33">
        <v>2.903</v>
      </c>
      <c r="AT33">
        <v>2.7601409185851671E-2</v>
      </c>
      <c r="AU33">
        <v>0</v>
      </c>
      <c r="AV33">
        <v>37329369189.75</v>
      </c>
      <c r="AW33">
        <v>2.7601409185851671E-2</v>
      </c>
      <c r="AX33">
        <v>0</v>
      </c>
      <c r="AY33">
        <v>37329369189.75</v>
      </c>
      <c r="AZ33">
        <v>2.7601409185851671E-2</v>
      </c>
      <c r="BA33">
        <v>0</v>
      </c>
      <c r="BB33">
        <v>37329369189.75</v>
      </c>
      <c r="BC33">
        <f>_xlfn.XLOOKUP(D33,[1]full_dataframe_final!$C$2:$C$41,[1]full_dataframe_final!$BO$2:$BO$41)</f>
        <v>37329369189.75</v>
      </c>
      <c r="BD33" t="b">
        <f>BC33=BB33</f>
        <v>1</v>
      </c>
      <c r="BE33">
        <v>2.7601409185851671E-2</v>
      </c>
      <c r="BF33">
        <f t="shared" si="0"/>
        <v>8.3652099735300564E-2</v>
      </c>
      <c r="BH33">
        <v>0.57179912391561005</v>
      </c>
      <c r="BI33" t="s">
        <v>95</v>
      </c>
    </row>
    <row r="34" spans="1:61" x14ac:dyDescent="0.25">
      <c r="A34">
        <v>856</v>
      </c>
      <c r="B34" t="s">
        <v>1008</v>
      </c>
      <c r="C34" t="s">
        <v>31</v>
      </c>
      <c r="D34" t="s">
        <v>70</v>
      </c>
      <c r="E34" t="s">
        <v>92</v>
      </c>
      <c r="F34">
        <v>129242250</v>
      </c>
      <c r="G34" t="b">
        <f>F34=[1]full_dataframe_final!F25</f>
        <v>0</v>
      </c>
      <c r="H34">
        <v>112.15</v>
      </c>
      <c r="J34" t="s">
        <v>98</v>
      </c>
      <c r="K34">
        <v>14494518337.5</v>
      </c>
      <c r="L34" t="s">
        <v>4702</v>
      </c>
      <c r="M34">
        <v>36278032.215151504</v>
      </c>
      <c r="N34">
        <v>1</v>
      </c>
      <c r="O34" t="s">
        <v>5559</v>
      </c>
      <c r="P34">
        <v>1</v>
      </c>
      <c r="Q34">
        <v>106.75</v>
      </c>
      <c r="R34">
        <v>112.15</v>
      </c>
      <c r="S34">
        <v>106.75</v>
      </c>
      <c r="T34" t="b">
        <f>S34=[1]full_dataframe_final!BN25</f>
        <v>0</v>
      </c>
      <c r="U34">
        <v>13796610187.5</v>
      </c>
      <c r="V34">
        <v>0</v>
      </c>
      <c r="W34" t="s">
        <v>6242</v>
      </c>
      <c r="AR34">
        <v>900</v>
      </c>
      <c r="AS34">
        <v>2.7759999999999998</v>
      </c>
      <c r="AT34">
        <v>1.020124077712623E-2</v>
      </c>
      <c r="AU34">
        <v>0</v>
      </c>
      <c r="AV34">
        <v>13796610187.5</v>
      </c>
      <c r="AW34">
        <v>1.020124077712623E-2</v>
      </c>
      <c r="AX34">
        <v>0</v>
      </c>
      <c r="AY34">
        <v>13796610187.5</v>
      </c>
      <c r="AZ34">
        <v>1.020124077712623E-2</v>
      </c>
      <c r="BA34">
        <v>0</v>
      </c>
      <c r="BB34">
        <v>13796610187.5</v>
      </c>
      <c r="BC34">
        <f>_xlfn.XLOOKUP(D34,[1]full_dataframe_final!$C$2:$C$41,[1]full_dataframe_final!$BO$2:$BO$41)</f>
        <v>13796610187.5</v>
      </c>
      <c r="BD34" t="b">
        <f>BC34=BB34</f>
        <v>1</v>
      </c>
      <c r="BE34">
        <v>1.020124077712623E-2</v>
      </c>
      <c r="BF34">
        <f t="shared" si="0"/>
        <v>3.3739465660517061E-2</v>
      </c>
      <c r="BH34">
        <v>0.57179912391561005</v>
      </c>
      <c r="BI34" t="s">
        <v>95</v>
      </c>
    </row>
    <row r="35" spans="1:61" x14ac:dyDescent="0.25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 t="b">
        <f>F35=[1]full_dataframe_final!F26</f>
        <v>0</v>
      </c>
      <c r="H35">
        <v>13.88851</v>
      </c>
      <c r="J35" t="s">
        <v>99</v>
      </c>
      <c r="K35">
        <v>27263170129.318001</v>
      </c>
      <c r="L35" t="s">
        <v>4701</v>
      </c>
      <c r="M35">
        <v>86210430.437211603</v>
      </c>
      <c r="N35">
        <v>0.95</v>
      </c>
      <c r="O35" t="s">
        <v>5612</v>
      </c>
      <c r="P35">
        <v>5.7743899999999999E-3</v>
      </c>
      <c r="Q35">
        <v>2529</v>
      </c>
      <c r="R35">
        <v>2390</v>
      </c>
      <c r="S35">
        <v>14.603432310000001</v>
      </c>
      <c r="T35" t="b">
        <f>S35=[1]full_dataframe_final!BN26</f>
        <v>0</v>
      </c>
      <c r="U35">
        <v>27233235715.172749</v>
      </c>
      <c r="V35">
        <v>0</v>
      </c>
      <c r="W35" t="s">
        <v>6244</v>
      </c>
      <c r="AR35">
        <v>100</v>
      </c>
      <c r="AS35">
        <v>2.6960000000000002</v>
      </c>
      <c r="AT35">
        <v>2.013630818694976E-2</v>
      </c>
      <c r="AU35">
        <v>0</v>
      </c>
      <c r="AV35">
        <v>27233235715.172749</v>
      </c>
      <c r="AW35">
        <v>2.013630818694976E-2</v>
      </c>
      <c r="AX35">
        <v>0</v>
      </c>
      <c r="AY35">
        <v>27233235715.172749</v>
      </c>
      <c r="AZ35">
        <v>2.013630818694976E-2</v>
      </c>
      <c r="BA35">
        <v>0</v>
      </c>
      <c r="BB35">
        <v>27233235715.172749</v>
      </c>
      <c r="BC35">
        <f>_xlfn.XLOOKUP(D35,[1]full_dataframe_final!$C$2:$C$41,[1]full_dataframe_final!$BO$2:$BO$41)</f>
        <v>27233235715.172749</v>
      </c>
      <c r="BD35" t="b">
        <f>BC35=BB35</f>
        <v>1</v>
      </c>
      <c r="BE35">
        <v>2.013630818694976E-2</v>
      </c>
      <c r="BF35">
        <f t="shared" si="0"/>
        <v>6.8924053337918928E-2</v>
      </c>
      <c r="BH35">
        <v>0.57179912391561005</v>
      </c>
      <c r="BI35" t="s">
        <v>95</v>
      </c>
    </row>
    <row r="36" spans="1:61" x14ac:dyDescent="0.25">
      <c r="A36">
        <v>935</v>
      </c>
      <c r="B36" t="s">
        <v>1087</v>
      </c>
      <c r="C36" t="s">
        <v>34</v>
      </c>
      <c r="D36" t="s">
        <v>73</v>
      </c>
      <c r="E36" t="s">
        <v>89</v>
      </c>
      <c r="F36">
        <v>1192569000</v>
      </c>
      <c r="G36" t="b">
        <f>F36=[1]full_dataframe_final!F28</f>
        <v>0</v>
      </c>
      <c r="H36">
        <v>18.03763</v>
      </c>
      <c r="J36" t="s">
        <v>99</v>
      </c>
      <c r="K36">
        <v>21511118371.470001</v>
      </c>
      <c r="L36" t="s">
        <v>4701</v>
      </c>
      <c r="M36">
        <v>67024880.672322303</v>
      </c>
      <c r="N36">
        <v>0.9</v>
      </c>
      <c r="O36" t="s">
        <v>5638</v>
      </c>
      <c r="P36">
        <v>5.7743899999999999E-3</v>
      </c>
      <c r="Q36">
        <v>2601.5</v>
      </c>
      <c r="R36">
        <v>3104</v>
      </c>
      <c r="S36">
        <v>15.022075585</v>
      </c>
      <c r="T36" t="b">
        <f>S36=[1]full_dataframe_final!BN28</f>
        <v>0</v>
      </c>
      <c r="U36">
        <v>16123375492.495081</v>
      </c>
      <c r="V36">
        <v>0</v>
      </c>
      <c r="W36" t="s">
        <v>6244</v>
      </c>
      <c r="AR36">
        <v>140</v>
      </c>
      <c r="AS36">
        <v>2.6059999999999999</v>
      </c>
      <c r="AT36">
        <v>1.1921655631611541E-2</v>
      </c>
      <c r="AU36">
        <v>0</v>
      </c>
      <c r="AV36">
        <v>16123375492.495081</v>
      </c>
      <c r="AW36">
        <v>1.1921655631611541E-2</v>
      </c>
      <c r="AX36">
        <v>0</v>
      </c>
      <c r="AY36">
        <v>16123375492.495081</v>
      </c>
      <c r="AZ36">
        <v>1.1921655631611541E-2</v>
      </c>
      <c r="BA36">
        <v>0</v>
      </c>
      <c r="BB36">
        <v>16123375492.495081</v>
      </c>
      <c r="BC36">
        <f>_xlfn.XLOOKUP(D36,[1]full_dataframe_final!$C$2:$C$41,[1]full_dataframe_final!$BO$2:$BO$41)</f>
        <v>16123375492.495081</v>
      </c>
      <c r="BD36" t="b">
        <f>BC36=BB36</f>
        <v>1</v>
      </c>
      <c r="BE36">
        <v>1.1921655631611541E-2</v>
      </c>
      <c r="BF36">
        <f t="shared" si="0"/>
        <v>4.3827068820360443E-2</v>
      </c>
      <c r="BH36">
        <v>0.57179912391561005</v>
      </c>
      <c r="BI36" t="s">
        <v>95</v>
      </c>
    </row>
    <row r="37" spans="1:61" x14ac:dyDescent="0.25">
      <c r="A37">
        <v>956</v>
      </c>
      <c r="B37" t="s">
        <v>1108</v>
      </c>
      <c r="C37" t="s">
        <v>35</v>
      </c>
      <c r="D37" t="s">
        <v>74</v>
      </c>
      <c r="E37" t="s">
        <v>93</v>
      </c>
      <c r="F37">
        <v>5455850600</v>
      </c>
      <c r="G37" t="b">
        <f>F37=[1]full_dataframe_final!F29</f>
        <v>0</v>
      </c>
      <c r="H37">
        <v>3.6850000000000001</v>
      </c>
      <c r="J37" t="s">
        <v>98</v>
      </c>
      <c r="K37">
        <v>20104809461</v>
      </c>
      <c r="L37" t="s">
        <v>4702</v>
      </c>
      <c r="M37">
        <v>36314200.2520312</v>
      </c>
      <c r="N37">
        <v>0.95</v>
      </c>
      <c r="O37" t="s">
        <v>5659</v>
      </c>
      <c r="P37">
        <v>1</v>
      </c>
      <c r="Q37">
        <v>3.8290000000000002</v>
      </c>
      <c r="R37">
        <v>3.6850000000000001</v>
      </c>
      <c r="S37">
        <v>3.8290000000000002</v>
      </c>
      <c r="T37" t="b">
        <f>S37=[1]full_dataframe_final!BN29</f>
        <v>0</v>
      </c>
      <c r="U37">
        <v>19845929350.029999</v>
      </c>
      <c r="V37">
        <v>0</v>
      </c>
      <c r="W37" t="s">
        <v>6242</v>
      </c>
      <c r="AR37">
        <v>330</v>
      </c>
      <c r="AS37">
        <v>2.6579999999999999</v>
      </c>
      <c r="AT37">
        <v>1.467411929409434E-2</v>
      </c>
      <c r="AU37">
        <v>0</v>
      </c>
      <c r="AV37">
        <v>19845929350.029999</v>
      </c>
      <c r="AW37">
        <v>1.467411929409434E-2</v>
      </c>
      <c r="AX37">
        <v>0</v>
      </c>
      <c r="AY37">
        <v>19845929350.029999</v>
      </c>
      <c r="AZ37">
        <v>1.467411929409434E-2</v>
      </c>
      <c r="BA37">
        <v>0</v>
      </c>
      <c r="BB37">
        <v>19845929350.029999</v>
      </c>
      <c r="BC37">
        <f>_xlfn.XLOOKUP(D37,[1]full_dataframe_final!$C$2:$C$41,[1]full_dataframe_final!$BO$2:$BO$41)</f>
        <v>19845929350.029999</v>
      </c>
      <c r="BD37" t="b">
        <f>BC37=BB37</f>
        <v>1</v>
      </c>
      <c r="BE37">
        <v>1.467411929409434E-2</v>
      </c>
      <c r="BF37">
        <f t="shared" si="0"/>
        <v>5.6418489378746647E-2</v>
      </c>
      <c r="BH37">
        <v>0.57179912391561005</v>
      </c>
      <c r="BI37" t="s">
        <v>95</v>
      </c>
    </row>
    <row r="38" spans="1:61" x14ac:dyDescent="0.25">
      <c r="A38">
        <v>1053</v>
      </c>
      <c r="B38" t="s">
        <v>1205</v>
      </c>
      <c r="C38" t="s">
        <v>37</v>
      </c>
      <c r="D38" t="s">
        <v>76</v>
      </c>
      <c r="E38" t="s">
        <v>87</v>
      </c>
      <c r="F38">
        <v>928063000</v>
      </c>
      <c r="G38" t="b">
        <f>F38=[1]full_dataframe_final!F31</f>
        <v>0</v>
      </c>
      <c r="H38">
        <v>95.818399999999997</v>
      </c>
      <c r="J38" t="s">
        <v>97</v>
      </c>
      <c r="K38">
        <v>88925511759.199997</v>
      </c>
      <c r="L38" t="s">
        <v>4700</v>
      </c>
      <c r="M38">
        <v>371953776.18120497</v>
      </c>
      <c r="N38">
        <v>1</v>
      </c>
      <c r="O38" t="s">
        <v>5756</v>
      </c>
      <c r="P38">
        <v>0.85273301000000001</v>
      </c>
      <c r="Q38">
        <v>115.35</v>
      </c>
      <c r="R38">
        <v>112.28</v>
      </c>
      <c r="S38">
        <v>98.362752703499993</v>
      </c>
      <c r="T38" t="b">
        <f>S38=[1]full_dataframe_final!BN31</f>
        <v>0</v>
      </c>
      <c r="U38">
        <v>91286831362.268311</v>
      </c>
      <c r="V38">
        <v>0</v>
      </c>
      <c r="W38" t="s">
        <v>6243</v>
      </c>
      <c r="AR38">
        <v>400</v>
      </c>
      <c r="AS38">
        <v>2.044</v>
      </c>
      <c r="AT38">
        <v>6.7497663110837047E-2</v>
      </c>
      <c r="AU38">
        <v>0</v>
      </c>
      <c r="AV38">
        <v>91286831362.268311</v>
      </c>
      <c r="AW38">
        <v>6.7497663110837047E-2</v>
      </c>
      <c r="AX38">
        <v>0</v>
      </c>
      <c r="AY38">
        <v>91286831362.268311</v>
      </c>
      <c r="AZ38">
        <v>6.7497663110837047E-2</v>
      </c>
      <c r="BA38">
        <v>0</v>
      </c>
      <c r="BB38">
        <v>91286831362.268311</v>
      </c>
      <c r="BC38">
        <f>_xlfn.XLOOKUP(D38,[1]full_dataframe_final!$C$2:$C$41,[1]full_dataframe_final!$BO$2:$BO$41)</f>
        <v>91286831362.268311</v>
      </c>
      <c r="BD38" t="b">
        <f>BC38=BB38</f>
        <v>1</v>
      </c>
      <c r="BE38">
        <v>6.7497663110837047E-2</v>
      </c>
      <c r="BF38">
        <f t="shared" si="0"/>
        <v>0.275029147679477</v>
      </c>
      <c r="BH38">
        <v>0.57179912391561005</v>
      </c>
      <c r="BI38" t="s">
        <v>95</v>
      </c>
    </row>
    <row r="39" spans="1:61" x14ac:dyDescent="0.25">
      <c r="A39">
        <v>1077</v>
      </c>
      <c r="B39" t="s">
        <v>1229</v>
      </c>
      <c r="C39" t="s">
        <v>38</v>
      </c>
      <c r="D39" t="s">
        <v>77</v>
      </c>
      <c r="E39" t="s">
        <v>94</v>
      </c>
      <c r="F39">
        <v>180869312</v>
      </c>
      <c r="G39" t="b">
        <f>F39=[1]full_dataframe_final!F32</f>
        <v>0</v>
      </c>
      <c r="H39">
        <v>41.69</v>
      </c>
      <c r="J39" t="s">
        <v>98</v>
      </c>
      <c r="K39">
        <v>7540441617.2799997</v>
      </c>
      <c r="L39" t="s">
        <v>4702</v>
      </c>
      <c r="M39">
        <v>14577957.1875758</v>
      </c>
      <c r="N39">
        <v>0.55000000000000004</v>
      </c>
      <c r="O39" t="s">
        <v>5780</v>
      </c>
      <c r="P39">
        <v>1</v>
      </c>
      <c r="Q39">
        <v>36.549999999999997</v>
      </c>
      <c r="R39">
        <v>41.69</v>
      </c>
      <c r="S39">
        <v>36.549999999999997</v>
      </c>
      <c r="T39" t="b">
        <f>S39=[1]full_dataframe_final!BN32</f>
        <v>0</v>
      </c>
      <c r="U39">
        <v>3635925344.48</v>
      </c>
      <c r="V39">
        <v>0</v>
      </c>
      <c r="W39" t="s">
        <v>6242</v>
      </c>
      <c r="AR39">
        <v>1970</v>
      </c>
      <c r="AS39">
        <v>2.2120000000000002</v>
      </c>
      <c r="AT39">
        <v>2.688410369113802E-3</v>
      </c>
      <c r="AU39">
        <v>0</v>
      </c>
      <c r="AV39">
        <v>3635925344.48</v>
      </c>
      <c r="AW39">
        <v>2.688410369113802E-3</v>
      </c>
      <c r="AX39">
        <v>0</v>
      </c>
      <c r="AY39">
        <v>3635925344.48</v>
      </c>
      <c r="AZ39">
        <v>2.688410369113802E-3</v>
      </c>
      <c r="BA39">
        <v>0</v>
      </c>
      <c r="BB39">
        <v>3635925344.48</v>
      </c>
      <c r="BC39">
        <f>_xlfn.XLOOKUP(D39,[1]full_dataframe_final!$C$2:$C$41,[1]full_dataframe_final!$BO$2:$BO$41)</f>
        <v>3635925344.48</v>
      </c>
      <c r="BD39" t="b">
        <f>BC39=BB39</f>
        <v>1</v>
      </c>
      <c r="BE39">
        <v>2.688410369113802E-3</v>
      </c>
      <c r="BF39">
        <f t="shared" si="0"/>
        <v>1.5110018696354104E-2</v>
      </c>
      <c r="BH39">
        <v>0.57179912391561005</v>
      </c>
      <c r="BI39" t="s">
        <v>95</v>
      </c>
    </row>
    <row r="40" spans="1:61" x14ac:dyDescent="0.25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 t="b">
        <f>F40=[1]full_dataframe_final!F38</f>
        <v>0</v>
      </c>
      <c r="H40">
        <v>236.9</v>
      </c>
      <c r="J40" t="s">
        <v>98</v>
      </c>
      <c r="K40">
        <v>189520000000</v>
      </c>
      <c r="L40" t="s">
        <v>4702</v>
      </c>
      <c r="M40">
        <v>223138520.92954499</v>
      </c>
      <c r="N40">
        <v>0.95</v>
      </c>
      <c r="O40" t="s">
        <v>5906</v>
      </c>
      <c r="P40">
        <v>1</v>
      </c>
      <c r="Q40">
        <v>228.55</v>
      </c>
      <c r="R40">
        <v>236.9</v>
      </c>
      <c r="S40">
        <v>228.55</v>
      </c>
      <c r="T40" t="b">
        <f>S40=[1]full_dataframe_final!BN38</f>
        <v>0</v>
      </c>
      <c r="U40">
        <v>173698000000</v>
      </c>
      <c r="V40">
        <v>0</v>
      </c>
      <c r="W40" t="s">
        <v>6242</v>
      </c>
      <c r="AR40">
        <v>80</v>
      </c>
      <c r="AS40">
        <v>2.726</v>
      </c>
      <c r="AT40">
        <v>0.12843264370190591</v>
      </c>
      <c r="AU40">
        <v>0</v>
      </c>
      <c r="AV40">
        <v>173698000000</v>
      </c>
      <c r="AW40">
        <v>0.12843264370190591</v>
      </c>
      <c r="AX40">
        <v>0</v>
      </c>
      <c r="AY40">
        <v>173698000000</v>
      </c>
      <c r="AZ40">
        <v>0.12843264370190591</v>
      </c>
      <c r="BA40">
        <v>0</v>
      </c>
      <c r="BB40">
        <v>173698000000</v>
      </c>
      <c r="BC40">
        <f>_xlfn.XLOOKUP(D40,[1]full_dataframe_final!$C$2:$C$41,[1]full_dataframe_final!$BO$2:$BO$41)</f>
        <v>173698000000</v>
      </c>
      <c r="BD40" t="b">
        <f>BC40=BB40</f>
        <v>1</v>
      </c>
      <c r="BE40">
        <v>0.12843264370190591</v>
      </c>
      <c r="BF40">
        <f t="shared" si="0"/>
        <v>0.73292096135030116</v>
      </c>
      <c r="BH40">
        <v>0.57179912391561005</v>
      </c>
      <c r="BI40" t="s">
        <v>95</v>
      </c>
    </row>
    <row r="41" spans="1:61" x14ac:dyDescent="0.25">
      <c r="A41">
        <v>1204</v>
      </c>
      <c r="B41" t="s">
        <v>1356</v>
      </c>
      <c r="C41" t="s">
        <v>45</v>
      </c>
      <c r="D41" t="s">
        <v>84</v>
      </c>
      <c r="E41" t="s">
        <v>92</v>
      </c>
      <c r="F41">
        <v>799335450</v>
      </c>
      <c r="G41" t="b">
        <f>F41=[1]full_dataframe_final!F39</f>
        <v>0</v>
      </c>
      <c r="H41">
        <v>92.9</v>
      </c>
      <c r="J41" t="s">
        <v>98</v>
      </c>
      <c r="K41">
        <v>74258263305</v>
      </c>
      <c r="L41" t="s">
        <v>4702</v>
      </c>
      <c r="M41">
        <v>187026505.471212</v>
      </c>
      <c r="N41">
        <v>0.85</v>
      </c>
      <c r="O41" t="s">
        <v>5907</v>
      </c>
      <c r="P41">
        <v>1</v>
      </c>
      <c r="Q41">
        <v>93.16</v>
      </c>
      <c r="R41">
        <v>92.9</v>
      </c>
      <c r="S41">
        <v>93.16</v>
      </c>
      <c r="T41" t="b">
        <f>S41=[1]full_dataframe_final!BN39</f>
        <v>0</v>
      </c>
      <c r="U41">
        <v>63296176943.699997</v>
      </c>
      <c r="V41">
        <v>0</v>
      </c>
      <c r="W41" t="s">
        <v>6242</v>
      </c>
      <c r="AR41">
        <v>317</v>
      </c>
      <c r="AS41">
        <v>2.7770000000000001</v>
      </c>
      <c r="AT41">
        <v>4.6801318041100132E-2</v>
      </c>
      <c r="AU41">
        <v>0</v>
      </c>
      <c r="AV41">
        <v>63296176943.699997</v>
      </c>
      <c r="AW41">
        <v>4.6801318041100132E-2</v>
      </c>
      <c r="AX41">
        <v>0</v>
      </c>
      <c r="AY41">
        <v>63296176943.699997</v>
      </c>
      <c r="AZ41">
        <v>4.6801318041100132E-2</v>
      </c>
      <c r="BA41">
        <v>0</v>
      </c>
      <c r="BB41">
        <v>63296176943.699997</v>
      </c>
      <c r="BC41">
        <f>_xlfn.XLOOKUP(D41,[1]full_dataframe_final!$C$2:$C$41,[1]full_dataframe_final!$BO$2:$BO$41)</f>
        <v>63296176943.699997</v>
      </c>
      <c r="BD41" t="b">
        <f>BC41=BB41</f>
        <v>1</v>
      </c>
      <c r="BE41">
        <v>4.6801318041100132E-2</v>
      </c>
      <c r="BF41">
        <f t="shared" si="0"/>
        <v>1</v>
      </c>
      <c r="BH41">
        <v>0.57179912391561005</v>
      </c>
      <c r="BI41" t="s">
        <v>95</v>
      </c>
    </row>
  </sheetData>
  <autoFilter ref="A1:BI41" xr:uid="{00000000-0001-0000-0400-000000000000}">
    <sortState xmlns:xlrd2="http://schemas.microsoft.com/office/spreadsheetml/2017/richdata2" ref="A2:BI41">
      <sortCondition descending="1" ref="BH1:BH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1"/>
  <sheetViews>
    <sheetView topLeftCell="V1" workbookViewId="0">
      <selection activeCell="AO1" sqref="AO1"/>
    </sheetView>
  </sheetViews>
  <sheetFormatPr defaultRowHeight="15" x14ac:dyDescent="0.25"/>
  <cols>
    <col min="1" max="1" width="5.28515625" bestFit="1" customWidth="1"/>
    <col min="2" max="2" width="10" bestFit="1" customWidth="1"/>
    <col min="3" max="3" width="22.7109375" bestFit="1" customWidth="1"/>
    <col min="4" max="4" width="15.140625" bestFit="1" customWidth="1"/>
    <col min="5" max="5" width="6.140625" bestFit="1" customWidth="1"/>
    <col min="6" max="6" width="11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85546875" bestFit="1" customWidth="1"/>
    <col min="13" max="13" width="10.140625" bestFit="1" customWidth="1"/>
    <col min="14" max="14" width="12.42578125" bestFit="1" customWidth="1"/>
    <col min="15" max="15" width="13.85546875" bestFit="1" customWidth="1"/>
    <col min="16" max="16" width="12.5703125" bestFit="1" customWidth="1"/>
    <col min="17" max="17" width="21.7109375" bestFit="1" customWidth="1"/>
    <col min="18" max="18" width="18.42578125" bestFit="1" customWidth="1"/>
    <col min="19" max="19" width="9.7109375" bestFit="1" customWidth="1"/>
    <col min="21" max="29" width="11.42578125" bestFit="1" customWidth="1"/>
    <col min="30" max="40" width="12.42578125" bestFit="1" customWidth="1"/>
    <col min="41" max="41" width="12.85546875" bestFit="1" customWidth="1"/>
    <col min="42" max="42" width="17.5703125" bestFit="1" customWidth="1"/>
  </cols>
  <sheetData>
    <row r="1" spans="1:42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6263</v>
      </c>
      <c r="AP1" s="1" t="s">
        <v>6264</v>
      </c>
    </row>
    <row r="2" spans="1:42" x14ac:dyDescent="0.25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4702</v>
      </c>
      <c r="K2">
        <v>158913818.45727301</v>
      </c>
      <c r="L2">
        <v>0.95000000000000007</v>
      </c>
      <c r="M2" t="s">
        <v>5849</v>
      </c>
      <c r="N2">
        <v>1</v>
      </c>
      <c r="O2">
        <v>80.7</v>
      </c>
      <c r="P2">
        <v>87.34</v>
      </c>
      <c r="Q2">
        <v>80.7</v>
      </c>
      <c r="R2">
        <v>94103908815.045013</v>
      </c>
      <c r="S2">
        <v>1</v>
      </c>
      <c r="T2" t="s">
        <v>6242</v>
      </c>
      <c r="AO2">
        <v>4337</v>
      </c>
      <c r="AP2">
        <v>2.6019999999999999</v>
      </c>
    </row>
    <row r="3" spans="1:42" x14ac:dyDescent="0.25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20.94</v>
      </c>
      <c r="P3">
        <v>21.89</v>
      </c>
      <c r="Q3">
        <v>20.94</v>
      </c>
      <c r="R3">
        <v>7256180616.0300007</v>
      </c>
      <c r="S3">
        <v>1</v>
      </c>
      <c r="T3" t="s">
        <v>6242</v>
      </c>
      <c r="AO3">
        <v>1980</v>
      </c>
      <c r="AP3">
        <v>3.093</v>
      </c>
    </row>
    <row r="4" spans="1:42" x14ac:dyDescent="0.25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4702</v>
      </c>
      <c r="K4">
        <v>47544175.640454501</v>
      </c>
      <c r="L4">
        <v>0.65</v>
      </c>
      <c r="M4" t="s">
        <v>5795</v>
      </c>
      <c r="N4">
        <v>1</v>
      </c>
      <c r="O4">
        <v>34.369999999999997</v>
      </c>
      <c r="P4">
        <v>33.56</v>
      </c>
      <c r="Q4">
        <v>34.369999999999997</v>
      </c>
      <c r="R4">
        <v>6606583685.7020006</v>
      </c>
      <c r="S4">
        <v>1</v>
      </c>
      <c r="T4" t="s">
        <v>6242</v>
      </c>
      <c r="AO4">
        <v>1826</v>
      </c>
      <c r="AP4">
        <v>2.552</v>
      </c>
    </row>
    <row r="5" spans="1:42" x14ac:dyDescent="0.25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490.65</v>
      </c>
      <c r="P5">
        <v>495.1</v>
      </c>
      <c r="Q5">
        <v>490.65</v>
      </c>
      <c r="R5">
        <v>122697262552.5</v>
      </c>
      <c r="S5">
        <v>1</v>
      </c>
      <c r="T5" t="s">
        <v>6242</v>
      </c>
      <c r="AO5">
        <v>1336</v>
      </c>
      <c r="AP5">
        <v>2.4540000000000002</v>
      </c>
    </row>
    <row r="6" spans="1:42" x14ac:dyDescent="0.25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124022566.03787901</v>
      </c>
      <c r="L6">
        <v>0.3</v>
      </c>
      <c r="M6" t="s">
        <v>5297</v>
      </c>
      <c r="N6">
        <v>1</v>
      </c>
      <c r="O6">
        <v>2090</v>
      </c>
      <c r="P6">
        <v>2095</v>
      </c>
      <c r="Q6">
        <v>2090</v>
      </c>
      <c r="R6">
        <v>66192021324.000008</v>
      </c>
      <c r="S6">
        <v>1</v>
      </c>
      <c r="T6" t="s">
        <v>6242</v>
      </c>
      <c r="AO6">
        <v>596</v>
      </c>
      <c r="AP6">
        <v>2.895</v>
      </c>
    </row>
    <row r="7" spans="1:42" x14ac:dyDescent="0.25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381.05</v>
      </c>
      <c r="P7">
        <v>399</v>
      </c>
      <c r="Q7">
        <v>381.05</v>
      </c>
      <c r="R7">
        <v>91429979444.392502</v>
      </c>
      <c r="S7">
        <v>1</v>
      </c>
      <c r="T7" t="s">
        <v>6242</v>
      </c>
      <c r="AO7">
        <v>200</v>
      </c>
      <c r="AP7">
        <v>2.657</v>
      </c>
    </row>
    <row r="8" spans="1:42" x14ac:dyDescent="0.25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4702</v>
      </c>
      <c r="K8">
        <v>66815837.344962202</v>
      </c>
      <c r="L8">
        <v>0.65</v>
      </c>
      <c r="M8" t="s">
        <v>5701</v>
      </c>
      <c r="N8">
        <v>1</v>
      </c>
      <c r="O8">
        <v>13.9</v>
      </c>
      <c r="P8">
        <v>14.48</v>
      </c>
      <c r="Q8">
        <v>13.9</v>
      </c>
      <c r="R8">
        <v>24033611371.965</v>
      </c>
      <c r="S8">
        <v>1</v>
      </c>
      <c r="T8" t="s">
        <v>6242</v>
      </c>
      <c r="AO8">
        <v>150</v>
      </c>
      <c r="AP8">
        <v>2.637</v>
      </c>
    </row>
    <row r="9" spans="1:42" x14ac:dyDescent="0.25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30697958.705833301</v>
      </c>
      <c r="L9">
        <v>0.85000000000000009</v>
      </c>
      <c r="M9" t="s">
        <v>4723</v>
      </c>
      <c r="N9">
        <v>1</v>
      </c>
      <c r="O9">
        <v>41.21</v>
      </c>
      <c r="P9">
        <v>44.76</v>
      </c>
      <c r="Q9">
        <v>41.21</v>
      </c>
      <c r="R9">
        <v>8580822811.4505014</v>
      </c>
      <c r="S9">
        <v>1</v>
      </c>
      <c r="T9" t="s">
        <v>6242</v>
      </c>
      <c r="AO9">
        <v>106</v>
      </c>
      <c r="AP9">
        <v>2.2930000000000001</v>
      </c>
    </row>
    <row r="10" spans="1:42" x14ac:dyDescent="0.25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4702</v>
      </c>
      <c r="K10">
        <v>77221971.694091007</v>
      </c>
      <c r="L10">
        <v>0.95000000000000007</v>
      </c>
      <c r="M10" t="s">
        <v>5077</v>
      </c>
      <c r="N10">
        <v>1</v>
      </c>
      <c r="O10">
        <v>74.64</v>
      </c>
      <c r="P10">
        <v>73.239999999999995</v>
      </c>
      <c r="Q10">
        <v>74.64</v>
      </c>
      <c r="R10">
        <v>48316320000.564003</v>
      </c>
      <c r="S10">
        <v>1</v>
      </c>
      <c r="T10" t="s">
        <v>6242</v>
      </c>
      <c r="AO10">
        <v>100</v>
      </c>
      <c r="AP10">
        <v>2.6579999999999999</v>
      </c>
    </row>
    <row r="11" spans="1:42" x14ac:dyDescent="0.25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4702</v>
      </c>
      <c r="K11">
        <v>81709919.195605993</v>
      </c>
      <c r="L11">
        <v>0.9</v>
      </c>
      <c r="M11" t="s">
        <v>5837</v>
      </c>
      <c r="N11">
        <v>1</v>
      </c>
      <c r="O11">
        <v>93.9</v>
      </c>
      <c r="P11">
        <v>98.16</v>
      </c>
      <c r="Q11">
        <v>93.9</v>
      </c>
      <c r="R11">
        <v>42175873202.490013</v>
      </c>
      <c r="S11">
        <v>1</v>
      </c>
      <c r="T11" t="s">
        <v>6242</v>
      </c>
      <c r="AO11">
        <v>65</v>
      </c>
      <c r="AP11">
        <v>2.6579999999999999</v>
      </c>
    </row>
    <row r="12" spans="1:42" x14ac:dyDescent="0.25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4702</v>
      </c>
      <c r="K12">
        <v>63348187.292424202</v>
      </c>
      <c r="L12">
        <v>0.70000000000000007</v>
      </c>
      <c r="M12" t="s">
        <v>5968</v>
      </c>
      <c r="N12">
        <v>1</v>
      </c>
      <c r="O12">
        <v>22.184999999999999</v>
      </c>
      <c r="P12">
        <v>23.434999999999999</v>
      </c>
      <c r="Q12">
        <v>22.184999999999999</v>
      </c>
      <c r="R12">
        <v>14151752576.639999</v>
      </c>
      <c r="S12">
        <v>1</v>
      </c>
      <c r="T12" t="s">
        <v>6242</v>
      </c>
      <c r="AO12">
        <v>57</v>
      </c>
      <c r="AP12">
        <v>2.508</v>
      </c>
    </row>
    <row r="13" spans="1:42" x14ac:dyDescent="0.25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4702</v>
      </c>
      <c r="K13">
        <v>63348187.292424202</v>
      </c>
      <c r="L13">
        <v>0.70000000000000007</v>
      </c>
      <c r="M13" t="s">
        <v>5968</v>
      </c>
      <c r="N13">
        <v>1</v>
      </c>
      <c r="O13">
        <v>22.184999999999999</v>
      </c>
      <c r="P13">
        <v>23.434999999999999</v>
      </c>
      <c r="Q13">
        <v>22.184999999999999</v>
      </c>
      <c r="R13">
        <v>14151752576.639999</v>
      </c>
      <c r="S13">
        <v>1</v>
      </c>
      <c r="T13" t="s">
        <v>6242</v>
      </c>
      <c r="AO13">
        <v>57</v>
      </c>
      <c r="AP13">
        <v>2.508</v>
      </c>
    </row>
    <row r="14" spans="1:42" x14ac:dyDescent="0.25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133.69999999999999</v>
      </c>
      <c r="P14">
        <v>137</v>
      </c>
      <c r="Q14">
        <v>133.69999999999999</v>
      </c>
      <c r="R14">
        <v>4678941561.8399992</v>
      </c>
      <c r="S14">
        <v>1</v>
      </c>
      <c r="T14" t="s">
        <v>6242</v>
      </c>
      <c r="AO14">
        <v>55</v>
      </c>
      <c r="AP14">
        <v>2.4340000000000002</v>
      </c>
    </row>
    <row r="15" spans="1:42" x14ac:dyDescent="0.25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4702</v>
      </c>
      <c r="K15">
        <v>14616258.907348501</v>
      </c>
      <c r="L15">
        <v>0.75</v>
      </c>
      <c r="M15" t="s">
        <v>5805</v>
      </c>
      <c r="N15">
        <v>1</v>
      </c>
      <c r="O15">
        <v>27.63</v>
      </c>
      <c r="P15">
        <v>28.21</v>
      </c>
      <c r="Q15">
        <v>27.63</v>
      </c>
      <c r="R15">
        <v>6196786337.227499</v>
      </c>
      <c r="S15">
        <v>1</v>
      </c>
      <c r="T15" t="s">
        <v>6242</v>
      </c>
      <c r="AO15">
        <v>5</v>
      </c>
      <c r="AP15">
        <v>2.5009999999999999</v>
      </c>
    </row>
    <row r="16" spans="1:42" x14ac:dyDescent="0.25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27660804.966666698</v>
      </c>
      <c r="L16">
        <v>0.75</v>
      </c>
      <c r="M16" t="s">
        <v>5174</v>
      </c>
      <c r="N16">
        <v>1</v>
      </c>
      <c r="O16">
        <v>138.4</v>
      </c>
      <c r="P16">
        <v>143</v>
      </c>
      <c r="Q16">
        <v>138.4</v>
      </c>
      <c r="R16">
        <v>10540114406.4</v>
      </c>
      <c r="S16">
        <v>1</v>
      </c>
      <c r="T16" t="s">
        <v>6242</v>
      </c>
      <c r="AO16">
        <v>0</v>
      </c>
      <c r="AP16">
        <v>2.907</v>
      </c>
    </row>
    <row r="17" spans="1:42" x14ac:dyDescent="0.25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198576007.52083299</v>
      </c>
      <c r="L17">
        <v>1</v>
      </c>
      <c r="M17" t="s">
        <v>5865</v>
      </c>
      <c r="N17">
        <v>1</v>
      </c>
      <c r="O17">
        <v>232</v>
      </c>
      <c r="P17">
        <v>215.4</v>
      </c>
      <c r="Q17">
        <v>232</v>
      </c>
      <c r="R17">
        <v>133892422784</v>
      </c>
      <c r="S17">
        <v>1</v>
      </c>
      <c r="T17" t="s">
        <v>6242</v>
      </c>
      <c r="AO17">
        <v>0</v>
      </c>
      <c r="AP17">
        <v>2.9009999999999998</v>
      </c>
    </row>
    <row r="18" spans="1:42" x14ac:dyDescent="0.25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12598459.105303001</v>
      </c>
      <c r="L18">
        <v>0.4</v>
      </c>
      <c r="M18" t="s">
        <v>4905</v>
      </c>
      <c r="N18">
        <v>1</v>
      </c>
      <c r="O18">
        <v>115.1</v>
      </c>
      <c r="P18">
        <v>127.4</v>
      </c>
      <c r="Q18">
        <v>115.1</v>
      </c>
      <c r="R18">
        <v>5449350568.8000002</v>
      </c>
      <c r="S18">
        <v>1</v>
      </c>
      <c r="T18" t="s">
        <v>6242</v>
      </c>
      <c r="AO18">
        <v>0</v>
      </c>
      <c r="AP18">
        <v>2.851</v>
      </c>
    </row>
    <row r="19" spans="1:42" x14ac:dyDescent="0.25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4702</v>
      </c>
      <c r="K19">
        <v>47583220.401363596</v>
      </c>
      <c r="L19">
        <v>0.5</v>
      </c>
      <c r="M19" t="s">
        <v>5081</v>
      </c>
      <c r="N19">
        <v>1</v>
      </c>
      <c r="O19">
        <v>27.56</v>
      </c>
      <c r="P19">
        <v>27.13</v>
      </c>
      <c r="Q19">
        <v>27.56</v>
      </c>
      <c r="R19">
        <v>18525553313.279999</v>
      </c>
      <c r="S19">
        <v>1</v>
      </c>
      <c r="T19" t="s">
        <v>6242</v>
      </c>
      <c r="AO19">
        <v>0</v>
      </c>
      <c r="AP19">
        <v>2.7530000000000001</v>
      </c>
    </row>
    <row r="20" spans="1:42" x14ac:dyDescent="0.25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4702</v>
      </c>
      <c r="K20">
        <v>68218505.263712093</v>
      </c>
      <c r="L20">
        <v>0.60000000000000009</v>
      </c>
      <c r="M20" t="s">
        <v>5437</v>
      </c>
      <c r="N20">
        <v>1</v>
      </c>
      <c r="O20">
        <v>241.3</v>
      </c>
      <c r="P20">
        <v>223.8</v>
      </c>
      <c r="Q20">
        <v>241.3</v>
      </c>
      <c r="R20">
        <v>17868860238.84</v>
      </c>
      <c r="S20">
        <v>1</v>
      </c>
      <c r="T20" t="s">
        <v>6242</v>
      </c>
      <c r="AO20">
        <v>0</v>
      </c>
      <c r="AP20">
        <v>2.7490000000000001</v>
      </c>
    </row>
    <row r="21" spans="1:42" x14ac:dyDescent="0.25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4702</v>
      </c>
      <c r="K21">
        <v>60250024.703030303</v>
      </c>
      <c r="L21">
        <v>1</v>
      </c>
      <c r="M21" t="s">
        <v>5490</v>
      </c>
      <c r="N21">
        <v>1</v>
      </c>
      <c r="O21">
        <v>139.1</v>
      </c>
      <c r="P21">
        <v>132.1</v>
      </c>
      <c r="Q21">
        <v>139.1</v>
      </c>
      <c r="R21">
        <v>36478381460.300003</v>
      </c>
      <c r="S21">
        <v>1</v>
      </c>
      <c r="T21" t="s">
        <v>6242</v>
      </c>
      <c r="AO21">
        <v>0</v>
      </c>
      <c r="AP21">
        <v>2.74</v>
      </c>
    </row>
    <row r="22" spans="1:42" x14ac:dyDescent="0.25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35.380000000000003</v>
      </c>
      <c r="H22" t="s">
        <v>98</v>
      </c>
      <c r="I22">
        <v>10149148265.360001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33.6</v>
      </c>
      <c r="P22">
        <v>35.380000000000003</v>
      </c>
      <c r="Q22">
        <v>33.6</v>
      </c>
      <c r="R22">
        <v>7228901534.4000006</v>
      </c>
      <c r="S22">
        <v>1</v>
      </c>
      <c r="T22" t="s">
        <v>6242</v>
      </c>
      <c r="AO22">
        <v>0</v>
      </c>
      <c r="AP22">
        <v>2.71</v>
      </c>
    </row>
    <row r="23" spans="1:42" x14ac:dyDescent="0.25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11436298.340606101</v>
      </c>
      <c r="L23">
        <v>0.65</v>
      </c>
      <c r="M23" t="s">
        <v>5194</v>
      </c>
      <c r="N23">
        <v>1</v>
      </c>
      <c r="O23">
        <v>28.54</v>
      </c>
      <c r="P23">
        <v>28.5</v>
      </c>
      <c r="Q23">
        <v>28.54</v>
      </c>
      <c r="R23">
        <v>3436943770</v>
      </c>
      <c r="S23">
        <v>1</v>
      </c>
      <c r="T23" t="s">
        <v>6242</v>
      </c>
      <c r="AO23">
        <v>0</v>
      </c>
      <c r="AP23">
        <v>2.706</v>
      </c>
    </row>
    <row r="24" spans="1:42" x14ac:dyDescent="0.25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30300941.584848501</v>
      </c>
      <c r="L24">
        <v>0.85000000000000009</v>
      </c>
      <c r="M24" t="s">
        <v>6120</v>
      </c>
      <c r="N24">
        <v>1</v>
      </c>
      <c r="O24">
        <v>89.34</v>
      </c>
      <c r="P24">
        <v>91.7</v>
      </c>
      <c r="Q24">
        <v>89.34</v>
      </c>
      <c r="R24">
        <v>10877861323.653</v>
      </c>
      <c r="S24">
        <v>1</v>
      </c>
      <c r="T24" t="s">
        <v>6242</v>
      </c>
      <c r="AO24">
        <v>0</v>
      </c>
      <c r="AP24">
        <v>2.6840000000000002</v>
      </c>
    </row>
    <row r="25" spans="1:42" x14ac:dyDescent="0.25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80.739999999999995</v>
      </c>
      <c r="H25" t="s">
        <v>98</v>
      </c>
      <c r="I25">
        <v>20533139576.400002</v>
      </c>
      <c r="J25" t="s">
        <v>4702</v>
      </c>
      <c r="K25">
        <v>59085666.868030302</v>
      </c>
      <c r="L25">
        <v>0.95000000000000007</v>
      </c>
      <c r="M25" t="s">
        <v>5765</v>
      </c>
      <c r="N25">
        <v>1</v>
      </c>
      <c r="O25">
        <v>83.16</v>
      </c>
      <c r="P25">
        <v>80.739999999999995</v>
      </c>
      <c r="Q25">
        <v>83.16</v>
      </c>
      <c r="R25">
        <v>20091145563.720001</v>
      </c>
      <c r="S25">
        <v>1</v>
      </c>
      <c r="T25" t="s">
        <v>6242</v>
      </c>
      <c r="AO25">
        <v>0</v>
      </c>
      <c r="AP25">
        <v>2.6469999999999998</v>
      </c>
    </row>
    <row r="26" spans="1:42" x14ac:dyDescent="0.25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6412288140.7200003</v>
      </c>
      <c r="J26" t="s">
        <v>4702</v>
      </c>
      <c r="K26">
        <v>15265470.192500001</v>
      </c>
      <c r="L26">
        <v>1</v>
      </c>
      <c r="M26" t="s">
        <v>5130</v>
      </c>
      <c r="N26">
        <v>1</v>
      </c>
      <c r="O26">
        <v>20.87</v>
      </c>
      <c r="P26">
        <v>26.73</v>
      </c>
      <c r="Q26">
        <v>20.87</v>
      </c>
      <c r="R26">
        <v>5006526505.6800003</v>
      </c>
      <c r="S26">
        <v>1</v>
      </c>
      <c r="T26" t="s">
        <v>6242</v>
      </c>
      <c r="AO26">
        <v>0</v>
      </c>
      <c r="AP26">
        <v>2.645</v>
      </c>
    </row>
    <row r="27" spans="1:42" x14ac:dyDescent="0.25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47.436160000000001</v>
      </c>
      <c r="H27" t="s">
        <v>96</v>
      </c>
      <c r="I27">
        <v>46174958685.785599</v>
      </c>
      <c r="J27" t="s">
        <v>4699</v>
      </c>
      <c r="K27">
        <v>45905128.7150921</v>
      </c>
      <c r="L27">
        <v>1</v>
      </c>
      <c r="M27" t="s">
        <v>4704</v>
      </c>
      <c r="N27">
        <v>1.156136E-2</v>
      </c>
      <c r="O27">
        <v>3809</v>
      </c>
      <c r="P27">
        <v>4110</v>
      </c>
      <c r="Q27">
        <v>44.037220240000003</v>
      </c>
      <c r="R27">
        <v>42866387692.824226</v>
      </c>
      <c r="S27">
        <v>0</v>
      </c>
      <c r="T27" t="s">
        <v>6242</v>
      </c>
      <c r="AO27">
        <v>2942</v>
      </c>
      <c r="AP27">
        <v>2.726</v>
      </c>
    </row>
    <row r="28" spans="1:42" x14ac:dyDescent="0.25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7540441617.2799997</v>
      </c>
      <c r="J28" t="s">
        <v>4702</v>
      </c>
      <c r="K28">
        <v>14577957.1875758</v>
      </c>
      <c r="L28">
        <v>0.55000000000000004</v>
      </c>
      <c r="M28" t="s">
        <v>5780</v>
      </c>
      <c r="N28">
        <v>1</v>
      </c>
      <c r="O28">
        <v>36.549999999999997</v>
      </c>
      <c r="P28">
        <v>41.69</v>
      </c>
      <c r="Q28">
        <v>36.549999999999997</v>
      </c>
      <c r="R28">
        <v>3635925344.48</v>
      </c>
      <c r="S28">
        <v>0</v>
      </c>
      <c r="T28" t="s">
        <v>6242</v>
      </c>
      <c r="AO28">
        <v>1970</v>
      </c>
      <c r="AP28">
        <v>2.2120000000000002</v>
      </c>
    </row>
    <row r="29" spans="1:42" x14ac:dyDescent="0.25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51.69</v>
      </c>
      <c r="P29">
        <v>55.14</v>
      </c>
      <c r="Q29">
        <v>51.69</v>
      </c>
      <c r="R29">
        <v>37329369189.75</v>
      </c>
      <c r="S29">
        <v>0</v>
      </c>
      <c r="T29" t="s">
        <v>6242</v>
      </c>
      <c r="AO29">
        <v>1222</v>
      </c>
      <c r="AP29">
        <v>2.903</v>
      </c>
    </row>
    <row r="30" spans="1:42" x14ac:dyDescent="0.25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36278032.215151504</v>
      </c>
      <c r="L30">
        <v>1</v>
      </c>
      <c r="M30" t="s">
        <v>5559</v>
      </c>
      <c r="N30">
        <v>1</v>
      </c>
      <c r="O30">
        <v>106.75</v>
      </c>
      <c r="P30">
        <v>112.15</v>
      </c>
      <c r="Q30">
        <v>106.75</v>
      </c>
      <c r="R30">
        <v>13796610187.5</v>
      </c>
      <c r="S30">
        <v>0</v>
      </c>
      <c r="T30" t="s">
        <v>6242</v>
      </c>
      <c r="AO30">
        <v>900</v>
      </c>
      <c r="AP30">
        <v>2.7759999999999998</v>
      </c>
    </row>
    <row r="31" spans="1:42" x14ac:dyDescent="0.25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221.21520000000001</v>
      </c>
      <c r="H31" t="s">
        <v>97</v>
      </c>
      <c r="I31">
        <v>137784484601.04001</v>
      </c>
      <c r="J31" t="s">
        <v>4700</v>
      </c>
      <c r="K31">
        <v>956711431.80120504</v>
      </c>
      <c r="L31">
        <v>1</v>
      </c>
      <c r="M31" t="s">
        <v>4721</v>
      </c>
      <c r="N31">
        <v>0.85273301000000001</v>
      </c>
      <c r="O31">
        <v>238.54</v>
      </c>
      <c r="P31">
        <v>259.22000000000003</v>
      </c>
      <c r="Q31">
        <v>203.4109322054</v>
      </c>
      <c r="R31">
        <v>126695048333.6503</v>
      </c>
      <c r="S31">
        <v>0</v>
      </c>
      <c r="T31" t="s">
        <v>6243</v>
      </c>
      <c r="AO31">
        <v>790</v>
      </c>
      <c r="AP31">
        <v>2.2000000000000002</v>
      </c>
    </row>
    <row r="32" spans="1:42" x14ac:dyDescent="0.25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142.56700000000001</v>
      </c>
      <c r="H32" t="s">
        <v>97</v>
      </c>
      <c r="I32">
        <v>48622539505.150002</v>
      </c>
      <c r="J32" t="s">
        <v>4700</v>
      </c>
      <c r="K32">
        <v>248742996.40768701</v>
      </c>
      <c r="L32">
        <v>0.95</v>
      </c>
      <c r="M32" t="s">
        <v>5102</v>
      </c>
      <c r="N32">
        <v>0.85273301000000001</v>
      </c>
      <c r="O32">
        <v>173.5</v>
      </c>
      <c r="P32">
        <v>167.06</v>
      </c>
      <c r="Q32">
        <v>147.94917723500001</v>
      </c>
      <c r="R32">
        <v>47935226799.470177</v>
      </c>
      <c r="S32">
        <v>0</v>
      </c>
      <c r="T32" t="s">
        <v>6243</v>
      </c>
      <c r="AO32">
        <v>750</v>
      </c>
      <c r="AP32">
        <v>2.36</v>
      </c>
    </row>
    <row r="33" spans="1:42" x14ac:dyDescent="0.25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82.707909999999998</v>
      </c>
      <c r="H33" t="s">
        <v>100</v>
      </c>
      <c r="I33">
        <v>16441948743.2976</v>
      </c>
      <c r="J33" t="s">
        <v>4700</v>
      </c>
      <c r="K33">
        <v>36815764.283965603</v>
      </c>
      <c r="L33">
        <v>0.9</v>
      </c>
      <c r="M33" t="s">
        <v>4976</v>
      </c>
      <c r="N33">
        <v>0.61572563000000002</v>
      </c>
      <c r="O33">
        <v>129.30000000000001</v>
      </c>
      <c r="P33">
        <v>134.08000000000001</v>
      </c>
      <c r="Q33">
        <v>79.613323959000013</v>
      </c>
      <c r="R33">
        <v>14244083457.503429</v>
      </c>
      <c r="S33">
        <v>0</v>
      </c>
      <c r="T33" t="s">
        <v>6243</v>
      </c>
      <c r="AO33">
        <v>550</v>
      </c>
      <c r="AP33">
        <v>2.6419999999999999</v>
      </c>
    </row>
    <row r="34" spans="1:42" x14ac:dyDescent="0.25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95.818399999999997</v>
      </c>
      <c r="H34" t="s">
        <v>97</v>
      </c>
      <c r="I34">
        <v>88925511759.199997</v>
      </c>
      <c r="J34" t="s">
        <v>4700</v>
      </c>
      <c r="K34">
        <v>371953776.18120497</v>
      </c>
      <c r="L34">
        <v>1</v>
      </c>
      <c r="M34" t="s">
        <v>5756</v>
      </c>
      <c r="N34">
        <v>0.85273301000000001</v>
      </c>
      <c r="O34">
        <v>115.35</v>
      </c>
      <c r="P34">
        <v>112.28</v>
      </c>
      <c r="Q34">
        <v>98.362752703499993</v>
      </c>
      <c r="R34">
        <v>91286831362.268311</v>
      </c>
      <c r="S34">
        <v>0</v>
      </c>
      <c r="T34" t="s">
        <v>6243</v>
      </c>
      <c r="AO34">
        <v>400</v>
      </c>
      <c r="AP34">
        <v>2.044</v>
      </c>
    </row>
    <row r="35" spans="1:42" x14ac:dyDescent="0.25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3.6850000000000001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3.8290000000000002</v>
      </c>
      <c r="P35">
        <v>3.6850000000000001</v>
      </c>
      <c r="Q35">
        <v>3.8290000000000002</v>
      </c>
      <c r="R35">
        <v>19845929350.029999</v>
      </c>
      <c r="S35">
        <v>0</v>
      </c>
      <c r="T35" t="s">
        <v>6242</v>
      </c>
      <c r="AO35">
        <v>330</v>
      </c>
      <c r="AP35">
        <v>2.6579999999999999</v>
      </c>
    </row>
    <row r="36" spans="1:42" x14ac:dyDescent="0.25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93.16</v>
      </c>
      <c r="P36">
        <v>92.9</v>
      </c>
      <c r="Q36">
        <v>93.16</v>
      </c>
      <c r="R36">
        <v>63296176943.699997</v>
      </c>
      <c r="S36">
        <v>0</v>
      </c>
      <c r="T36" t="s">
        <v>6242</v>
      </c>
      <c r="AO36">
        <v>317</v>
      </c>
      <c r="AP36">
        <v>2.7770000000000001</v>
      </c>
    </row>
    <row r="37" spans="1:42" x14ac:dyDescent="0.25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17.075859999999999</v>
      </c>
      <c r="H37" t="s">
        <v>96</v>
      </c>
      <c r="I37">
        <v>69536795216.080002</v>
      </c>
      <c r="J37" t="s">
        <v>4699</v>
      </c>
      <c r="K37">
        <v>107929853.296655</v>
      </c>
      <c r="L37">
        <v>1</v>
      </c>
      <c r="M37" t="s">
        <v>5273</v>
      </c>
      <c r="N37">
        <v>1.156136E-2</v>
      </c>
      <c r="O37">
        <v>1503.5</v>
      </c>
      <c r="P37">
        <v>1479.5</v>
      </c>
      <c r="Q37">
        <v>17.38250476</v>
      </c>
      <c r="R37">
        <v>70785522593.805283</v>
      </c>
      <c r="S37">
        <v>0</v>
      </c>
      <c r="T37" t="s">
        <v>6242</v>
      </c>
      <c r="AO37">
        <v>170</v>
      </c>
      <c r="AP37">
        <v>2.339</v>
      </c>
    </row>
    <row r="38" spans="1:42" x14ac:dyDescent="0.25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21511118371.470001</v>
      </c>
      <c r="J38" t="s">
        <v>4701</v>
      </c>
      <c r="K38">
        <v>67024880.672322303</v>
      </c>
      <c r="L38">
        <v>0.9</v>
      </c>
      <c r="M38" t="s">
        <v>5638</v>
      </c>
      <c r="N38">
        <v>5.7743899999999999E-3</v>
      </c>
      <c r="O38">
        <v>2601.5</v>
      </c>
      <c r="P38">
        <v>3104</v>
      </c>
      <c r="Q38">
        <v>15.022075585</v>
      </c>
      <c r="R38">
        <v>16123375492.495081</v>
      </c>
      <c r="S38">
        <v>0</v>
      </c>
      <c r="T38" t="s">
        <v>6244</v>
      </c>
      <c r="AO38">
        <v>140</v>
      </c>
      <c r="AP38">
        <v>2.6059999999999999</v>
      </c>
    </row>
    <row r="39" spans="1:42" x14ac:dyDescent="0.25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227.45349999999999</v>
      </c>
      <c r="H39" t="s">
        <v>97</v>
      </c>
      <c r="I39">
        <v>241200630322.54999</v>
      </c>
      <c r="J39" t="s">
        <v>4700</v>
      </c>
      <c r="K39">
        <v>1398586699.16436</v>
      </c>
      <c r="L39">
        <v>1</v>
      </c>
      <c r="M39" t="s">
        <v>5241</v>
      </c>
      <c r="N39">
        <v>0.85273301000000001</v>
      </c>
      <c r="O39">
        <v>281.69</v>
      </c>
      <c r="P39">
        <v>266.52999999999997</v>
      </c>
      <c r="Q39">
        <v>240.20636158689999</v>
      </c>
      <c r="R39">
        <v>254724265936.75919</v>
      </c>
      <c r="S39">
        <v>0</v>
      </c>
      <c r="T39" t="s">
        <v>6243</v>
      </c>
      <c r="AO39">
        <v>125</v>
      </c>
      <c r="AP39">
        <v>2.0630000000000002</v>
      </c>
    </row>
    <row r="40" spans="1:42" x14ac:dyDescent="0.25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27263170129.318001</v>
      </c>
      <c r="J40" t="s">
        <v>4701</v>
      </c>
      <c r="K40">
        <v>86210430.437211603</v>
      </c>
      <c r="L40">
        <v>0.95</v>
      </c>
      <c r="M40" t="s">
        <v>5612</v>
      </c>
      <c r="N40">
        <v>5.7743899999999999E-3</v>
      </c>
      <c r="O40">
        <v>2529</v>
      </c>
      <c r="P40">
        <v>2390</v>
      </c>
      <c r="Q40">
        <v>14.603432310000001</v>
      </c>
      <c r="R40">
        <v>27233235715.172749</v>
      </c>
      <c r="S40">
        <v>0</v>
      </c>
      <c r="T40" t="s">
        <v>6244</v>
      </c>
      <c r="AO40">
        <v>100</v>
      </c>
      <c r="AP40">
        <v>2.6960000000000002</v>
      </c>
    </row>
    <row r="41" spans="1:42" x14ac:dyDescent="0.25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138.13040000000001</v>
      </c>
      <c r="H41" t="s">
        <v>96</v>
      </c>
      <c r="I41">
        <v>214196407811.04001</v>
      </c>
      <c r="J41" t="s">
        <v>4699</v>
      </c>
      <c r="K41">
        <v>159716281.94266301</v>
      </c>
      <c r="L41">
        <v>1</v>
      </c>
      <c r="M41" t="s">
        <v>4834</v>
      </c>
      <c r="N41">
        <v>1.156136E-2</v>
      </c>
      <c r="O41">
        <v>11794</v>
      </c>
      <c r="P41">
        <v>11968</v>
      </c>
      <c r="Q41">
        <v>136.35467983999999</v>
      </c>
      <c r="R41">
        <v>211442829456.4588</v>
      </c>
      <c r="S41">
        <v>0</v>
      </c>
      <c r="T41" t="s">
        <v>6242</v>
      </c>
      <c r="AO41">
        <v>100</v>
      </c>
      <c r="AP41">
        <v>2.5499999999999998</v>
      </c>
    </row>
    <row r="42" spans="1:42" x14ac:dyDescent="0.25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65123041901.896004</v>
      </c>
      <c r="J42" t="s">
        <v>4701</v>
      </c>
      <c r="K42">
        <v>113746571.291697</v>
      </c>
      <c r="L42">
        <v>0.7</v>
      </c>
      <c r="M42" t="s">
        <v>5427</v>
      </c>
      <c r="N42">
        <v>5.7743899999999999E-3</v>
      </c>
      <c r="O42">
        <v>2495.5</v>
      </c>
      <c r="P42">
        <v>2676</v>
      </c>
      <c r="Q42">
        <v>14.409990244999999</v>
      </c>
      <c r="R42">
        <v>42242791153.181976</v>
      </c>
      <c r="S42">
        <v>0</v>
      </c>
      <c r="T42" t="s">
        <v>6244</v>
      </c>
      <c r="AO42">
        <v>100</v>
      </c>
      <c r="AP42">
        <v>2.254</v>
      </c>
    </row>
    <row r="43" spans="1:42" x14ac:dyDescent="0.25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27.120370000000001</v>
      </c>
      <c r="H43" t="s">
        <v>99</v>
      </c>
      <c r="I43">
        <v>5896908972.4316006</v>
      </c>
      <c r="J43" t="s">
        <v>4701</v>
      </c>
      <c r="K43">
        <v>29212825.3630413</v>
      </c>
      <c r="L43">
        <v>1</v>
      </c>
      <c r="M43" t="s">
        <v>4820</v>
      </c>
      <c r="N43">
        <v>5.7743899999999999E-3</v>
      </c>
      <c r="O43">
        <v>4731</v>
      </c>
      <c r="P43">
        <v>4667</v>
      </c>
      <c r="Q43">
        <v>27.318639090000001</v>
      </c>
      <c r="R43">
        <v>5940019548.5696411</v>
      </c>
      <c r="S43">
        <v>0</v>
      </c>
      <c r="T43" t="s">
        <v>6244</v>
      </c>
      <c r="AO43">
        <v>100</v>
      </c>
      <c r="AP43">
        <v>2.1520000000000001</v>
      </c>
    </row>
    <row r="44" spans="1:42" x14ac:dyDescent="0.25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671.16399999999999</v>
      </c>
      <c r="H44" t="s">
        <v>97</v>
      </c>
      <c r="I44">
        <v>65682780272.720001</v>
      </c>
      <c r="J44" t="s">
        <v>4700</v>
      </c>
      <c r="K44">
        <v>436109513.719181</v>
      </c>
      <c r="L44">
        <v>1</v>
      </c>
      <c r="M44" t="s">
        <v>5164</v>
      </c>
      <c r="N44">
        <v>0.85273301000000001</v>
      </c>
      <c r="O44">
        <v>788.61</v>
      </c>
      <c r="P44">
        <v>786.47</v>
      </c>
      <c r="Q44">
        <v>672.47377901610002</v>
      </c>
      <c r="R44">
        <v>65810960460.156029</v>
      </c>
      <c r="S44">
        <v>0</v>
      </c>
      <c r="T44" t="s">
        <v>6243</v>
      </c>
      <c r="AO44">
        <v>90</v>
      </c>
      <c r="AP44">
        <v>2.399</v>
      </c>
    </row>
    <row r="45" spans="1:42" x14ac:dyDescent="0.25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223138520.92954499</v>
      </c>
      <c r="L45">
        <v>0.95</v>
      </c>
      <c r="M45" t="s">
        <v>5906</v>
      </c>
      <c r="N45">
        <v>1</v>
      </c>
      <c r="O45">
        <v>228.55</v>
      </c>
      <c r="P45">
        <v>236.9</v>
      </c>
      <c r="Q45">
        <v>228.55</v>
      </c>
      <c r="R45">
        <v>173698000000</v>
      </c>
      <c r="S45">
        <v>0</v>
      </c>
      <c r="T45" t="s">
        <v>6242</v>
      </c>
      <c r="AO45">
        <v>80</v>
      </c>
      <c r="AP45">
        <v>2.726</v>
      </c>
    </row>
    <row r="46" spans="1:42" x14ac:dyDescent="0.25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23.500060000000001</v>
      </c>
      <c r="H46" t="s">
        <v>99</v>
      </c>
      <c r="I46">
        <v>23632544643.257801</v>
      </c>
      <c r="J46" t="s">
        <v>4701</v>
      </c>
      <c r="K46">
        <v>54147630.977162398</v>
      </c>
      <c r="L46">
        <v>0.95</v>
      </c>
      <c r="M46" t="s">
        <v>4757</v>
      </c>
      <c r="N46">
        <v>5.7743899999999999E-3</v>
      </c>
      <c r="O46">
        <v>4262</v>
      </c>
      <c r="P46">
        <v>4044</v>
      </c>
      <c r="Q46">
        <v>24.610450180000001</v>
      </c>
      <c r="R46">
        <v>23511735052.63586</v>
      </c>
      <c r="S46">
        <v>0</v>
      </c>
      <c r="T46" t="s">
        <v>6244</v>
      </c>
      <c r="AO46">
        <v>70</v>
      </c>
      <c r="AP46">
        <v>2.4870000000000001</v>
      </c>
    </row>
    <row r="47" spans="1:42" x14ac:dyDescent="0.25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3.2455099999999999</v>
      </c>
      <c r="H47" t="s">
        <v>96</v>
      </c>
      <c r="I47">
        <v>5681265904.1020002</v>
      </c>
      <c r="J47" t="s">
        <v>4699</v>
      </c>
      <c r="K47">
        <v>15373077.293843601</v>
      </c>
      <c r="L47">
        <v>0.85</v>
      </c>
      <c r="M47" t="s">
        <v>5449</v>
      </c>
      <c r="N47">
        <v>1.156136E-2</v>
      </c>
      <c r="O47">
        <v>244.1</v>
      </c>
      <c r="P47">
        <v>281.2</v>
      </c>
      <c r="Q47">
        <v>2.822127976</v>
      </c>
      <c r="R47">
        <v>4199115248.4515562</v>
      </c>
      <c r="S47">
        <v>0</v>
      </c>
      <c r="T47" t="s">
        <v>6242</v>
      </c>
      <c r="AO47">
        <v>60</v>
      </c>
      <c r="AP47">
        <v>2.4900000000000002</v>
      </c>
    </row>
    <row r="48" spans="1:42" x14ac:dyDescent="0.25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423.27190000000002</v>
      </c>
      <c r="H48" t="s">
        <v>97</v>
      </c>
      <c r="I48">
        <v>114633484257.614</v>
      </c>
      <c r="J48" t="s">
        <v>4700</v>
      </c>
      <c r="K48">
        <v>540937603.59890401</v>
      </c>
      <c r="L48">
        <v>0.95</v>
      </c>
      <c r="M48" t="s">
        <v>5085</v>
      </c>
      <c r="N48">
        <v>0.85273301000000001</v>
      </c>
      <c r="O48">
        <v>470.51</v>
      </c>
      <c r="P48">
        <v>495.99</v>
      </c>
      <c r="Q48">
        <v>401.2194085351</v>
      </c>
      <c r="R48">
        <v>103228019187.075</v>
      </c>
      <c r="S48">
        <v>0</v>
      </c>
      <c r="T48" t="s">
        <v>6243</v>
      </c>
      <c r="AO48">
        <v>50</v>
      </c>
      <c r="AP48">
        <v>2.484</v>
      </c>
    </row>
    <row r="49" spans="1:42" x14ac:dyDescent="0.25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1824998017.7253799</v>
      </c>
      <c r="L49">
        <v>1</v>
      </c>
      <c r="M49" t="s">
        <v>5839</v>
      </c>
      <c r="N49">
        <v>0.85273301000000001</v>
      </c>
      <c r="O49">
        <v>242.76</v>
      </c>
      <c r="P49">
        <v>248.29</v>
      </c>
      <c r="Q49">
        <v>207.0094655076</v>
      </c>
      <c r="R49">
        <v>197901049025.26559</v>
      </c>
      <c r="S49">
        <v>0</v>
      </c>
      <c r="T49" t="s">
        <v>6243</v>
      </c>
      <c r="AO49">
        <v>50</v>
      </c>
      <c r="AP49">
        <v>2.16</v>
      </c>
    </row>
    <row r="50" spans="1:42" x14ac:dyDescent="0.25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97.516639999999995</v>
      </c>
      <c r="H50" t="s">
        <v>97</v>
      </c>
      <c r="I50">
        <v>22009505648</v>
      </c>
      <c r="J50" t="s">
        <v>4700</v>
      </c>
      <c r="K50">
        <v>174978198.93218601</v>
      </c>
      <c r="L50">
        <v>1</v>
      </c>
      <c r="M50" t="s">
        <v>5749</v>
      </c>
      <c r="N50">
        <v>0.85273301000000001</v>
      </c>
      <c r="O50">
        <v>110.72</v>
      </c>
      <c r="P50">
        <v>114.27</v>
      </c>
      <c r="Q50">
        <v>94.414598867199999</v>
      </c>
      <c r="R50">
        <v>21309374964.327042</v>
      </c>
      <c r="S50">
        <v>0</v>
      </c>
      <c r="T50" t="s">
        <v>6243</v>
      </c>
      <c r="AO50">
        <v>49</v>
      </c>
      <c r="AP50">
        <v>2.0390000000000001</v>
      </c>
    </row>
    <row r="51" spans="1:42" x14ac:dyDescent="0.25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227502219134.86401</v>
      </c>
      <c r="J51" t="s">
        <v>4700</v>
      </c>
      <c r="K51">
        <v>1180078478.9753499</v>
      </c>
      <c r="L51">
        <v>1</v>
      </c>
      <c r="M51" t="s">
        <v>4996</v>
      </c>
      <c r="N51">
        <v>0.85273301000000001</v>
      </c>
      <c r="O51">
        <v>66.53</v>
      </c>
      <c r="P51">
        <v>67.319999999999993</v>
      </c>
      <c r="Q51">
        <v>56.732327155299998</v>
      </c>
      <c r="R51">
        <v>224659919090.0318</v>
      </c>
      <c r="S51">
        <v>0</v>
      </c>
      <c r="T51" t="s">
        <v>6243</v>
      </c>
      <c r="AO51">
        <v>40</v>
      </c>
      <c r="AP51">
        <v>2.383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2025-09-17T15:15:23Z</dcterms:created>
  <dcterms:modified xsi:type="dcterms:W3CDTF">2025-09-17T15:22:49Z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2025-09-17T15:15:57Z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2f5d7c49-714e-450b-9b3f-8c2b24e02452</vt:lpwstr>
  </property>
  <property fmtid="{D5CDD505-2E9C-101B-9397-08002B2CF9AE}" pid="8" name="MSIP_Label_ac0b9ce6-6e99-42a1-af95-429494370cbc_ContentBits">
    <vt:lpwstr>2</vt:lpwstr>
  </property>
</Properties>
</file>