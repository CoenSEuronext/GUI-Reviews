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3" documentId="11_606D1D0C4F9E820C95ED5361C118FFABAA385768" xr6:coauthVersionLast="47" xr6:coauthVersionMax="47" xr10:uidLastSave="{75F7FE98-58ED-46A4-95A2-B414DE4BDDD8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Sheet1" sheetId="4" r:id="rId3"/>
    <sheet name="Sector Allocation" sheetId="3" r:id="rId4"/>
  </sheets>
  <definedNames>
    <definedName name="_xlnm._FilterDatabase" localSheetId="1" hidden="1">'Full Universe'!$A$22:$CL$338</definedName>
    <definedName name="_xlnm._FilterDatabase" localSheetId="0" hidden="1">'Selected Companies'!$A$1:$CN$101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5" i="1" l="1"/>
  <c r="CR4" i="1"/>
  <c r="CR3" i="1"/>
  <c r="CR2" i="1"/>
  <c r="CR1" i="1"/>
  <c r="CS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CR19" i="2"/>
  <c r="CR20" i="2"/>
  <c r="CR2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" i="2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" i="4"/>
  <c r="D20" i="4" l="1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" i="4"/>
  <c r="CQ17" i="1" a="1"/>
  <c r="CQ17" i="1" l="1"/>
  <c r="CR17" i="1" s="1"/>
  <c r="CR34" i="1"/>
  <c r="CR33" i="1"/>
  <c r="CR31" i="1"/>
  <c r="CR26" i="1"/>
  <c r="CR24" i="1"/>
  <c r="CR30" i="1"/>
  <c r="CR25" i="1"/>
  <c r="CR22" i="1"/>
  <c r="CR18" i="1"/>
  <c r="CR29" i="1"/>
  <c r="CR27" i="1"/>
  <c r="CR23" i="1"/>
  <c r="CR19" i="1"/>
  <c r="CR35" i="1"/>
  <c r="CR32" i="1"/>
  <c r="CR28" i="1"/>
  <c r="CR20" i="1"/>
  <c r="CR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<sst xmlns="http://schemas.openxmlformats.org/spreadsheetml/2006/main" count="9345" uniqueCount="1110">
  <si>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</si>
  <si>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</si>
  <si>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</si>
  <si>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</si>
  <si>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</si>
  <si>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</si>
  <si>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</si>
  <si>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</si>
  <si>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</si>
  <si>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</si>
  <si>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</si>
  <si>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</si>
  <si>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</si>
  <si>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</si>
  <si>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</si>
  <si>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</si>
  <si>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</si>
  <si>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</si>
  <si>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</si>
  <si>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</si>
  <si>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</si>
  <si>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</si>
  <si>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</si>
  <si>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</si>
  <si>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</si>
  <si>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</si>
  <si>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</si>
  <si>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</si>
  <si>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</si>
  <si>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</si>
  <si>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</si>
  <si>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</si>
  <si>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</si>
  <si>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</si>
  <si>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</si>
  <si>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</si>
  <si>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</si>
  <si>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</si>
  <si>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</si>
  <si>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</si>
  <si>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</si>
  <si>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</si>
  <si>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</si>
  <si>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</si>
  <si>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</si>
  <si>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</si>
  <si>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</si>
  <si>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</si>
  <si>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</si>
  <si>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</si>
  <si>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</si>
  <si>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</si>
  <si>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</si>
  <si>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</si>
  <si>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</si>
  <si>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</si>
  <si>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</si>
  <si>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</si>
  <si>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</si>
  <si>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</si>
  <si>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</si>
  <si>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</si>
  <si>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</si>
  <si>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</si>
  <si>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</si>
  <si>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</si>
  <si>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</si>
  <si>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</si>
  <si>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</si>
  <si>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</si>
  <si>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</si>
  <si>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</si>
  <si>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</si>
  <si>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</si>
  <si>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</si>
  <si>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</si>
  <si>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</si>
  <si>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</si>
  <si>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</si>
  <si>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</si>
  <si>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</si>
  <si>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</si>
  <si>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</si>
  <si>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</si>
  <si>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</si>
  <si>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</si>
  <si>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</si>
  <si>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</si>
  <si>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</si>
  <si>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</si>
  <si>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</si>
  <si>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</si>
  <si>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</si>
  <si>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</si>
  <si>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</si>
  <si>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</si>
  <si>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</si>
  <si>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</si>
  <si>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</si>
  <si>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</si>
  <si>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</si>
  <si>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</si>
  <si>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</si>
  <si>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</si>
  <si>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</si>
  <si>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</si>
  <si>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STAN-GB</t>
  </si>
  <si>
    <t>SIKA-CH</t>
  </si>
  <si>
    <t>STB-NO</t>
  </si>
  <si>
    <t>NWG-GB</t>
  </si>
  <si>
    <t>ICG-GB</t>
  </si>
  <si>
    <t>LSEG-GB</t>
  </si>
  <si>
    <t>PRU-GB</t>
  </si>
  <si>
    <t>ZURN-CH</t>
  </si>
  <si>
    <t>MRL-ES</t>
  </si>
  <si>
    <t>DB1-DE</t>
  </si>
  <si>
    <t>CS-FR</t>
  </si>
  <si>
    <t>ENX-FR</t>
  </si>
  <si>
    <t>ADM-GB</t>
  </si>
  <si>
    <t>GBLB-BE</t>
  </si>
  <si>
    <t>UCG-IT</t>
  </si>
  <si>
    <t>UU-GB</t>
  </si>
  <si>
    <t>BCVN-CH</t>
  </si>
  <si>
    <t>SCA.B-SE</t>
  </si>
  <si>
    <t>SY1-DE</t>
  </si>
  <si>
    <t>STMN-CH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</si>
  <si>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</si>
  <si>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</si>
  <si>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</si>
  <si>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</si>
  <si>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</si>
  <si>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</si>
  <si>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</si>
  <si>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</si>
  <si>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</si>
  <si>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</si>
  <si>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</si>
  <si>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</si>
  <si>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</si>
  <si>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RYA-IE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</si>
  <si>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</si>
  <si>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</si>
  <si>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</si>
  <si>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</si>
  <si>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</si>
  <si>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</si>
  <si>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</si>
  <si>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</si>
  <si>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</si>
  <si>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</si>
  <si>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</si>
  <si>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</si>
  <si>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</si>
  <si>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</si>
  <si>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</si>
  <si>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</si>
  <si>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</si>
  <si>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</si>
  <si>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</si>
  <si>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</si>
  <si>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</si>
  <si>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</si>
  <si>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</si>
  <si>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</si>
  <si>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</si>
  <si>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</si>
  <si>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</si>
  <si>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</si>
  <si>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ESSITY.B-SE</t>
  </si>
  <si>
    <t>STERV-FI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</si>
  <si>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</si>
  <si>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</si>
  <si>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</si>
  <si>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</si>
  <si>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</si>
  <si>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</si>
  <si>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</si>
  <si>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</si>
  <si>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</si>
  <si>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</si>
  <si>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</si>
  <si>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</si>
  <si>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</si>
  <si>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</si>
  <si>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</si>
  <si>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</si>
  <si>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</si>
  <si>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</si>
  <si>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</si>
  <si>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</si>
  <si>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</si>
  <si>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</si>
  <si>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</si>
  <si>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</si>
  <si>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</si>
  <si>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</si>
  <si>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</si>
  <si>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</si>
  <si>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</si>
  <si>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</si>
  <si>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</si>
  <si>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</si>
  <si>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</si>
  <si>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</si>
  <si>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</si>
  <si>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</si>
  <si>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STANDARD CHARTERED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</si>
  <si>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</si>
  <si>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</si>
  <si>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</si>
  <si>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</si>
  <si>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</si>
  <si>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</si>
  <si>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</si>
  <si>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MERLIN PROPERTIES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</si>
  <si>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</si>
  <si>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</si>
  <si>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</si>
  <si>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</si>
  <si>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</si>
  <si>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</si>
  <si>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</si>
  <si>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BQUE CANT. VAUDOISE</t>
  </si>
  <si>
    <t>SVENSKA CELLULOSA B</t>
  </si>
  <si>
    <t>SYMRISE AG</t>
  </si>
  <si>
    <t>STRAUMANN HOLDING AG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</si>
  <si>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</si>
  <si>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</si>
  <si>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</si>
  <si>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</si>
  <si>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</si>
  <si>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</si>
  <si>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</si>
  <si>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</si>
  <si>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</si>
  <si>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</si>
  <si>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</si>
  <si>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</si>
  <si>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</si>
  <si>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RYANAIR HOLD. PLC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</si>
  <si>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</si>
  <si>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</si>
  <si>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</si>
  <si>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</si>
  <si>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</si>
  <si>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</si>
  <si>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</si>
  <si>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</si>
  <si>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</si>
  <si>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</si>
  <si>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</si>
  <si>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</si>
  <si>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</si>
  <si>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</si>
  <si>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</si>
  <si>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</si>
  <si>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</si>
  <si>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</si>
  <si>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</si>
  <si>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</si>
  <si>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</si>
  <si>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</si>
  <si>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</si>
  <si>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</si>
  <si>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</si>
  <si>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</si>
  <si>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</si>
  <si>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</si>
  <si>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ESSITY CLASS B</t>
  </si>
  <si>
    <t>STORA ENSO OYJ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</si>
  <si>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</si>
  <si>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</si>
  <si>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</si>
  <si>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</si>
  <si>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</si>
  <si>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</si>
  <si>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</si>
  <si>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</si>
  <si>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</si>
  <si>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</si>
  <si>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</si>
  <si>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</si>
  <si>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</si>
  <si>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</si>
  <si>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</si>
  <si>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</si>
  <si>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</si>
  <si>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</si>
  <si>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</si>
  <si>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</si>
  <si>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</si>
  <si>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</si>
  <si>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</si>
  <si>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</si>
  <si>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</si>
  <si>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</si>
  <si>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</si>
  <si>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</si>
  <si>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</si>
  <si>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</si>
  <si>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</si>
  <si>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</si>
  <si>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</si>
  <si>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</si>
  <si>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</si>
  <si>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</si>
  <si>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GB0004082847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</si>
  <si>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</si>
  <si>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</si>
  <si>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</si>
  <si>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</si>
  <si>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</si>
  <si>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</si>
  <si>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</si>
  <si>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ES0105025003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</si>
  <si>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</si>
  <si>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</si>
  <si>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</si>
  <si>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</si>
  <si>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</si>
  <si>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</si>
  <si>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</si>
  <si>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CH0531751755</t>
  </si>
  <si>
    <t>SE0000112724</t>
  </si>
  <si>
    <t>DE000SYM9999</t>
  </si>
  <si>
    <t>CH1175448666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</si>
  <si>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</si>
  <si>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</si>
  <si>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</si>
  <si>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</si>
  <si>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</si>
  <si>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</si>
  <si>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</si>
  <si>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</si>
  <si>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</si>
  <si>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</si>
  <si>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</si>
  <si>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</si>
  <si>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</si>
  <si>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IE00BYTBXV33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</si>
  <si>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</si>
  <si>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</si>
  <si>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</si>
  <si>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</si>
  <si>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</si>
  <si>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</si>
  <si>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</si>
  <si>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</si>
  <si>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</si>
  <si>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</si>
  <si>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</si>
  <si>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</si>
  <si>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</si>
  <si>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</si>
  <si>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</si>
  <si>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</si>
  <si>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</si>
  <si>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</si>
  <si>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</si>
  <si>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</si>
  <si>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</si>
  <si>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</si>
  <si>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</si>
  <si>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</si>
  <si>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</si>
  <si>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</si>
  <si>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</si>
  <si>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</si>
  <si>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SE0009922164</t>
  </si>
  <si>
    <t>FI0009005961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</si>
  <si>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</si>
  <si>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</si>
  <si>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</si>
  <si>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</si>
  <si>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</si>
  <si>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</si>
  <si>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</si>
  <si>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</si>
  <si>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</si>
  <si>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</si>
  <si>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</si>
  <si>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</si>
  <si>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</si>
  <si>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</si>
  <si>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</si>
  <si>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</si>
  <si>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</si>
  <si>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</si>
  <si>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</si>
  <si>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</si>
  <si>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</si>
  <si>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</si>
  <si>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</si>
  <si>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</si>
  <si>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</si>
  <si>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</si>
  <si>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</si>
  <si>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</si>
  <si>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</si>
  <si>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</si>
  <si>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</si>
  <si>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</si>
  <si>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</si>
  <si>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</si>
  <si>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</si>
  <si>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</si>
  <si>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</si>
  <si>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</si>
  <si>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</si>
  <si>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</si>
  <si>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</si>
  <si>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</si>
  <si>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</si>
  <si>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</si>
  <si>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</si>
  <si>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</si>
  <si>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</si>
  <si>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</si>
  <si>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</si>
  <si>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</si>
  <si>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</si>
  <si>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</si>
  <si>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</si>
  <si>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</si>
  <si>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</si>
  <si>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</si>
  <si>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</si>
  <si>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</si>
  <si>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</si>
  <si>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</si>
  <si>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</si>
  <si>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</si>
  <si>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</si>
  <si>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</si>
  <si>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</si>
  <si>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</si>
  <si>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</si>
  <si>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</si>
  <si>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</si>
  <si>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</si>
  <si>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</si>
  <si>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</si>
  <si>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</si>
  <si>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</si>
  <si>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</si>
  <si>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</si>
  <si>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</si>
  <si>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</si>
  <si>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</si>
  <si>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AAK-SE</t>
  </si>
  <si>
    <t>ABN-NL</t>
  </si>
  <si>
    <t>ABDN-GB</t>
  </si>
  <si>
    <t>AC-FR</t>
  </si>
  <si>
    <t>ADS-DE</t>
  </si>
  <si>
    <t>ADP-FR</t>
  </si>
  <si>
    <t>AED-BE</t>
  </si>
  <si>
    <t>AGN-NL</t>
  </si>
  <si>
    <t>AENA-ES</t>
  </si>
  <si>
    <t>AGS-BE</t>
  </si>
  <si>
    <t>ALC-CH</t>
  </si>
  <si>
    <t>ALV-DE</t>
  </si>
  <si>
    <t>ALLN-CH</t>
  </si>
  <si>
    <t>AMP-IT</t>
  </si>
  <si>
    <t>AMUN-FR</t>
  </si>
  <si>
    <t>ANTO-GB</t>
  </si>
  <si>
    <t>ARGX-BE</t>
  </si>
  <si>
    <t>ASML-NL</t>
  </si>
  <si>
    <t>ASRNL-NL</t>
  </si>
  <si>
    <t>ABF-GB</t>
  </si>
  <si>
    <t>AZA-SE</t>
  </si>
  <si>
    <t>AV-GB</t>
  </si>
  <si>
    <t>BCP-PT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</si>
  <si>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</si>
  <si>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</si>
  <si>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</si>
  <si>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</si>
  <si>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</si>
  <si>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</si>
  <si>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</si>
  <si>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</si>
  <si>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BG-AT</t>
  </si>
  <si>
    <t>BAYN-DE</t>
  </si>
  <si>
    <t>BBVA-ES</t>
  </si>
  <si>
    <t>BPSO-IT</t>
  </si>
  <si>
    <t>BESI-NL</t>
  </si>
  <si>
    <t>BEAN-CH</t>
  </si>
  <si>
    <t>BKG-GB</t>
  </si>
  <si>
    <t>BIM-FR</t>
  </si>
  <si>
    <t>BOL-SE</t>
  </si>
  <si>
    <t>BPE-IT</t>
  </si>
  <si>
    <t>BLND-GB</t>
  </si>
  <si>
    <t>BC-IT</t>
  </si>
  <si>
    <t>BT.A-GB</t>
  </si>
  <si>
    <t>BRBY-GB</t>
  </si>
  <si>
    <t>BUR-GB</t>
  </si>
  <si>
    <t>CABK-ES</t>
  </si>
  <si>
    <t>CPR-IT</t>
  </si>
  <si>
    <t>CARL.B-DK</t>
  </si>
  <si>
    <t>CLNX-ES</t>
  </si>
  <si>
    <t>CMBN-CH</t>
  </si>
  <si>
    <t>COLO.B-DK</t>
  </si>
  <si>
    <t>CPG-GB</t>
  </si>
  <si>
    <t>1COV-DE</t>
  </si>
  <si>
    <t>CWK-GB</t>
  </si>
  <si>
    <t>CRDA-GB</t>
  </si>
  <si>
    <t>CVC-NL</t>
  </si>
  <si>
    <t>DTG-DE</t>
  </si>
  <si>
    <t>DANSKE-DK</t>
  </si>
  <si>
    <t>DEMANT-DK</t>
  </si>
  <si>
    <t>DBK-DE</t>
  </si>
  <si>
    <t>DHL-DE</t>
  </si>
  <si>
    <t>DTE-DE</t>
  </si>
  <si>
    <t>DLG-GB</t>
  </si>
  <si>
    <t>DNB-NO</t>
  </si>
  <si>
    <t>DSFIR-NL</t>
  </si>
  <si>
    <t>DSV-DK</t>
  </si>
  <si>
    <t>EZJ-GB</t>
  </si>
  <si>
    <t>EDEN-FR</t>
  </si>
  <si>
    <t>ELISA-FI</t>
  </si>
  <si>
    <t>ENT-GB</t>
  </si>
  <si>
    <t>EQT-SE</t>
  </si>
  <si>
    <t>ERIC.B-SE</t>
  </si>
  <si>
    <t>EBS-AT</t>
  </si>
  <si>
    <t>EL-FR</t>
  </si>
  <si>
    <t>RF-FR</t>
  </si>
  <si>
    <t>ERF-FR</t>
  </si>
  <si>
    <t>EVO-SE</t>
  </si>
  <si>
    <t>FDJ-FR</t>
  </si>
  <si>
    <t>RACE-IT</t>
  </si>
  <si>
    <t>FBK-IT</t>
  </si>
  <si>
    <t>FHZN-CH</t>
  </si>
  <si>
    <t>FME-DE</t>
  </si>
  <si>
    <t>FRE-DE</t>
  </si>
  <si>
    <t>GALE-CH</t>
  </si>
  <si>
    <t>G1A-DE</t>
  </si>
  <si>
    <t>GEBN-CH</t>
  </si>
  <si>
    <t>GMAB-DK</t>
  </si>
  <si>
    <t>GETI.B-SE</t>
  </si>
  <si>
    <t>GJF-NO</t>
  </si>
  <si>
    <t>HLN-GB</t>
  </si>
  <si>
    <t>HNR1-DE</t>
  </si>
  <si>
    <t>HEIA-NL</t>
  </si>
  <si>
    <t>HEN3-DE</t>
  </si>
  <si>
    <t>HM.B-SE</t>
  </si>
  <si>
    <t>RMS-FR</t>
  </si>
  <si>
    <t>HEXA.B-SE</t>
  </si>
  <si>
    <t>HIK-GB</t>
  </si>
  <si>
    <t>HSBA-GB</t>
  </si>
  <si>
    <t>IMCD-NL</t>
  </si>
  <si>
    <t>ITX-ES</t>
  </si>
  <si>
    <t>INDT-SE</t>
  </si>
  <si>
    <t>IFX-DE</t>
  </si>
  <si>
    <t>INF-GB</t>
  </si>
  <si>
    <t>INGA-NL</t>
  </si>
  <si>
    <t>IHG-GB</t>
  </si>
  <si>
    <t>IAG-GB</t>
  </si>
  <si>
    <t>INVP-GB</t>
  </si>
  <si>
    <t>INVE.B-SE</t>
  </si>
  <si>
    <t>INW-IT</t>
  </si>
  <si>
    <t>IPN-FR</t>
  </si>
  <si>
    <t>ISS-DK</t>
  </si>
  <si>
    <t>ITV-GB</t>
  </si>
  <si>
    <t>JYSK-DK</t>
  </si>
  <si>
    <t>KER-FR</t>
  </si>
  <si>
    <t>KRZ-IE</t>
  </si>
  <si>
    <t>KESKOB-FI</t>
  </si>
  <si>
    <t>LI-FR</t>
  </si>
  <si>
    <t>KPN-NL</t>
  </si>
  <si>
    <t>LEG-DE</t>
  </si>
  <si>
    <t>LIFCO.B-SE</t>
  </si>
  <si>
    <t>LISP-CH</t>
  </si>
  <si>
    <t>LLOY-GB</t>
  </si>
  <si>
    <t>LOGN-CH</t>
  </si>
  <si>
    <t>MC-FR</t>
  </si>
  <si>
    <t>MNG-GB</t>
  </si>
  <si>
    <t>EMG-GB</t>
  </si>
  <si>
    <t>MKS-GB</t>
  </si>
  <si>
    <t>MB-IT</t>
  </si>
  <si>
    <t>MBG-DE</t>
  </si>
  <si>
    <t>MRK-DE</t>
  </si>
  <si>
    <t>MONC-IT</t>
  </si>
  <si>
    <t>MOWI-NO</t>
  </si>
  <si>
    <t>MUV2-DE</t>
  </si>
  <si>
    <t>MYCR-SE</t>
  </si>
  <si>
    <t>NIBE.B-SE</t>
  </si>
  <si>
    <t>NN-NL</t>
  </si>
  <si>
    <t>NOKIA-FI</t>
  </si>
  <si>
    <t>NDA.FI-FI</t>
  </si>
  <si>
    <t>SAVE-SE</t>
  </si>
  <si>
    <t>NOVO.B-DK</t>
  </si>
  <si>
    <t>PNDORA-DK</t>
  </si>
  <si>
    <t>PSON-GB</t>
  </si>
  <si>
    <t>RI-FR</t>
  </si>
  <si>
    <t>PHIA-NL</t>
  </si>
  <si>
    <t>PHNX-GB</t>
  </si>
  <si>
    <t>P911-DE</t>
  </si>
  <si>
    <t>PST-IT</t>
  </si>
  <si>
    <t>PRX-NL</t>
  </si>
  <si>
    <t>PUB-FR</t>
  </si>
  <si>
    <t>PUM-DE</t>
  </si>
  <si>
    <t>QIA-DE</t>
  </si>
  <si>
    <t>RBI-AT</t>
  </si>
  <si>
    <t>RAND-NL</t>
  </si>
  <si>
    <t>RKT-GB</t>
  </si>
  <si>
    <t>REC-IT</t>
  </si>
  <si>
    <t>RTO-GB</t>
  </si>
  <si>
    <t>RMV-GB</t>
  </si>
  <si>
    <t>RILBA-DK</t>
  </si>
  <si>
    <t>ROG-CH</t>
  </si>
  <si>
    <t>RBREW-DK</t>
  </si>
  <si>
    <t>SALM-NO</t>
  </si>
  <si>
    <t>SAMPO-FI</t>
  </si>
  <si>
    <t>SDZ-CH</t>
  </si>
  <si>
    <t>SAP-DE</t>
  </si>
  <si>
    <t>SRT3-DE</t>
  </si>
  <si>
    <t>DIM-FR</t>
  </si>
  <si>
    <t>SCHP-CH</t>
  </si>
  <si>
    <t>SCR-FR</t>
  </si>
  <si>
    <t>G24-DE</t>
  </si>
  <si>
    <t>SECT.B-SE</t>
  </si>
  <si>
    <t>SECU.B-SE</t>
  </si>
  <si>
    <t>SGRO-GB</t>
  </si>
  <si>
    <t>SFSN-CH</t>
  </si>
  <si>
    <t>SFZN-CH</t>
  </si>
  <si>
    <t>SHL-DE</t>
  </si>
  <si>
    <t>SIGN-CH</t>
  </si>
  <si>
    <t>SEB.A-SE</t>
  </si>
  <si>
    <t>SN-GB</t>
  </si>
  <si>
    <t>SOF-BE</t>
  </si>
  <si>
    <t>SB1NO-NO</t>
  </si>
  <si>
    <t>SXS-GB</t>
  </si>
  <si>
    <t>STJ-GB</t>
  </si>
  <si>
    <t>STLAM-IT</t>
  </si>
  <si>
    <t>STMPA-FR</t>
  </si>
  <si>
    <t>SUNN-CH</t>
  </si>
  <si>
    <t>SHB.A-SE</t>
  </si>
  <si>
    <t>SWED.A-SE</t>
  </si>
  <si>
    <t>SOBI-SE</t>
  </si>
  <si>
    <t>SLHN-CH</t>
  </si>
  <si>
    <t>SPSN-CH</t>
  </si>
  <si>
    <t>SREN-CH</t>
  </si>
  <si>
    <t>SCMN-CH</t>
  </si>
  <si>
    <t>SYDB-DK</t>
  </si>
  <si>
    <t>TLX-DE</t>
  </si>
  <si>
    <t>TEL2.B-SE</t>
  </si>
  <si>
    <t>TKA-AT</t>
  </si>
  <si>
    <t>TEP-FR</t>
  </si>
  <si>
    <t>TELIA-SE</t>
  </si>
  <si>
    <t>TEMN-CH</t>
  </si>
  <si>
    <t>THULE-SE</t>
  </si>
  <si>
    <t>BBOX-GB</t>
  </si>
  <si>
    <t>TRYG-DK</t>
  </si>
  <si>
    <t>UBSG-CH</t>
  </si>
  <si>
    <t>UMG-NL</t>
  </si>
  <si>
    <t>UNA-NL</t>
  </si>
  <si>
    <t>UNI-IT</t>
  </si>
  <si>
    <t>UTG-GB</t>
  </si>
  <si>
    <t>VACN-CH</t>
  </si>
  <si>
    <t>VOLV.B-SE</t>
  </si>
  <si>
    <t>VNA-DE</t>
  </si>
  <si>
    <t>WDP-BE</t>
  </si>
  <si>
    <t>WTB-GB</t>
  </si>
  <si>
    <t>YAR-NO</t>
  </si>
  <si>
    <t>ZAL-DE</t>
  </si>
  <si>
    <t>ZEAL-DK</t>
  </si>
  <si>
    <t>AAK AB</t>
  </si>
  <si>
    <t>ABN AMRO BANK N.V.</t>
  </si>
  <si>
    <t>ABRDN</t>
  </si>
  <si>
    <t>ACCOR</t>
  </si>
  <si>
    <t>ADIDAS AG</t>
  </si>
  <si>
    <t>ADP</t>
  </si>
  <si>
    <t>AEDIFICA</t>
  </si>
  <si>
    <t>AEGON</t>
  </si>
  <si>
    <t>AENA SME</t>
  </si>
  <si>
    <t>AGEAS</t>
  </si>
  <si>
    <t>ALCON</t>
  </si>
  <si>
    <t>ALLIANZ SE</t>
  </si>
  <si>
    <t>ALLREAL HOLDING</t>
  </si>
  <si>
    <t>AMPLIFON</t>
  </si>
  <si>
    <t>AMUNDI</t>
  </si>
  <si>
    <t>ANTOFAGASTA PLC</t>
  </si>
  <si>
    <t>ARGENX SE</t>
  </si>
  <si>
    <t>ASML HOLDING</t>
  </si>
  <si>
    <t>ASR NEDERLAND</t>
  </si>
  <si>
    <t>ASSOC. BRITISH FOODS</t>
  </si>
  <si>
    <t>AVANZA BANK HLDNG AB</t>
  </si>
  <si>
    <t>AVIVA</t>
  </si>
  <si>
    <t>B.COM.PORTUGUES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</si>
  <si>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</si>
  <si>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</si>
  <si>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</si>
  <si>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</si>
  <si>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</si>
  <si>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</si>
  <si>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</si>
  <si>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</si>
  <si>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BAWAG GROUP AG</t>
  </si>
  <si>
    <t>BAYER AG</t>
  </si>
  <si>
    <t>BBVA</t>
  </si>
  <si>
    <t>BCA POP SONDRIO</t>
  </si>
  <si>
    <t>BE SEMICONDUCTOR</t>
  </si>
  <si>
    <t>BELIMO HOLDING AG</t>
  </si>
  <si>
    <t>BERKELEY GROUP HLD</t>
  </si>
  <si>
    <t>BIOMERIEUX</t>
  </si>
  <si>
    <t>BOLIDEN AB</t>
  </si>
  <si>
    <t>BPER BANCA</t>
  </si>
  <si>
    <t>BRITISH LAND</t>
  </si>
  <si>
    <t>BRUNELLO CUCINELLI</t>
  </si>
  <si>
    <t>BT GROUP PLC</t>
  </si>
  <si>
    <t>BURBERRY GROUP</t>
  </si>
  <si>
    <t>BURFORD CAPITAL LTD</t>
  </si>
  <si>
    <t>CAIXABANK</t>
  </si>
  <si>
    <t>CAMPARI</t>
  </si>
  <si>
    <t>CARLSBERG A/S CL. B</t>
  </si>
  <si>
    <t>CELLNEX TELECOM</t>
  </si>
  <si>
    <t>CEMBRA MONEY BANK AG</t>
  </si>
  <si>
    <t>COLOPLAST</t>
  </si>
  <si>
    <t>COMPASS GROUP PLC</t>
  </si>
  <si>
    <t>COVESTRO AG</t>
  </si>
  <si>
    <t>CRANSWICK PLC</t>
  </si>
  <si>
    <t>CRODA INTERNATIONAL</t>
  </si>
  <si>
    <t>CVC CAPITAL</t>
  </si>
  <si>
    <t>DAIMLER TRUCK HLDNG</t>
  </si>
  <si>
    <t>DANSKE BANK A/S</t>
  </si>
  <si>
    <t>DEMANT</t>
  </si>
  <si>
    <t>DEUTSCHE BANK</t>
  </si>
  <si>
    <t>DEUTSCHE POST</t>
  </si>
  <si>
    <t>DEUTSCHE TELEKOM AG</t>
  </si>
  <si>
    <t>DIRECT LINE INSURANC</t>
  </si>
  <si>
    <t>DNB BANK</t>
  </si>
  <si>
    <t>DSM FIRMENICH AG</t>
  </si>
  <si>
    <t>DSV A/S</t>
  </si>
  <si>
    <t>EASYJET</t>
  </si>
  <si>
    <t>EDENRED</t>
  </si>
  <si>
    <t>ELISA OYJ</t>
  </si>
  <si>
    <t>ENTAIN PLC</t>
  </si>
  <si>
    <t>EQT AB</t>
  </si>
  <si>
    <t>ERICSSON B</t>
  </si>
  <si>
    <t>ERSTE GROUP BANK</t>
  </si>
  <si>
    <t>ESSILORLUXOTTICA</t>
  </si>
  <si>
    <t>EURAZEO</t>
  </si>
  <si>
    <t>EUROFINS SCIENT.</t>
  </si>
  <si>
    <t>EVOLUTION AB</t>
  </si>
  <si>
    <t>FDJ</t>
  </si>
  <si>
    <t>FERRARI</t>
  </si>
  <si>
    <t>FINECOBANK</t>
  </si>
  <si>
    <t>FLUGHAFEN ZURICH AG</t>
  </si>
  <si>
    <t>FRESENIUS MEDICAL</t>
  </si>
  <si>
    <t>FRESENIUS SE &amp; CO</t>
  </si>
  <si>
    <t>GALENICA AG</t>
  </si>
  <si>
    <t>GEA GROUP AG</t>
  </si>
  <si>
    <t>GEBERIT AG REG.</t>
  </si>
  <si>
    <t>GENMAB A/S</t>
  </si>
  <si>
    <t>GETINGE B</t>
  </si>
  <si>
    <t>GJENSIDIGE FORSIKR</t>
  </si>
  <si>
    <t>HALEON</t>
  </si>
  <si>
    <t>HANNOVER RUECK SE</t>
  </si>
  <si>
    <t>HEINEKEN</t>
  </si>
  <si>
    <t>HENKEL AG &amp; CO PREF</t>
  </si>
  <si>
    <t>HENNES &amp; MAURITZ AB</t>
  </si>
  <si>
    <t>HERMES INTL</t>
  </si>
  <si>
    <t>HEXAGON AB-B</t>
  </si>
  <si>
    <t>HIKMA PHARMACEUTICAL</t>
  </si>
  <si>
    <t>HSBC HOLDINGS PLC</t>
  </si>
  <si>
    <t>IMCD</t>
  </si>
  <si>
    <t>INDITEX</t>
  </si>
  <si>
    <t>INDUTRADE AB</t>
  </si>
  <si>
    <t>INFINEON TECHNOLOGIE</t>
  </si>
  <si>
    <t>INFORMA</t>
  </si>
  <si>
    <t>ING GROEP N.V.</t>
  </si>
  <si>
    <t>INTERCONTINENTAL HTL</t>
  </si>
  <si>
    <t>INTL CONS AIRLINES</t>
  </si>
  <si>
    <t>INVESTEC PLC</t>
  </si>
  <si>
    <t>INVESTOR AB CLASS B</t>
  </si>
  <si>
    <t>INWIT</t>
  </si>
  <si>
    <t>IPSEN</t>
  </si>
  <si>
    <t>ISS A/S</t>
  </si>
  <si>
    <t>ITV</t>
  </si>
  <si>
    <t>JYSKE BANK A/S</t>
  </si>
  <si>
    <t>KERING</t>
  </si>
  <si>
    <t>KERRY GROUP PLC</t>
  </si>
  <si>
    <t>KESKO B</t>
  </si>
  <si>
    <t>KLEPIERRE</t>
  </si>
  <si>
    <t>KPN KON</t>
  </si>
  <si>
    <t>LEG IMMOBILIEN SE</t>
  </si>
  <si>
    <t>LIFCO AB CLASS B</t>
  </si>
  <si>
    <t>LINDT &amp; SPRUENGLI PT</t>
  </si>
  <si>
    <t>LLOYDS BANKING GROUP</t>
  </si>
  <si>
    <t>LOGITECH INTL SA</t>
  </si>
  <si>
    <t>LVMH</t>
  </si>
  <si>
    <t>M&amp;G PLC</t>
  </si>
  <si>
    <t>MAN GROUP PLC</t>
  </si>
  <si>
    <t>MARKS AND SPENCER</t>
  </si>
  <si>
    <t>MEDIOBANCA</t>
  </si>
  <si>
    <t>MERCEDES-BENZ GROUP</t>
  </si>
  <si>
    <t>MERCK KGA</t>
  </si>
  <si>
    <t>MONCLER</t>
  </si>
  <si>
    <t>MOWI</t>
  </si>
  <si>
    <t>MUNICH RE</t>
  </si>
  <si>
    <t>MYCRONIC AB</t>
  </si>
  <si>
    <t>NIBE INDUSTRIER AB</t>
  </si>
  <si>
    <t>NN GROUP</t>
  </si>
  <si>
    <t>NOKIA</t>
  </si>
  <si>
    <t>NORDEA BANK ABP</t>
  </si>
  <si>
    <t>NORDNET AB</t>
  </si>
  <si>
    <t>NOVO NORDISK A/S</t>
  </si>
  <si>
    <t>PANDORA A/S</t>
  </si>
  <si>
    <t>PEARSON</t>
  </si>
  <si>
    <t>PERNOD RICARD</t>
  </si>
  <si>
    <t>PHILIPS KON</t>
  </si>
  <si>
    <t>PHOENIX GROUP</t>
  </si>
  <si>
    <t>PORSCHE AG</t>
  </si>
  <si>
    <t>POSTE ITALIANE</t>
  </si>
  <si>
    <t>PROSUS</t>
  </si>
  <si>
    <t>PUBLICIS GROUPE SA</t>
  </si>
  <si>
    <t>PUMA</t>
  </si>
  <si>
    <t>QIAGEN NV</t>
  </si>
  <si>
    <t>RAIFFEISEN BANK INTL</t>
  </si>
  <si>
    <t>RANDSTAD NV</t>
  </si>
  <si>
    <t>RECKITT BENCKISER GR</t>
  </si>
  <si>
    <t>RECORDATI ORD</t>
  </si>
  <si>
    <t>RENTOKIL INITIAL PLC</t>
  </si>
  <si>
    <t>RIGHTMOVE PLC</t>
  </si>
  <si>
    <t>RINGKJOEBING LANDBO.</t>
  </si>
  <si>
    <t>ROCHE HOLDING AG</t>
  </si>
  <si>
    <t>ROYAL UNIBREW A/S</t>
  </si>
  <si>
    <t>SALMAR</t>
  </si>
  <si>
    <t>SAMPO OYJ</t>
  </si>
  <si>
    <t>SANDOZ GROUP AG</t>
  </si>
  <si>
    <t>SAP</t>
  </si>
  <si>
    <t>SARTORIUS AG PREF</t>
  </si>
  <si>
    <t>SARTORIUS STED BIO</t>
  </si>
  <si>
    <t>SCHINDLER HLDG AG</t>
  </si>
  <si>
    <t>SCOR SE</t>
  </si>
  <si>
    <t>SCOUT24 SE</t>
  </si>
  <si>
    <t>SECTRA AB CLASS B</t>
  </si>
  <si>
    <t>SECURITAS AB</t>
  </si>
  <si>
    <t>SEGRO</t>
  </si>
  <si>
    <t>SFS GROUP AG</t>
  </si>
  <si>
    <t>SIEGFRIED HOLDING AG</t>
  </si>
  <si>
    <t>SIEMENS HEALTHINEERS</t>
  </si>
  <si>
    <t>SIG GROUP AG</t>
  </si>
  <si>
    <t>SKAN ENSKILDA BANK</t>
  </si>
  <si>
    <t>SMITH AND NEPHEW</t>
  </si>
  <si>
    <t>SOFINA</t>
  </si>
  <si>
    <t>SPAREBANK 1 SOeR-N</t>
  </si>
  <si>
    <t>SPECTRIS PLC</t>
  </si>
  <si>
    <t>ST JAMES'S PLACE</t>
  </si>
  <si>
    <t>STELLANTIS</t>
  </si>
  <si>
    <t>STMICROELECTRONICS</t>
  </si>
  <si>
    <t>Sunrise Communications AG Class A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</si>
  <si>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</si>
  <si>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</si>
  <si>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</si>
  <si>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</si>
  <si>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</si>
  <si>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</si>
  <si>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</si>
  <si>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SYDBANK A/S</t>
  </si>
  <si>
    <t>TALANX AG</t>
  </si>
  <si>
    <t>TELE2 AB CLASS B</t>
  </si>
  <si>
    <t>TELEKOM AUSTRIA AG</t>
  </si>
  <si>
    <t>TELEPERFORMANCE</t>
  </si>
  <si>
    <t>TELIA COMPANY</t>
  </si>
  <si>
    <t>TEMENOS AG</t>
  </si>
  <si>
    <t>THULE GROUP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</si>
  <si>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</si>
  <si>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</si>
  <si>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</si>
  <si>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</si>
  <si>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</si>
  <si>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</si>
  <si>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</si>
  <si>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VAT GROUP AG</t>
  </si>
  <si>
    <t>VOLVO AB</t>
  </si>
  <si>
    <t>VONOVIA SE</t>
  </si>
  <si>
    <t>WDP</t>
  </si>
  <si>
    <t>WHITBREAD</t>
  </si>
  <si>
    <t>YARA INTERNATIONAL</t>
  </si>
  <si>
    <t>ZALANDO SE</t>
  </si>
  <si>
    <t>ZEALAND PHARMA A/S</t>
  </si>
  <si>
    <t>SE0011337708</t>
  </si>
  <si>
    <t>NL0011540547</t>
  </si>
  <si>
    <t>GB00BF8Q6K64</t>
  </si>
  <si>
    <t>FR0000120404</t>
  </si>
  <si>
    <t>DE000A1EWWW0</t>
  </si>
  <si>
    <t>FR0010340141</t>
  </si>
  <si>
    <t>BE0003851681</t>
  </si>
  <si>
    <t>BMG0112X1056</t>
  </si>
  <si>
    <t>ES0105046009</t>
  </si>
  <si>
    <t>BE0974264930</t>
  </si>
  <si>
    <t>CH0432492467</t>
  </si>
  <si>
    <t>DE0008404005</t>
  </si>
  <si>
    <t>CH0008837566</t>
  </si>
  <si>
    <t>IT0004056880</t>
  </si>
  <si>
    <t>FR0004125920</t>
  </si>
  <si>
    <t>GB0000456144</t>
  </si>
  <si>
    <t>NL0010832176</t>
  </si>
  <si>
    <t>NL0010273215</t>
  </si>
  <si>
    <t>NL0011872643</t>
  </si>
  <si>
    <t>GB0006731235</t>
  </si>
  <si>
    <t>SE0012454072</t>
  </si>
  <si>
    <t>GB00BPQY8M80</t>
  </si>
  <si>
    <t>PTBCP0AM0015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</si>
  <si>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</si>
  <si>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</si>
  <si>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</si>
  <si>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</si>
  <si>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</si>
  <si>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</si>
  <si>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</si>
  <si>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</si>
  <si>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AT0000BAWAG2</t>
  </si>
  <si>
    <t>DE000BAY0017</t>
  </si>
  <si>
    <t>ES0113211835</t>
  </si>
  <si>
    <t>IT0000784196</t>
  </si>
  <si>
    <t>NL0012866412</t>
  </si>
  <si>
    <t>CH1101098163</t>
  </si>
  <si>
    <t>GB00BP0RGD03</t>
  </si>
  <si>
    <t>FR0013280286</t>
  </si>
  <si>
    <t>SE0020050417</t>
  </si>
  <si>
    <t>IT0000066123</t>
  </si>
  <si>
    <t>GB0001367019</t>
  </si>
  <si>
    <t>IT0004764699</t>
  </si>
  <si>
    <t>GB0030913577</t>
  </si>
  <si>
    <t>GB0031743007</t>
  </si>
  <si>
    <t>GG00BMGYLN96</t>
  </si>
  <si>
    <t>ES0140609019</t>
  </si>
  <si>
    <t>NL0015435975</t>
  </si>
  <si>
    <t>DK0010181759</t>
  </si>
  <si>
    <t>ES0105066007</t>
  </si>
  <si>
    <t>CH0225173167</t>
  </si>
  <si>
    <t>DK0060448595</t>
  </si>
  <si>
    <t>GB00BD6K4575</t>
  </si>
  <si>
    <t>DE000A40KY26</t>
  </si>
  <si>
    <t>GB0002318888</t>
  </si>
  <si>
    <t>GB00BJFFLV09</t>
  </si>
  <si>
    <t>JE00BRX98089</t>
  </si>
  <si>
    <t>DE000DTR0CK8</t>
  </si>
  <si>
    <t>DK0010274414</t>
  </si>
  <si>
    <t>DK0060738599</t>
  </si>
  <si>
    <t>DE0005140008</t>
  </si>
  <si>
    <t>DE0005552004</t>
  </si>
  <si>
    <t>DE0005557508</t>
  </si>
  <si>
    <t>GB00BY9D0Y18</t>
  </si>
  <si>
    <t>NO0010161896</t>
  </si>
  <si>
    <t>CH1216478797</t>
  </si>
  <si>
    <t>DK0060079531</t>
  </si>
  <si>
    <t>GB00B7KR2P84</t>
  </si>
  <si>
    <t>FR0010908533</t>
  </si>
  <si>
    <t>FI0009007884</t>
  </si>
  <si>
    <t>IM00B5VQMV65</t>
  </si>
  <si>
    <t>SE0012853455</t>
  </si>
  <si>
    <t>SE0000108656</t>
  </si>
  <si>
    <t>AT0000652011</t>
  </si>
  <si>
    <t>FR0000121667</t>
  </si>
  <si>
    <t>FR0000121121</t>
  </si>
  <si>
    <t>FR0014000MR3</t>
  </si>
  <si>
    <t>SE0012673267</t>
  </si>
  <si>
    <t>FR0013451333</t>
  </si>
  <si>
    <t>NL0011585146</t>
  </si>
  <si>
    <t>IT0000072170</t>
  </si>
  <si>
    <t>CH0319416936</t>
  </si>
  <si>
    <t>DE0005785802</t>
  </si>
  <si>
    <t>DE0005785604</t>
  </si>
  <si>
    <t>CH0360674466</t>
  </si>
  <si>
    <t>DE0006602006</t>
  </si>
  <si>
    <t>CH0030170408</t>
  </si>
  <si>
    <t>DK0010272202</t>
  </si>
  <si>
    <t>SE0000202624</t>
  </si>
  <si>
    <t>NO0010582521</t>
  </si>
  <si>
    <t>GB00BMX86B70</t>
  </si>
  <si>
    <t>DE0008402215</t>
  </si>
  <si>
    <t>NL0000009165</t>
  </si>
  <si>
    <t>DE0006048432</t>
  </si>
  <si>
    <t>SE0000106270</t>
  </si>
  <si>
    <t>FR0000052292</t>
  </si>
  <si>
    <t>SE0015961909</t>
  </si>
  <si>
    <t>GB00B0LCW083</t>
  </si>
  <si>
    <t>GB0005405286</t>
  </si>
  <si>
    <t>NL0010801007</t>
  </si>
  <si>
    <t>ES0148396007</t>
  </si>
  <si>
    <t>SE0001515552</t>
  </si>
  <si>
    <t>DE0006231004</t>
  </si>
  <si>
    <t>GB00BMJ6DW54</t>
  </si>
  <si>
    <t>NL0011821202</t>
  </si>
  <si>
    <t>GB00BHJYC057</t>
  </si>
  <si>
    <t>ES0177542018</t>
  </si>
  <si>
    <t>GB00B17BBQ50</t>
  </si>
  <si>
    <t>SE0015811963</t>
  </si>
  <si>
    <t>IT0005090300</t>
  </si>
  <si>
    <t>FR0010259150</t>
  </si>
  <si>
    <t>DK0060542181</t>
  </si>
  <si>
    <t>GB0033986497</t>
  </si>
  <si>
    <t>DK0010307958</t>
  </si>
  <si>
    <t>FR0000121485</t>
  </si>
  <si>
    <t>IE0004906560</t>
  </si>
  <si>
    <t>FI0009000202</t>
  </si>
  <si>
    <t>FR0000121964</t>
  </si>
  <si>
    <t>NL0000009082</t>
  </si>
  <si>
    <t>DE000LEG1110</t>
  </si>
  <si>
    <t>SE0015949201</t>
  </si>
  <si>
    <t>CH0010570767</t>
  </si>
  <si>
    <t>GB0008706128</t>
  </si>
  <si>
    <t>CH0025751329</t>
  </si>
  <si>
    <t>FR0000121014</t>
  </si>
  <si>
    <t>GB00BKFB1C65</t>
  </si>
  <si>
    <t>JE00BJ1DLW90</t>
  </si>
  <si>
    <t>GB0031274896</t>
  </si>
  <si>
    <t>IT0000062957</t>
  </si>
  <si>
    <t>DE0007100000</t>
  </si>
  <si>
    <t>DE0006599905</t>
  </si>
  <si>
    <t>IT0004965148</t>
  </si>
  <si>
    <t>NO0003054108</t>
  </si>
  <si>
    <t>DE0008430026</t>
  </si>
  <si>
    <t>SE0000375115</t>
  </si>
  <si>
    <t>SE0015988019</t>
  </si>
  <si>
    <t>NL0010773842</t>
  </si>
  <si>
    <t>FI0009000681</t>
  </si>
  <si>
    <t>FI4000297767</t>
  </si>
  <si>
    <t>SE0015192067</t>
  </si>
  <si>
    <t>DK0062498333</t>
  </si>
  <si>
    <t>DK0060252690</t>
  </si>
  <si>
    <t>GB0006776081</t>
  </si>
  <si>
    <t>FR0000120693</t>
  </si>
  <si>
    <t>NL0000009538</t>
  </si>
  <si>
    <t>GB00BGXQNP29</t>
  </si>
  <si>
    <t>DE000PAG9113</t>
  </si>
  <si>
    <t>IT0003796171</t>
  </si>
  <si>
    <t>NL0013654783</t>
  </si>
  <si>
    <t>FR0000130577</t>
  </si>
  <si>
    <t>DE0006969603</t>
  </si>
  <si>
    <t>NL0015002CX3</t>
  </si>
  <si>
    <t>AT0000606306</t>
  </si>
  <si>
    <t>NL0000379121</t>
  </si>
  <si>
    <t>GB00B24CGK77</t>
  </si>
  <si>
    <t>IT0003828271</t>
  </si>
  <si>
    <t>GB00B082RF11</t>
  </si>
  <si>
    <t>GB00BGDT3G23</t>
  </si>
  <si>
    <t>DK0060854669</t>
  </si>
  <si>
    <t>CH0012032048</t>
  </si>
  <si>
    <t>DK0060634707</t>
  </si>
  <si>
    <t>NO0010310956</t>
  </si>
  <si>
    <t>FI4000552500</t>
  </si>
  <si>
    <t>CH1243598427</t>
  </si>
  <si>
    <t>DE0007164600</t>
  </si>
  <si>
    <t>DE0007165631</t>
  </si>
  <si>
    <t>FR0013154002</t>
  </si>
  <si>
    <t>CH0024638196</t>
  </si>
  <si>
    <t>FR0010411983</t>
  </si>
  <si>
    <t>DE000A12DM80</t>
  </si>
  <si>
    <t>SE0022419784</t>
  </si>
  <si>
    <t>SE0000163594</t>
  </si>
  <si>
    <t>GB00B5ZN1N88</t>
  </si>
  <si>
    <t>CH0239229302</t>
  </si>
  <si>
    <t>CH0014284498</t>
  </si>
  <si>
    <t>DE000SHL1006</t>
  </si>
  <si>
    <t>CH0435377954</t>
  </si>
  <si>
    <t>SE0000148884</t>
  </si>
  <si>
    <t>GB0009223206</t>
  </si>
  <si>
    <t>BE0003717312</t>
  </si>
  <si>
    <t>NO0010631567</t>
  </si>
  <si>
    <t>GB0003308607</t>
  </si>
  <si>
    <t>GB0007669376</t>
  </si>
  <si>
    <t>NL00150001Q9</t>
  </si>
  <si>
    <t>NL0000226223</t>
  </si>
  <si>
    <t>CH1386220409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</si>
  <si>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</si>
  <si>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</si>
  <si>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</si>
  <si>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</si>
  <si>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</si>
  <si>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</si>
  <si>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</si>
  <si>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DK0010311471</t>
  </si>
  <si>
    <t>DE000TLX1005</t>
  </si>
  <si>
    <t>SE0005190238</t>
  </si>
  <si>
    <t>AT0000720008</t>
  </si>
  <si>
    <t>FR0000051807</t>
  </si>
  <si>
    <t>SE0000667925</t>
  </si>
  <si>
    <t>CH0012453913</t>
  </si>
  <si>
    <t>SE0006422390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</si>
  <si>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</si>
  <si>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</si>
  <si>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</si>
  <si>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</si>
  <si>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</si>
  <si>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</si>
  <si>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</si>
  <si>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CH0311864901</t>
  </si>
  <si>
    <t>SE0000115446</t>
  </si>
  <si>
    <t>DE000A1ML7J1</t>
  </si>
  <si>
    <t>BE0974349814</t>
  </si>
  <si>
    <t>GB00B1KJJ408</t>
  </si>
  <si>
    <t>NO0010208051</t>
  </si>
  <si>
    <t>DE000ZAL1111</t>
  </si>
  <si>
    <t>DK0060257814</t>
  </si>
  <si>
    <t>Score not available</t>
  </si>
  <si>
    <t>Private score</t>
  </si>
  <si>
    <t>B-</t>
  </si>
  <si>
    <t>Not Collected</t>
  </si>
  <si>
    <t>I</t>
  </si>
  <si>
    <t>R</t>
  </si>
  <si>
    <t>Q</t>
  </si>
  <si>
    <t>BM</t>
  </si>
  <si>
    <t>GG</t>
  </si>
  <si>
    <t>IM</t>
  </si>
  <si>
    <t>Count</t>
  </si>
  <si>
    <t>Target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</si>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</sst>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01"/>
  <sheetViews>
    <sheetView tabSelected="1" topLeftCell="CD1" workbookViewId="0">
      <selection activeCell="CQ2" sqref="CQ2"/>
    </sheetView>
  </sheetViews>
  <sheetFormatPr defaultRowHeight="15" x14ac:dyDescent="0.25"/>
  <cols>
    <col min="89" max="89" width="13.42578125" bestFit="1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Q1" s="2" t="s">
        <v>378</v>
      </c>
      <c r="CR1" t="b">
        <f>ISNUMBER(MATCH(CQ1,$D$2:$D$101,0))</f>
        <v>1</v>
      </c>
    </row>
    <row r="2" spans="1:96" x14ac:dyDescent="0.25">
      <c r="A2">
        <v>71</v>
      </c>
      <c r="B2" t="s">
        <v>126</v>
      </c>
      <c r="C2" t="s">
        <v>226</v>
      </c>
      <c r="D2" t="s">
        <v>326</v>
      </c>
      <c r="E2" t="s">
        <v>399</v>
      </c>
      <c r="F2">
        <v>450499200</v>
      </c>
      <c r="G2">
        <v>69.459999999999994</v>
      </c>
      <c r="H2" t="s">
        <v>407</v>
      </c>
      <c r="I2">
        <v>31291674432</v>
      </c>
      <c r="J2" t="s">
        <v>413</v>
      </c>
      <c r="K2">
        <v>42461320.374285698</v>
      </c>
      <c r="L2">
        <v>1</v>
      </c>
      <c r="M2">
        <v>10101010</v>
      </c>
      <c r="O2">
        <v>1.7124185807336301</v>
      </c>
      <c r="P2">
        <v>3.01</v>
      </c>
      <c r="Q2" t="s">
        <v>416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2.5059999999999998</v>
      </c>
      <c r="AR2">
        <v>3.1360000000000001</v>
      </c>
      <c r="AS2" t="s">
        <v>428</v>
      </c>
      <c r="AT2">
        <v>0</v>
      </c>
      <c r="AU2">
        <v>0</v>
      </c>
      <c r="AV2" t="s">
        <v>438</v>
      </c>
      <c r="AW2">
        <v>0</v>
      </c>
      <c r="AX2">
        <v>0</v>
      </c>
      <c r="AY2">
        <v>0</v>
      </c>
      <c r="CC2">
        <v>2.8210000000000002</v>
      </c>
      <c r="CE2" t="s">
        <v>448</v>
      </c>
      <c r="CG2">
        <v>1.7124185807336301</v>
      </c>
      <c r="CH2">
        <v>3.01</v>
      </c>
      <c r="CI2">
        <v>2.3612092903668152</v>
      </c>
      <c r="CJ2">
        <v>-0.18</v>
      </c>
      <c r="CK2">
        <v>2.181209290366815</v>
      </c>
      <c r="CL2">
        <v>1010</v>
      </c>
      <c r="CM2">
        <v>1.0465116279069771E-2</v>
      </c>
      <c r="CN2">
        <v>31291674432</v>
      </c>
      <c r="CQ2" s="2" t="s">
        <v>1045</v>
      </c>
      <c r="CR2" t="b">
        <f t="shared" ref="CR2:CR5" si="0">ISNUMBER(MATCH(CQ2,$D$2:$D$101,0))</f>
        <v>0</v>
      </c>
    </row>
    <row r="3" spans="1:96" x14ac:dyDescent="0.25">
      <c r="A3">
        <v>119</v>
      </c>
      <c r="B3" t="s">
        <v>131</v>
      </c>
      <c r="C3" t="s">
        <v>231</v>
      </c>
      <c r="D3" t="s">
        <v>331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O3">
        <v>1.7486641100579701</v>
      </c>
      <c r="P3">
        <v>3.1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444</v>
      </c>
      <c r="AW3">
        <v>0</v>
      </c>
      <c r="AX3">
        <v>0</v>
      </c>
      <c r="AY3">
        <v>0</v>
      </c>
      <c r="CC3">
        <v>2.8325</v>
      </c>
      <c r="CE3" t="s">
        <v>448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  <c r="CL3">
        <v>1010</v>
      </c>
      <c r="CM3">
        <v>1.0465116279069771E-2</v>
      </c>
      <c r="CN3">
        <v>26702036317.880001</v>
      </c>
      <c r="CQ3" s="2" t="s">
        <v>331</v>
      </c>
      <c r="CR3" t="b">
        <f t="shared" si="0"/>
        <v>1</v>
      </c>
    </row>
    <row r="4" spans="1:96" x14ac:dyDescent="0.25">
      <c r="A4">
        <v>1139</v>
      </c>
      <c r="B4" t="s">
        <v>178</v>
      </c>
      <c r="C4" t="s">
        <v>278</v>
      </c>
      <c r="D4" t="s">
        <v>378</v>
      </c>
      <c r="E4" t="s">
        <v>401</v>
      </c>
      <c r="F4">
        <v>995756840</v>
      </c>
      <c r="G4">
        <v>15.692080000000001</v>
      </c>
      <c r="H4" t="s">
        <v>411</v>
      </c>
      <c r="I4">
        <v>15625495993.8272</v>
      </c>
      <c r="J4" t="s">
        <v>414</v>
      </c>
      <c r="K4">
        <v>29289351.006745402</v>
      </c>
      <c r="L4">
        <v>1</v>
      </c>
      <c r="M4">
        <v>10101015</v>
      </c>
      <c r="O4">
        <v>1.7465783472899099</v>
      </c>
      <c r="P4">
        <v>1.5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2.41</v>
      </c>
      <c r="AR4">
        <v>3.306</v>
      </c>
      <c r="AS4" t="s">
        <v>424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2.8580000000000001</v>
      </c>
      <c r="CE4" t="s">
        <v>448</v>
      </c>
      <c r="CG4">
        <v>1.7465783472899099</v>
      </c>
      <c r="CH4">
        <v>1.5</v>
      </c>
      <c r="CI4">
        <v>1.6232891736449551</v>
      </c>
      <c r="CJ4">
        <v>-0.3</v>
      </c>
      <c r="CK4">
        <v>1.323289173644955</v>
      </c>
      <c r="CL4">
        <v>1010</v>
      </c>
      <c r="CM4">
        <v>1.0465116279069771E-2</v>
      </c>
      <c r="CN4">
        <v>15625495993.8272</v>
      </c>
      <c r="CQ4" s="2" t="s">
        <v>326</v>
      </c>
      <c r="CR4" t="b">
        <f t="shared" si="0"/>
        <v>1</v>
      </c>
    </row>
    <row r="5" spans="1:96" x14ac:dyDescent="0.25">
      <c r="A5">
        <v>1350</v>
      </c>
      <c r="B5" t="s">
        <v>137</v>
      </c>
      <c r="C5" t="s">
        <v>237</v>
      </c>
      <c r="D5" t="s">
        <v>337</v>
      </c>
      <c r="E5" t="s">
        <v>398</v>
      </c>
      <c r="F5">
        <v>1368349989</v>
      </c>
      <c r="G5">
        <v>12.142609999999999</v>
      </c>
      <c r="H5" t="s">
        <v>409</v>
      </c>
      <c r="I5">
        <v>16615340259.93129</v>
      </c>
      <c r="J5" t="s">
        <v>414</v>
      </c>
      <c r="K5">
        <v>14604406.268437199</v>
      </c>
      <c r="L5">
        <v>0.45</v>
      </c>
      <c r="M5">
        <v>15102015</v>
      </c>
      <c r="O5">
        <v>1.692422773381</v>
      </c>
      <c r="P5">
        <v>2.7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2.3370000000000002</v>
      </c>
      <c r="AR5">
        <v>2.9340000000000002</v>
      </c>
      <c r="AS5" t="s">
        <v>424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2.6355</v>
      </c>
      <c r="CE5" t="s">
        <v>448</v>
      </c>
      <c r="CG5">
        <v>1.692422773381</v>
      </c>
      <c r="CH5">
        <v>2.7</v>
      </c>
      <c r="CI5">
        <v>2.1962113866905</v>
      </c>
      <c r="CJ5">
        <v>-0.24</v>
      </c>
      <c r="CK5">
        <v>1.9562113866905</v>
      </c>
      <c r="CL5">
        <v>1510</v>
      </c>
      <c r="CM5">
        <v>1.0465116279069771E-2</v>
      </c>
      <c r="CN5">
        <v>7476903116.9690809</v>
      </c>
      <c r="CQ5" s="2" t="s">
        <v>1004</v>
      </c>
      <c r="CR5" t="b">
        <f t="shared" si="0"/>
        <v>0</v>
      </c>
    </row>
    <row r="6" spans="1:96" x14ac:dyDescent="0.25">
      <c r="A6">
        <v>1002</v>
      </c>
      <c r="B6" t="s">
        <v>144</v>
      </c>
      <c r="C6" t="s">
        <v>244</v>
      </c>
      <c r="D6" t="s">
        <v>344</v>
      </c>
      <c r="E6" t="s">
        <v>392</v>
      </c>
      <c r="F6">
        <v>2660056599</v>
      </c>
      <c r="G6">
        <v>11.074999999999999</v>
      </c>
      <c r="H6" t="s">
        <v>407</v>
      </c>
      <c r="I6">
        <v>29460126833.924999</v>
      </c>
      <c r="J6" t="s">
        <v>413</v>
      </c>
      <c r="K6">
        <v>71522746.378896803</v>
      </c>
      <c r="L6">
        <v>0.65</v>
      </c>
      <c r="M6">
        <v>15102015</v>
      </c>
      <c r="O6">
        <v>1.7104133479050101</v>
      </c>
      <c r="P6">
        <v>2.39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2.7160000000000002</v>
      </c>
      <c r="AR6">
        <v>2.7469999999999999</v>
      </c>
      <c r="AS6" t="s">
        <v>424</v>
      </c>
      <c r="AT6">
        <v>0</v>
      </c>
      <c r="AU6">
        <v>0</v>
      </c>
      <c r="AV6" t="s">
        <v>431</v>
      </c>
      <c r="AW6">
        <v>0</v>
      </c>
      <c r="AX6">
        <v>0</v>
      </c>
      <c r="AY6">
        <v>0</v>
      </c>
      <c r="CC6">
        <v>2.7315</v>
      </c>
      <c r="CE6" t="s">
        <v>448</v>
      </c>
      <c r="CG6">
        <v>1.7104133479050101</v>
      </c>
      <c r="CH6">
        <v>2.39</v>
      </c>
      <c r="CI6">
        <v>2.0502066739525051</v>
      </c>
      <c r="CJ6">
        <v>-0.18</v>
      </c>
      <c r="CK6">
        <v>1.8702066739525049</v>
      </c>
      <c r="CL6">
        <v>1510</v>
      </c>
      <c r="CM6">
        <v>1.0465116279069771E-2</v>
      </c>
      <c r="CN6">
        <v>19149082442.05125</v>
      </c>
    </row>
    <row r="7" spans="1:96" x14ac:dyDescent="0.25">
      <c r="A7">
        <v>1471</v>
      </c>
      <c r="B7" t="s">
        <v>187</v>
      </c>
      <c r="C7" t="s">
        <v>287</v>
      </c>
      <c r="D7" t="s">
        <v>387</v>
      </c>
      <c r="E7" t="s">
        <v>401</v>
      </c>
      <c r="F7">
        <v>25081295000</v>
      </c>
      <c r="G7">
        <v>0.80032029999999998</v>
      </c>
      <c r="H7" t="s">
        <v>411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  <c r="CL7">
        <v>1510</v>
      </c>
      <c r="CM7">
        <v>1.0465116279069771E-2</v>
      </c>
      <c r="CN7">
        <v>16058455631.0308</v>
      </c>
    </row>
    <row r="8" spans="1:96" x14ac:dyDescent="0.25">
      <c r="A8">
        <v>1348</v>
      </c>
      <c r="B8" t="s">
        <v>189</v>
      </c>
      <c r="C8" t="s">
        <v>289</v>
      </c>
      <c r="D8" t="s">
        <v>389</v>
      </c>
      <c r="E8" t="s">
        <v>399</v>
      </c>
      <c r="F8">
        <v>5670161600</v>
      </c>
      <c r="G8">
        <v>4.1740000000000004</v>
      </c>
      <c r="H8" t="s">
        <v>407</v>
      </c>
      <c r="I8">
        <v>23667254518.400002</v>
      </c>
      <c r="J8" t="s">
        <v>413</v>
      </c>
      <c r="K8">
        <v>53268601.0030111</v>
      </c>
      <c r="L8">
        <v>0.7</v>
      </c>
      <c r="M8">
        <v>15102015</v>
      </c>
      <c r="O8">
        <v>1.7233600828722999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3.1030000000000002</v>
      </c>
      <c r="AR8">
        <v>2.8849999999999998</v>
      </c>
      <c r="AS8" t="s">
        <v>424</v>
      </c>
      <c r="AT8">
        <v>0</v>
      </c>
      <c r="AU8">
        <v>0</v>
      </c>
      <c r="AV8" t="s">
        <v>438</v>
      </c>
      <c r="AW8">
        <v>0</v>
      </c>
      <c r="AX8">
        <v>0</v>
      </c>
      <c r="AY8">
        <v>0</v>
      </c>
      <c r="CC8">
        <v>2.9940000000000002</v>
      </c>
      <c r="CE8" t="s">
        <v>448</v>
      </c>
      <c r="CG8">
        <v>1.7233600828722999</v>
      </c>
      <c r="CH8">
        <v>1.5</v>
      </c>
      <c r="CI8">
        <v>1.6116800414361501</v>
      </c>
      <c r="CJ8">
        <v>-0.3</v>
      </c>
      <c r="CK8">
        <v>1.31168004143615</v>
      </c>
      <c r="CL8">
        <v>1510</v>
      </c>
      <c r="CM8">
        <v>1.0465116279069771E-2</v>
      </c>
      <c r="CN8">
        <v>16567078162.879999</v>
      </c>
    </row>
    <row r="9" spans="1:96" x14ac:dyDescent="0.25">
      <c r="A9">
        <v>1279</v>
      </c>
      <c r="B9" t="s">
        <v>125</v>
      </c>
      <c r="C9" t="s">
        <v>225</v>
      </c>
      <c r="D9" t="s">
        <v>325</v>
      </c>
      <c r="E9" t="s">
        <v>404</v>
      </c>
      <c r="F9">
        <v>159455250</v>
      </c>
      <c r="G9">
        <v>138.75899999999999</v>
      </c>
      <c r="H9" t="s">
        <v>412</v>
      </c>
      <c r="I9">
        <v>22125851034.75</v>
      </c>
      <c r="J9" t="s">
        <v>414</v>
      </c>
      <c r="K9">
        <v>38963232.823840298</v>
      </c>
      <c r="L9">
        <v>0.75</v>
      </c>
      <c r="M9">
        <v>20102015</v>
      </c>
      <c r="O9">
        <v>1.74431611527946</v>
      </c>
      <c r="P9">
        <v>3.01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2.85</v>
      </c>
      <c r="AR9">
        <v>2.2160000000000002</v>
      </c>
      <c r="AS9" t="s">
        <v>418</v>
      </c>
      <c r="AT9">
        <v>1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2.5329999999999999</v>
      </c>
      <c r="CE9" t="s">
        <v>448</v>
      </c>
      <c r="CG9">
        <v>1.74431611527946</v>
      </c>
      <c r="CH9">
        <v>3.01</v>
      </c>
      <c r="CI9">
        <v>2.37715805763973</v>
      </c>
      <c r="CJ9">
        <v>-0.18</v>
      </c>
      <c r="CK9">
        <v>2.1971580576397298</v>
      </c>
      <c r="CL9">
        <v>2010</v>
      </c>
      <c r="CM9">
        <v>1.0465116279069771E-2</v>
      </c>
      <c r="CN9">
        <v>16594388276.0625</v>
      </c>
    </row>
    <row r="10" spans="1:96" x14ac:dyDescent="0.25">
      <c r="A10">
        <v>1007</v>
      </c>
      <c r="B10" t="s">
        <v>129</v>
      </c>
      <c r="C10" t="s">
        <v>229</v>
      </c>
      <c r="D10" t="s">
        <v>329</v>
      </c>
      <c r="E10" t="s">
        <v>397</v>
      </c>
      <c r="F10">
        <v>108382010</v>
      </c>
      <c r="G10">
        <v>52.44</v>
      </c>
      <c r="H10" t="s">
        <v>407</v>
      </c>
      <c r="I10">
        <v>5683552604.3999996</v>
      </c>
      <c r="J10" t="s">
        <v>413</v>
      </c>
      <c r="K10">
        <v>9590018.5647457596</v>
      </c>
      <c r="L10">
        <v>1</v>
      </c>
      <c r="M10">
        <v>20103015</v>
      </c>
      <c r="O10">
        <v>1.9707580162642699</v>
      </c>
      <c r="P10">
        <v>2.7</v>
      </c>
      <c r="Q10" t="s">
        <v>416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2.4689999999999999</v>
      </c>
      <c r="AR10">
        <v>2.8260000000000001</v>
      </c>
      <c r="AS10" t="s">
        <v>418</v>
      </c>
      <c r="AT10">
        <v>1</v>
      </c>
      <c r="AU10">
        <v>0</v>
      </c>
      <c r="AV10" t="s">
        <v>436</v>
      </c>
      <c r="AW10">
        <v>0</v>
      </c>
      <c r="AX10">
        <v>0</v>
      </c>
      <c r="AY10">
        <v>0</v>
      </c>
      <c r="CC10">
        <v>2.6475</v>
      </c>
      <c r="CE10" t="s">
        <v>448</v>
      </c>
      <c r="CG10">
        <v>1.9707580162642699</v>
      </c>
      <c r="CH10">
        <v>2.7</v>
      </c>
      <c r="CI10">
        <v>2.3353790081321351</v>
      </c>
      <c r="CJ10">
        <v>-0.18</v>
      </c>
      <c r="CK10">
        <v>2.1553790081321349</v>
      </c>
      <c r="CL10">
        <v>2010</v>
      </c>
      <c r="CM10">
        <v>1.0465116279069771E-2</v>
      </c>
      <c r="CN10">
        <v>5683552604.3999996</v>
      </c>
    </row>
    <row r="11" spans="1:96" x14ac:dyDescent="0.25">
      <c r="A11">
        <v>1250</v>
      </c>
      <c r="B11" t="s">
        <v>134</v>
      </c>
      <c r="C11" t="s">
        <v>234</v>
      </c>
      <c r="D11" t="s">
        <v>334</v>
      </c>
      <c r="E11" t="s">
        <v>404</v>
      </c>
      <c r="F11">
        <v>59626810</v>
      </c>
      <c r="G11">
        <v>310.37360000000001</v>
      </c>
      <c r="H11" t="s">
        <v>412</v>
      </c>
      <c r="I11">
        <v>18506587676.216</v>
      </c>
      <c r="J11" t="s">
        <v>414</v>
      </c>
      <c r="K11">
        <v>37253581.499226198</v>
      </c>
      <c r="L11">
        <v>0.85</v>
      </c>
      <c r="M11">
        <v>20102010</v>
      </c>
      <c r="O11">
        <v>1.9776400456237699</v>
      </c>
      <c r="P11">
        <v>2.39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3.0779999999999998</v>
      </c>
      <c r="AR11">
        <v>3.0640000000000001</v>
      </c>
      <c r="AS11" t="s">
        <v>418</v>
      </c>
      <c r="AT11">
        <v>1</v>
      </c>
      <c r="AU11">
        <v>0</v>
      </c>
      <c r="AV11" t="s">
        <v>443</v>
      </c>
      <c r="AW11">
        <v>0</v>
      </c>
      <c r="AX11">
        <v>0</v>
      </c>
      <c r="AY11">
        <v>0</v>
      </c>
      <c r="CC11">
        <v>3.0710000000000002</v>
      </c>
      <c r="CE11" t="s">
        <v>448</v>
      </c>
      <c r="CG11">
        <v>1.9776400456237699</v>
      </c>
      <c r="CH11">
        <v>2.39</v>
      </c>
      <c r="CI11">
        <v>2.1838200228118851</v>
      </c>
      <c r="CJ11">
        <v>-0.18</v>
      </c>
      <c r="CK11">
        <v>2.003820022811885</v>
      </c>
      <c r="CL11">
        <v>2010</v>
      </c>
      <c r="CM11">
        <v>1.0465116279069771E-2</v>
      </c>
      <c r="CN11">
        <v>15730599524.7836</v>
      </c>
    </row>
    <row r="12" spans="1:96" x14ac:dyDescent="0.25">
      <c r="A12">
        <v>73</v>
      </c>
      <c r="B12" t="s">
        <v>143</v>
      </c>
      <c r="C12" t="s">
        <v>243</v>
      </c>
      <c r="D12" t="s">
        <v>343</v>
      </c>
      <c r="E12" t="s">
        <v>400</v>
      </c>
      <c r="F12">
        <v>234974400</v>
      </c>
      <c r="G12">
        <v>18.719290000000001</v>
      </c>
      <c r="H12" t="s">
        <v>410</v>
      </c>
      <c r="I12">
        <v>4398553936.1760006</v>
      </c>
      <c r="J12" t="s">
        <v>414</v>
      </c>
      <c r="K12">
        <v>7606684.1957903598</v>
      </c>
      <c r="L12">
        <v>0.85</v>
      </c>
      <c r="M12">
        <v>20102010</v>
      </c>
      <c r="O12">
        <v>1.91599093280441</v>
      </c>
      <c r="P12">
        <v>1.5</v>
      </c>
      <c r="Q12" t="s">
        <v>419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2.6269999999999998</v>
      </c>
      <c r="AR12">
        <v>2.7530000000000001</v>
      </c>
      <c r="AS12" t="s">
        <v>418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2.69</v>
      </c>
      <c r="CE12" t="s">
        <v>448</v>
      </c>
      <c r="CG12">
        <v>1.91599093280441</v>
      </c>
      <c r="CH12">
        <v>1.5</v>
      </c>
      <c r="CI12">
        <v>1.707995466402205</v>
      </c>
      <c r="CJ12">
        <v>0.18</v>
      </c>
      <c r="CK12">
        <v>1.8879954664022049</v>
      </c>
      <c r="CL12">
        <v>2010</v>
      </c>
      <c r="CM12">
        <v>1.0465116279069771E-2</v>
      </c>
      <c r="CN12">
        <v>3738770845.7495999</v>
      </c>
    </row>
    <row r="13" spans="1:96" x14ac:dyDescent="0.25">
      <c r="A13">
        <v>322</v>
      </c>
      <c r="B13" t="s">
        <v>155</v>
      </c>
      <c r="C13" t="s">
        <v>255</v>
      </c>
      <c r="D13" t="s">
        <v>355</v>
      </c>
      <c r="E13" t="s">
        <v>401</v>
      </c>
      <c r="F13">
        <v>2049789600</v>
      </c>
      <c r="G13">
        <v>2.9909249999999998</v>
      </c>
      <c r="H13" t="s">
        <v>411</v>
      </c>
      <c r="I13">
        <v>6130766959.3800001</v>
      </c>
      <c r="J13" t="s">
        <v>414</v>
      </c>
      <c r="K13">
        <v>9155054.9499982595</v>
      </c>
      <c r="L13">
        <v>0.8</v>
      </c>
      <c r="M13">
        <v>20102015</v>
      </c>
      <c r="O13">
        <v>1.97423180401412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2.786</v>
      </c>
      <c r="AR13">
        <v>3.0009999999999999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2.8935</v>
      </c>
      <c r="CE13" t="s">
        <v>448</v>
      </c>
      <c r="CG13">
        <v>1.97423180401412</v>
      </c>
      <c r="CH13">
        <v>1.5</v>
      </c>
      <c r="CI13">
        <v>1.7371159020070599</v>
      </c>
      <c r="CJ13">
        <v>-0.18</v>
      </c>
      <c r="CK13">
        <v>1.55711590200706</v>
      </c>
      <c r="CL13">
        <v>2010</v>
      </c>
      <c r="CM13">
        <v>1.0465116279069771E-2</v>
      </c>
      <c r="CN13">
        <v>4904613567.5040007</v>
      </c>
    </row>
    <row r="14" spans="1:96" x14ac:dyDescent="0.25">
      <c r="A14">
        <v>1426</v>
      </c>
      <c r="B14" t="s">
        <v>158</v>
      </c>
      <c r="C14" t="s">
        <v>258</v>
      </c>
      <c r="D14" t="s">
        <v>358</v>
      </c>
      <c r="E14" t="s">
        <v>405</v>
      </c>
      <c r="F14">
        <v>194505658</v>
      </c>
      <c r="G14">
        <v>181.8</v>
      </c>
      <c r="H14" t="s">
        <v>407</v>
      </c>
      <c r="I14">
        <v>35361128624.400002</v>
      </c>
      <c r="J14" t="s">
        <v>413</v>
      </c>
      <c r="K14">
        <v>36834331.3722222</v>
      </c>
      <c r="L14">
        <v>0.65</v>
      </c>
      <c r="M14">
        <v>20103015</v>
      </c>
      <c r="O14">
        <v>1.74156423615151</v>
      </c>
      <c r="P14">
        <v>1.77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2.661</v>
      </c>
      <c r="AR14">
        <v>2.8610000000000002</v>
      </c>
      <c r="AS14" t="s">
        <v>430</v>
      </c>
      <c r="AT14">
        <v>0</v>
      </c>
      <c r="AU14">
        <v>0</v>
      </c>
      <c r="AV14" t="s">
        <v>445</v>
      </c>
      <c r="AW14">
        <v>0</v>
      </c>
      <c r="AX14">
        <v>0</v>
      </c>
      <c r="AY14">
        <v>0</v>
      </c>
      <c r="CC14">
        <v>2.7610000000000001</v>
      </c>
      <c r="CE14" t="s">
        <v>448</v>
      </c>
      <c r="CG14">
        <v>1.74156423615151</v>
      </c>
      <c r="CH14">
        <v>1.77</v>
      </c>
      <c r="CI14">
        <v>1.7557821180757549</v>
      </c>
      <c r="CJ14">
        <v>-0.24</v>
      </c>
      <c r="CK14">
        <v>1.5157821180757549</v>
      </c>
      <c r="CL14">
        <v>2010</v>
      </c>
      <c r="CM14">
        <v>1.0465116279069771E-2</v>
      </c>
      <c r="CN14">
        <v>22984733605.860001</v>
      </c>
    </row>
    <row r="15" spans="1:96" x14ac:dyDescent="0.25">
      <c r="A15">
        <v>1151</v>
      </c>
      <c r="B15" t="s">
        <v>174</v>
      </c>
      <c r="C15" t="s">
        <v>274</v>
      </c>
      <c r="D15" t="s">
        <v>374</v>
      </c>
      <c r="E15" t="s">
        <v>392</v>
      </c>
      <c r="F15">
        <v>1263122721</v>
      </c>
      <c r="G15">
        <v>104.12</v>
      </c>
      <c r="H15" t="s">
        <v>407</v>
      </c>
      <c r="I15">
        <v>131516337710.52</v>
      </c>
      <c r="J15" t="s">
        <v>413</v>
      </c>
      <c r="K15">
        <v>154796225.17039701</v>
      </c>
      <c r="L15">
        <v>0.95000000000000007</v>
      </c>
      <c r="M15">
        <v>20103015</v>
      </c>
      <c r="O15">
        <v>1.72319966282151</v>
      </c>
      <c r="P15">
        <v>1.5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418</v>
      </c>
      <c r="AT15">
        <v>1</v>
      </c>
      <c r="AU15">
        <v>0</v>
      </c>
      <c r="AV15" t="s">
        <v>431</v>
      </c>
      <c r="AW15">
        <v>0</v>
      </c>
      <c r="AX15">
        <v>0</v>
      </c>
      <c r="AY15">
        <v>0</v>
      </c>
      <c r="CC15">
        <v>2.8769999999999998</v>
      </c>
      <c r="CE15" t="s">
        <v>448</v>
      </c>
      <c r="CG15">
        <v>1.72319966282151</v>
      </c>
      <c r="CH15">
        <v>1.5</v>
      </c>
      <c r="CI15">
        <v>1.6115998314107549</v>
      </c>
      <c r="CJ15">
        <v>-0.24</v>
      </c>
      <c r="CK15">
        <v>1.3715998314107549</v>
      </c>
      <c r="CL15">
        <v>2010</v>
      </c>
      <c r="CM15">
        <v>1.0465116279069771E-2</v>
      </c>
      <c r="CN15">
        <v>124940520824.994</v>
      </c>
    </row>
    <row r="16" spans="1:96" x14ac:dyDescent="0.25">
      <c r="A16">
        <v>126</v>
      </c>
      <c r="B16" t="s">
        <v>182</v>
      </c>
      <c r="C16" t="s">
        <v>282</v>
      </c>
      <c r="D16" t="s">
        <v>382</v>
      </c>
      <c r="E16" t="s">
        <v>401</v>
      </c>
      <c r="F16">
        <v>1550581200</v>
      </c>
      <c r="G16">
        <v>141.54310000000001</v>
      </c>
      <c r="H16" t="s">
        <v>411</v>
      </c>
      <c r="I16">
        <v>219474069849.72</v>
      </c>
      <c r="J16" t="s">
        <v>414</v>
      </c>
      <c r="K16">
        <v>175769656.35404101</v>
      </c>
      <c r="L16">
        <v>1</v>
      </c>
      <c r="M16">
        <v>20103015</v>
      </c>
      <c r="O16">
        <v>1.74009250374075</v>
      </c>
      <c r="P16">
        <v>1.5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2.7770000000000001</v>
      </c>
      <c r="AR16">
        <v>2.399</v>
      </c>
      <c r="AS16" t="s">
        <v>418</v>
      </c>
      <c r="AT16">
        <v>1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2.5880000000000001</v>
      </c>
      <c r="CE16" t="s">
        <v>448</v>
      </c>
      <c r="CG16">
        <v>1.74009250374075</v>
      </c>
      <c r="CH16">
        <v>1.5</v>
      </c>
      <c r="CI16">
        <v>1.6200462518703751</v>
      </c>
      <c r="CJ16">
        <v>-0.3</v>
      </c>
      <c r="CK16">
        <v>1.3200462518703751</v>
      </c>
      <c r="CL16">
        <v>2010</v>
      </c>
      <c r="CM16">
        <v>1.0465116279069771E-2</v>
      </c>
      <c r="CN16">
        <v>219474069849.72</v>
      </c>
    </row>
    <row r="17" spans="1:96" x14ac:dyDescent="0.25">
      <c r="A17">
        <v>974</v>
      </c>
      <c r="B17" t="s">
        <v>185</v>
      </c>
      <c r="C17" t="s">
        <v>285</v>
      </c>
      <c r="D17" t="s">
        <v>385</v>
      </c>
      <c r="E17" t="s">
        <v>404</v>
      </c>
      <c r="F17">
        <v>2189930400</v>
      </c>
      <c r="G17">
        <v>104.3617</v>
      </c>
      <c r="H17" t="s">
        <v>412</v>
      </c>
      <c r="I17">
        <v>228544859425.67999</v>
      </c>
      <c r="J17" t="s">
        <v>414</v>
      </c>
      <c r="K17">
        <v>348052438.84857303</v>
      </c>
      <c r="L17">
        <v>0.95</v>
      </c>
      <c r="M17">
        <v>20103015</v>
      </c>
      <c r="O17">
        <v>1.7351435772655099</v>
      </c>
      <c r="P17">
        <v>1.5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2.9780000000000002</v>
      </c>
      <c r="AR17">
        <v>2.9729999999999999</v>
      </c>
      <c r="AS17" t="s">
        <v>418</v>
      </c>
      <c r="AT17">
        <v>1</v>
      </c>
      <c r="AU17">
        <v>0</v>
      </c>
      <c r="AV17" t="s">
        <v>443</v>
      </c>
      <c r="AW17">
        <v>0</v>
      </c>
      <c r="AX17">
        <v>0</v>
      </c>
      <c r="AY17">
        <v>0</v>
      </c>
      <c r="CC17">
        <v>2.9754999999999998</v>
      </c>
      <c r="CE17" t="s">
        <v>448</v>
      </c>
      <c r="CG17">
        <v>1.7351435772655099</v>
      </c>
      <c r="CH17">
        <v>1.5</v>
      </c>
      <c r="CI17">
        <v>1.617571788632755</v>
      </c>
      <c r="CJ17">
        <v>-0.3</v>
      </c>
      <c r="CK17">
        <v>1.3175717886327549</v>
      </c>
      <c r="CL17">
        <v>2010</v>
      </c>
      <c r="CM17">
        <v>1.0465116279069771E-2</v>
      </c>
      <c r="CN17">
        <v>217117616454.396</v>
      </c>
      <c r="CQ17" cm="1">
        <f t="array" ref="CQ17:CQ34">_xlfn.UNIQUE(CL16:CL101)</f>
        <v>2010</v>
      </c>
      <c r="CR17">
        <f>COUNTIF($CL$16:$CL$101,CQ17)</f>
        <v>4</v>
      </c>
    </row>
    <row r="18" spans="1:96" x14ac:dyDescent="0.25">
      <c r="A18">
        <v>566</v>
      </c>
      <c r="B18" t="s">
        <v>186</v>
      </c>
      <c r="C18" t="s">
        <v>286</v>
      </c>
      <c r="D18" t="s">
        <v>386</v>
      </c>
      <c r="E18" t="s">
        <v>401</v>
      </c>
      <c r="F18">
        <v>4145945300</v>
      </c>
      <c r="G18">
        <v>17.2758</v>
      </c>
      <c r="H18" t="s">
        <v>411</v>
      </c>
      <c r="I18">
        <v>71624521813.740005</v>
      </c>
      <c r="J18" t="s">
        <v>414</v>
      </c>
      <c r="K18">
        <v>94231734.899956703</v>
      </c>
      <c r="L18">
        <v>1</v>
      </c>
      <c r="M18">
        <v>20103015</v>
      </c>
      <c r="O18">
        <v>1.73069234760163</v>
      </c>
      <c r="P18">
        <v>1.5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3.198</v>
      </c>
      <c r="AR18">
        <v>2.7879999999999998</v>
      </c>
      <c r="AS18" t="s">
        <v>418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2.9929999999999999</v>
      </c>
      <c r="CE18" t="s">
        <v>448</v>
      </c>
      <c r="CG18">
        <v>1.73069234760163</v>
      </c>
      <c r="CH18">
        <v>1.5</v>
      </c>
      <c r="CI18">
        <v>1.615346173800815</v>
      </c>
      <c r="CJ18">
        <v>-0.3</v>
      </c>
      <c r="CK18">
        <v>1.315346173800815</v>
      </c>
      <c r="CL18">
        <v>2010</v>
      </c>
      <c r="CM18">
        <v>1.0465116279069771E-2</v>
      </c>
      <c r="CN18">
        <v>71624521813.740005</v>
      </c>
      <c r="CQ18">
        <v>3010</v>
      </c>
      <c r="CR18">
        <f t="shared" ref="CR18:CR35" si="1">COUNTIF($CL$16:$CL$101,CQ18)</f>
        <v>12</v>
      </c>
    </row>
    <row r="19" spans="1:96" x14ac:dyDescent="0.25">
      <c r="A19">
        <v>976</v>
      </c>
      <c r="B19" t="s">
        <v>190</v>
      </c>
      <c r="C19" t="s">
        <v>290</v>
      </c>
      <c r="D19" t="s">
        <v>390</v>
      </c>
      <c r="E19" t="s">
        <v>400</v>
      </c>
      <c r="F19">
        <v>414555050</v>
      </c>
      <c r="G19">
        <v>53.644550000000002</v>
      </c>
      <c r="H19" t="s">
        <v>410</v>
      </c>
      <c r="I19">
        <v>22238619107.477501</v>
      </c>
      <c r="J19" t="s">
        <v>414</v>
      </c>
      <c r="K19">
        <v>28551144.8592216</v>
      </c>
      <c r="L19">
        <v>0.85</v>
      </c>
      <c r="M19">
        <v>20103010</v>
      </c>
      <c r="O19">
        <v>1.7046060481660801</v>
      </c>
      <c r="P19">
        <v>1.5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2.5750000000000002</v>
      </c>
      <c r="AR19">
        <v>2.8759999999999999</v>
      </c>
      <c r="AS19" t="s">
        <v>418</v>
      </c>
      <c r="AT19">
        <v>1</v>
      </c>
      <c r="AU19">
        <v>0</v>
      </c>
      <c r="AV19" t="s">
        <v>439</v>
      </c>
      <c r="AW19">
        <v>0</v>
      </c>
      <c r="AX19">
        <v>0</v>
      </c>
      <c r="AY19">
        <v>0</v>
      </c>
      <c r="CC19">
        <v>2.7254999999999998</v>
      </c>
      <c r="CE19" t="s">
        <v>448</v>
      </c>
      <c r="CG19">
        <v>1.7046060481660801</v>
      </c>
      <c r="CH19">
        <v>1.5</v>
      </c>
      <c r="CI19">
        <v>1.60230302408304</v>
      </c>
      <c r="CJ19">
        <v>-0.3</v>
      </c>
      <c r="CK19">
        <v>1.30230302408304</v>
      </c>
      <c r="CL19">
        <v>2010</v>
      </c>
      <c r="CM19">
        <v>1.0465116279069771E-2</v>
      </c>
      <c r="CN19">
        <v>18902826241.355881</v>
      </c>
      <c r="CQ19">
        <v>3020</v>
      </c>
      <c r="CR19">
        <f t="shared" si="1"/>
        <v>6</v>
      </c>
    </row>
    <row r="20" spans="1:96" x14ac:dyDescent="0.25">
      <c r="A20">
        <v>1266</v>
      </c>
      <c r="B20" t="s">
        <v>106</v>
      </c>
      <c r="C20" t="s">
        <v>206</v>
      </c>
      <c r="D20" t="s">
        <v>306</v>
      </c>
      <c r="E20" t="s">
        <v>401</v>
      </c>
      <c r="F20">
        <v>2414227500</v>
      </c>
      <c r="G20">
        <v>14.3018</v>
      </c>
      <c r="H20" t="s">
        <v>411</v>
      </c>
      <c r="I20">
        <v>34527798859.5</v>
      </c>
      <c r="J20" t="s">
        <v>414</v>
      </c>
      <c r="K20">
        <v>49461386.726039</v>
      </c>
      <c r="L20">
        <v>0.8</v>
      </c>
      <c r="M20">
        <v>30101010</v>
      </c>
      <c r="O20">
        <v>3.4</v>
      </c>
      <c r="P20">
        <v>1.77</v>
      </c>
      <c r="Q20" t="s">
        <v>418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2.1509999999999998</v>
      </c>
      <c r="AR20">
        <v>3.052</v>
      </c>
      <c r="AS20" t="s">
        <v>427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2.6015000000000001</v>
      </c>
      <c r="CE20" t="s">
        <v>448</v>
      </c>
      <c r="CG20">
        <v>3.4</v>
      </c>
      <c r="CH20">
        <v>1.77</v>
      </c>
      <c r="CI20">
        <v>2.585</v>
      </c>
      <c r="CJ20">
        <v>0</v>
      </c>
      <c r="CK20">
        <v>2.585</v>
      </c>
      <c r="CL20">
        <v>3010</v>
      </c>
      <c r="CM20">
        <v>1.0465116279069771E-2</v>
      </c>
      <c r="CN20">
        <v>27622239087.599998</v>
      </c>
      <c r="CQ20">
        <v>3030</v>
      </c>
      <c r="CR20">
        <f t="shared" si="1"/>
        <v>7</v>
      </c>
    </row>
    <row r="21" spans="1:96" x14ac:dyDescent="0.25">
      <c r="A21">
        <v>919</v>
      </c>
      <c r="B21" t="s">
        <v>109</v>
      </c>
      <c r="C21" t="s">
        <v>209</v>
      </c>
      <c r="D21" t="s">
        <v>309</v>
      </c>
      <c r="E21" t="s">
        <v>401</v>
      </c>
      <c r="F21">
        <v>8058562000</v>
      </c>
      <c r="G21">
        <v>5.4620050000000004</v>
      </c>
      <c r="H21" t="s">
        <v>411</v>
      </c>
      <c r="I21">
        <v>44015905936.810013</v>
      </c>
      <c r="J21" t="s">
        <v>414</v>
      </c>
      <c r="K21">
        <v>81343299.2132736</v>
      </c>
      <c r="L21">
        <v>0.9</v>
      </c>
      <c r="M21">
        <v>30101010</v>
      </c>
      <c r="O21">
        <v>1.9993421653535901</v>
      </c>
      <c r="Q21" t="s">
        <v>417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2.4140000000000001</v>
      </c>
      <c r="AR21">
        <v>2.734</v>
      </c>
      <c r="AS21" t="s">
        <v>427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2.5739999999999998</v>
      </c>
      <c r="CE21" t="s">
        <v>448</v>
      </c>
      <c r="CG21">
        <v>1.9993421653535901</v>
      </c>
      <c r="CH21">
        <v>3.4</v>
      </c>
      <c r="CI21">
        <v>2.6996710826767951</v>
      </c>
      <c r="CJ21">
        <v>-0.24</v>
      </c>
      <c r="CK21">
        <v>2.4596710826767949</v>
      </c>
      <c r="CL21">
        <v>3010</v>
      </c>
      <c r="CM21">
        <v>1.0465116279069771E-2</v>
      </c>
      <c r="CN21">
        <v>39614315343.129013</v>
      </c>
      <c r="CQ21">
        <v>3510</v>
      </c>
      <c r="CR21">
        <f t="shared" si="1"/>
        <v>4</v>
      </c>
    </row>
    <row r="22" spans="1:96" x14ac:dyDescent="0.25">
      <c r="A22">
        <v>1431</v>
      </c>
      <c r="B22" t="s">
        <v>120</v>
      </c>
      <c r="C22" t="s">
        <v>220</v>
      </c>
      <c r="D22" t="s">
        <v>320</v>
      </c>
      <c r="E22" t="s">
        <v>402</v>
      </c>
      <c r="F22">
        <v>1557675176</v>
      </c>
      <c r="G22">
        <v>47.784999999999997</v>
      </c>
      <c r="H22" t="s">
        <v>407</v>
      </c>
      <c r="I22">
        <v>74433508285.159988</v>
      </c>
      <c r="J22" t="s">
        <v>413</v>
      </c>
      <c r="K22">
        <v>328954382.36553299</v>
      </c>
      <c r="L22">
        <v>1</v>
      </c>
      <c r="M22">
        <v>30101010</v>
      </c>
      <c r="O22">
        <v>3.4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2.355</v>
      </c>
      <c r="AR22">
        <v>3.0659999999999998</v>
      </c>
      <c r="AS22" t="s">
        <v>427</v>
      </c>
      <c r="AT22">
        <v>0</v>
      </c>
      <c r="AU22">
        <v>0</v>
      </c>
      <c r="AV22" t="s">
        <v>441</v>
      </c>
      <c r="AW22">
        <v>0</v>
      </c>
      <c r="AX22">
        <v>0</v>
      </c>
      <c r="AY22">
        <v>0</v>
      </c>
      <c r="CC22">
        <v>2.7105000000000001</v>
      </c>
      <c r="CE22" t="s">
        <v>448</v>
      </c>
      <c r="CG22">
        <v>3.4</v>
      </c>
      <c r="CH22">
        <v>1.5</v>
      </c>
      <c r="CI22">
        <v>2.4500000000000002</v>
      </c>
      <c r="CJ22">
        <v>-0.18</v>
      </c>
      <c r="CK22">
        <v>2.27</v>
      </c>
      <c r="CL22">
        <v>3010</v>
      </c>
      <c r="CM22">
        <v>1.0465116279069771E-2</v>
      </c>
      <c r="CN22">
        <v>74433508285.159988</v>
      </c>
      <c r="CQ22">
        <v>4010</v>
      </c>
      <c r="CR22">
        <f t="shared" si="1"/>
        <v>2</v>
      </c>
    </row>
    <row r="23" spans="1:96" x14ac:dyDescent="0.25">
      <c r="A23">
        <v>212</v>
      </c>
      <c r="B23" t="s">
        <v>122</v>
      </c>
      <c r="C23" t="s">
        <v>222</v>
      </c>
      <c r="D23" t="s">
        <v>322</v>
      </c>
      <c r="E23" t="s">
        <v>404</v>
      </c>
      <c r="F23">
        <v>86061900</v>
      </c>
      <c r="G23">
        <v>100.7996</v>
      </c>
      <c r="H23" t="s">
        <v>412</v>
      </c>
      <c r="I23">
        <v>8675005095.2399998</v>
      </c>
      <c r="J23" t="s">
        <v>414</v>
      </c>
      <c r="K23">
        <v>7565856.8700409401</v>
      </c>
      <c r="L23">
        <v>0.35</v>
      </c>
      <c r="M23">
        <v>30101010</v>
      </c>
      <c r="O23">
        <v>2.7183589714236498</v>
      </c>
      <c r="P23">
        <v>2.08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2.3719999999999999</v>
      </c>
      <c r="AR23">
        <v>2.5950000000000002</v>
      </c>
      <c r="AS23" t="s">
        <v>427</v>
      </c>
      <c r="AT23">
        <v>0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2.4834999999999998</v>
      </c>
      <c r="CE23" t="s">
        <v>448</v>
      </c>
      <c r="CG23">
        <v>2.7183589714236498</v>
      </c>
      <c r="CH23">
        <v>2.08</v>
      </c>
      <c r="CI23">
        <v>2.3991794857118252</v>
      </c>
      <c r="CJ23">
        <v>-0.18</v>
      </c>
      <c r="CK23">
        <v>2.219179485711825</v>
      </c>
      <c r="CL23">
        <v>3010</v>
      </c>
      <c r="CM23">
        <v>1.0465116279069771E-2</v>
      </c>
      <c r="CN23">
        <v>3036251783.3340001</v>
      </c>
      <c r="CQ23">
        <v>4020</v>
      </c>
      <c r="CR23">
        <f t="shared" si="1"/>
        <v>5</v>
      </c>
    </row>
    <row r="24" spans="1:96" x14ac:dyDescent="0.25">
      <c r="A24">
        <v>203</v>
      </c>
      <c r="B24" t="s">
        <v>128</v>
      </c>
      <c r="C24" t="s">
        <v>228</v>
      </c>
      <c r="D24" t="s">
        <v>328</v>
      </c>
      <c r="E24" t="s">
        <v>392</v>
      </c>
      <c r="F24">
        <v>1130810671</v>
      </c>
      <c r="G24">
        <v>71.12</v>
      </c>
      <c r="H24" t="s">
        <v>407</v>
      </c>
      <c r="I24">
        <v>80423254921.520004</v>
      </c>
      <c r="J24" t="s">
        <v>413</v>
      </c>
      <c r="K24">
        <v>181499028.285079</v>
      </c>
      <c r="L24">
        <v>0.95000000000000007</v>
      </c>
      <c r="M24">
        <v>30101010</v>
      </c>
      <c r="O24">
        <v>3.3054605885148698</v>
      </c>
      <c r="P24">
        <v>1.5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2.3250000000000002</v>
      </c>
      <c r="AR24">
        <v>3.2959999999999998</v>
      </c>
      <c r="AS24" t="s">
        <v>427</v>
      </c>
      <c r="AT24">
        <v>0</v>
      </c>
      <c r="AU24">
        <v>0</v>
      </c>
      <c r="AV24" t="s">
        <v>431</v>
      </c>
      <c r="AW24">
        <v>0</v>
      </c>
      <c r="AX24">
        <v>0</v>
      </c>
      <c r="AY24">
        <v>0</v>
      </c>
      <c r="CC24">
        <v>2.8105000000000002</v>
      </c>
      <c r="CE24" t="s">
        <v>448</v>
      </c>
      <c r="CG24">
        <v>3.3054605885148698</v>
      </c>
      <c r="CH24">
        <v>1.5</v>
      </c>
      <c r="CI24">
        <v>2.4027302942574349</v>
      </c>
      <c r="CJ24">
        <v>-0.24</v>
      </c>
      <c r="CK24">
        <v>2.1627302942574351</v>
      </c>
      <c r="CL24">
        <v>3010</v>
      </c>
      <c r="CM24">
        <v>1.0465116279069771E-2</v>
      </c>
      <c r="CN24">
        <v>76402092175.444016</v>
      </c>
      <c r="CQ24">
        <v>4030</v>
      </c>
      <c r="CR24">
        <f t="shared" si="1"/>
        <v>3</v>
      </c>
    </row>
    <row r="25" spans="1:96" x14ac:dyDescent="0.25">
      <c r="A25">
        <v>338</v>
      </c>
      <c r="B25" t="s">
        <v>130</v>
      </c>
      <c r="C25" t="s">
        <v>230</v>
      </c>
      <c r="D25" t="s">
        <v>330</v>
      </c>
      <c r="E25" t="s">
        <v>392</v>
      </c>
      <c r="F25">
        <v>3025902350</v>
      </c>
      <c r="G25">
        <v>15.64</v>
      </c>
      <c r="H25" t="s">
        <v>407</v>
      </c>
      <c r="I25">
        <v>47325112754</v>
      </c>
      <c r="J25" t="s">
        <v>413</v>
      </c>
      <c r="K25">
        <v>92791251.722857103</v>
      </c>
      <c r="L25">
        <v>0.3</v>
      </c>
      <c r="M25">
        <v>30101010</v>
      </c>
      <c r="O25">
        <v>3.2733333333333299</v>
      </c>
      <c r="P25">
        <v>1.5</v>
      </c>
      <c r="Q25" t="s">
        <v>417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2.1840000000000002</v>
      </c>
      <c r="AR25">
        <v>2.8410000000000002</v>
      </c>
      <c r="AS25" t="s">
        <v>427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2.5125000000000002</v>
      </c>
      <c r="CE25" t="s">
        <v>448</v>
      </c>
      <c r="CG25">
        <v>3.2733333333333299</v>
      </c>
      <c r="CH25">
        <v>1.5</v>
      </c>
      <c r="CI25">
        <v>2.3866666666666649</v>
      </c>
      <c r="CJ25">
        <v>-0.24</v>
      </c>
      <c r="CK25">
        <v>2.1466666666666652</v>
      </c>
      <c r="CL25">
        <v>3010</v>
      </c>
      <c r="CM25">
        <v>1.0465116279069771E-2</v>
      </c>
      <c r="CN25">
        <v>14197533826.200001</v>
      </c>
      <c r="CQ25">
        <v>4040</v>
      </c>
      <c r="CR25">
        <f t="shared" si="1"/>
        <v>2</v>
      </c>
    </row>
    <row r="26" spans="1:96" x14ac:dyDescent="0.25">
      <c r="A26">
        <v>161</v>
      </c>
      <c r="B26" t="s">
        <v>133</v>
      </c>
      <c r="C26" t="s">
        <v>233</v>
      </c>
      <c r="D26" t="s">
        <v>333</v>
      </c>
      <c r="E26" t="s">
        <v>399</v>
      </c>
      <c r="F26">
        <v>15152492000</v>
      </c>
      <c r="G26">
        <v>5.8840000000000003</v>
      </c>
      <c r="H26" t="s">
        <v>407</v>
      </c>
      <c r="I26">
        <v>89157262928</v>
      </c>
      <c r="J26" t="s">
        <v>413</v>
      </c>
      <c r="K26">
        <v>149229392.385506</v>
      </c>
      <c r="L26">
        <v>1</v>
      </c>
      <c r="M26">
        <v>30101010</v>
      </c>
      <c r="O26">
        <v>3.1466666666666598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2.3980000000000001</v>
      </c>
      <c r="AR26">
        <v>3.1459999999999999</v>
      </c>
      <c r="AS26" t="s">
        <v>427</v>
      </c>
      <c r="AT26">
        <v>0</v>
      </c>
      <c r="AU26">
        <v>0</v>
      </c>
      <c r="AV26" t="s">
        <v>438</v>
      </c>
      <c r="AW26">
        <v>0</v>
      </c>
      <c r="AX26">
        <v>0</v>
      </c>
      <c r="AY26">
        <v>0</v>
      </c>
      <c r="CC26">
        <v>2.7719999999999998</v>
      </c>
      <c r="CE26" t="s">
        <v>448</v>
      </c>
      <c r="CG26">
        <v>3.1466666666666598</v>
      </c>
      <c r="CH26">
        <v>1.5</v>
      </c>
      <c r="CI26">
        <v>2.3233333333333301</v>
      </c>
      <c r="CJ26">
        <v>-0.3</v>
      </c>
      <c r="CK26">
        <v>2.0233333333333299</v>
      </c>
      <c r="CL26">
        <v>3010</v>
      </c>
      <c r="CM26">
        <v>1.0465116279069771E-2</v>
      </c>
      <c r="CN26">
        <v>89157262928</v>
      </c>
      <c r="CQ26">
        <v>4050</v>
      </c>
      <c r="CR26">
        <f t="shared" si="1"/>
        <v>3</v>
      </c>
    </row>
    <row r="27" spans="1:96" x14ac:dyDescent="0.25">
      <c r="A27">
        <v>1239</v>
      </c>
      <c r="B27" t="s">
        <v>136</v>
      </c>
      <c r="C27" t="s">
        <v>236</v>
      </c>
      <c r="D27" t="s">
        <v>336</v>
      </c>
      <c r="E27" t="s">
        <v>392</v>
      </c>
      <c r="F27">
        <v>800316777</v>
      </c>
      <c r="G27">
        <v>37.835000000000001</v>
      </c>
      <c r="H27" t="s">
        <v>407</v>
      </c>
      <c r="I27">
        <v>30279985257.794998</v>
      </c>
      <c r="J27" t="s">
        <v>413</v>
      </c>
      <c r="K27">
        <v>97163081.891071394</v>
      </c>
      <c r="L27">
        <v>0.9</v>
      </c>
      <c r="M27">
        <v>30101010</v>
      </c>
      <c r="O27">
        <v>2.89333333333333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2.452</v>
      </c>
      <c r="AR27">
        <v>3.1869999999999998</v>
      </c>
      <c r="AS27" t="s">
        <v>427</v>
      </c>
      <c r="AT27">
        <v>0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2.8195000000000001</v>
      </c>
      <c r="CE27" t="s">
        <v>448</v>
      </c>
      <c r="CG27">
        <v>2.89333333333333</v>
      </c>
      <c r="CH27">
        <v>1.5</v>
      </c>
      <c r="CI27">
        <v>2.196666666666665</v>
      </c>
      <c r="CJ27">
        <v>-0.24</v>
      </c>
      <c r="CK27">
        <v>1.956666666666665</v>
      </c>
      <c r="CL27">
        <v>3010</v>
      </c>
      <c r="CM27">
        <v>1.0465116279069771E-2</v>
      </c>
      <c r="CN27">
        <v>27251986732.015499</v>
      </c>
      <c r="CQ27">
        <v>4510</v>
      </c>
      <c r="CR27">
        <f t="shared" si="1"/>
        <v>6</v>
      </c>
    </row>
    <row r="28" spans="1:96" x14ac:dyDescent="0.25">
      <c r="A28">
        <v>723</v>
      </c>
      <c r="B28" t="s">
        <v>140</v>
      </c>
      <c r="C28" t="s">
        <v>240</v>
      </c>
      <c r="D28" t="s">
        <v>340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O28">
        <v>2.89333333333333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427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2.6284999999999998</v>
      </c>
      <c r="CE28" t="s">
        <v>448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  <c r="CL28">
        <v>3010</v>
      </c>
      <c r="CM28">
        <v>1.0465116279069771E-2</v>
      </c>
      <c r="CN28">
        <v>18670486711.965</v>
      </c>
      <c r="CQ28">
        <v>4520</v>
      </c>
      <c r="CR28">
        <f t="shared" si="1"/>
        <v>3</v>
      </c>
    </row>
    <row r="29" spans="1:96" x14ac:dyDescent="0.25">
      <c r="A29">
        <v>665</v>
      </c>
      <c r="B29" t="s">
        <v>141</v>
      </c>
      <c r="C29" t="s">
        <v>241</v>
      </c>
      <c r="D29" t="s">
        <v>341</v>
      </c>
      <c r="E29" t="s">
        <v>402</v>
      </c>
      <c r="F29">
        <v>17803670501</v>
      </c>
      <c r="G29">
        <v>4.5205000000000002</v>
      </c>
      <c r="H29" t="s">
        <v>407</v>
      </c>
      <c r="I29">
        <v>80481492499.770508</v>
      </c>
      <c r="J29" t="s">
        <v>413</v>
      </c>
      <c r="K29">
        <v>260212884.25246701</v>
      </c>
      <c r="L29">
        <v>0.9</v>
      </c>
      <c r="M29">
        <v>30101010</v>
      </c>
      <c r="O29">
        <v>1.99846386909479</v>
      </c>
      <c r="P29">
        <v>2.39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427</v>
      </c>
      <c r="AT29">
        <v>0</v>
      </c>
      <c r="AU29">
        <v>0</v>
      </c>
      <c r="AV29" t="s">
        <v>441</v>
      </c>
      <c r="AW29">
        <v>0</v>
      </c>
      <c r="AX29">
        <v>0</v>
      </c>
      <c r="AY29">
        <v>0</v>
      </c>
      <c r="CC29">
        <v>2.7605</v>
      </c>
      <c r="CE29" t="s">
        <v>448</v>
      </c>
      <c r="CG29">
        <v>1.99846386909479</v>
      </c>
      <c r="CH29">
        <v>2.39</v>
      </c>
      <c r="CI29">
        <v>2.1942319345473948</v>
      </c>
      <c r="CJ29">
        <v>-0.3</v>
      </c>
      <c r="CK29">
        <v>1.894231934547395</v>
      </c>
      <c r="CL29">
        <v>3010</v>
      </c>
      <c r="CM29">
        <v>1.0465116279069771E-2</v>
      </c>
      <c r="CN29">
        <v>72433343249.793457</v>
      </c>
      <c r="CQ29">
        <v>5010</v>
      </c>
      <c r="CR29">
        <f t="shared" si="1"/>
        <v>2</v>
      </c>
    </row>
    <row r="30" spans="1:96" x14ac:dyDescent="0.25">
      <c r="A30">
        <v>45</v>
      </c>
      <c r="B30" t="s">
        <v>151</v>
      </c>
      <c r="C30" t="s">
        <v>251</v>
      </c>
      <c r="D30" t="s">
        <v>351</v>
      </c>
      <c r="E30" t="s">
        <v>395</v>
      </c>
      <c r="F30">
        <v>2328438575</v>
      </c>
      <c r="G30">
        <v>6.34</v>
      </c>
      <c r="H30" t="s">
        <v>407</v>
      </c>
      <c r="I30">
        <v>14762300565.5</v>
      </c>
      <c r="J30" t="s">
        <v>413</v>
      </c>
      <c r="K30">
        <v>28502146.137509499</v>
      </c>
      <c r="L30">
        <v>0.9</v>
      </c>
      <c r="M30">
        <v>30101010</v>
      </c>
      <c r="O30">
        <v>1.99934707512142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2.4860000000000002</v>
      </c>
      <c r="AR30">
        <v>3.169</v>
      </c>
      <c r="AS30" t="s">
        <v>427</v>
      </c>
      <c r="AT30">
        <v>0</v>
      </c>
      <c r="AU30">
        <v>0</v>
      </c>
      <c r="AV30" t="s">
        <v>434</v>
      </c>
      <c r="AW30">
        <v>0</v>
      </c>
      <c r="AX30">
        <v>0</v>
      </c>
      <c r="AY30">
        <v>0</v>
      </c>
      <c r="CC30">
        <v>2.8275000000000001</v>
      </c>
      <c r="CE30" t="s">
        <v>448</v>
      </c>
      <c r="CG30">
        <v>1.99934707512142</v>
      </c>
      <c r="CH30">
        <v>1.5</v>
      </c>
      <c r="CI30">
        <v>1.74967353756071</v>
      </c>
      <c r="CJ30">
        <v>-0.18</v>
      </c>
      <c r="CK30">
        <v>1.56967353756071</v>
      </c>
      <c r="CL30">
        <v>3010</v>
      </c>
      <c r="CM30">
        <v>1.0465116279069771E-2</v>
      </c>
      <c r="CN30">
        <v>13286070508.950001</v>
      </c>
      <c r="CQ30">
        <v>5020</v>
      </c>
      <c r="CR30">
        <f t="shared" si="1"/>
        <v>8</v>
      </c>
    </row>
    <row r="31" spans="1:96" x14ac:dyDescent="0.25">
      <c r="A31">
        <v>309</v>
      </c>
      <c r="B31" t="s">
        <v>157</v>
      </c>
      <c r="C31" t="s">
        <v>257</v>
      </c>
      <c r="D31" t="s">
        <v>357</v>
      </c>
      <c r="E31" t="s">
        <v>396</v>
      </c>
      <c r="F31">
        <v>1184669100</v>
      </c>
      <c r="G31">
        <v>19.524999999999999</v>
      </c>
      <c r="H31" t="s">
        <v>407</v>
      </c>
      <c r="I31">
        <v>23130664177.5</v>
      </c>
      <c r="J31" t="s">
        <v>413</v>
      </c>
      <c r="K31">
        <v>92864872.3770082</v>
      </c>
      <c r="L31">
        <v>0.8</v>
      </c>
      <c r="M31">
        <v>30101010</v>
      </c>
      <c r="O31">
        <v>1.9118214423098601</v>
      </c>
      <c r="P31">
        <v>1.5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2.3889999999999998</v>
      </c>
      <c r="AR31">
        <v>2.794</v>
      </c>
      <c r="AS31" t="s">
        <v>427</v>
      </c>
      <c r="AT31">
        <v>0</v>
      </c>
      <c r="AU31">
        <v>0</v>
      </c>
      <c r="AV31" t="s">
        <v>435</v>
      </c>
      <c r="AW31">
        <v>0</v>
      </c>
      <c r="AX31">
        <v>0</v>
      </c>
      <c r="AY31">
        <v>0</v>
      </c>
      <c r="CC31">
        <v>2.5914999999999999</v>
      </c>
      <c r="CE31" t="s">
        <v>448</v>
      </c>
      <c r="CG31">
        <v>1.9118214423098601</v>
      </c>
      <c r="CH31">
        <v>1.5</v>
      </c>
      <c r="CI31">
        <v>1.70591072115493</v>
      </c>
      <c r="CJ31">
        <v>-0.18</v>
      </c>
      <c r="CK31">
        <v>1.5259107211549301</v>
      </c>
      <c r="CL31">
        <v>3010</v>
      </c>
      <c r="CM31">
        <v>1.0465116279069771E-2</v>
      </c>
      <c r="CN31">
        <v>18504531342</v>
      </c>
      <c r="CQ31">
        <v>5510</v>
      </c>
      <c r="CR31">
        <f t="shared" si="1"/>
        <v>2</v>
      </c>
    </row>
    <row r="32" spans="1:96" x14ac:dyDescent="0.25">
      <c r="A32">
        <v>660</v>
      </c>
      <c r="B32" t="s">
        <v>110</v>
      </c>
      <c r="C32" t="s">
        <v>210</v>
      </c>
      <c r="D32" t="s">
        <v>310</v>
      </c>
      <c r="E32" t="s">
        <v>401</v>
      </c>
      <c r="F32">
        <v>290636470</v>
      </c>
      <c r="G32">
        <v>28.9421</v>
      </c>
      <c r="H32" t="s">
        <v>411</v>
      </c>
      <c r="I32">
        <v>8411629778.3870001</v>
      </c>
      <c r="J32" t="s">
        <v>414</v>
      </c>
      <c r="K32">
        <v>15022768.651234301</v>
      </c>
      <c r="L32">
        <v>1</v>
      </c>
      <c r="M32">
        <v>30202010</v>
      </c>
      <c r="O32">
        <v>1.9965141737727501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2.117</v>
      </c>
      <c r="AR32">
        <v>2.9159999999999999</v>
      </c>
      <c r="AS32" t="s">
        <v>427</v>
      </c>
      <c r="AT32">
        <v>0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2.5165000000000002</v>
      </c>
      <c r="CE32" t="s">
        <v>448</v>
      </c>
      <c r="CG32">
        <v>1.9965141737727501</v>
      </c>
      <c r="CH32">
        <v>3.4</v>
      </c>
      <c r="CI32">
        <v>2.6982570868863749</v>
      </c>
      <c r="CJ32">
        <v>-0.24</v>
      </c>
      <c r="CK32">
        <v>2.4582570868863751</v>
      </c>
      <c r="CL32">
        <v>3020</v>
      </c>
      <c r="CM32">
        <v>1.0465116279069771E-2</v>
      </c>
      <c r="CN32">
        <v>8411629778.3870001</v>
      </c>
      <c r="CQ32">
        <v>5520</v>
      </c>
      <c r="CR32">
        <f t="shared" si="1"/>
        <v>2</v>
      </c>
    </row>
    <row r="33" spans="1:96" x14ac:dyDescent="0.25">
      <c r="A33">
        <v>806</v>
      </c>
      <c r="B33" t="s">
        <v>111</v>
      </c>
      <c r="C33" t="s">
        <v>211</v>
      </c>
      <c r="D33" t="s">
        <v>311</v>
      </c>
      <c r="E33" t="s">
        <v>401</v>
      </c>
      <c r="F33">
        <v>531451840</v>
      </c>
      <c r="G33">
        <v>140.05609999999999</v>
      </c>
      <c r="H33" t="s">
        <v>411</v>
      </c>
      <c r="I33">
        <v>74433072048.223999</v>
      </c>
      <c r="J33" t="s">
        <v>414</v>
      </c>
      <c r="K33">
        <v>76651155.451063305</v>
      </c>
      <c r="L33">
        <v>0.95</v>
      </c>
      <c r="M33">
        <v>30201030</v>
      </c>
      <c r="O33">
        <v>1.9964408278924499</v>
      </c>
      <c r="Q33" t="s">
        <v>417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2.3010000000000002</v>
      </c>
      <c r="AR33">
        <v>3.03</v>
      </c>
      <c r="AS33" t="s">
        <v>427</v>
      </c>
      <c r="AT33">
        <v>0</v>
      </c>
      <c r="AU33">
        <v>0</v>
      </c>
      <c r="AV33" t="s">
        <v>440</v>
      </c>
      <c r="AW33">
        <v>0</v>
      </c>
      <c r="AX33">
        <v>0</v>
      </c>
      <c r="AY33">
        <v>0</v>
      </c>
      <c r="CC33">
        <v>2.6655000000000002</v>
      </c>
      <c r="CE33" t="s">
        <v>448</v>
      </c>
      <c r="CG33">
        <v>1.9964408278924499</v>
      </c>
      <c r="CH33">
        <v>3.4</v>
      </c>
      <c r="CI33">
        <v>2.6982204139462249</v>
      </c>
      <c r="CJ33">
        <v>-0.24</v>
      </c>
      <c r="CK33">
        <v>2.4582204139462251</v>
      </c>
      <c r="CL33">
        <v>3020</v>
      </c>
      <c r="CM33">
        <v>1.0465116279069771E-2</v>
      </c>
      <c r="CN33">
        <v>70711418445.81279</v>
      </c>
      <c r="CQ33">
        <v>6510</v>
      </c>
      <c r="CR33">
        <f t="shared" si="1"/>
        <v>1</v>
      </c>
    </row>
    <row r="34" spans="1:96" x14ac:dyDescent="0.25">
      <c r="A34">
        <v>384</v>
      </c>
      <c r="B34" t="s">
        <v>115</v>
      </c>
      <c r="C34" t="s">
        <v>215</v>
      </c>
      <c r="D34" t="s">
        <v>315</v>
      </c>
      <c r="E34" t="s">
        <v>396</v>
      </c>
      <c r="F34">
        <v>188300000</v>
      </c>
      <c r="G34">
        <v>246.4</v>
      </c>
      <c r="H34" t="s">
        <v>407</v>
      </c>
      <c r="I34">
        <v>46397120000</v>
      </c>
      <c r="J34" t="s">
        <v>413</v>
      </c>
      <c r="K34">
        <v>64953417.481147498</v>
      </c>
      <c r="L34">
        <v>1</v>
      </c>
      <c r="M34">
        <v>30202015</v>
      </c>
      <c r="O34">
        <v>1.73908167025175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2.3820000000000001</v>
      </c>
      <c r="AR34">
        <v>3.2309999999999999</v>
      </c>
      <c r="AS34" t="s">
        <v>427</v>
      </c>
      <c r="AT34">
        <v>0</v>
      </c>
      <c r="AU34">
        <v>0</v>
      </c>
      <c r="AV34" t="s">
        <v>435</v>
      </c>
      <c r="AW34">
        <v>0</v>
      </c>
      <c r="AX34">
        <v>0</v>
      </c>
      <c r="AY34">
        <v>0</v>
      </c>
      <c r="CC34">
        <v>2.8065000000000002</v>
      </c>
      <c r="CE34" t="s">
        <v>448</v>
      </c>
      <c r="CG34">
        <v>1.73908167025175</v>
      </c>
      <c r="CH34">
        <v>3.4</v>
      </c>
      <c r="CI34">
        <v>2.5695408351258751</v>
      </c>
      <c r="CJ34">
        <v>-0.18</v>
      </c>
      <c r="CK34">
        <v>2.3895408351258749</v>
      </c>
      <c r="CL34">
        <v>3020</v>
      </c>
      <c r="CM34">
        <v>1.0465116279069771E-2</v>
      </c>
      <c r="CN34">
        <v>46397120000</v>
      </c>
      <c r="CQ34">
        <v>0</v>
      </c>
      <c r="CR34">
        <f t="shared" si="1"/>
        <v>0</v>
      </c>
    </row>
    <row r="35" spans="1:96" x14ac:dyDescent="0.25">
      <c r="A35">
        <v>470</v>
      </c>
      <c r="B35" t="s">
        <v>117</v>
      </c>
      <c r="C35" t="s">
        <v>217</v>
      </c>
      <c r="D35" t="s">
        <v>317</v>
      </c>
      <c r="E35" t="s">
        <v>392</v>
      </c>
      <c r="F35">
        <v>104235507</v>
      </c>
      <c r="G35">
        <v>119</v>
      </c>
      <c r="H35" t="s">
        <v>407</v>
      </c>
      <c r="I35">
        <v>12404025333</v>
      </c>
      <c r="J35" t="s">
        <v>413</v>
      </c>
      <c r="K35">
        <v>23304182.974603198</v>
      </c>
      <c r="L35">
        <v>0.75</v>
      </c>
      <c r="M35">
        <v>30202015</v>
      </c>
      <c r="O35">
        <v>1.97838083490229</v>
      </c>
      <c r="P35">
        <v>3.1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2.37</v>
      </c>
      <c r="AR35">
        <v>3.1080000000000001</v>
      </c>
      <c r="AS35" t="s">
        <v>427</v>
      </c>
      <c r="AT35">
        <v>0</v>
      </c>
      <c r="AU35">
        <v>0</v>
      </c>
      <c r="AV35" t="s">
        <v>444</v>
      </c>
      <c r="AW35">
        <v>0</v>
      </c>
      <c r="AX35">
        <v>0</v>
      </c>
      <c r="AY35">
        <v>0</v>
      </c>
      <c r="CC35">
        <v>2.7389999999999999</v>
      </c>
      <c r="CE35" t="s">
        <v>448</v>
      </c>
      <c r="CG35">
        <v>1.97838083490229</v>
      </c>
      <c r="CH35">
        <v>3.1</v>
      </c>
      <c r="CI35">
        <v>2.5391904174511448</v>
      </c>
      <c r="CJ35">
        <v>-0.18</v>
      </c>
      <c r="CK35">
        <v>2.3591904174511451</v>
      </c>
      <c r="CL35">
        <v>3020</v>
      </c>
      <c r="CM35">
        <v>1.0465116279069771E-2</v>
      </c>
      <c r="CN35">
        <v>9303018999.75</v>
      </c>
      <c r="CR35">
        <f t="shared" si="1"/>
        <v>0</v>
      </c>
    </row>
    <row r="36" spans="1:96" x14ac:dyDescent="0.25">
      <c r="A36">
        <v>533</v>
      </c>
      <c r="B36" t="s">
        <v>119</v>
      </c>
      <c r="C36" t="s">
        <v>219</v>
      </c>
      <c r="D36" t="s">
        <v>319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6900889.3166666701</v>
      </c>
      <c r="L36">
        <v>0.55000000000000004</v>
      </c>
      <c r="M36">
        <v>30202000</v>
      </c>
      <c r="O36">
        <v>1.8920544675342099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2.2050000000000001</v>
      </c>
      <c r="AR36">
        <v>2.8639999999999999</v>
      </c>
      <c r="AS36" t="s">
        <v>427</v>
      </c>
      <c r="AT36">
        <v>0</v>
      </c>
      <c r="AU36">
        <v>0</v>
      </c>
      <c r="AV36" t="s">
        <v>445</v>
      </c>
      <c r="AW36">
        <v>0</v>
      </c>
      <c r="AX36">
        <v>0</v>
      </c>
      <c r="AY36">
        <v>0</v>
      </c>
      <c r="CC36">
        <v>2.5345</v>
      </c>
      <c r="CE36" t="s">
        <v>448</v>
      </c>
      <c r="CG36">
        <v>1.8920544675342099</v>
      </c>
      <c r="CH36">
        <v>3.4</v>
      </c>
      <c r="CI36">
        <v>2.6460272337671049</v>
      </c>
      <c r="CJ36">
        <v>-0.3</v>
      </c>
      <c r="CK36">
        <v>2.3460272337671051</v>
      </c>
      <c r="CL36">
        <v>3020</v>
      </c>
      <c r="CM36">
        <v>1.0465116279069771E-2</v>
      </c>
      <c r="CN36">
        <v>5218026000</v>
      </c>
    </row>
    <row r="37" spans="1:96" x14ac:dyDescent="0.25">
      <c r="A37">
        <v>712</v>
      </c>
      <c r="B37" t="s">
        <v>127</v>
      </c>
      <c r="C37" t="s">
        <v>227</v>
      </c>
      <c r="D37" t="s">
        <v>327</v>
      </c>
      <c r="E37" t="s">
        <v>404</v>
      </c>
      <c r="F37">
        <v>206001790</v>
      </c>
      <c r="G37">
        <v>62.627630000000003</v>
      </c>
      <c r="H37" t="s">
        <v>412</v>
      </c>
      <c r="I37">
        <v>12901403883.457701</v>
      </c>
      <c r="J37" t="s">
        <v>414</v>
      </c>
      <c r="K37">
        <v>34741508.719351202</v>
      </c>
      <c r="L37">
        <v>1</v>
      </c>
      <c r="M37">
        <v>30202010</v>
      </c>
      <c r="O37">
        <v>1.9981674720073901</v>
      </c>
      <c r="P37">
        <v>2.7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2.1840000000000002</v>
      </c>
      <c r="AR37">
        <v>2.6669999999999998</v>
      </c>
      <c r="AS37" t="s">
        <v>427</v>
      </c>
      <c r="AT37">
        <v>0</v>
      </c>
      <c r="AU37">
        <v>0</v>
      </c>
      <c r="AV37" t="s">
        <v>443</v>
      </c>
      <c r="AW37">
        <v>0</v>
      </c>
      <c r="AX37">
        <v>0</v>
      </c>
      <c r="AY37">
        <v>0</v>
      </c>
      <c r="CC37">
        <v>2.4255</v>
      </c>
      <c r="CE37" t="s">
        <v>448</v>
      </c>
      <c r="CG37">
        <v>1.9981674720073901</v>
      </c>
      <c r="CH37">
        <v>2.7</v>
      </c>
      <c r="CI37">
        <v>2.3490837360036951</v>
      </c>
      <c r="CJ37">
        <v>-0.18</v>
      </c>
      <c r="CK37">
        <v>2.169083736003695</v>
      </c>
      <c r="CL37">
        <v>3020</v>
      </c>
      <c r="CM37">
        <v>1.0465116279069771E-2</v>
      </c>
      <c r="CN37">
        <v>12901403883.457701</v>
      </c>
    </row>
    <row r="38" spans="1:96" x14ac:dyDescent="0.25">
      <c r="A38">
        <v>1277</v>
      </c>
      <c r="B38" t="s">
        <v>108</v>
      </c>
      <c r="C38" t="s">
        <v>208</v>
      </c>
      <c r="D38" t="s">
        <v>308</v>
      </c>
      <c r="E38" t="s">
        <v>398</v>
      </c>
      <c r="F38">
        <v>447972681</v>
      </c>
      <c r="G38">
        <v>10.611890000000001</v>
      </c>
      <c r="H38" t="s">
        <v>409</v>
      </c>
      <c r="I38">
        <v>4753836813.7770901</v>
      </c>
      <c r="J38" t="s">
        <v>414</v>
      </c>
      <c r="K38">
        <v>7342922.1966118803</v>
      </c>
      <c r="L38">
        <v>1</v>
      </c>
      <c r="M38">
        <v>30301010</v>
      </c>
      <c r="O38">
        <v>1.9999941425684999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2.2010000000000001</v>
      </c>
      <c r="AR38">
        <v>3.4180000000000001</v>
      </c>
      <c r="AS38" t="s">
        <v>427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2.8094999999999999</v>
      </c>
      <c r="CE38" t="s">
        <v>448</v>
      </c>
      <c r="CG38">
        <v>1.9999941425684999</v>
      </c>
      <c r="CH38">
        <v>3.4</v>
      </c>
      <c r="CI38">
        <v>2.6999970712842498</v>
      </c>
      <c r="CJ38">
        <v>-0.24</v>
      </c>
      <c r="CK38">
        <v>2.45999707128425</v>
      </c>
      <c r="CL38">
        <v>3030</v>
      </c>
      <c r="CM38">
        <v>1.0465116279069771E-2</v>
      </c>
      <c r="CN38">
        <v>4753836813.7770901</v>
      </c>
    </row>
    <row r="39" spans="1:96" x14ac:dyDescent="0.25">
      <c r="A39">
        <v>1060</v>
      </c>
      <c r="B39" t="s">
        <v>112</v>
      </c>
      <c r="C39" t="s">
        <v>212</v>
      </c>
      <c r="D39" t="s">
        <v>312</v>
      </c>
      <c r="E39" t="s">
        <v>401</v>
      </c>
      <c r="F39">
        <v>2635357200</v>
      </c>
      <c r="G39">
        <v>8.6487789999999993</v>
      </c>
      <c r="H39" t="s">
        <v>411</v>
      </c>
      <c r="I39">
        <v>22792622008.858799</v>
      </c>
      <c r="J39" t="s">
        <v>414</v>
      </c>
      <c r="K39">
        <v>39917806.110014297</v>
      </c>
      <c r="L39">
        <v>0.95</v>
      </c>
      <c r="M39">
        <v>30301010</v>
      </c>
      <c r="O39">
        <v>3.4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2.137</v>
      </c>
      <c r="AR39">
        <v>3.0670000000000002</v>
      </c>
      <c r="AS39" t="s">
        <v>427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2.6019999999999999</v>
      </c>
      <c r="CE39" t="s">
        <v>448</v>
      </c>
      <c r="CG39">
        <v>3.4</v>
      </c>
      <c r="CH39">
        <v>1.5</v>
      </c>
      <c r="CI39">
        <v>2.4500000000000002</v>
      </c>
      <c r="CJ39">
        <v>0</v>
      </c>
      <c r="CK39">
        <v>2.4500000000000002</v>
      </c>
      <c r="CL39">
        <v>3030</v>
      </c>
      <c r="CM39">
        <v>1.0465116279069771E-2</v>
      </c>
      <c r="CN39">
        <v>21652990908.415859</v>
      </c>
    </row>
    <row r="40" spans="1:96" x14ac:dyDescent="0.25">
      <c r="A40">
        <v>1546</v>
      </c>
      <c r="B40" t="s">
        <v>113</v>
      </c>
      <c r="C40" t="s">
        <v>213</v>
      </c>
      <c r="D40" t="s">
        <v>313</v>
      </c>
      <c r="E40" t="s">
        <v>404</v>
      </c>
      <c r="F40">
        <v>146355760</v>
      </c>
      <c r="G40">
        <v>614.58010000000002</v>
      </c>
      <c r="H40" t="s">
        <v>412</v>
      </c>
      <c r="I40">
        <v>89947337616.376007</v>
      </c>
      <c r="J40" t="s">
        <v>414</v>
      </c>
      <c r="K40">
        <v>167672036.70820701</v>
      </c>
      <c r="L40">
        <v>1</v>
      </c>
      <c r="M40">
        <v>30302010</v>
      </c>
      <c r="O40">
        <v>2.7666666666666599</v>
      </c>
      <c r="P40">
        <v>2.39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2.1850000000000001</v>
      </c>
      <c r="AR40">
        <v>3.117</v>
      </c>
      <c r="AS40" t="s">
        <v>427</v>
      </c>
      <c r="AT40">
        <v>0</v>
      </c>
      <c r="AU40">
        <v>0</v>
      </c>
      <c r="AV40" t="s">
        <v>443</v>
      </c>
      <c r="AW40">
        <v>0</v>
      </c>
      <c r="AX40">
        <v>0</v>
      </c>
      <c r="AY40">
        <v>0</v>
      </c>
      <c r="CC40">
        <v>2.6509999999999998</v>
      </c>
      <c r="CE40" t="s">
        <v>448</v>
      </c>
      <c r="CG40">
        <v>2.7666666666666599</v>
      </c>
      <c r="CH40">
        <v>2.39</v>
      </c>
      <c r="CI40">
        <v>2.57833333333333</v>
      </c>
      <c r="CJ40">
        <v>-0.18</v>
      </c>
      <c r="CK40">
        <v>2.3983333333333299</v>
      </c>
      <c r="CL40">
        <v>3030</v>
      </c>
      <c r="CM40">
        <v>1.0465116279069771E-2</v>
      </c>
      <c r="CN40">
        <v>89947337616.376007</v>
      </c>
    </row>
    <row r="41" spans="1:96" x14ac:dyDescent="0.25">
      <c r="A41">
        <v>145</v>
      </c>
      <c r="B41" t="s">
        <v>116</v>
      </c>
      <c r="C41" t="s">
        <v>216</v>
      </c>
      <c r="D41" t="s">
        <v>316</v>
      </c>
      <c r="E41" t="s">
        <v>392</v>
      </c>
      <c r="F41">
        <v>2214797873</v>
      </c>
      <c r="G41">
        <v>36.979999999999997</v>
      </c>
      <c r="H41" t="s">
        <v>407</v>
      </c>
      <c r="I41">
        <v>81903225343.539993</v>
      </c>
      <c r="J41" t="s">
        <v>413</v>
      </c>
      <c r="K41">
        <v>141293081.09468201</v>
      </c>
      <c r="L41">
        <v>0.85000000000000009</v>
      </c>
      <c r="M41">
        <v>30302010</v>
      </c>
      <c r="O41">
        <v>3.2733333333333299</v>
      </c>
      <c r="P41">
        <v>1.5</v>
      </c>
      <c r="Q41" t="s">
        <v>418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2.3420000000000001</v>
      </c>
      <c r="AR41">
        <v>2.6240000000000001</v>
      </c>
      <c r="AS41" t="s">
        <v>427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2.4830000000000001</v>
      </c>
      <c r="CE41" t="s">
        <v>448</v>
      </c>
      <c r="CG41">
        <v>3.2733333333333299</v>
      </c>
      <c r="CH41">
        <v>1.5</v>
      </c>
      <c r="CI41">
        <v>2.3866666666666649</v>
      </c>
      <c r="CJ41">
        <v>0</v>
      </c>
      <c r="CK41">
        <v>2.3866666666666649</v>
      </c>
      <c r="CL41">
        <v>3030</v>
      </c>
      <c r="CM41">
        <v>1.0465116279069771E-2</v>
      </c>
      <c r="CN41">
        <v>69617741542.009003</v>
      </c>
    </row>
    <row r="42" spans="1:96" x14ac:dyDescent="0.25">
      <c r="A42">
        <v>25</v>
      </c>
      <c r="B42" t="s">
        <v>118</v>
      </c>
      <c r="C42" t="s">
        <v>218</v>
      </c>
      <c r="D42" t="s">
        <v>318</v>
      </c>
      <c r="E42" t="s">
        <v>401</v>
      </c>
      <c r="F42">
        <v>306304700</v>
      </c>
      <c r="G42">
        <v>33.850409999999997</v>
      </c>
      <c r="H42" t="s">
        <v>411</v>
      </c>
      <c r="I42">
        <v>10368539679.927</v>
      </c>
      <c r="J42" t="s">
        <v>414</v>
      </c>
      <c r="K42">
        <v>10015139.725619299</v>
      </c>
      <c r="L42">
        <v>0.7</v>
      </c>
      <c r="M42">
        <v>30302025</v>
      </c>
      <c r="O42">
        <v>1.99880903325661</v>
      </c>
      <c r="P42">
        <v>2.7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1.88</v>
      </c>
      <c r="AR42">
        <v>2.7</v>
      </c>
      <c r="AS42" t="s">
        <v>427</v>
      </c>
      <c r="AT42">
        <v>0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2.29</v>
      </c>
      <c r="CE42" t="s">
        <v>448</v>
      </c>
      <c r="CG42">
        <v>1.99880903325661</v>
      </c>
      <c r="CH42">
        <v>2.7</v>
      </c>
      <c r="CI42">
        <v>2.3494045166283049</v>
      </c>
      <c r="CJ42">
        <v>0</v>
      </c>
      <c r="CK42">
        <v>2.3494045166283049</v>
      </c>
      <c r="CL42">
        <v>3030</v>
      </c>
      <c r="CM42">
        <v>1.0465116279069771E-2</v>
      </c>
      <c r="CN42">
        <v>7257977775.9488983</v>
      </c>
    </row>
    <row r="43" spans="1:96" x14ac:dyDescent="0.25">
      <c r="A43">
        <v>543</v>
      </c>
      <c r="B43" t="s">
        <v>132</v>
      </c>
      <c r="C43" t="s">
        <v>232</v>
      </c>
      <c r="D43" t="s">
        <v>332</v>
      </c>
      <c r="E43" t="s">
        <v>402</v>
      </c>
      <c r="F43">
        <v>1569420004</v>
      </c>
      <c r="G43">
        <v>31.33</v>
      </c>
      <c r="H43" t="s">
        <v>407</v>
      </c>
      <c r="I43">
        <v>49169928725.32</v>
      </c>
      <c r="J43" t="s">
        <v>413</v>
      </c>
      <c r="K43">
        <v>104407090.472541</v>
      </c>
      <c r="L43">
        <v>0.70000000000000007</v>
      </c>
      <c r="M43">
        <v>30302010</v>
      </c>
      <c r="O43">
        <v>2.9259268183552698</v>
      </c>
      <c r="P43">
        <v>1.5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2.379</v>
      </c>
      <c r="AR43">
        <v>3.2090000000000001</v>
      </c>
      <c r="AS43" t="s">
        <v>427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2.794</v>
      </c>
      <c r="CE43" t="s">
        <v>448</v>
      </c>
      <c r="CG43">
        <v>2.9259268183552698</v>
      </c>
      <c r="CH43">
        <v>1.5</v>
      </c>
      <c r="CI43">
        <v>2.2129634091776351</v>
      </c>
      <c r="CJ43">
        <v>-0.18</v>
      </c>
      <c r="CK43">
        <v>2.032963409177635</v>
      </c>
      <c r="CL43">
        <v>3030</v>
      </c>
      <c r="CM43">
        <v>1.0465116279069771E-2</v>
      </c>
      <c r="CN43">
        <v>34418950107.724007</v>
      </c>
    </row>
    <row r="44" spans="1:96" x14ac:dyDescent="0.25">
      <c r="A44">
        <v>786</v>
      </c>
      <c r="B44" t="s">
        <v>166</v>
      </c>
      <c r="C44" t="s">
        <v>266</v>
      </c>
      <c r="D44" t="s">
        <v>366</v>
      </c>
      <c r="E44" t="s">
        <v>401</v>
      </c>
      <c r="F44">
        <v>5893244000</v>
      </c>
      <c r="G44">
        <v>2.8784939999999999</v>
      </c>
      <c r="H44" t="s">
        <v>411</v>
      </c>
      <c r="I44">
        <v>16963667494.535999</v>
      </c>
      <c r="J44" t="s">
        <v>414</v>
      </c>
      <c r="K44">
        <v>32798433.932136402</v>
      </c>
      <c r="L44">
        <v>1</v>
      </c>
      <c r="M44">
        <v>30301010</v>
      </c>
      <c r="O44">
        <v>1.98835042585939</v>
      </c>
      <c r="P44">
        <v>1.5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2.2440000000000002</v>
      </c>
      <c r="AR44">
        <v>2.6379999999999999</v>
      </c>
      <c r="AS44" t="s">
        <v>427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2.4409999999999998</v>
      </c>
      <c r="CE44" t="s">
        <v>448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  <c r="CL44">
        <v>3030</v>
      </c>
      <c r="CM44">
        <v>1.0465116279069771E-2</v>
      </c>
      <c r="CN44">
        <v>16963667494.535999</v>
      </c>
    </row>
    <row r="45" spans="1:96" x14ac:dyDescent="0.25">
      <c r="A45">
        <v>862</v>
      </c>
      <c r="B45" t="s">
        <v>114</v>
      </c>
      <c r="C45" t="s">
        <v>214</v>
      </c>
      <c r="D45" t="s">
        <v>314</v>
      </c>
      <c r="E45" t="s">
        <v>399</v>
      </c>
      <c r="F45">
        <v>563724900</v>
      </c>
      <c r="G45">
        <v>10.87</v>
      </c>
      <c r="H45" t="s">
        <v>407</v>
      </c>
      <c r="I45">
        <v>6127689663</v>
      </c>
      <c r="J45" t="s">
        <v>413</v>
      </c>
      <c r="K45">
        <v>8755069.4216968194</v>
      </c>
      <c r="L45">
        <v>0.65</v>
      </c>
      <c r="M45">
        <v>35102000</v>
      </c>
      <c r="O45">
        <v>1.7450067698613001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2.177</v>
      </c>
      <c r="AR45">
        <v>2.6259999999999999</v>
      </c>
      <c r="AS45" t="s">
        <v>423</v>
      </c>
      <c r="AT45">
        <v>1</v>
      </c>
      <c r="AU45">
        <v>0</v>
      </c>
      <c r="AV45" t="s">
        <v>438</v>
      </c>
      <c r="AW45">
        <v>0</v>
      </c>
      <c r="AX45">
        <v>0</v>
      </c>
      <c r="AY45">
        <v>0</v>
      </c>
      <c r="CC45">
        <v>2.4015</v>
      </c>
      <c r="CE45" t="s">
        <v>448</v>
      </c>
      <c r="CG45">
        <v>1.7450067698613001</v>
      </c>
      <c r="CH45">
        <v>3.4</v>
      </c>
      <c r="CI45">
        <v>2.5725033849306498</v>
      </c>
      <c r="CJ45">
        <v>-0.18</v>
      </c>
      <c r="CK45">
        <v>2.3925033849306501</v>
      </c>
      <c r="CL45">
        <v>3510</v>
      </c>
      <c r="CM45">
        <v>1.0465116279069771E-2</v>
      </c>
      <c r="CN45">
        <v>3982998280.9499998</v>
      </c>
    </row>
    <row r="46" spans="1:96" x14ac:dyDescent="0.25">
      <c r="A46">
        <v>539</v>
      </c>
      <c r="B46" t="s">
        <v>135</v>
      </c>
      <c r="C46" t="s">
        <v>235</v>
      </c>
      <c r="D46" t="s">
        <v>335</v>
      </c>
      <c r="E46" t="s">
        <v>392</v>
      </c>
      <c r="F46">
        <v>76738691</v>
      </c>
      <c r="G46">
        <v>91.9</v>
      </c>
      <c r="H46" t="s">
        <v>407</v>
      </c>
      <c r="I46">
        <v>7052285702.9000006</v>
      </c>
      <c r="J46" t="s">
        <v>413</v>
      </c>
      <c r="K46">
        <v>10616904.702777799</v>
      </c>
      <c r="L46">
        <v>0.60000000000000009</v>
      </c>
      <c r="M46">
        <v>35102030</v>
      </c>
      <c r="O46">
        <v>2.2375872094998699</v>
      </c>
      <c r="P46">
        <v>2.08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2.1800000000000002</v>
      </c>
      <c r="AR46">
        <v>3.1019999999999999</v>
      </c>
      <c r="AS46" t="s">
        <v>423</v>
      </c>
      <c r="AT46">
        <v>1</v>
      </c>
      <c r="AU46">
        <v>0</v>
      </c>
      <c r="AV46" t="s">
        <v>431</v>
      </c>
      <c r="AW46">
        <v>0</v>
      </c>
      <c r="AX46">
        <v>0</v>
      </c>
      <c r="AY46">
        <v>0</v>
      </c>
      <c r="CC46">
        <v>2.641</v>
      </c>
      <c r="CE46" t="s">
        <v>448</v>
      </c>
      <c r="CG46">
        <v>2.2375872094998699</v>
      </c>
      <c r="CH46">
        <v>2.08</v>
      </c>
      <c r="CI46">
        <v>2.1587936047499352</v>
      </c>
      <c r="CJ46">
        <v>-0.18</v>
      </c>
      <c r="CK46">
        <v>1.978793604749935</v>
      </c>
      <c r="CL46">
        <v>3510</v>
      </c>
      <c r="CM46">
        <v>1.0465116279069771E-2</v>
      </c>
      <c r="CN46">
        <v>4231371421.7400012</v>
      </c>
    </row>
    <row r="47" spans="1:96" x14ac:dyDescent="0.25">
      <c r="A47">
        <v>1429</v>
      </c>
      <c r="B47" t="s">
        <v>138</v>
      </c>
      <c r="C47" t="s">
        <v>238</v>
      </c>
      <c r="D47" t="s">
        <v>338</v>
      </c>
      <c r="E47" t="s">
        <v>392</v>
      </c>
      <c r="F47">
        <v>142625428</v>
      </c>
      <c r="G47">
        <v>82.02</v>
      </c>
      <c r="H47" t="s">
        <v>407</v>
      </c>
      <c r="I47">
        <v>11698137604.559999</v>
      </c>
      <c r="J47" t="s">
        <v>413</v>
      </c>
      <c r="K47">
        <v>24417917.903809499</v>
      </c>
      <c r="L47">
        <v>0.85000000000000009</v>
      </c>
      <c r="M47">
        <v>35102045</v>
      </c>
      <c r="O47">
        <v>1.7463750143176899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2.6110000000000002</v>
      </c>
      <c r="AR47">
        <v>3.1669999999999998</v>
      </c>
      <c r="AS47" t="s">
        <v>423</v>
      </c>
      <c r="AT47">
        <v>1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2.8889999999999998</v>
      </c>
      <c r="CE47" t="s">
        <v>448</v>
      </c>
      <c r="CG47">
        <v>1.7463750143176899</v>
      </c>
      <c r="CH47">
        <v>2.7</v>
      </c>
      <c r="CI47">
        <v>2.2231875071588449</v>
      </c>
      <c r="CJ47">
        <v>-0.3</v>
      </c>
      <c r="CK47">
        <v>1.9231875071588449</v>
      </c>
      <c r="CL47">
        <v>3510</v>
      </c>
      <c r="CM47">
        <v>1.0465116279069771E-2</v>
      </c>
      <c r="CN47">
        <v>9943416963.8760014</v>
      </c>
    </row>
    <row r="48" spans="1:96" x14ac:dyDescent="0.25">
      <c r="A48">
        <v>781</v>
      </c>
      <c r="B48" t="s">
        <v>183</v>
      </c>
      <c r="C48" t="s">
        <v>283</v>
      </c>
      <c r="D48" t="s">
        <v>383</v>
      </c>
      <c r="E48" t="s">
        <v>401</v>
      </c>
      <c r="F48">
        <v>744937900</v>
      </c>
      <c r="G48">
        <v>6.8970200000000004</v>
      </c>
      <c r="H48" t="s">
        <v>411</v>
      </c>
      <c r="I48">
        <v>5137851595.0580006</v>
      </c>
      <c r="J48" t="s">
        <v>414</v>
      </c>
      <c r="K48">
        <v>14821728.319426199</v>
      </c>
      <c r="L48">
        <v>1</v>
      </c>
      <c r="M48">
        <v>35102000</v>
      </c>
      <c r="O48">
        <v>1.7395630247731899</v>
      </c>
      <c r="P48">
        <v>1.5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2.242</v>
      </c>
      <c r="AR48">
        <v>2.879</v>
      </c>
      <c r="AS48" t="s">
        <v>423</v>
      </c>
      <c r="AT48">
        <v>1</v>
      </c>
      <c r="AU48">
        <v>0</v>
      </c>
      <c r="AV48" t="s">
        <v>440</v>
      </c>
      <c r="AW48">
        <v>0</v>
      </c>
      <c r="AX48">
        <v>0</v>
      </c>
      <c r="AY48">
        <v>0</v>
      </c>
      <c r="CC48">
        <v>2.5605000000000002</v>
      </c>
      <c r="CE48" t="s">
        <v>448</v>
      </c>
      <c r="CG48">
        <v>1.7395630247731899</v>
      </c>
      <c r="CH48">
        <v>1.5</v>
      </c>
      <c r="CI48">
        <v>1.6197815123865951</v>
      </c>
      <c r="CJ48">
        <v>-0.3</v>
      </c>
      <c r="CK48">
        <v>1.319781512386595</v>
      </c>
      <c r="CL48">
        <v>3510</v>
      </c>
      <c r="CM48">
        <v>1.0465116279069771E-2</v>
      </c>
      <c r="CN48">
        <v>5137851595.0580006</v>
      </c>
    </row>
    <row r="49" spans="1:92" x14ac:dyDescent="0.25">
      <c r="A49">
        <v>321</v>
      </c>
      <c r="B49" t="s">
        <v>161</v>
      </c>
      <c r="C49" t="s">
        <v>261</v>
      </c>
      <c r="D49" t="s">
        <v>361</v>
      </c>
      <c r="E49" t="s">
        <v>396</v>
      </c>
      <c r="F49">
        <v>200005980</v>
      </c>
      <c r="G49">
        <v>69</v>
      </c>
      <c r="H49" t="s">
        <v>407</v>
      </c>
      <c r="I49">
        <v>13800412620</v>
      </c>
      <c r="J49" t="s">
        <v>413</v>
      </c>
      <c r="K49">
        <v>24556942.140819699</v>
      </c>
      <c r="L49">
        <v>0.55000000000000004</v>
      </c>
      <c r="M49">
        <v>40101025</v>
      </c>
      <c r="O49">
        <v>1.99537761888822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2.4060000000000001</v>
      </c>
      <c r="AR49">
        <v>2.6320000000000001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2.5190000000000001</v>
      </c>
      <c r="CE49" t="s">
        <v>448</v>
      </c>
      <c r="CG49">
        <v>1.99537761888822</v>
      </c>
      <c r="CH49">
        <v>1.5</v>
      </c>
      <c r="CI49">
        <v>1.7476888094441101</v>
      </c>
      <c r="CJ49">
        <v>-0.24</v>
      </c>
      <c r="CK49">
        <v>1.5076888094441101</v>
      </c>
      <c r="CL49">
        <v>4010</v>
      </c>
      <c r="CM49">
        <v>1.0465116279069771E-2</v>
      </c>
      <c r="CN49">
        <v>7590226941.000001</v>
      </c>
    </row>
    <row r="50" spans="1:92" x14ac:dyDescent="0.25">
      <c r="A50">
        <v>202</v>
      </c>
      <c r="B50" t="s">
        <v>170</v>
      </c>
      <c r="C50" t="s">
        <v>270</v>
      </c>
      <c r="D50" t="s">
        <v>370</v>
      </c>
      <c r="E50" t="s">
        <v>396</v>
      </c>
      <c r="F50">
        <v>579795650</v>
      </c>
      <c r="G50">
        <v>82.58</v>
      </c>
      <c r="H50" t="s">
        <v>407</v>
      </c>
      <c r="I50">
        <v>47879524777</v>
      </c>
      <c r="J50" t="s">
        <v>413</v>
      </c>
      <c r="K50">
        <v>97231108.921311393</v>
      </c>
      <c r="L50">
        <v>0.5</v>
      </c>
      <c r="M50">
        <v>40101020</v>
      </c>
      <c r="O50">
        <v>1.7483805263697001</v>
      </c>
      <c r="P50">
        <v>1.5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2.3959999999999999</v>
      </c>
      <c r="AR50">
        <v>2.3119999999999998</v>
      </c>
      <c r="AS50" t="s">
        <v>418</v>
      </c>
      <c r="AT50">
        <v>1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2.3540000000000001</v>
      </c>
      <c r="CE50" t="s">
        <v>448</v>
      </c>
      <c r="CG50">
        <v>1.7483805263697001</v>
      </c>
      <c r="CH50">
        <v>1.5</v>
      </c>
      <c r="CI50">
        <v>1.6241902631848499</v>
      </c>
      <c r="CJ50">
        <v>-0.24</v>
      </c>
      <c r="CK50">
        <v>1.3841902631848499</v>
      </c>
      <c r="CL50">
        <v>4010</v>
      </c>
      <c r="CM50">
        <v>1.0465116279069771E-2</v>
      </c>
      <c r="CN50">
        <v>23939762388.5</v>
      </c>
    </row>
    <row r="51" spans="1:92" x14ac:dyDescent="0.25">
      <c r="A51">
        <v>189</v>
      </c>
      <c r="B51" t="s">
        <v>145</v>
      </c>
      <c r="C51" t="s">
        <v>245</v>
      </c>
      <c r="D51" t="s">
        <v>345</v>
      </c>
      <c r="E51" t="s">
        <v>401</v>
      </c>
      <c r="F51">
        <v>118657364</v>
      </c>
      <c r="G51">
        <v>28.04748</v>
      </c>
      <c r="H51" t="s">
        <v>411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  <c r="CL51">
        <v>4020</v>
      </c>
      <c r="CM51">
        <v>1.0465116279069771E-2</v>
      </c>
      <c r="CN51">
        <v>3328040043.6427202</v>
      </c>
    </row>
    <row r="52" spans="1:92" x14ac:dyDescent="0.25">
      <c r="A52">
        <v>1033</v>
      </c>
      <c r="B52" t="s">
        <v>160</v>
      </c>
      <c r="C52" t="s">
        <v>260</v>
      </c>
      <c r="D52" t="s">
        <v>360</v>
      </c>
      <c r="E52" t="s">
        <v>401</v>
      </c>
      <c r="F52">
        <v>319915900</v>
      </c>
      <c r="G52">
        <v>14.61008</v>
      </c>
      <c r="H52" t="s">
        <v>411</v>
      </c>
      <c r="I52">
        <v>4673996892.2720003</v>
      </c>
      <c r="J52" t="s">
        <v>414</v>
      </c>
      <c r="K52">
        <v>15670413.556200899</v>
      </c>
      <c r="L52">
        <v>1</v>
      </c>
      <c r="M52">
        <v>40202010</v>
      </c>
      <c r="O52">
        <v>1.9955323498800199</v>
      </c>
      <c r="P52">
        <v>1.5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2.8759999999999999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2.5165000000000002</v>
      </c>
      <c r="CE52" t="s">
        <v>448</v>
      </c>
      <c r="CG52">
        <v>1.9955323498800199</v>
      </c>
      <c r="CH52">
        <v>1.5</v>
      </c>
      <c r="CI52">
        <v>1.74776617494001</v>
      </c>
      <c r="CJ52">
        <v>-0.24</v>
      </c>
      <c r="CK52">
        <v>1.50776617494001</v>
      </c>
      <c r="CL52">
        <v>4020</v>
      </c>
      <c r="CM52">
        <v>1.0465116279069771E-2</v>
      </c>
      <c r="CN52">
        <v>4673996892.2720003</v>
      </c>
    </row>
    <row r="53" spans="1:92" x14ac:dyDescent="0.25">
      <c r="A53">
        <v>171</v>
      </c>
      <c r="B53" t="s">
        <v>164</v>
      </c>
      <c r="C53" t="s">
        <v>264</v>
      </c>
      <c r="D53" t="s">
        <v>364</v>
      </c>
      <c r="E53" t="s">
        <v>401</v>
      </c>
      <c r="F53">
        <v>1450318700</v>
      </c>
      <c r="G53">
        <v>5.1331730000000002</v>
      </c>
      <c r="H53" t="s">
        <v>411</v>
      </c>
      <c r="I53">
        <v>7444736792.2351007</v>
      </c>
      <c r="J53" t="s">
        <v>414</v>
      </c>
      <c r="K53">
        <v>20081175.638739999</v>
      </c>
      <c r="L53">
        <v>1</v>
      </c>
      <c r="M53">
        <v>40202010</v>
      </c>
      <c r="O53">
        <v>1.7482663894438499</v>
      </c>
      <c r="P53">
        <v>1.77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2.4900000000000002</v>
      </c>
      <c r="AR53">
        <v>3.2989999999999999</v>
      </c>
      <c r="AS53" t="s">
        <v>422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2.8944999999999999</v>
      </c>
      <c r="CE53" t="s">
        <v>448</v>
      </c>
      <c r="CG53">
        <v>1.7482663894438499</v>
      </c>
      <c r="CH53">
        <v>1.77</v>
      </c>
      <c r="CI53">
        <v>1.7591331947219251</v>
      </c>
      <c r="CJ53">
        <v>-0.3</v>
      </c>
      <c r="CK53">
        <v>1.459133194721925</v>
      </c>
      <c r="CL53">
        <v>4020</v>
      </c>
      <c r="CM53">
        <v>1.0465116279069771E-2</v>
      </c>
      <c r="CN53">
        <v>7444736792.2351007</v>
      </c>
    </row>
    <row r="54" spans="1:92" x14ac:dyDescent="0.25">
      <c r="A54">
        <v>1336</v>
      </c>
      <c r="B54" t="s">
        <v>171</v>
      </c>
      <c r="C54" t="s">
        <v>271</v>
      </c>
      <c r="D54" t="s">
        <v>371</v>
      </c>
      <c r="E54" t="s">
        <v>401</v>
      </c>
      <c r="F54">
        <v>3540041300</v>
      </c>
      <c r="G54">
        <v>1.3824259999999999</v>
      </c>
      <c r="H54" t="s">
        <v>411</v>
      </c>
      <c r="I54">
        <v>4893845134.1938</v>
      </c>
      <c r="J54" t="s">
        <v>414</v>
      </c>
      <c r="K54">
        <v>19580322.357266299</v>
      </c>
      <c r="L54">
        <v>1</v>
      </c>
      <c r="M54">
        <v>40202010</v>
      </c>
      <c r="O54">
        <v>1.7480510479370199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2.7679999999999998</v>
      </c>
      <c r="AS54" t="s">
        <v>422</v>
      </c>
      <c r="AT54">
        <v>1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2.629</v>
      </c>
      <c r="CE54" t="s">
        <v>448</v>
      </c>
      <c r="CG54">
        <v>1.7480510479370199</v>
      </c>
      <c r="CH54">
        <v>1.5</v>
      </c>
      <c r="CI54">
        <v>1.62402552396851</v>
      </c>
      <c r="CJ54">
        <v>-0.24</v>
      </c>
      <c r="CK54">
        <v>1.38402552396851</v>
      </c>
      <c r="CL54">
        <v>4020</v>
      </c>
      <c r="CM54">
        <v>1.0465116279069771E-2</v>
      </c>
      <c r="CN54">
        <v>4893845134.1938</v>
      </c>
    </row>
    <row r="55" spans="1:92" x14ac:dyDescent="0.25">
      <c r="A55">
        <v>809</v>
      </c>
      <c r="B55" t="s">
        <v>177</v>
      </c>
      <c r="C55" t="s">
        <v>277</v>
      </c>
      <c r="D55" t="s">
        <v>377</v>
      </c>
      <c r="E55" t="s">
        <v>392</v>
      </c>
      <c r="F55">
        <v>534311946</v>
      </c>
      <c r="G55">
        <v>346.1</v>
      </c>
      <c r="H55" t="s">
        <v>407</v>
      </c>
      <c r="I55">
        <v>184925364510.60001</v>
      </c>
      <c r="J55" t="s">
        <v>413</v>
      </c>
      <c r="K55">
        <v>150007719.04285699</v>
      </c>
      <c r="L55">
        <v>0.45</v>
      </c>
      <c r="M55">
        <v>40204035</v>
      </c>
      <c r="O55">
        <v>1.74938320831028</v>
      </c>
      <c r="P55">
        <v>1.5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2.4470000000000001</v>
      </c>
      <c r="AR55">
        <v>2.8420000000000001</v>
      </c>
      <c r="AS55" t="s">
        <v>418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2.6444999999999999</v>
      </c>
      <c r="CE55" t="s">
        <v>448</v>
      </c>
      <c r="CG55">
        <v>1.74938320831028</v>
      </c>
      <c r="CH55">
        <v>1.5</v>
      </c>
      <c r="CI55">
        <v>1.62469160415514</v>
      </c>
      <c r="CJ55">
        <v>-0.3</v>
      </c>
      <c r="CK55">
        <v>1.32469160415514</v>
      </c>
      <c r="CL55">
        <v>4020</v>
      </c>
      <c r="CM55">
        <v>1.0465116279069771E-2</v>
      </c>
      <c r="CN55">
        <v>83216414029.770004</v>
      </c>
    </row>
    <row r="56" spans="1:92" x14ac:dyDescent="0.25">
      <c r="A56">
        <v>1517</v>
      </c>
      <c r="B56" t="s">
        <v>152</v>
      </c>
      <c r="C56" t="s">
        <v>252</v>
      </c>
      <c r="D56" t="s">
        <v>352</v>
      </c>
      <c r="E56" t="s">
        <v>401</v>
      </c>
      <c r="F56">
        <v>1078802400</v>
      </c>
      <c r="G56">
        <v>9.1105959999999993</v>
      </c>
      <c r="H56" t="s">
        <v>411</v>
      </c>
      <c r="I56">
        <v>9828532830.2304001</v>
      </c>
      <c r="J56" t="s">
        <v>414</v>
      </c>
      <c r="K56">
        <v>20881891.102371901</v>
      </c>
      <c r="L56">
        <v>0.95</v>
      </c>
      <c r="M56">
        <v>40301020</v>
      </c>
      <c r="O56">
        <v>1.9934117984292601</v>
      </c>
      <c r="P56">
        <v>1.5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2.2429999999999999</v>
      </c>
      <c r="AR56">
        <v>3.0659999999999998</v>
      </c>
      <c r="AS56" t="s">
        <v>430</v>
      </c>
      <c r="AT56">
        <v>0</v>
      </c>
      <c r="AU56">
        <v>0</v>
      </c>
      <c r="AV56" t="s">
        <v>446</v>
      </c>
      <c r="AW56">
        <v>0</v>
      </c>
      <c r="AX56">
        <v>0</v>
      </c>
      <c r="AY56">
        <v>0</v>
      </c>
      <c r="CC56">
        <v>2.6545000000000001</v>
      </c>
      <c r="CE56" t="s">
        <v>448</v>
      </c>
      <c r="CG56">
        <v>1.9934117984292601</v>
      </c>
      <c r="CH56">
        <v>1.5</v>
      </c>
      <c r="CI56">
        <v>1.74670589921463</v>
      </c>
      <c r="CJ56">
        <v>-0.18</v>
      </c>
      <c r="CK56">
        <v>1.5667058992146301</v>
      </c>
      <c r="CL56">
        <v>4030</v>
      </c>
      <c r="CM56">
        <v>1.0465116279069771E-2</v>
      </c>
      <c r="CN56">
        <v>9337106188.7188797</v>
      </c>
    </row>
    <row r="57" spans="1:92" x14ac:dyDescent="0.25">
      <c r="A57">
        <v>1098</v>
      </c>
      <c r="B57" t="s">
        <v>154</v>
      </c>
      <c r="C57" t="s">
        <v>254</v>
      </c>
      <c r="D57" t="s">
        <v>354</v>
      </c>
      <c r="E57" t="s">
        <v>394</v>
      </c>
      <c r="F57">
        <v>1907070957</v>
      </c>
      <c r="G57">
        <v>47.26</v>
      </c>
      <c r="H57" t="s">
        <v>407</v>
      </c>
      <c r="I57">
        <v>90128173427.819992</v>
      </c>
      <c r="J57" t="s">
        <v>413</v>
      </c>
      <c r="K57">
        <v>34161920.378412701</v>
      </c>
      <c r="L57">
        <v>1</v>
      </c>
      <c r="M57">
        <v>40301030</v>
      </c>
      <c r="O57">
        <v>1.9831746989669301</v>
      </c>
      <c r="P57">
        <v>1.5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2.4740000000000002</v>
      </c>
      <c r="AR57">
        <v>3.2949999999999999</v>
      </c>
      <c r="AS57" t="s">
        <v>430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2.8845000000000001</v>
      </c>
      <c r="CE57" t="s">
        <v>448</v>
      </c>
      <c r="CG57">
        <v>1.9831746989669301</v>
      </c>
      <c r="CH57">
        <v>1.5</v>
      </c>
      <c r="CI57">
        <v>1.7415873494834651</v>
      </c>
      <c r="CJ57">
        <v>-0.18</v>
      </c>
      <c r="CK57">
        <v>1.5615873494834649</v>
      </c>
      <c r="CL57">
        <v>4030</v>
      </c>
      <c r="CM57">
        <v>1.0465116279069771E-2</v>
      </c>
      <c r="CN57">
        <v>90128173427.819992</v>
      </c>
    </row>
    <row r="58" spans="1:92" x14ac:dyDescent="0.25">
      <c r="A58">
        <v>1512</v>
      </c>
      <c r="B58" t="s">
        <v>175</v>
      </c>
      <c r="C58" t="s">
        <v>275</v>
      </c>
      <c r="D58" t="s">
        <v>375</v>
      </c>
      <c r="E58" t="s">
        <v>394</v>
      </c>
      <c r="F58">
        <v>238516153</v>
      </c>
      <c r="G58">
        <v>172.6</v>
      </c>
      <c r="H58" t="s">
        <v>407</v>
      </c>
      <c r="I58">
        <v>41167888007.800003</v>
      </c>
      <c r="J58" t="s">
        <v>413</v>
      </c>
      <c r="K58">
        <v>74863714.427777797</v>
      </c>
      <c r="L58">
        <v>1</v>
      </c>
      <c r="M58">
        <v>40301030</v>
      </c>
      <c r="O58">
        <v>1.5670644957319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</v>
      </c>
      <c r="AR58">
        <v>3.66</v>
      </c>
      <c r="AS58" t="s">
        <v>430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2.895</v>
      </c>
      <c r="CE58" t="s">
        <v>448</v>
      </c>
      <c r="CG58">
        <v>1.5670644957319</v>
      </c>
      <c r="CH58">
        <v>1.5</v>
      </c>
      <c r="CI58">
        <v>1.5335322478659501</v>
      </c>
      <c r="CJ58">
        <v>-0.18</v>
      </c>
      <c r="CK58">
        <v>1.3535322478659499</v>
      </c>
      <c r="CL58">
        <v>4030</v>
      </c>
      <c r="CM58">
        <v>1.0465116279069771E-2</v>
      </c>
      <c r="CN58">
        <v>41167888007.800003</v>
      </c>
    </row>
    <row r="59" spans="1:92" x14ac:dyDescent="0.25">
      <c r="A59">
        <v>931</v>
      </c>
      <c r="B59" t="s">
        <v>153</v>
      </c>
      <c r="C59" t="s">
        <v>253</v>
      </c>
      <c r="D59" t="s">
        <v>353</v>
      </c>
      <c r="E59" t="s">
        <v>401</v>
      </c>
      <c r="F59">
        <v>123443540</v>
      </c>
      <c r="G59">
        <v>121.0757</v>
      </c>
      <c r="H59" t="s">
        <v>411</v>
      </c>
      <c r="I59">
        <v>14946013015.978001</v>
      </c>
      <c r="J59" t="s">
        <v>414</v>
      </c>
      <c r="K59">
        <v>22701103.9734562</v>
      </c>
      <c r="L59">
        <v>0.9</v>
      </c>
      <c r="M59">
        <v>40401010</v>
      </c>
      <c r="O59">
        <v>1.98869886550994</v>
      </c>
      <c r="P59">
        <v>1.5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2.3570000000000002</v>
      </c>
      <c r="AR59">
        <v>2.1</v>
      </c>
      <c r="AS59" t="s">
        <v>429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2.2284999999999999</v>
      </c>
      <c r="CE59" t="s">
        <v>448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1.5643494327549701</v>
      </c>
      <c r="CL59">
        <v>4040</v>
      </c>
      <c r="CM59">
        <v>1.0465116279069771E-2</v>
      </c>
      <c r="CN59">
        <v>13451411714.380199</v>
      </c>
    </row>
    <row r="60" spans="1:92" x14ac:dyDescent="0.25">
      <c r="A60">
        <v>747</v>
      </c>
      <c r="B60" t="s">
        <v>159</v>
      </c>
      <c r="C60" t="s">
        <v>259</v>
      </c>
      <c r="D60" t="s">
        <v>359</v>
      </c>
      <c r="E60" t="s">
        <v>401</v>
      </c>
      <c r="F60">
        <v>1788668100</v>
      </c>
      <c r="G60">
        <v>2.9667460000000001</v>
      </c>
      <c r="H60" t="s">
        <v>411</v>
      </c>
      <c r="I60">
        <v>5306523931.0025997</v>
      </c>
      <c r="J60" t="s">
        <v>414</v>
      </c>
      <c r="K60">
        <v>14671962.5543341</v>
      </c>
      <c r="L60">
        <v>0.85</v>
      </c>
      <c r="M60">
        <v>40401025</v>
      </c>
      <c r="O60">
        <v>1.99679915892727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2.3319999999999999</v>
      </c>
      <c r="AR60">
        <v>3.3580000000000001</v>
      </c>
      <c r="AS60" t="s">
        <v>429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2.8450000000000002</v>
      </c>
      <c r="CE60" t="s">
        <v>448</v>
      </c>
      <c r="CG60">
        <v>1.99679915892727</v>
      </c>
      <c r="CH60">
        <v>1.5</v>
      </c>
      <c r="CI60">
        <v>1.7483995794636349</v>
      </c>
      <c r="CJ60">
        <v>-0.24</v>
      </c>
      <c r="CK60">
        <v>1.5083995794636349</v>
      </c>
      <c r="CL60">
        <v>4040</v>
      </c>
      <c r="CM60">
        <v>1.0465116279069771E-2</v>
      </c>
      <c r="CN60">
        <v>4510545341.35221</v>
      </c>
    </row>
    <row r="61" spans="1:92" x14ac:dyDescent="0.25">
      <c r="A61">
        <v>1133</v>
      </c>
      <c r="B61" t="s">
        <v>139</v>
      </c>
      <c r="C61" t="s">
        <v>239</v>
      </c>
      <c r="D61" t="s">
        <v>339</v>
      </c>
      <c r="E61" t="s">
        <v>395</v>
      </c>
      <c r="F61">
        <v>1074613824</v>
      </c>
      <c r="G61">
        <v>20.260000000000002</v>
      </c>
      <c r="H61" t="s">
        <v>407</v>
      </c>
      <c r="I61">
        <v>21771676074.240002</v>
      </c>
      <c r="J61" t="s">
        <v>413</v>
      </c>
      <c r="K61">
        <v>37482966.910301603</v>
      </c>
      <c r="L61">
        <v>1</v>
      </c>
      <c r="M61">
        <v>40501010</v>
      </c>
      <c r="O61">
        <v>1.6201795191173001</v>
      </c>
      <c r="P61">
        <v>2.7</v>
      </c>
      <c r="Q61" t="s">
        <v>417</v>
      </c>
      <c r="R61" t="s">
        <v>421</v>
      </c>
      <c r="S61">
        <v>0</v>
      </c>
      <c r="T61">
        <v>0.01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</v>
      </c>
      <c r="AR61">
        <v>3.0049999999999999</v>
      </c>
      <c r="AS61" t="s">
        <v>425</v>
      </c>
      <c r="AT61">
        <v>1</v>
      </c>
      <c r="AU61">
        <v>0</v>
      </c>
      <c r="AV61" t="s">
        <v>434</v>
      </c>
      <c r="AW61">
        <v>0</v>
      </c>
      <c r="AX61">
        <v>0</v>
      </c>
      <c r="AY61">
        <v>0</v>
      </c>
      <c r="CC61">
        <v>2.4125000000000001</v>
      </c>
      <c r="CE61" t="s">
        <v>448</v>
      </c>
      <c r="CG61">
        <v>1.6201795191173001</v>
      </c>
      <c r="CH61">
        <v>2.7</v>
      </c>
      <c r="CI61">
        <v>2.1600897595586499</v>
      </c>
      <c r="CJ61">
        <v>-0.24</v>
      </c>
      <c r="CK61">
        <v>1.9200897595586499</v>
      </c>
      <c r="CL61">
        <v>4050</v>
      </c>
      <c r="CM61">
        <v>1.0465116279069771E-2</v>
      </c>
      <c r="CN61">
        <v>21771676074.240002</v>
      </c>
    </row>
    <row r="62" spans="1:92" x14ac:dyDescent="0.25">
      <c r="A62">
        <v>815</v>
      </c>
      <c r="B62" t="s">
        <v>163</v>
      </c>
      <c r="C62" t="s">
        <v>263</v>
      </c>
      <c r="D62" t="s">
        <v>363</v>
      </c>
      <c r="E62" t="s">
        <v>396</v>
      </c>
      <c r="F62">
        <v>1200015000</v>
      </c>
      <c r="G62">
        <v>6.3940000000000001</v>
      </c>
      <c r="H62" t="s">
        <v>407</v>
      </c>
      <c r="I62">
        <v>7672895910</v>
      </c>
      <c r="J62" t="s">
        <v>413</v>
      </c>
      <c r="K62">
        <v>40455426.200245902</v>
      </c>
      <c r="L62">
        <v>0.85</v>
      </c>
      <c r="M62">
        <v>40501010</v>
      </c>
      <c r="O62">
        <v>1.83638692207139</v>
      </c>
      <c r="P62">
        <v>1.5</v>
      </c>
      <c r="Q62" t="s">
        <v>416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2.17</v>
      </c>
      <c r="AR62">
        <v>2.78</v>
      </c>
      <c r="AS62" t="s">
        <v>425</v>
      </c>
      <c r="AT62">
        <v>1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2.4750000000000001</v>
      </c>
      <c r="CE62" t="s">
        <v>448</v>
      </c>
      <c r="CG62">
        <v>1.83638692207139</v>
      </c>
      <c r="CH62">
        <v>1.5</v>
      </c>
      <c r="CI62">
        <v>1.668193461035695</v>
      </c>
      <c r="CJ62">
        <v>-0.18</v>
      </c>
      <c r="CK62">
        <v>1.4881934610356951</v>
      </c>
      <c r="CL62">
        <v>4050</v>
      </c>
      <c r="CM62">
        <v>1.0465116279069771E-2</v>
      </c>
      <c r="CN62">
        <v>6521961523.5</v>
      </c>
    </row>
    <row r="63" spans="1:92" x14ac:dyDescent="0.25">
      <c r="A63">
        <v>1419</v>
      </c>
      <c r="B63" t="s">
        <v>176</v>
      </c>
      <c r="C63" t="s">
        <v>276</v>
      </c>
      <c r="D63" t="s">
        <v>376</v>
      </c>
      <c r="E63" t="s">
        <v>396</v>
      </c>
      <c r="F63">
        <v>507431030</v>
      </c>
      <c r="G63">
        <v>6.5759999999999996</v>
      </c>
      <c r="H63" t="s">
        <v>407</v>
      </c>
      <c r="I63">
        <v>3336866453.2800002</v>
      </c>
      <c r="J63" t="s">
        <v>413</v>
      </c>
      <c r="K63">
        <v>30812669.2248688</v>
      </c>
      <c r="L63">
        <v>0.9</v>
      </c>
      <c r="M63">
        <v>40501015</v>
      </c>
      <c r="O63">
        <v>1.76815424438663</v>
      </c>
      <c r="P63">
        <v>1.5</v>
      </c>
      <c r="Q63" t="s">
        <v>415</v>
      </c>
      <c r="R63" t="s">
        <v>420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2.5910000000000002</v>
      </c>
      <c r="AR63">
        <v>2.93</v>
      </c>
      <c r="AS63" t="s">
        <v>428</v>
      </c>
      <c r="AT63">
        <v>0</v>
      </c>
      <c r="AU63">
        <v>0</v>
      </c>
      <c r="AV63" t="s">
        <v>435</v>
      </c>
      <c r="AW63">
        <v>0</v>
      </c>
      <c r="AX63">
        <v>0</v>
      </c>
      <c r="AY63">
        <v>0</v>
      </c>
      <c r="CC63">
        <v>2.7605</v>
      </c>
      <c r="CE63" t="s">
        <v>448</v>
      </c>
      <c r="CG63">
        <v>1.76815424438663</v>
      </c>
      <c r="CH63">
        <v>1.5</v>
      </c>
      <c r="CI63">
        <v>1.634077122193315</v>
      </c>
      <c r="CJ63">
        <v>-0.3</v>
      </c>
      <c r="CK63">
        <v>1.334077122193315</v>
      </c>
      <c r="CL63">
        <v>4050</v>
      </c>
      <c r="CM63">
        <v>1.0465116279069771E-2</v>
      </c>
      <c r="CN63">
        <v>3003179807.9520001</v>
      </c>
    </row>
    <row r="64" spans="1:92" x14ac:dyDescent="0.25">
      <c r="A64">
        <v>391</v>
      </c>
      <c r="B64" t="s">
        <v>156</v>
      </c>
      <c r="C64" t="s">
        <v>256</v>
      </c>
      <c r="D64" t="s">
        <v>356</v>
      </c>
      <c r="E64" t="s">
        <v>401</v>
      </c>
      <c r="F64">
        <v>2225173800</v>
      </c>
      <c r="G64">
        <v>26.475850000000001</v>
      </c>
      <c r="H64" t="s">
        <v>411</v>
      </c>
      <c r="I64">
        <v>58913367752.730003</v>
      </c>
      <c r="J64" t="s">
        <v>414</v>
      </c>
      <c r="K64">
        <v>91262542.967915595</v>
      </c>
      <c r="L64">
        <v>1</v>
      </c>
      <c r="M64">
        <v>45101015</v>
      </c>
      <c r="O64">
        <v>1.96375273677233</v>
      </c>
      <c r="P64">
        <v>1.5</v>
      </c>
      <c r="Q64" t="s">
        <v>416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2.117</v>
      </c>
      <c r="AR64">
        <v>3.198</v>
      </c>
      <c r="AS64" t="s">
        <v>418</v>
      </c>
      <c r="AT64">
        <v>1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2.6575000000000002</v>
      </c>
      <c r="CE64" t="s">
        <v>448</v>
      </c>
      <c r="CG64">
        <v>1.96375273677233</v>
      </c>
      <c r="CH64">
        <v>1.5</v>
      </c>
      <c r="CI64">
        <v>1.7318763683861651</v>
      </c>
      <c r="CJ64">
        <v>-0.18</v>
      </c>
      <c r="CK64">
        <v>1.5518763683861649</v>
      </c>
      <c r="CL64">
        <v>4510</v>
      </c>
      <c r="CM64">
        <v>1.0465116279069771E-2</v>
      </c>
      <c r="CN64">
        <v>58913367752.730003</v>
      </c>
    </row>
    <row r="65" spans="1:92" x14ac:dyDescent="0.25">
      <c r="A65">
        <v>1010</v>
      </c>
      <c r="B65" t="s">
        <v>167</v>
      </c>
      <c r="C65" t="s">
        <v>267</v>
      </c>
      <c r="D65" t="s">
        <v>367</v>
      </c>
      <c r="E65" t="s">
        <v>398</v>
      </c>
      <c r="F65">
        <v>1001430970</v>
      </c>
      <c r="G65">
        <v>9.1671560000000003</v>
      </c>
      <c r="H65" t="s">
        <v>409</v>
      </c>
      <c r="I65">
        <v>9180273925.2213211</v>
      </c>
      <c r="J65" t="s">
        <v>414</v>
      </c>
      <c r="K65">
        <v>9237785.1270873696</v>
      </c>
      <c r="L65">
        <v>0.75</v>
      </c>
      <c r="M65">
        <v>45102020</v>
      </c>
      <c r="O65">
        <v>1.7387081680102601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2.3149999999999999</v>
      </c>
      <c r="AR65">
        <v>3.2949999999999999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2.8050000000000002</v>
      </c>
      <c r="CE65" t="s">
        <v>448</v>
      </c>
      <c r="CG65">
        <v>1.7387081680102601</v>
      </c>
      <c r="CH65">
        <v>1.5</v>
      </c>
      <c r="CI65">
        <v>1.6193540840051299</v>
      </c>
      <c r="CJ65">
        <v>-0.18</v>
      </c>
      <c r="CK65">
        <v>1.43935408400513</v>
      </c>
      <c r="CL65">
        <v>4510</v>
      </c>
      <c r="CM65">
        <v>1.0465116279069771E-2</v>
      </c>
      <c r="CN65">
        <v>6885205443.9159908</v>
      </c>
    </row>
    <row r="66" spans="1:92" x14ac:dyDescent="0.25">
      <c r="A66">
        <v>923</v>
      </c>
      <c r="B66" t="s">
        <v>173</v>
      </c>
      <c r="C66" t="s">
        <v>273</v>
      </c>
      <c r="D66" t="s">
        <v>373</v>
      </c>
      <c r="E66" t="s">
        <v>404</v>
      </c>
      <c r="F66">
        <v>2620000000</v>
      </c>
      <c r="G66">
        <v>90.485759999999999</v>
      </c>
      <c r="H66" t="s">
        <v>412</v>
      </c>
      <c r="I66">
        <v>237072691200</v>
      </c>
      <c r="J66" t="s">
        <v>414</v>
      </c>
      <c r="K66">
        <v>395799404.31295902</v>
      </c>
      <c r="L66">
        <v>1</v>
      </c>
      <c r="M66">
        <v>45102020</v>
      </c>
      <c r="O66">
        <v>1.74112504395241</v>
      </c>
      <c r="P66">
        <v>1.5</v>
      </c>
      <c r="Q66" t="s">
        <v>417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2.2480000000000002</v>
      </c>
      <c r="AR66">
        <v>2.8980000000000001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2.573</v>
      </c>
      <c r="CE66" t="s">
        <v>448</v>
      </c>
      <c r="CG66">
        <v>1.74112504395241</v>
      </c>
      <c r="CH66">
        <v>1.5</v>
      </c>
      <c r="CI66">
        <v>1.620562521976205</v>
      </c>
      <c r="CJ66">
        <v>-0.24</v>
      </c>
      <c r="CK66">
        <v>1.380562521976205</v>
      </c>
      <c r="CL66">
        <v>4510</v>
      </c>
      <c r="CM66">
        <v>1.0465116279069771E-2</v>
      </c>
      <c r="CN66">
        <v>237072691200</v>
      </c>
    </row>
    <row r="67" spans="1:92" x14ac:dyDescent="0.25">
      <c r="A67">
        <v>173</v>
      </c>
      <c r="B67" t="s">
        <v>179</v>
      </c>
      <c r="C67" t="s">
        <v>279</v>
      </c>
      <c r="D67" t="s">
        <v>379</v>
      </c>
      <c r="E67" t="s">
        <v>404</v>
      </c>
      <c r="F67">
        <v>5488858</v>
      </c>
      <c r="G67">
        <v>1126.021</v>
      </c>
      <c r="H67" t="s">
        <v>412</v>
      </c>
      <c r="I67">
        <v>6180569374.0179996</v>
      </c>
      <c r="J67" t="s">
        <v>414</v>
      </c>
      <c r="K67">
        <v>21337047.627355602</v>
      </c>
      <c r="L67">
        <v>0.7</v>
      </c>
      <c r="M67">
        <v>45102020</v>
      </c>
      <c r="O67">
        <v>1.7426036975708401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1.829</v>
      </c>
      <c r="AR67">
        <v>2.5819999999999999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2.2054999999999998</v>
      </c>
      <c r="CE67" t="s">
        <v>448</v>
      </c>
      <c r="CG67">
        <v>1.7426036975708401</v>
      </c>
      <c r="CH67">
        <v>1.5</v>
      </c>
      <c r="CI67">
        <v>1.6213018487854201</v>
      </c>
      <c r="CJ67">
        <v>-0.3</v>
      </c>
      <c r="CK67">
        <v>1.32130184878542</v>
      </c>
      <c r="CL67">
        <v>4510</v>
      </c>
      <c r="CM67">
        <v>1.0465116279069771E-2</v>
      </c>
      <c r="CN67">
        <v>4326398561.8125992</v>
      </c>
    </row>
    <row r="68" spans="1:92" x14ac:dyDescent="0.25">
      <c r="A68">
        <v>364</v>
      </c>
      <c r="B68" t="s">
        <v>184</v>
      </c>
      <c r="C68" t="s">
        <v>284</v>
      </c>
      <c r="D68" t="s">
        <v>384</v>
      </c>
      <c r="E68" t="s">
        <v>392</v>
      </c>
      <c r="F68">
        <v>679553991</v>
      </c>
      <c r="G68">
        <v>68.48</v>
      </c>
      <c r="H68" t="s">
        <v>407</v>
      </c>
      <c r="I68">
        <v>46535857303.68</v>
      </c>
      <c r="J68" t="s">
        <v>413</v>
      </c>
      <c r="K68">
        <v>73768688.648571402</v>
      </c>
      <c r="L68">
        <v>0.95000000000000007</v>
      </c>
      <c r="M68">
        <v>45102020</v>
      </c>
      <c r="O68">
        <v>1.7387876622748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2.4980000000000002</v>
      </c>
      <c r="AR68">
        <v>2.8370000000000002</v>
      </c>
      <c r="AS68" t="s">
        <v>418</v>
      </c>
      <c r="AT68">
        <v>1</v>
      </c>
      <c r="AU68">
        <v>0</v>
      </c>
      <c r="AV68" t="s">
        <v>431</v>
      </c>
      <c r="AW68">
        <v>0</v>
      </c>
      <c r="AX68">
        <v>0</v>
      </c>
      <c r="AY68">
        <v>0</v>
      </c>
      <c r="CC68">
        <v>2.6675</v>
      </c>
      <c r="CE68" t="s">
        <v>448</v>
      </c>
      <c r="CG68">
        <v>1.7387876622748</v>
      </c>
      <c r="CH68">
        <v>1.5</v>
      </c>
      <c r="CI68">
        <v>1.6193938311374001</v>
      </c>
      <c r="CJ68">
        <v>-0.3</v>
      </c>
      <c r="CK68">
        <v>1.3193938311374001</v>
      </c>
      <c r="CL68">
        <v>4510</v>
      </c>
      <c r="CM68">
        <v>1.0465116279069771E-2</v>
      </c>
      <c r="CN68">
        <v>44209064438.496002</v>
      </c>
    </row>
    <row r="69" spans="1:92" x14ac:dyDescent="0.25">
      <c r="A69">
        <v>299</v>
      </c>
      <c r="B69" t="s">
        <v>188</v>
      </c>
      <c r="C69" t="s">
        <v>288</v>
      </c>
      <c r="D69" t="s">
        <v>388</v>
      </c>
      <c r="E69" t="s">
        <v>401</v>
      </c>
      <c r="F69">
        <v>362188870</v>
      </c>
      <c r="G69">
        <v>39.991840000000003</v>
      </c>
      <c r="H69" t="s">
        <v>411</v>
      </c>
      <c r="I69">
        <v>14484599338.820801</v>
      </c>
      <c r="J69" t="s">
        <v>414</v>
      </c>
      <c r="K69">
        <v>14412050.783097999</v>
      </c>
      <c r="L69">
        <v>0.55000000000000004</v>
      </c>
      <c r="M69">
        <v>45101020</v>
      </c>
      <c r="O69">
        <v>1.7271705380618301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2.3450000000000002</v>
      </c>
      <c r="AR69">
        <v>2.57</v>
      </c>
      <c r="AS69" t="s">
        <v>418</v>
      </c>
      <c r="AT69">
        <v>1</v>
      </c>
      <c r="AU69">
        <v>0</v>
      </c>
      <c r="AV69" t="s">
        <v>443</v>
      </c>
      <c r="AW69">
        <v>0</v>
      </c>
      <c r="AX69">
        <v>0</v>
      </c>
      <c r="AY69">
        <v>0</v>
      </c>
      <c r="CC69">
        <v>2.4575</v>
      </c>
      <c r="CE69" t="s">
        <v>448</v>
      </c>
      <c r="CG69">
        <v>1.7271705380618301</v>
      </c>
      <c r="CH69">
        <v>1.5</v>
      </c>
      <c r="CI69">
        <v>1.6135852690309149</v>
      </c>
      <c r="CJ69">
        <v>-0.3</v>
      </c>
      <c r="CK69">
        <v>1.3135852690309151</v>
      </c>
      <c r="CL69">
        <v>4510</v>
      </c>
      <c r="CM69">
        <v>1.0465116279069771E-2</v>
      </c>
      <c r="CN69">
        <v>7966529636.3514414</v>
      </c>
    </row>
    <row r="70" spans="1:92" x14ac:dyDescent="0.25">
      <c r="A70">
        <v>466</v>
      </c>
      <c r="B70" t="s">
        <v>168</v>
      </c>
      <c r="C70" t="s">
        <v>268</v>
      </c>
      <c r="D70" t="s">
        <v>368</v>
      </c>
      <c r="E70" t="s">
        <v>393</v>
      </c>
      <c r="F70">
        <v>643368840</v>
      </c>
      <c r="G70">
        <v>25.860900000000001</v>
      </c>
      <c r="H70" t="s">
        <v>408</v>
      </c>
      <c r="I70">
        <v>16638097234.356001</v>
      </c>
      <c r="J70" t="s">
        <v>414</v>
      </c>
      <c r="K70">
        <v>36684374.367596902</v>
      </c>
      <c r="L70">
        <v>0.9</v>
      </c>
      <c r="M70">
        <v>45201020</v>
      </c>
      <c r="O70">
        <v>1.6524943400662999</v>
      </c>
      <c r="P70">
        <v>1.77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2.3239999999999998</v>
      </c>
      <c r="AR70">
        <v>2.919</v>
      </c>
      <c r="AS70" t="s">
        <v>418</v>
      </c>
      <c r="AT70">
        <v>1</v>
      </c>
      <c r="AU70">
        <v>0</v>
      </c>
      <c r="AV70" t="s">
        <v>432</v>
      </c>
      <c r="AW70">
        <v>0</v>
      </c>
      <c r="AX70">
        <v>0</v>
      </c>
      <c r="AY70">
        <v>0</v>
      </c>
      <c r="CC70">
        <v>2.6215000000000002</v>
      </c>
      <c r="CE70" t="s">
        <v>448</v>
      </c>
      <c r="CG70">
        <v>1.6524943400662999</v>
      </c>
      <c r="CH70">
        <v>1.77</v>
      </c>
      <c r="CI70">
        <v>1.71124717003315</v>
      </c>
      <c r="CJ70">
        <v>-0.3</v>
      </c>
      <c r="CK70">
        <v>1.4112471700331499</v>
      </c>
      <c r="CL70">
        <v>4520</v>
      </c>
      <c r="CM70">
        <v>1.0465116279069771E-2</v>
      </c>
      <c r="CN70">
        <v>14974287510.920401</v>
      </c>
    </row>
    <row r="71" spans="1:92" x14ac:dyDescent="0.25">
      <c r="A71">
        <v>186</v>
      </c>
      <c r="B71" t="s">
        <v>172</v>
      </c>
      <c r="C71" t="s">
        <v>272</v>
      </c>
      <c r="D71" t="s">
        <v>372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O71">
        <v>1.7450134819631999</v>
      </c>
      <c r="P71">
        <v>1.5</v>
      </c>
      <c r="Q71" t="s">
        <v>417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2.4175</v>
      </c>
      <c r="CE71" t="s">
        <v>448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  <c r="CL71">
        <v>4520</v>
      </c>
      <c r="CM71">
        <v>1.0465116279069771E-2</v>
      </c>
      <c r="CN71">
        <v>12712480000</v>
      </c>
    </row>
    <row r="72" spans="1:92" x14ac:dyDescent="0.25">
      <c r="A72">
        <v>689</v>
      </c>
      <c r="B72" t="s">
        <v>181</v>
      </c>
      <c r="C72" t="s">
        <v>281</v>
      </c>
      <c r="D72" t="s">
        <v>381</v>
      </c>
      <c r="E72" t="s">
        <v>406</v>
      </c>
      <c r="F72">
        <v>629293220</v>
      </c>
      <c r="G72">
        <v>19.98</v>
      </c>
      <c r="H72" t="s">
        <v>407</v>
      </c>
      <c r="I72">
        <v>12573278535.6</v>
      </c>
      <c r="J72" t="s">
        <v>413</v>
      </c>
      <c r="K72">
        <v>10766081.2461905</v>
      </c>
      <c r="L72">
        <v>0.45</v>
      </c>
      <c r="M72">
        <v>45201010</v>
      </c>
      <c r="O72">
        <v>1.7406384718850201</v>
      </c>
      <c r="P72">
        <v>1.5</v>
      </c>
      <c r="Q72" t="s">
        <v>415</v>
      </c>
      <c r="R72" t="s">
        <v>420</v>
      </c>
      <c r="S72">
        <v>0</v>
      </c>
      <c r="T72">
        <v>0.05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2.72</v>
      </c>
      <c r="AR72">
        <v>2.5680000000000001</v>
      </c>
      <c r="AS72" t="s">
        <v>429</v>
      </c>
      <c r="AT72">
        <v>1</v>
      </c>
      <c r="AU72">
        <v>0</v>
      </c>
      <c r="AV72" t="s">
        <v>447</v>
      </c>
      <c r="AW72">
        <v>0</v>
      </c>
      <c r="AX72">
        <v>0</v>
      </c>
      <c r="AY72">
        <v>0</v>
      </c>
      <c r="CC72">
        <v>2.6440000000000001</v>
      </c>
      <c r="CE72" t="s">
        <v>448</v>
      </c>
      <c r="CG72">
        <v>1.7406384718850201</v>
      </c>
      <c r="CH72">
        <v>1.5</v>
      </c>
      <c r="CI72">
        <v>1.62031923594251</v>
      </c>
      <c r="CJ72">
        <v>-0.3</v>
      </c>
      <c r="CK72">
        <v>1.32031923594251</v>
      </c>
      <c r="CL72">
        <v>4520</v>
      </c>
      <c r="CM72">
        <v>1.0465116279069771E-2</v>
      </c>
      <c r="CN72">
        <v>5657975341.0200005</v>
      </c>
    </row>
    <row r="73" spans="1:92" x14ac:dyDescent="0.25">
      <c r="A73">
        <v>1218</v>
      </c>
      <c r="B73" t="s">
        <v>107</v>
      </c>
      <c r="C73" t="s">
        <v>207</v>
      </c>
      <c r="D73" t="s">
        <v>307</v>
      </c>
      <c r="E73" t="s">
        <v>404</v>
      </c>
      <c r="F73">
        <v>160479300</v>
      </c>
      <c r="G73">
        <v>252.84970000000001</v>
      </c>
      <c r="H73" t="s">
        <v>412</v>
      </c>
      <c r="I73">
        <v>40577142861.209999</v>
      </c>
      <c r="J73" t="s">
        <v>414</v>
      </c>
      <c r="K73">
        <v>92114432.940758303</v>
      </c>
      <c r="L73">
        <v>1</v>
      </c>
      <c r="M73">
        <v>50101035</v>
      </c>
      <c r="O73">
        <v>1.74390558393971</v>
      </c>
      <c r="Q73" t="s">
        <v>418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2.6779999999999999</v>
      </c>
      <c r="AR73">
        <v>2.95</v>
      </c>
      <c r="AS73" t="s">
        <v>418</v>
      </c>
      <c r="AT73">
        <v>1</v>
      </c>
      <c r="AU73">
        <v>0</v>
      </c>
      <c r="AV73" t="s">
        <v>443</v>
      </c>
      <c r="AW73">
        <v>0</v>
      </c>
      <c r="AX73">
        <v>0</v>
      </c>
      <c r="AY73">
        <v>0</v>
      </c>
      <c r="CC73">
        <v>2.8140000000000001</v>
      </c>
      <c r="CE73" t="s">
        <v>448</v>
      </c>
      <c r="CG73">
        <v>1.74390558393971</v>
      </c>
      <c r="CH73">
        <v>3.4</v>
      </c>
      <c r="CI73">
        <v>2.571952791969855</v>
      </c>
      <c r="CJ73">
        <v>0</v>
      </c>
      <c r="CK73">
        <v>2.571952791969855</v>
      </c>
      <c r="CL73">
        <v>5010</v>
      </c>
      <c r="CM73">
        <v>1.0465116279069771E-2</v>
      </c>
      <c r="CN73">
        <v>40577142861.209999</v>
      </c>
    </row>
    <row r="74" spans="1:92" x14ac:dyDescent="0.25">
      <c r="A74">
        <v>123</v>
      </c>
      <c r="B74" t="s">
        <v>165</v>
      </c>
      <c r="C74" t="s">
        <v>265</v>
      </c>
      <c r="D74" t="s">
        <v>365</v>
      </c>
      <c r="E74" t="s">
        <v>393</v>
      </c>
      <c r="F74">
        <v>1055050400</v>
      </c>
      <c r="G74">
        <v>29.5566</v>
      </c>
      <c r="H74" t="s">
        <v>408</v>
      </c>
      <c r="I74">
        <v>31183702652.639999</v>
      </c>
      <c r="J74" t="s">
        <v>414</v>
      </c>
      <c r="K74">
        <v>42342444.337286301</v>
      </c>
      <c r="L74">
        <v>0.95</v>
      </c>
      <c r="M74">
        <v>50101035</v>
      </c>
      <c r="O74">
        <v>1.74887448110706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1.956</v>
      </c>
      <c r="AR74">
        <v>3.0419999999999998</v>
      </c>
      <c r="AS74" t="s">
        <v>428</v>
      </c>
      <c r="AT74">
        <v>0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2.4990000000000001</v>
      </c>
      <c r="CE74" t="s">
        <v>448</v>
      </c>
      <c r="CG74">
        <v>1.74887448110706</v>
      </c>
      <c r="CH74">
        <v>1.5</v>
      </c>
      <c r="CI74">
        <v>1.6244372405535299</v>
      </c>
      <c r="CJ74">
        <v>-0.18</v>
      </c>
      <c r="CK74">
        <v>1.44443724055353</v>
      </c>
      <c r="CL74">
        <v>5010</v>
      </c>
      <c r="CM74">
        <v>1.0465116279069771E-2</v>
      </c>
      <c r="CN74">
        <v>29624517520.007999</v>
      </c>
    </row>
    <row r="75" spans="1:92" x14ac:dyDescent="0.25">
      <c r="A75">
        <v>228</v>
      </c>
      <c r="B75" t="s">
        <v>142</v>
      </c>
      <c r="C75" t="s">
        <v>242</v>
      </c>
      <c r="D75" t="s">
        <v>342</v>
      </c>
      <c r="E75" t="s">
        <v>401</v>
      </c>
      <c r="F75">
        <v>329765630</v>
      </c>
      <c r="G75">
        <v>40.693019999999997</v>
      </c>
      <c r="H75" t="s">
        <v>411</v>
      </c>
      <c r="I75">
        <v>13419159376.902599</v>
      </c>
      <c r="J75" t="s">
        <v>414</v>
      </c>
      <c r="K75">
        <v>20420662.454890098</v>
      </c>
      <c r="L75">
        <v>1</v>
      </c>
      <c r="M75">
        <v>50203000</v>
      </c>
      <c r="O75">
        <v>1.74632403309423</v>
      </c>
      <c r="P75">
        <v>2.39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2.0009999999999999</v>
      </c>
      <c r="AR75">
        <v>2.996</v>
      </c>
      <c r="AS75" t="s">
        <v>429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2.4984999999999999</v>
      </c>
      <c r="CE75" t="s">
        <v>448</v>
      </c>
      <c r="CG75">
        <v>1.74632403309423</v>
      </c>
      <c r="CH75">
        <v>2.39</v>
      </c>
      <c r="CI75">
        <v>2.0681620165471148</v>
      </c>
      <c r="CJ75">
        <v>-0.18</v>
      </c>
      <c r="CK75">
        <v>1.8881620165471149</v>
      </c>
      <c r="CL75">
        <v>5020</v>
      </c>
      <c r="CM75">
        <v>1.0465116279069771E-2</v>
      </c>
      <c r="CN75">
        <v>13419159376.902599</v>
      </c>
    </row>
    <row r="76" spans="1:92" x14ac:dyDescent="0.25">
      <c r="A76">
        <v>436</v>
      </c>
      <c r="B76" t="s">
        <v>146</v>
      </c>
      <c r="C76" t="s">
        <v>246</v>
      </c>
      <c r="D76" t="s">
        <v>346</v>
      </c>
      <c r="E76" t="s">
        <v>392</v>
      </c>
      <c r="F76">
        <v>236664445</v>
      </c>
      <c r="G76">
        <v>19.149999999999999</v>
      </c>
      <c r="H76" t="s">
        <v>407</v>
      </c>
      <c r="I76">
        <v>4532124121.75</v>
      </c>
      <c r="J76" t="s">
        <v>413</v>
      </c>
      <c r="K76">
        <v>6519939.4418254001</v>
      </c>
      <c r="L76">
        <v>0.70000000000000007</v>
      </c>
      <c r="M76">
        <v>50205010</v>
      </c>
      <c r="O76">
        <v>1.8621326355854599</v>
      </c>
      <c r="P76">
        <v>2.39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2.2839999999999998</v>
      </c>
      <c r="AR76">
        <v>2.8149999999999999</v>
      </c>
      <c r="AS76" t="s">
        <v>428</v>
      </c>
      <c r="AT76">
        <v>0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2.5495000000000001</v>
      </c>
      <c r="CE76" t="s">
        <v>448</v>
      </c>
      <c r="CG76">
        <v>1.8621326355854599</v>
      </c>
      <c r="CH76">
        <v>2.39</v>
      </c>
      <c r="CI76">
        <v>2.1260663177927301</v>
      </c>
      <c r="CJ76">
        <v>-0.3</v>
      </c>
      <c r="CK76">
        <v>1.8260663177927301</v>
      </c>
      <c r="CL76">
        <v>5020</v>
      </c>
      <c r="CM76">
        <v>1.0465116279069771E-2</v>
      </c>
      <c r="CN76">
        <v>3172486885.2249999</v>
      </c>
    </row>
    <row r="77" spans="1:92" x14ac:dyDescent="0.25">
      <c r="A77">
        <v>1108</v>
      </c>
      <c r="B77" t="s">
        <v>147</v>
      </c>
      <c r="C77" t="s">
        <v>247</v>
      </c>
      <c r="D77" t="s">
        <v>347</v>
      </c>
      <c r="E77" t="s">
        <v>392</v>
      </c>
      <c r="F77">
        <v>298233069</v>
      </c>
      <c r="G77">
        <v>26.56</v>
      </c>
      <c r="H77" t="s">
        <v>407</v>
      </c>
      <c r="I77">
        <v>7921070312.6399994</v>
      </c>
      <c r="J77" t="s">
        <v>413</v>
      </c>
      <c r="K77">
        <v>13654330.0976191</v>
      </c>
      <c r="L77">
        <v>0.70000000000000007</v>
      </c>
      <c r="M77">
        <v>50202010</v>
      </c>
      <c r="O77">
        <v>1.7493489955167301</v>
      </c>
      <c r="P77">
        <v>2.39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2.1520000000000001</v>
      </c>
      <c r="AR77">
        <v>3.1819999999999999</v>
      </c>
      <c r="AS77" t="s">
        <v>429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2.6669999999999998</v>
      </c>
      <c r="CE77" t="s">
        <v>448</v>
      </c>
      <c r="CG77">
        <v>1.7493489955167301</v>
      </c>
      <c r="CH77">
        <v>2.39</v>
      </c>
      <c r="CI77">
        <v>2.0696744977583652</v>
      </c>
      <c r="CJ77">
        <v>-0.3</v>
      </c>
      <c r="CK77">
        <v>1.7696744977583649</v>
      </c>
      <c r="CL77">
        <v>5020</v>
      </c>
      <c r="CM77">
        <v>1.0465116279069771E-2</v>
      </c>
      <c r="CN77">
        <v>5544749218.8480005</v>
      </c>
    </row>
    <row r="78" spans="1:92" x14ac:dyDescent="0.25">
      <c r="A78">
        <v>762</v>
      </c>
      <c r="B78" t="s">
        <v>148</v>
      </c>
      <c r="C78" t="s">
        <v>248</v>
      </c>
      <c r="D78" t="s">
        <v>348</v>
      </c>
      <c r="E78" t="s">
        <v>397</v>
      </c>
      <c r="F78">
        <v>453187130</v>
      </c>
      <c r="G78">
        <v>55.22</v>
      </c>
      <c r="H78" t="s">
        <v>407</v>
      </c>
      <c r="I78">
        <v>25024993318.599998</v>
      </c>
      <c r="J78" t="s">
        <v>413</v>
      </c>
      <c r="K78">
        <v>26322525.057796601</v>
      </c>
      <c r="L78">
        <v>0.85</v>
      </c>
      <c r="M78">
        <v>50204000</v>
      </c>
      <c r="O78">
        <v>1.9953067049789499</v>
      </c>
      <c r="P78">
        <v>2.08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2.6</v>
      </c>
      <c r="AR78">
        <v>2.8839999999999999</v>
      </c>
      <c r="AS78" t="s">
        <v>418</v>
      </c>
      <c r="AT78">
        <v>1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2.742</v>
      </c>
      <c r="CE78" t="s">
        <v>448</v>
      </c>
      <c r="CG78">
        <v>1.9953067049789499</v>
      </c>
      <c r="CH78">
        <v>2.08</v>
      </c>
      <c r="CI78">
        <v>2.0376533524894751</v>
      </c>
      <c r="CJ78">
        <v>-0.3</v>
      </c>
      <c r="CK78">
        <v>1.7376533524894751</v>
      </c>
      <c r="CL78">
        <v>5020</v>
      </c>
      <c r="CM78">
        <v>1.0465116279069771E-2</v>
      </c>
      <c r="CN78">
        <v>21271244320.810001</v>
      </c>
    </row>
    <row r="79" spans="1:92" x14ac:dyDescent="0.25">
      <c r="A79">
        <v>624</v>
      </c>
      <c r="B79" t="s">
        <v>149</v>
      </c>
      <c r="C79" t="s">
        <v>249</v>
      </c>
      <c r="D79" t="s">
        <v>349</v>
      </c>
      <c r="E79" t="s">
        <v>397</v>
      </c>
      <c r="F79">
        <v>107760380</v>
      </c>
      <c r="G79">
        <v>37.44</v>
      </c>
      <c r="H79" t="s">
        <v>407</v>
      </c>
      <c r="I79">
        <v>4034548627.1999998</v>
      </c>
      <c r="J79" t="s">
        <v>413</v>
      </c>
      <c r="K79">
        <v>5079226.97288136</v>
      </c>
      <c r="L79">
        <v>0.9</v>
      </c>
      <c r="M79">
        <v>50203030</v>
      </c>
      <c r="O79">
        <v>1.9600431112566099</v>
      </c>
      <c r="P79">
        <v>1.77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2.7010000000000001</v>
      </c>
      <c r="AR79">
        <v>2.9630000000000001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2.8319999999999999</v>
      </c>
      <c r="CE79" t="s">
        <v>448</v>
      </c>
      <c r="CG79">
        <v>1.9600431112566099</v>
      </c>
      <c r="CH79">
        <v>1.77</v>
      </c>
      <c r="CI79">
        <v>1.865021555628305</v>
      </c>
      <c r="CJ79">
        <v>-0.24</v>
      </c>
      <c r="CK79">
        <v>1.625021555628305</v>
      </c>
      <c r="CL79">
        <v>5020</v>
      </c>
      <c r="CM79">
        <v>1.0465116279069771E-2</v>
      </c>
      <c r="CN79">
        <v>3631093764.48</v>
      </c>
    </row>
    <row r="80" spans="1:92" x14ac:dyDescent="0.25">
      <c r="A80">
        <v>480</v>
      </c>
      <c r="B80" t="s">
        <v>162</v>
      </c>
      <c r="C80" t="s">
        <v>262</v>
      </c>
      <c r="D80" t="s">
        <v>362</v>
      </c>
      <c r="E80" t="s">
        <v>401</v>
      </c>
      <c r="F80">
        <v>919566160</v>
      </c>
      <c r="G80">
        <v>46.387149999999998</v>
      </c>
      <c r="H80" t="s">
        <v>411</v>
      </c>
      <c r="I80">
        <v>42656053398.844002</v>
      </c>
      <c r="J80" t="s">
        <v>414</v>
      </c>
      <c r="K80">
        <v>53659580.624927901</v>
      </c>
      <c r="L80">
        <v>1</v>
      </c>
      <c r="M80">
        <v>50205020</v>
      </c>
      <c r="O80">
        <v>1.96785746746361</v>
      </c>
      <c r="P80">
        <v>1.5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2.4129999999999998</v>
      </c>
      <c r="AR80">
        <v>3.26</v>
      </c>
      <c r="AS80" t="s">
        <v>424</v>
      </c>
      <c r="AT80">
        <v>0</v>
      </c>
      <c r="AU80">
        <v>0</v>
      </c>
      <c r="AV80" t="s">
        <v>440</v>
      </c>
      <c r="AW80">
        <v>0</v>
      </c>
      <c r="AX80">
        <v>0</v>
      </c>
      <c r="AY80">
        <v>0</v>
      </c>
      <c r="CC80">
        <v>2.8365</v>
      </c>
      <c r="CE80" t="s">
        <v>448</v>
      </c>
      <c r="CG80">
        <v>1.96785746746361</v>
      </c>
      <c r="CH80">
        <v>1.5</v>
      </c>
      <c r="CI80">
        <v>1.733928733731805</v>
      </c>
      <c r="CJ80">
        <v>-0.24</v>
      </c>
      <c r="CK80">
        <v>1.493928733731805</v>
      </c>
      <c r="CL80">
        <v>5020</v>
      </c>
      <c r="CM80">
        <v>1.0465116279069771E-2</v>
      </c>
      <c r="CN80">
        <v>42656053398.844002</v>
      </c>
    </row>
    <row r="81" spans="1:92" x14ac:dyDescent="0.25">
      <c r="A81">
        <v>787</v>
      </c>
      <c r="B81" t="s">
        <v>180</v>
      </c>
      <c r="C81" t="s">
        <v>280</v>
      </c>
      <c r="D81" t="s">
        <v>380</v>
      </c>
      <c r="E81" t="s">
        <v>392</v>
      </c>
      <c r="F81">
        <v>262245733</v>
      </c>
      <c r="G81">
        <v>110.3</v>
      </c>
      <c r="H81" t="s">
        <v>407</v>
      </c>
      <c r="I81">
        <v>28925704349.900002</v>
      </c>
      <c r="J81" t="s">
        <v>413</v>
      </c>
      <c r="K81">
        <v>56619307.900158703</v>
      </c>
      <c r="L81">
        <v>1</v>
      </c>
      <c r="M81">
        <v>50202010</v>
      </c>
      <c r="O81">
        <v>1.7418068415287999</v>
      </c>
      <c r="P81">
        <v>1.5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2.5249999999999999</v>
      </c>
      <c r="AR81">
        <v>3.0049999999999999</v>
      </c>
      <c r="AS81" t="s">
        <v>418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2.7650000000000001</v>
      </c>
      <c r="CE81" t="s">
        <v>448</v>
      </c>
      <c r="CG81">
        <v>1.7418068415287999</v>
      </c>
      <c r="CH81">
        <v>1.5</v>
      </c>
      <c r="CI81">
        <v>1.6209034207644</v>
      </c>
      <c r="CJ81">
        <v>-0.3</v>
      </c>
      <c r="CK81">
        <v>1.3209034207643999</v>
      </c>
      <c r="CL81">
        <v>5020</v>
      </c>
      <c r="CM81">
        <v>1.0465116279069771E-2</v>
      </c>
      <c r="CN81">
        <v>28925704349.900002</v>
      </c>
    </row>
    <row r="82" spans="1:92" x14ac:dyDescent="0.25">
      <c r="A82">
        <v>895</v>
      </c>
      <c r="B82" t="s">
        <v>191</v>
      </c>
      <c r="C82" t="s">
        <v>291</v>
      </c>
      <c r="D82" t="s">
        <v>391</v>
      </c>
      <c r="E82" t="s">
        <v>401</v>
      </c>
      <c r="F82">
        <v>441412540</v>
      </c>
      <c r="G82">
        <v>14.978809999999999</v>
      </c>
      <c r="H82" t="s">
        <v>411</v>
      </c>
      <c r="I82">
        <v>6611834568.2774</v>
      </c>
      <c r="J82" t="s">
        <v>414</v>
      </c>
      <c r="K82">
        <v>15552731.930010101</v>
      </c>
      <c r="L82">
        <v>1</v>
      </c>
      <c r="M82">
        <v>50203030</v>
      </c>
      <c r="O82">
        <v>1.6338401605731001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2.3959999999999999</v>
      </c>
      <c r="AR82">
        <v>3.2839999999999998</v>
      </c>
      <c r="AS82" t="s">
        <v>418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2.84</v>
      </c>
      <c r="CE82" t="s">
        <v>448</v>
      </c>
      <c r="CG82">
        <v>1.6338401605731001</v>
      </c>
      <c r="CH82">
        <v>1.5</v>
      </c>
      <c r="CI82">
        <v>1.5669200802865499</v>
      </c>
      <c r="CJ82">
        <v>-0.3</v>
      </c>
      <c r="CK82">
        <v>1.2669200802865499</v>
      </c>
      <c r="CL82">
        <v>5020</v>
      </c>
      <c r="CM82">
        <v>1.0465116279069771E-2</v>
      </c>
      <c r="CN82">
        <v>6611834568.2774</v>
      </c>
    </row>
    <row r="83" spans="1:92" x14ac:dyDescent="0.25">
      <c r="A83">
        <v>1302</v>
      </c>
      <c r="B83" t="s">
        <v>123</v>
      </c>
      <c r="C83" t="s">
        <v>223</v>
      </c>
      <c r="D83" t="s">
        <v>323</v>
      </c>
      <c r="E83" t="s">
        <v>393</v>
      </c>
      <c r="F83">
        <v>638676100</v>
      </c>
      <c r="G83">
        <v>13.483459999999999</v>
      </c>
      <c r="H83" t="s">
        <v>408</v>
      </c>
      <c r="I83">
        <v>8611563647.3059998</v>
      </c>
      <c r="J83" t="s">
        <v>414</v>
      </c>
      <c r="K83">
        <v>18512719.7292796</v>
      </c>
      <c r="L83">
        <v>0.85</v>
      </c>
      <c r="M83">
        <v>55101010</v>
      </c>
      <c r="O83">
        <v>1.51093325943585</v>
      </c>
      <c r="Q83" t="s">
        <v>417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2.3260000000000001</v>
      </c>
      <c r="AR83">
        <v>2.9609999999999999</v>
      </c>
      <c r="AS83" t="s">
        <v>418</v>
      </c>
      <c r="AT83">
        <v>1</v>
      </c>
      <c r="AU83">
        <v>0</v>
      </c>
      <c r="AV83" t="s">
        <v>432</v>
      </c>
      <c r="AW83">
        <v>0</v>
      </c>
      <c r="AX83">
        <v>0</v>
      </c>
      <c r="AY83">
        <v>0</v>
      </c>
      <c r="CC83">
        <v>2.6435</v>
      </c>
      <c r="CE83" t="s">
        <v>448</v>
      </c>
      <c r="CG83">
        <v>1.51093325943585</v>
      </c>
      <c r="CH83">
        <v>3.4</v>
      </c>
      <c r="CI83">
        <v>2.4554666297179248</v>
      </c>
      <c r="CJ83">
        <v>-0.24</v>
      </c>
      <c r="CK83">
        <v>2.2154666297179251</v>
      </c>
      <c r="CL83">
        <v>5510</v>
      </c>
      <c r="CM83">
        <v>1.0465116279069771E-2</v>
      </c>
      <c r="CN83">
        <v>7319829100.2100992</v>
      </c>
    </row>
    <row r="84" spans="1:92" x14ac:dyDescent="0.25">
      <c r="A84">
        <v>1276</v>
      </c>
      <c r="B84" t="s">
        <v>169</v>
      </c>
      <c r="C84" t="s">
        <v>269</v>
      </c>
      <c r="D84" t="s">
        <v>369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O84">
        <v>1.8865311555342901</v>
      </c>
      <c r="P84">
        <v>1.5</v>
      </c>
      <c r="Q84" t="s">
        <v>415</v>
      </c>
      <c r="R84" t="s">
        <v>421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2.8610000000000002</v>
      </c>
      <c r="CE84" t="s">
        <v>448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  <c r="CL84">
        <v>5510</v>
      </c>
      <c r="CM84">
        <v>1.0465116279069771E-2</v>
      </c>
      <c r="CN84">
        <v>6565943286.000001</v>
      </c>
    </row>
    <row r="85" spans="1:92" x14ac:dyDescent="0.25">
      <c r="A85">
        <v>1316</v>
      </c>
      <c r="B85" t="s">
        <v>124</v>
      </c>
      <c r="C85" t="s">
        <v>224</v>
      </c>
      <c r="D85" t="s">
        <v>324</v>
      </c>
      <c r="E85" t="s">
        <v>396</v>
      </c>
      <c r="F85">
        <v>139772050</v>
      </c>
      <c r="G85">
        <v>98.02</v>
      </c>
      <c r="H85" t="s">
        <v>407</v>
      </c>
      <c r="I85">
        <v>13700456341</v>
      </c>
      <c r="J85" t="s">
        <v>413</v>
      </c>
      <c r="K85">
        <v>28548769.3108197</v>
      </c>
      <c r="L85">
        <v>0.9</v>
      </c>
      <c r="M85">
        <v>55201000</v>
      </c>
      <c r="O85">
        <v>1.92369051873579</v>
      </c>
      <c r="P85">
        <v>3.1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2.6389999999999998</v>
      </c>
      <c r="AR85">
        <v>3.008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2.8235000000000001</v>
      </c>
      <c r="CE85" t="s">
        <v>448</v>
      </c>
      <c r="CG85">
        <v>1.92369051873579</v>
      </c>
      <c r="CH85">
        <v>3.1</v>
      </c>
      <c r="CI85">
        <v>2.5118452593678948</v>
      </c>
      <c r="CJ85">
        <v>-0.3</v>
      </c>
      <c r="CK85">
        <v>2.211845259367895</v>
      </c>
      <c r="CL85">
        <v>5520</v>
      </c>
      <c r="CM85">
        <v>1.0465116279069771E-2</v>
      </c>
      <c r="CN85">
        <v>12330410706.9</v>
      </c>
    </row>
    <row r="86" spans="1:92" x14ac:dyDescent="0.25">
      <c r="A86">
        <v>553</v>
      </c>
      <c r="B86" t="s">
        <v>150</v>
      </c>
      <c r="C86" t="s">
        <v>250</v>
      </c>
      <c r="D86" t="s">
        <v>350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O86">
        <v>1.73711451726054</v>
      </c>
      <c r="P86">
        <v>2.08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443</v>
      </c>
      <c r="AW86">
        <v>0</v>
      </c>
      <c r="AX86">
        <v>0</v>
      </c>
      <c r="AY86">
        <v>0</v>
      </c>
      <c r="CC86">
        <v>2.4805000000000001</v>
      </c>
      <c r="CE86" t="s">
        <v>448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  <c r="CL86">
        <v>5520</v>
      </c>
      <c r="CM86">
        <v>1.0465116279069771E-2</v>
      </c>
      <c r="CN86">
        <v>34699595505.294601</v>
      </c>
    </row>
    <row r="87" spans="1:92" x14ac:dyDescent="0.25">
      <c r="A87">
        <v>1442</v>
      </c>
      <c r="B87" t="s">
        <v>121</v>
      </c>
      <c r="C87" t="s">
        <v>221</v>
      </c>
      <c r="D87" t="s">
        <v>321</v>
      </c>
      <c r="E87" t="s">
        <v>401</v>
      </c>
      <c r="F87">
        <v>681888400</v>
      </c>
      <c r="G87">
        <v>11.622780000000001</v>
      </c>
      <c r="H87" t="s">
        <v>411</v>
      </c>
      <c r="I87">
        <v>7925438857.7520008</v>
      </c>
      <c r="J87" t="s">
        <v>414</v>
      </c>
      <c r="K87">
        <v>15580051.4032885</v>
      </c>
      <c r="L87">
        <v>1</v>
      </c>
      <c r="M87">
        <v>65102030</v>
      </c>
      <c r="O87">
        <v>1.6963650110689901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2.3919999999999999</v>
      </c>
      <c r="AS87" t="s">
        <v>426</v>
      </c>
      <c r="AT87">
        <v>1</v>
      </c>
      <c r="AU87">
        <v>0</v>
      </c>
      <c r="AV87" t="s">
        <v>440</v>
      </c>
      <c r="AW87">
        <v>0</v>
      </c>
      <c r="AX87">
        <v>0</v>
      </c>
      <c r="AY87">
        <v>0</v>
      </c>
      <c r="CC87">
        <v>2.6760000000000002</v>
      </c>
      <c r="CE87" t="s">
        <v>448</v>
      </c>
      <c r="CG87">
        <v>1.6963650110689901</v>
      </c>
      <c r="CH87">
        <v>3.4</v>
      </c>
      <c r="CI87">
        <v>2.5481825055344949</v>
      </c>
      <c r="CJ87">
        <v>-0.3</v>
      </c>
      <c r="CK87">
        <v>2.2481825055344951</v>
      </c>
      <c r="CL87">
        <v>6510</v>
      </c>
      <c r="CM87">
        <v>1.0465116279069771E-2</v>
      </c>
      <c r="CN87">
        <v>7925438857.7520008</v>
      </c>
    </row>
    <row r="88" spans="1:92" x14ac:dyDescent="0.25">
      <c r="A88">
        <v>67</v>
      </c>
      <c r="B88" t="s">
        <v>92</v>
      </c>
      <c r="C88" t="s">
        <v>192</v>
      </c>
      <c r="D88" t="s">
        <v>292</v>
      </c>
      <c r="E88" t="s">
        <v>392</v>
      </c>
      <c r="F88">
        <v>461510538</v>
      </c>
      <c r="G88">
        <v>20.09</v>
      </c>
      <c r="H88" t="s">
        <v>407</v>
      </c>
      <c r="I88">
        <v>9271746708.4200001</v>
      </c>
      <c r="J88" t="s">
        <v>413</v>
      </c>
      <c r="K88">
        <v>23095735.4445238</v>
      </c>
      <c r="L88">
        <v>0.75</v>
      </c>
      <c r="M88">
        <v>50202010</v>
      </c>
      <c r="N88">
        <v>5020</v>
      </c>
      <c r="O88">
        <v>1.99805211144036</v>
      </c>
      <c r="P88">
        <v>3.1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2.7949999999999999</v>
      </c>
      <c r="AR88">
        <v>3.363</v>
      </c>
      <c r="AS88" t="s">
        <v>418</v>
      </c>
      <c r="AT88">
        <v>1</v>
      </c>
      <c r="AU88">
        <v>1</v>
      </c>
      <c r="AV88" t="s">
        <v>431</v>
      </c>
      <c r="AW88">
        <v>0</v>
      </c>
      <c r="AX88">
        <v>0</v>
      </c>
      <c r="AY88">
        <v>0</v>
      </c>
      <c r="CC88">
        <v>3.0790000000000002</v>
      </c>
      <c r="CE88" t="s">
        <v>448</v>
      </c>
      <c r="CG88">
        <v>1.99805211144036</v>
      </c>
      <c r="CH88">
        <v>3.1</v>
      </c>
      <c r="CI88">
        <v>2.54902605572018</v>
      </c>
      <c r="CJ88">
        <v>-0.3</v>
      </c>
      <c r="CK88">
        <v>2.2490260557201802</v>
      </c>
      <c r="CM88">
        <v>7.1428571428571444E-3</v>
      </c>
      <c r="CN88">
        <v>6953810031.3150005</v>
      </c>
    </row>
    <row r="89" spans="1:92" x14ac:dyDescent="0.25">
      <c r="A89">
        <v>254</v>
      </c>
      <c r="B89" t="s">
        <v>93</v>
      </c>
      <c r="C89" t="s">
        <v>193</v>
      </c>
      <c r="D89" t="s">
        <v>293</v>
      </c>
      <c r="E89" t="s">
        <v>393</v>
      </c>
      <c r="F89">
        <v>492601440</v>
      </c>
      <c r="G89">
        <v>10.556570000000001</v>
      </c>
      <c r="H89" t="s">
        <v>408</v>
      </c>
      <c r="I89">
        <v>5200181583.4608002</v>
      </c>
      <c r="J89" t="s">
        <v>414</v>
      </c>
      <c r="K89">
        <v>15217501.354249701</v>
      </c>
      <c r="L89">
        <v>0.9</v>
      </c>
      <c r="M89">
        <v>35101010</v>
      </c>
      <c r="N89">
        <v>3510</v>
      </c>
      <c r="O89">
        <v>1.9835888454470301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2.359</v>
      </c>
      <c r="AR89">
        <v>2.6629999999999998</v>
      </c>
      <c r="AS89" t="s">
        <v>423</v>
      </c>
      <c r="AT89">
        <v>1</v>
      </c>
      <c r="AU89">
        <v>1</v>
      </c>
      <c r="AV89" t="s">
        <v>432</v>
      </c>
      <c r="AW89">
        <v>0</v>
      </c>
      <c r="AX89">
        <v>0</v>
      </c>
      <c r="AY89">
        <v>0</v>
      </c>
      <c r="CC89">
        <v>2.5110000000000001</v>
      </c>
      <c r="CE89" t="s">
        <v>448</v>
      </c>
      <c r="CG89">
        <v>1.9835888454470301</v>
      </c>
      <c r="CH89">
        <v>3.4</v>
      </c>
      <c r="CI89">
        <v>2.6917944227235151</v>
      </c>
      <c r="CJ89">
        <v>-0.3</v>
      </c>
      <c r="CK89">
        <v>2.3917944227235148</v>
      </c>
      <c r="CM89">
        <v>7.1428571428571444E-3</v>
      </c>
      <c r="CN89">
        <v>4680163425.1147203</v>
      </c>
    </row>
    <row r="90" spans="1:92" x14ac:dyDescent="0.25">
      <c r="A90">
        <v>368</v>
      </c>
      <c r="B90" t="s">
        <v>94</v>
      </c>
      <c r="C90" t="s">
        <v>194</v>
      </c>
      <c r="D90" t="s">
        <v>294</v>
      </c>
      <c r="E90" t="s">
        <v>392</v>
      </c>
      <c r="F90">
        <v>1338435363</v>
      </c>
      <c r="G90">
        <v>39.72</v>
      </c>
      <c r="H90" t="s">
        <v>407</v>
      </c>
      <c r="I90">
        <v>53162652618.360001</v>
      </c>
      <c r="J90" t="s">
        <v>413</v>
      </c>
      <c r="K90">
        <v>57311402.692936502</v>
      </c>
      <c r="L90">
        <v>0.5</v>
      </c>
      <c r="M90">
        <v>10101015</v>
      </c>
      <c r="N90">
        <v>1010</v>
      </c>
      <c r="O90">
        <v>1.99432374876754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2.6360000000000001</v>
      </c>
      <c r="AR90">
        <v>3.3039999999999998</v>
      </c>
      <c r="AS90" t="s">
        <v>424</v>
      </c>
      <c r="AT90">
        <v>0</v>
      </c>
      <c r="AU90">
        <v>1</v>
      </c>
      <c r="AV90" t="s">
        <v>431</v>
      </c>
      <c r="AW90">
        <v>0</v>
      </c>
      <c r="AX90">
        <v>0</v>
      </c>
      <c r="AY90">
        <v>0</v>
      </c>
      <c r="CC90">
        <v>2.97</v>
      </c>
      <c r="CE90" t="s">
        <v>448</v>
      </c>
      <c r="CG90">
        <v>1.99432374876754</v>
      </c>
      <c r="CH90">
        <v>3.4</v>
      </c>
      <c r="CI90">
        <v>2.6971618743837702</v>
      </c>
      <c r="CJ90">
        <v>-0.18</v>
      </c>
      <c r="CK90">
        <v>2.51716187438377</v>
      </c>
      <c r="CM90">
        <v>7.1428571428571444E-3</v>
      </c>
      <c r="CN90">
        <v>26581326309.18</v>
      </c>
    </row>
    <row r="91" spans="1:92" x14ac:dyDescent="0.25">
      <c r="A91">
        <v>652</v>
      </c>
      <c r="B91" t="s">
        <v>95</v>
      </c>
      <c r="C91" t="s">
        <v>195</v>
      </c>
      <c r="D91" t="s">
        <v>295</v>
      </c>
      <c r="E91" t="s">
        <v>394</v>
      </c>
      <c r="F91">
        <v>500000000</v>
      </c>
      <c r="G91">
        <v>17.46</v>
      </c>
      <c r="H91" t="s">
        <v>407</v>
      </c>
      <c r="I91">
        <v>8730000000</v>
      </c>
      <c r="J91" t="s">
        <v>413</v>
      </c>
      <c r="K91">
        <v>7745434.1676984103</v>
      </c>
      <c r="L91">
        <v>0.4</v>
      </c>
      <c r="M91">
        <v>50206040</v>
      </c>
      <c r="N91">
        <v>5020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2.0499999999999998</v>
      </c>
      <c r="AR91">
        <v>3.117</v>
      </c>
      <c r="AS91" t="s">
        <v>425</v>
      </c>
      <c r="AT91">
        <v>1</v>
      </c>
      <c r="AU91">
        <v>1</v>
      </c>
      <c r="AV91" t="s">
        <v>433</v>
      </c>
      <c r="AW91">
        <v>0</v>
      </c>
      <c r="AX91">
        <v>0</v>
      </c>
      <c r="AY91">
        <v>0</v>
      </c>
      <c r="CC91">
        <v>2.5834999999999999</v>
      </c>
      <c r="CE91" t="s">
        <v>448</v>
      </c>
      <c r="CG91">
        <v>3.4</v>
      </c>
      <c r="CH91">
        <v>3.4</v>
      </c>
      <c r="CI91">
        <v>3.4</v>
      </c>
      <c r="CJ91">
        <v>-0.3</v>
      </c>
      <c r="CK91">
        <v>3.1</v>
      </c>
      <c r="CM91">
        <v>7.1428571428571444E-3</v>
      </c>
      <c r="CN91">
        <v>3492000000</v>
      </c>
    </row>
    <row r="92" spans="1:92" x14ac:dyDescent="0.25">
      <c r="A92">
        <v>748</v>
      </c>
      <c r="B92" t="s">
        <v>96</v>
      </c>
      <c r="C92" t="s">
        <v>196</v>
      </c>
      <c r="D92" t="s">
        <v>296</v>
      </c>
      <c r="E92" t="s">
        <v>395</v>
      </c>
      <c r="F92">
        <v>181964859</v>
      </c>
      <c r="G92">
        <v>75.5</v>
      </c>
      <c r="H92" t="s">
        <v>407</v>
      </c>
      <c r="I92">
        <v>13738346854.5</v>
      </c>
      <c r="J92" t="s">
        <v>413</v>
      </c>
      <c r="K92">
        <v>27712783.5906079</v>
      </c>
      <c r="L92">
        <v>0.85000000000000009</v>
      </c>
      <c r="M92">
        <v>50101035</v>
      </c>
      <c r="N92">
        <v>5010</v>
      </c>
      <c r="O92">
        <v>1.9783311772679499</v>
      </c>
      <c r="P92">
        <v>3.1</v>
      </c>
      <c r="Q92" t="s">
        <v>415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2.1080000000000001</v>
      </c>
      <c r="AR92">
        <v>2.617</v>
      </c>
      <c r="AS92" t="s">
        <v>418</v>
      </c>
      <c r="AT92">
        <v>1</v>
      </c>
      <c r="AU92">
        <v>1</v>
      </c>
      <c r="AV92" t="s">
        <v>434</v>
      </c>
      <c r="AW92">
        <v>0</v>
      </c>
      <c r="AX92">
        <v>0</v>
      </c>
      <c r="AY92">
        <v>0</v>
      </c>
      <c r="CC92">
        <v>2.3624999999999998</v>
      </c>
      <c r="CE92" t="s">
        <v>448</v>
      </c>
      <c r="CG92">
        <v>1.9783311772679499</v>
      </c>
      <c r="CH92">
        <v>3.1</v>
      </c>
      <c r="CI92">
        <v>2.539165588633975</v>
      </c>
      <c r="CJ92">
        <v>-0.3</v>
      </c>
      <c r="CK92">
        <v>2.2391655886339752</v>
      </c>
      <c r="CM92">
        <v>7.1428571428571444E-3</v>
      </c>
      <c r="CN92">
        <v>11677594826.325001</v>
      </c>
    </row>
    <row r="93" spans="1:92" x14ac:dyDescent="0.25">
      <c r="A93">
        <v>755</v>
      </c>
      <c r="B93" t="s">
        <v>97</v>
      </c>
      <c r="C93" t="s">
        <v>197</v>
      </c>
      <c r="D93" t="s">
        <v>297</v>
      </c>
      <c r="E93" t="s">
        <v>396</v>
      </c>
      <c r="F93">
        <v>161200000</v>
      </c>
      <c r="G93">
        <v>82.2</v>
      </c>
      <c r="H93" t="s">
        <v>407</v>
      </c>
      <c r="I93">
        <v>13250640000</v>
      </c>
      <c r="J93" t="s">
        <v>413</v>
      </c>
      <c r="K93">
        <v>9423306.8155737706</v>
      </c>
      <c r="L93">
        <v>0.4</v>
      </c>
      <c r="M93">
        <v>50206025</v>
      </c>
      <c r="N93">
        <v>5020</v>
      </c>
      <c r="O93">
        <v>1.9989891691281201</v>
      </c>
      <c r="Q93" t="s">
        <v>417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2.78</v>
      </c>
      <c r="AR93">
        <v>2.8879999999999999</v>
      </c>
      <c r="AS93" t="s">
        <v>418</v>
      </c>
      <c r="AT93">
        <v>1</v>
      </c>
      <c r="AU93">
        <v>1</v>
      </c>
      <c r="AV93" t="s">
        <v>435</v>
      </c>
      <c r="AW93">
        <v>0</v>
      </c>
      <c r="AX93">
        <v>0</v>
      </c>
      <c r="AY93">
        <v>0</v>
      </c>
      <c r="CC93">
        <v>2.8340000000000001</v>
      </c>
      <c r="CE93" t="s">
        <v>448</v>
      </c>
      <c r="CG93">
        <v>1.9989891691281201</v>
      </c>
      <c r="CH93">
        <v>3.4</v>
      </c>
      <c r="CI93">
        <v>2.6994945845640599</v>
      </c>
      <c r="CJ93">
        <v>-0.24</v>
      </c>
      <c r="CK93">
        <v>2.4594945845640601</v>
      </c>
      <c r="CM93">
        <v>7.1428571428571444E-3</v>
      </c>
      <c r="CN93">
        <v>5300256000</v>
      </c>
    </row>
    <row r="94" spans="1:92" x14ac:dyDescent="0.25">
      <c r="A94">
        <v>865</v>
      </c>
      <c r="B94" t="s">
        <v>98</v>
      </c>
      <c r="C94" t="s">
        <v>198</v>
      </c>
      <c r="D94" t="s">
        <v>298</v>
      </c>
      <c r="E94" t="s">
        <v>397</v>
      </c>
      <c r="F94">
        <v>828972400</v>
      </c>
      <c r="G94">
        <v>10.98</v>
      </c>
      <c r="H94" t="s">
        <v>407</v>
      </c>
      <c r="I94">
        <v>9102116952</v>
      </c>
      <c r="J94" t="s">
        <v>413</v>
      </c>
      <c r="K94">
        <v>13202645.764067801</v>
      </c>
      <c r="L94">
        <v>0.85</v>
      </c>
      <c r="M94">
        <v>50204020</v>
      </c>
      <c r="N94">
        <v>5020</v>
      </c>
      <c r="O94">
        <v>1.99354514534105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2.5590000000000002</v>
      </c>
      <c r="AR94">
        <v>2.673</v>
      </c>
      <c r="AS94" t="s">
        <v>418</v>
      </c>
      <c r="AT94">
        <v>1</v>
      </c>
      <c r="AU94">
        <v>1</v>
      </c>
      <c r="AV94" t="s">
        <v>436</v>
      </c>
      <c r="AW94">
        <v>0</v>
      </c>
      <c r="AX94">
        <v>0</v>
      </c>
      <c r="AY94">
        <v>0</v>
      </c>
      <c r="CC94">
        <v>2.6160000000000001</v>
      </c>
      <c r="CE94" t="s">
        <v>448</v>
      </c>
      <c r="CG94">
        <v>1.99354514534105</v>
      </c>
      <c r="CH94">
        <v>3.4</v>
      </c>
      <c r="CI94">
        <v>2.6967725726705249</v>
      </c>
      <c r="CJ94">
        <v>-0.18</v>
      </c>
      <c r="CK94">
        <v>2.5167725726705248</v>
      </c>
      <c r="CM94">
        <v>7.1428571428571444E-3</v>
      </c>
      <c r="CN94">
        <v>7736799409.1999998</v>
      </c>
    </row>
    <row r="95" spans="1:92" x14ac:dyDescent="0.25">
      <c r="A95">
        <v>970</v>
      </c>
      <c r="B95" t="s">
        <v>99</v>
      </c>
      <c r="C95" t="s">
        <v>199</v>
      </c>
      <c r="D95" t="s">
        <v>299</v>
      </c>
      <c r="E95" t="s">
        <v>398</v>
      </c>
      <c r="F95">
        <v>2009015998</v>
      </c>
      <c r="G95">
        <v>5.7135639999999999</v>
      </c>
      <c r="H95" t="s">
        <v>409</v>
      </c>
      <c r="I95">
        <v>11478641481.59687</v>
      </c>
      <c r="J95" t="s">
        <v>414</v>
      </c>
      <c r="K95">
        <v>22699023.726144701</v>
      </c>
      <c r="L95">
        <v>0.65</v>
      </c>
      <c r="M95">
        <v>55102035</v>
      </c>
      <c r="N95">
        <v>5510</v>
      </c>
      <c r="O95">
        <v>2.7283290216989098</v>
      </c>
      <c r="P95">
        <v>1.5</v>
      </c>
      <c r="Q95" t="s">
        <v>418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2.8610000000000002</v>
      </c>
      <c r="AR95">
        <v>3.7229999999999999</v>
      </c>
      <c r="AS95" t="s">
        <v>418</v>
      </c>
      <c r="AT95">
        <v>1</v>
      </c>
      <c r="AU95">
        <v>1</v>
      </c>
      <c r="AV95" t="s">
        <v>437</v>
      </c>
      <c r="AW95">
        <v>0</v>
      </c>
      <c r="AX95">
        <v>0</v>
      </c>
      <c r="AY95">
        <v>0</v>
      </c>
      <c r="CC95">
        <v>3.2919999999999998</v>
      </c>
      <c r="CE95" t="s">
        <v>448</v>
      </c>
      <c r="CG95">
        <v>2.7283290216989098</v>
      </c>
      <c r="CH95">
        <v>1.5</v>
      </c>
      <c r="CI95">
        <v>2.1141645108494549</v>
      </c>
      <c r="CJ95">
        <v>0</v>
      </c>
      <c r="CK95">
        <v>2.1141645108494549</v>
      </c>
      <c r="CM95">
        <v>7.1428571428571444E-3</v>
      </c>
      <c r="CN95">
        <v>7461116963.0379677</v>
      </c>
    </row>
    <row r="96" spans="1:92" x14ac:dyDescent="0.25">
      <c r="A96">
        <v>1092</v>
      </c>
      <c r="B96" t="s">
        <v>100</v>
      </c>
      <c r="C96" t="s">
        <v>200</v>
      </c>
      <c r="D96" t="s">
        <v>300</v>
      </c>
      <c r="E96" t="s">
        <v>399</v>
      </c>
      <c r="F96">
        <v>541080000</v>
      </c>
      <c r="G96">
        <v>16.829999999999998</v>
      </c>
      <c r="H96" t="s">
        <v>407</v>
      </c>
      <c r="I96">
        <v>9106376400</v>
      </c>
      <c r="J96" t="s">
        <v>413</v>
      </c>
      <c r="K96">
        <v>15311684.9957524</v>
      </c>
      <c r="L96">
        <v>0.75</v>
      </c>
      <c r="M96">
        <v>65101015</v>
      </c>
      <c r="N96">
        <v>6510</v>
      </c>
      <c r="O96">
        <v>1.5959603304940599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2.9380000000000002</v>
      </c>
      <c r="AR96">
        <v>2.8740000000000001</v>
      </c>
      <c r="AS96" t="s">
        <v>419</v>
      </c>
      <c r="AT96">
        <v>1</v>
      </c>
      <c r="AU96">
        <v>1</v>
      </c>
      <c r="AV96" t="s">
        <v>438</v>
      </c>
      <c r="AW96">
        <v>0</v>
      </c>
      <c r="AX96">
        <v>0</v>
      </c>
      <c r="AY96">
        <v>0</v>
      </c>
      <c r="CC96">
        <v>2.9060000000000001</v>
      </c>
      <c r="CE96" t="s">
        <v>448</v>
      </c>
      <c r="CG96">
        <v>1.5959603304940599</v>
      </c>
      <c r="CH96">
        <v>3.4</v>
      </c>
      <c r="CI96">
        <v>2.4979801652470299</v>
      </c>
      <c r="CJ96">
        <v>-0.3</v>
      </c>
      <c r="CK96">
        <v>2.1979801652470301</v>
      </c>
      <c r="CM96">
        <v>7.1428571428571444E-3</v>
      </c>
      <c r="CN96">
        <v>6829782300</v>
      </c>
    </row>
    <row r="97" spans="1:92" x14ac:dyDescent="0.25">
      <c r="A97">
        <v>1119</v>
      </c>
      <c r="B97" t="s">
        <v>101</v>
      </c>
      <c r="C97" t="s">
        <v>201</v>
      </c>
      <c r="D97" t="s">
        <v>301</v>
      </c>
      <c r="E97" t="s">
        <v>400</v>
      </c>
      <c r="F97">
        <v>11754106</v>
      </c>
      <c r="G97">
        <v>375.32420000000002</v>
      </c>
      <c r="H97" t="s">
        <v>410</v>
      </c>
      <c r="I97">
        <v>4411600431.1652002</v>
      </c>
      <c r="J97" t="s">
        <v>414</v>
      </c>
      <c r="K97">
        <v>13834313.1880618</v>
      </c>
      <c r="L97">
        <v>0.85</v>
      </c>
      <c r="M97">
        <v>50101035</v>
      </c>
      <c r="N97">
        <v>5010</v>
      </c>
      <c r="Q97" t="s">
        <v>416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2.1520000000000001</v>
      </c>
      <c r="AR97">
        <v>2.6040000000000001</v>
      </c>
      <c r="AS97" t="s">
        <v>418</v>
      </c>
      <c r="AT97">
        <v>1</v>
      </c>
      <c r="AU97">
        <v>1</v>
      </c>
      <c r="AV97" t="s">
        <v>439</v>
      </c>
      <c r="AW97">
        <v>0</v>
      </c>
      <c r="AX97">
        <v>0</v>
      </c>
      <c r="AY97">
        <v>0</v>
      </c>
      <c r="CC97">
        <v>2.3780000000000001</v>
      </c>
      <c r="CE97" t="s">
        <v>448</v>
      </c>
      <c r="CG97">
        <v>3.4</v>
      </c>
      <c r="CH97">
        <v>3.4</v>
      </c>
      <c r="CI97">
        <v>3.4</v>
      </c>
      <c r="CJ97">
        <v>-0.18</v>
      </c>
      <c r="CK97">
        <v>3.22</v>
      </c>
      <c r="CM97">
        <v>7.1428571428571444E-3</v>
      </c>
      <c r="CN97">
        <v>3749860366.4904199</v>
      </c>
    </row>
    <row r="98" spans="1:92" x14ac:dyDescent="0.25">
      <c r="A98">
        <v>1192</v>
      </c>
      <c r="B98" t="s">
        <v>102</v>
      </c>
      <c r="C98" t="s">
        <v>202</v>
      </c>
      <c r="D98" t="s">
        <v>302</v>
      </c>
      <c r="E98" t="s">
        <v>401</v>
      </c>
      <c r="F98">
        <v>300209100</v>
      </c>
      <c r="G98">
        <v>29.42568</v>
      </c>
      <c r="H98" t="s">
        <v>411</v>
      </c>
      <c r="I98">
        <v>8833856909.6879997</v>
      </c>
      <c r="J98" t="s">
        <v>414</v>
      </c>
      <c r="K98">
        <v>14800849.030249599</v>
      </c>
      <c r="L98">
        <v>0.9</v>
      </c>
      <c r="M98">
        <v>65102030</v>
      </c>
      <c r="N98">
        <v>6510</v>
      </c>
      <c r="O98">
        <v>1.7824347572228401</v>
      </c>
      <c r="P98">
        <v>1.5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2.8260000000000001</v>
      </c>
      <c r="AR98">
        <v>3.137</v>
      </c>
      <c r="AS98" t="s">
        <v>426</v>
      </c>
      <c r="AT98">
        <v>1</v>
      </c>
      <c r="AU98">
        <v>1</v>
      </c>
      <c r="AV98" t="s">
        <v>440</v>
      </c>
      <c r="AW98">
        <v>0</v>
      </c>
      <c r="AX98">
        <v>0</v>
      </c>
      <c r="AY98">
        <v>0</v>
      </c>
      <c r="CC98">
        <v>2.9815</v>
      </c>
      <c r="CE98" t="s">
        <v>448</v>
      </c>
      <c r="CG98">
        <v>1.7824347572228401</v>
      </c>
      <c r="CH98">
        <v>1.5</v>
      </c>
      <c r="CI98">
        <v>1.6412173786114199</v>
      </c>
      <c r="CJ98">
        <v>-0.24</v>
      </c>
      <c r="CK98">
        <v>1.4012173786114199</v>
      </c>
      <c r="CM98">
        <v>7.1428571428571444E-3</v>
      </c>
      <c r="CN98">
        <v>7950471218.7192001</v>
      </c>
    </row>
    <row r="99" spans="1:92" x14ac:dyDescent="0.25">
      <c r="A99">
        <v>1359</v>
      </c>
      <c r="B99" t="s">
        <v>103</v>
      </c>
      <c r="C99" t="s">
        <v>203</v>
      </c>
      <c r="D99" t="s">
        <v>303</v>
      </c>
      <c r="E99" t="s">
        <v>402</v>
      </c>
      <c r="F99">
        <v>2009992000</v>
      </c>
      <c r="G99">
        <v>7.8259999999999996</v>
      </c>
      <c r="H99" t="s">
        <v>407</v>
      </c>
      <c r="I99">
        <v>15730197392</v>
      </c>
      <c r="J99" t="s">
        <v>413</v>
      </c>
      <c r="K99">
        <v>30108575.329360701</v>
      </c>
      <c r="L99">
        <v>0.70000000000000007</v>
      </c>
      <c r="M99">
        <v>65101015</v>
      </c>
      <c r="N99">
        <v>6510</v>
      </c>
      <c r="O99">
        <v>1.7449210642355399</v>
      </c>
      <c r="Q99" t="s">
        <v>417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2.8530000000000002</v>
      </c>
      <c r="AR99">
        <v>3.169</v>
      </c>
      <c r="AS99" t="s">
        <v>419</v>
      </c>
      <c r="AT99">
        <v>1</v>
      </c>
      <c r="AU99">
        <v>1</v>
      </c>
      <c r="AV99" t="s">
        <v>441</v>
      </c>
      <c r="AW99">
        <v>0</v>
      </c>
      <c r="AX99">
        <v>0</v>
      </c>
      <c r="AY99">
        <v>0</v>
      </c>
      <c r="CC99">
        <v>3.0110000000000001</v>
      </c>
      <c r="CE99" t="s">
        <v>448</v>
      </c>
      <c r="CG99">
        <v>1.7449210642355399</v>
      </c>
      <c r="CH99">
        <v>3.4</v>
      </c>
      <c r="CI99">
        <v>2.5724605321177698</v>
      </c>
      <c r="CJ99">
        <v>-0.24</v>
      </c>
      <c r="CK99">
        <v>2.33246053211777</v>
      </c>
      <c r="CM99">
        <v>7.1428571428571444E-3</v>
      </c>
      <c r="CN99">
        <v>11011138174.4</v>
      </c>
    </row>
    <row r="100" spans="1:92" x14ac:dyDescent="0.25">
      <c r="A100">
        <v>1462</v>
      </c>
      <c r="B100" t="s">
        <v>104</v>
      </c>
      <c r="C100" t="s">
        <v>204</v>
      </c>
      <c r="D100" t="s">
        <v>304</v>
      </c>
      <c r="E100" t="s">
        <v>400</v>
      </c>
      <c r="F100">
        <v>1009867250</v>
      </c>
      <c r="G100">
        <v>13.13903</v>
      </c>
      <c r="H100" t="s">
        <v>410</v>
      </c>
      <c r="I100">
        <v>13268676093.7675</v>
      </c>
      <c r="J100" t="s">
        <v>414</v>
      </c>
      <c r="K100">
        <v>50667588.035409801</v>
      </c>
      <c r="L100">
        <v>1</v>
      </c>
      <c r="M100">
        <v>60102020</v>
      </c>
      <c r="N100">
        <v>6010</v>
      </c>
      <c r="O100">
        <v>1.9940728394311</v>
      </c>
      <c r="P100">
        <v>3.1</v>
      </c>
      <c r="Q100" t="s">
        <v>419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2.3039999999999998</v>
      </c>
      <c r="AR100">
        <v>3.2229999999999999</v>
      </c>
      <c r="AS100" t="s">
        <v>418</v>
      </c>
      <c r="AT100">
        <v>1</v>
      </c>
      <c r="AU100">
        <v>1</v>
      </c>
      <c r="AV100" t="s">
        <v>439</v>
      </c>
      <c r="AW100">
        <v>0</v>
      </c>
      <c r="AX100">
        <v>0</v>
      </c>
      <c r="AY100">
        <v>0</v>
      </c>
      <c r="CC100">
        <v>2.7635000000000001</v>
      </c>
      <c r="CE100" t="s">
        <v>448</v>
      </c>
      <c r="CG100">
        <v>1.9940728394311</v>
      </c>
      <c r="CH100">
        <v>3.1</v>
      </c>
      <c r="CI100">
        <v>2.5470364197155502</v>
      </c>
      <c r="CJ100">
        <v>0.18</v>
      </c>
      <c r="CK100">
        <v>2.7270364197155499</v>
      </c>
      <c r="CM100">
        <v>7.1428571428571444E-3</v>
      </c>
      <c r="CN100">
        <v>13268676093.7675</v>
      </c>
    </row>
    <row r="101" spans="1:92" x14ac:dyDescent="0.25">
      <c r="A101">
        <v>1505</v>
      </c>
      <c r="B101" t="s">
        <v>105</v>
      </c>
      <c r="C101" t="s">
        <v>205</v>
      </c>
      <c r="D101" t="s">
        <v>305</v>
      </c>
      <c r="E101" t="s">
        <v>403</v>
      </c>
      <c r="F101">
        <v>111732346</v>
      </c>
      <c r="G101">
        <v>29.66</v>
      </c>
      <c r="H101" t="s">
        <v>407</v>
      </c>
      <c r="I101">
        <v>3313981382.3600001</v>
      </c>
      <c r="J101" t="s">
        <v>413</v>
      </c>
      <c r="K101">
        <v>6821360.8039344298</v>
      </c>
      <c r="L101">
        <v>1</v>
      </c>
      <c r="M101">
        <v>50101035</v>
      </c>
      <c r="N101">
        <v>5010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2.4409999999999998</v>
      </c>
      <c r="AR101">
        <v>3.4710000000000001</v>
      </c>
      <c r="AS101" t="s">
        <v>418</v>
      </c>
      <c r="AT101">
        <v>1</v>
      </c>
      <c r="AU101">
        <v>1</v>
      </c>
      <c r="AV101" t="s">
        <v>442</v>
      </c>
      <c r="AW101">
        <v>0</v>
      </c>
      <c r="AX101">
        <v>0</v>
      </c>
      <c r="AY101">
        <v>0</v>
      </c>
      <c r="CC101">
        <v>2.956</v>
      </c>
      <c r="CE101" t="s">
        <v>448</v>
      </c>
      <c r="CG101">
        <v>3.4</v>
      </c>
      <c r="CH101">
        <v>3.4</v>
      </c>
      <c r="CI101">
        <v>3.4</v>
      </c>
      <c r="CJ101">
        <v>-0.18</v>
      </c>
      <c r="CK101">
        <v>3.22</v>
      </c>
      <c r="CM101">
        <v>7.1428571428571444E-3</v>
      </c>
      <c r="CN101">
        <v>3313981382.3600001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338"/>
  <sheetViews>
    <sheetView topLeftCell="A7" workbookViewId="0">
      <selection activeCell="D23" sqref="D23"/>
    </sheetView>
  </sheetViews>
  <sheetFormatPr defaultRowHeight="15" x14ac:dyDescent="0.25"/>
  <sheetData>
    <row r="1" spans="92:97" x14ac:dyDescent="0.25">
      <c r="CN1">
        <v>316</v>
      </c>
      <c r="CO1">
        <v>86</v>
      </c>
      <c r="CQ1">
        <v>3030</v>
      </c>
      <c r="CR1">
        <f>COUNTIF($CL$23:$CL$338,CQ1)</f>
        <v>26</v>
      </c>
      <c r="CS1">
        <f>ROUNDUP(CR1/$CN$1*$CO$1,0)</f>
        <v>8</v>
      </c>
    </row>
    <row r="2" spans="92:97" x14ac:dyDescent="0.25">
      <c r="CQ2">
        <v>5020</v>
      </c>
      <c r="CR2">
        <f t="shared" ref="CR2:CR25" si="0">COUNTIF($CL$23:$CL$338,CQ2)</f>
        <v>33</v>
      </c>
      <c r="CS2">
        <f>ROUNDUP(CR2/$CN$1*$CO$1,0)</f>
        <v>9</v>
      </c>
    </row>
    <row r="3" spans="92:97" x14ac:dyDescent="0.25">
      <c r="CQ3">
        <v>2010</v>
      </c>
      <c r="CR3">
        <f t="shared" si="0"/>
        <v>42</v>
      </c>
      <c r="CS3">
        <f t="shared" ref="CS3:CS20" si="1">ROUNDUP(CR3/$CN$1*$CO$1,0)</f>
        <v>12</v>
      </c>
    </row>
    <row r="4" spans="92:97" x14ac:dyDescent="0.25">
      <c r="CQ4">
        <v>3020</v>
      </c>
      <c r="CR4">
        <f t="shared" si="0"/>
        <v>22</v>
      </c>
      <c r="CS4">
        <f t="shared" si="1"/>
        <v>6</v>
      </c>
    </row>
    <row r="5" spans="92:97" x14ac:dyDescent="0.25">
      <c r="CQ5">
        <v>4030</v>
      </c>
      <c r="CR5">
        <f t="shared" si="0"/>
        <v>8</v>
      </c>
      <c r="CS5">
        <f t="shared" si="1"/>
        <v>3</v>
      </c>
    </row>
    <row r="6" spans="92:97" x14ac:dyDescent="0.25">
      <c r="CQ6">
        <v>4040</v>
      </c>
      <c r="CR6">
        <f t="shared" si="0"/>
        <v>5</v>
      </c>
      <c r="CS6">
        <f t="shared" si="1"/>
        <v>2</v>
      </c>
    </row>
    <row r="7" spans="92:97" x14ac:dyDescent="0.25">
      <c r="CQ7">
        <v>4020</v>
      </c>
      <c r="CR7">
        <f t="shared" si="0"/>
        <v>18</v>
      </c>
      <c r="CS7">
        <f t="shared" si="1"/>
        <v>5</v>
      </c>
    </row>
    <row r="8" spans="92:97" x14ac:dyDescent="0.25">
      <c r="CQ8">
        <v>3010</v>
      </c>
      <c r="CR8">
        <f t="shared" si="0"/>
        <v>45</v>
      </c>
      <c r="CS8">
        <f t="shared" si="1"/>
        <v>13</v>
      </c>
    </row>
    <row r="9" spans="92:97" x14ac:dyDescent="0.25">
      <c r="CQ9">
        <v>4510</v>
      </c>
      <c r="CR9">
        <f t="shared" si="0"/>
        <v>19</v>
      </c>
      <c r="CS9">
        <f t="shared" si="1"/>
        <v>6</v>
      </c>
    </row>
    <row r="10" spans="92:97" x14ac:dyDescent="0.25">
      <c r="CQ10">
        <v>5010</v>
      </c>
      <c r="CR10">
        <f t="shared" si="0"/>
        <v>8</v>
      </c>
      <c r="CS10">
        <f t="shared" si="1"/>
        <v>3</v>
      </c>
    </row>
    <row r="11" spans="92:97" x14ac:dyDescent="0.25">
      <c r="CQ11">
        <v>5520</v>
      </c>
      <c r="CR11">
        <f t="shared" si="0"/>
        <v>6</v>
      </c>
      <c r="CS11">
        <f t="shared" si="1"/>
        <v>2</v>
      </c>
    </row>
    <row r="12" spans="92:97" x14ac:dyDescent="0.25">
      <c r="CQ12">
        <v>3510</v>
      </c>
      <c r="CR12">
        <f t="shared" si="0"/>
        <v>17</v>
      </c>
      <c r="CS12">
        <f t="shared" si="1"/>
        <v>5</v>
      </c>
    </row>
    <row r="13" spans="92:97" x14ac:dyDescent="0.25">
      <c r="CQ13" s="2">
        <v>1010</v>
      </c>
      <c r="CR13" s="2">
        <f t="shared" si="0"/>
        <v>15</v>
      </c>
      <c r="CS13" s="2">
        <f t="shared" si="1"/>
        <v>5</v>
      </c>
    </row>
    <row r="14" spans="92:97" x14ac:dyDescent="0.25">
      <c r="CQ14">
        <v>4520</v>
      </c>
      <c r="CR14">
        <f t="shared" si="0"/>
        <v>8</v>
      </c>
      <c r="CS14">
        <f t="shared" si="1"/>
        <v>3</v>
      </c>
    </row>
    <row r="15" spans="92:97" x14ac:dyDescent="0.25">
      <c r="CQ15">
        <v>1510</v>
      </c>
      <c r="CR15">
        <f t="shared" si="0"/>
        <v>17</v>
      </c>
      <c r="CS15">
        <f t="shared" si="1"/>
        <v>5</v>
      </c>
    </row>
    <row r="16" spans="92:97" x14ac:dyDescent="0.25">
      <c r="CQ16">
        <v>4010</v>
      </c>
      <c r="CR16">
        <f>COUNTIF($CL$23:$CL$338,CQ16)</f>
        <v>6</v>
      </c>
      <c r="CS16">
        <f t="shared" si="1"/>
        <v>2</v>
      </c>
    </row>
    <row r="17" spans="1:97" x14ac:dyDescent="0.25">
      <c r="CQ17">
        <v>4050</v>
      </c>
      <c r="CR17">
        <f>COUNTIF($CL$23:$CL$338,CQ17)</f>
        <v>11</v>
      </c>
      <c r="CS17">
        <f t="shared" si="1"/>
        <v>3</v>
      </c>
    </row>
    <row r="18" spans="1:97" x14ac:dyDescent="0.25">
      <c r="CQ18">
        <v>5510</v>
      </c>
      <c r="CR18">
        <f>COUNTIF($CL$23:$CL$338,CQ18)</f>
        <v>5</v>
      </c>
      <c r="CS18">
        <f t="shared" si="1"/>
        <v>2</v>
      </c>
    </row>
    <row r="19" spans="1:97" x14ac:dyDescent="0.25">
      <c r="CQ19">
        <v>6510</v>
      </c>
      <c r="CR19">
        <f>COUNTIF($CL$23:$CL$338,CQ19)</f>
        <v>4</v>
      </c>
      <c r="CS19">
        <f t="shared" si="1"/>
        <v>2</v>
      </c>
    </row>
    <row r="20" spans="1:97" x14ac:dyDescent="0.25">
      <c r="CQ20">
        <v>6010</v>
      </c>
      <c r="CR20">
        <f>COUNTIF($CL$23:$CL$338,CQ20)</f>
        <v>1</v>
      </c>
      <c r="CS20">
        <f t="shared" si="1"/>
        <v>1</v>
      </c>
    </row>
    <row r="22" spans="1:97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13</v>
      </c>
    </row>
    <row r="23" spans="1:97" s="2" customFormat="1" x14ac:dyDescent="0.25">
      <c r="A23" s="2">
        <v>805</v>
      </c>
      <c r="B23" s="2" t="s">
        <v>572</v>
      </c>
      <c r="C23" s="2" t="s">
        <v>788</v>
      </c>
      <c r="D23" s="2" t="s">
        <v>1004</v>
      </c>
      <c r="E23" s="2" t="s">
        <v>404</v>
      </c>
      <c r="F23" s="2">
        <v>168994140</v>
      </c>
      <c r="G23" s="2">
        <v>99.481160000000003</v>
      </c>
      <c r="H23" s="2" t="s">
        <v>412</v>
      </c>
      <c r="I23" s="2">
        <v>16811733080.402399</v>
      </c>
      <c r="J23" s="2" t="s">
        <v>414</v>
      </c>
      <c r="K23" s="2">
        <v>53427462.634575203</v>
      </c>
      <c r="L23" s="2">
        <v>0.9</v>
      </c>
      <c r="M23" s="2">
        <v>10102030</v>
      </c>
      <c r="N23" s="2">
        <v>1010</v>
      </c>
      <c r="O23" s="2">
        <v>1.7497523085933799</v>
      </c>
      <c r="Q23" s="2" t="s">
        <v>415</v>
      </c>
      <c r="R23" s="2" t="s">
        <v>420</v>
      </c>
      <c r="S23" s="2">
        <v>0</v>
      </c>
      <c r="T23" s="2">
        <v>0</v>
      </c>
      <c r="U23" s="2" t="s">
        <v>420</v>
      </c>
      <c r="V23" s="2" t="s">
        <v>420</v>
      </c>
      <c r="W23" s="2" t="s">
        <v>420</v>
      </c>
      <c r="X23" s="2" t="s">
        <v>420</v>
      </c>
      <c r="Y23" s="2" t="s">
        <v>420</v>
      </c>
      <c r="Z23" s="2" t="s">
        <v>420</v>
      </c>
      <c r="AA23" s="2" t="s">
        <v>420</v>
      </c>
      <c r="AB23" s="2">
        <v>0</v>
      </c>
      <c r="AC23" s="2">
        <v>0</v>
      </c>
      <c r="AD23" s="2">
        <v>0</v>
      </c>
      <c r="AF23" s="2">
        <v>0</v>
      </c>
      <c r="AG23" s="2" t="s">
        <v>422</v>
      </c>
      <c r="AI23" s="2" t="s">
        <v>422</v>
      </c>
      <c r="AJ23" s="2" t="s">
        <v>422</v>
      </c>
      <c r="AK23" s="2" t="s">
        <v>422</v>
      </c>
      <c r="AM23" s="2">
        <v>0</v>
      </c>
      <c r="AN23" s="2">
        <v>0</v>
      </c>
      <c r="AO23" s="2">
        <v>0</v>
      </c>
      <c r="AP23" s="2">
        <v>0</v>
      </c>
      <c r="AQ23" s="2">
        <v>2.5649999999999999</v>
      </c>
      <c r="AR23" s="2">
        <v>3.4</v>
      </c>
      <c r="AS23" s="2" t="s">
        <v>418</v>
      </c>
      <c r="AT23" s="2">
        <v>1</v>
      </c>
      <c r="AU23" s="2">
        <v>0</v>
      </c>
      <c r="AV23" s="2" t="s">
        <v>443</v>
      </c>
      <c r="AW23" s="2">
        <v>0</v>
      </c>
      <c r="AX23" s="2">
        <v>0</v>
      </c>
      <c r="AY23" s="2">
        <v>0</v>
      </c>
      <c r="CC23" s="2">
        <v>2.9824999999999999</v>
      </c>
      <c r="CE23" s="2" t="s">
        <v>448</v>
      </c>
      <c r="CG23" s="2">
        <v>1.7497523085933799</v>
      </c>
      <c r="CH23" s="2">
        <v>3.4</v>
      </c>
      <c r="CI23" s="2">
        <v>2.5748761542966898</v>
      </c>
      <c r="CJ23" s="2">
        <v>-0.3</v>
      </c>
      <c r="CK23" s="2">
        <v>2.27487615429669</v>
      </c>
      <c r="CL23" s="2">
        <v>1010</v>
      </c>
      <c r="CM23" s="2" t="s">
        <v>1109</v>
      </c>
    </row>
    <row r="24" spans="1:97" x14ac:dyDescent="0.25">
      <c r="A24">
        <v>645</v>
      </c>
      <c r="B24" t="s">
        <v>551</v>
      </c>
      <c r="C24" t="s">
        <v>767</v>
      </c>
      <c r="D24" t="s">
        <v>983</v>
      </c>
      <c r="E24" t="s">
        <v>396</v>
      </c>
      <c r="F24">
        <v>1305921100</v>
      </c>
      <c r="G24">
        <v>38.515000000000001</v>
      </c>
      <c r="H24" t="s">
        <v>407</v>
      </c>
      <c r="I24">
        <v>50297551166.5</v>
      </c>
      <c r="J24" t="s">
        <v>413</v>
      </c>
      <c r="K24">
        <v>140800741.44135201</v>
      </c>
      <c r="L24">
        <v>1</v>
      </c>
      <c r="M24">
        <v>10102010</v>
      </c>
      <c r="N24">
        <v>1010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2.548</v>
      </c>
      <c r="AR24">
        <v>3.3170000000000002</v>
      </c>
      <c r="AS24" t="s">
        <v>418</v>
      </c>
      <c r="AT24">
        <v>1</v>
      </c>
      <c r="AU24">
        <v>0</v>
      </c>
      <c r="AV24" t="s">
        <v>435</v>
      </c>
      <c r="AW24">
        <v>0</v>
      </c>
      <c r="AX24">
        <v>0</v>
      </c>
      <c r="AY24">
        <v>0</v>
      </c>
      <c r="CC24">
        <v>2.9325000000000001</v>
      </c>
      <c r="CE24" t="s">
        <v>448</v>
      </c>
      <c r="CG24">
        <v>3.4</v>
      </c>
      <c r="CH24">
        <v>3.4</v>
      </c>
      <c r="CI24">
        <v>3.4</v>
      </c>
      <c r="CJ24">
        <v>-0.18</v>
      </c>
      <c r="CK24">
        <v>3.22</v>
      </c>
      <c r="CL24">
        <v>1010</v>
      </c>
    </row>
    <row r="25" spans="1:97" s="2" customFormat="1" x14ac:dyDescent="0.25">
      <c r="A25" s="2">
        <v>71</v>
      </c>
      <c r="B25" s="2" t="s">
        <v>126</v>
      </c>
      <c r="C25" s="2" t="s">
        <v>226</v>
      </c>
      <c r="D25" s="2" t="s">
        <v>326</v>
      </c>
      <c r="E25" s="2" t="s">
        <v>399</v>
      </c>
      <c r="F25" s="2">
        <v>450499200</v>
      </c>
      <c r="G25" s="2">
        <v>69.459999999999994</v>
      </c>
      <c r="H25" s="2" t="s">
        <v>407</v>
      </c>
      <c r="I25" s="2">
        <v>31291674432</v>
      </c>
      <c r="J25" s="2" t="s">
        <v>413</v>
      </c>
      <c r="K25" s="2">
        <v>42461320.374285698</v>
      </c>
      <c r="L25" s="2">
        <v>1</v>
      </c>
      <c r="M25" s="2">
        <v>10101010</v>
      </c>
      <c r="N25" s="2">
        <v>1010</v>
      </c>
      <c r="O25" s="2">
        <v>1.7124185807336301</v>
      </c>
      <c r="P25" s="2">
        <v>3.01</v>
      </c>
      <c r="Q25" s="2" t="s">
        <v>416</v>
      </c>
      <c r="R25" s="2" t="s">
        <v>420</v>
      </c>
      <c r="S25" s="2">
        <v>0</v>
      </c>
      <c r="T25" s="2">
        <v>0</v>
      </c>
      <c r="U25" s="2" t="s">
        <v>420</v>
      </c>
      <c r="V25" s="2" t="s">
        <v>420</v>
      </c>
      <c r="W25" s="2" t="s">
        <v>420</v>
      </c>
      <c r="X25" s="2" t="s">
        <v>420</v>
      </c>
      <c r="Y25" s="2" t="s">
        <v>420</v>
      </c>
      <c r="Z25" s="2" t="s">
        <v>420</v>
      </c>
      <c r="AA25" s="2" t="s">
        <v>420</v>
      </c>
      <c r="AB25" s="2">
        <v>0</v>
      </c>
      <c r="AC25" s="2">
        <v>0</v>
      </c>
      <c r="AD25" s="2">
        <v>0</v>
      </c>
      <c r="AF25" s="2">
        <v>0</v>
      </c>
      <c r="AG25" s="2" t="s">
        <v>422</v>
      </c>
      <c r="AI25" s="2" t="s">
        <v>422</v>
      </c>
      <c r="AJ25" s="2" t="s">
        <v>422</v>
      </c>
      <c r="AK25" s="2" t="s">
        <v>422</v>
      </c>
      <c r="AM25" s="2">
        <v>0</v>
      </c>
      <c r="AN25" s="2">
        <v>0</v>
      </c>
      <c r="AO25" s="2">
        <v>0</v>
      </c>
      <c r="AP25" s="2">
        <v>0</v>
      </c>
      <c r="AQ25" s="2">
        <v>2.5059999999999998</v>
      </c>
      <c r="AR25" s="2">
        <v>3.1360000000000001</v>
      </c>
      <c r="AS25" s="2" t="s">
        <v>428</v>
      </c>
      <c r="AT25" s="2">
        <v>0</v>
      </c>
      <c r="AU25" s="2">
        <v>0</v>
      </c>
      <c r="AV25" s="2" t="s">
        <v>438</v>
      </c>
      <c r="AW25" s="2">
        <v>0</v>
      </c>
      <c r="AX25" s="2">
        <v>0</v>
      </c>
      <c r="AY25" s="2">
        <v>0</v>
      </c>
      <c r="CC25" s="2">
        <v>2.8210000000000002</v>
      </c>
      <c r="CE25" s="2" t="s">
        <v>448</v>
      </c>
      <c r="CG25" s="2">
        <v>1.7124185807336301</v>
      </c>
      <c r="CH25" s="2">
        <v>3.01</v>
      </c>
      <c r="CI25" s="2">
        <v>2.3612092903668152</v>
      </c>
      <c r="CJ25" s="2">
        <v>-0.18</v>
      </c>
      <c r="CK25" s="2">
        <v>2.181209290366815</v>
      </c>
      <c r="CL25" s="2">
        <v>1010</v>
      </c>
      <c r="CM25" s="2" t="s">
        <v>1109</v>
      </c>
    </row>
    <row r="26" spans="1:97" x14ac:dyDescent="0.25">
      <c r="A26">
        <v>182</v>
      </c>
      <c r="B26" t="s">
        <v>484</v>
      </c>
      <c r="C26" t="s">
        <v>700</v>
      </c>
      <c r="D26" t="s">
        <v>916</v>
      </c>
      <c r="E26" t="s">
        <v>394</v>
      </c>
      <c r="F26">
        <v>81146738</v>
      </c>
      <c r="G26">
        <v>119.7</v>
      </c>
      <c r="H26" t="s">
        <v>407</v>
      </c>
      <c r="I26">
        <v>9713264538.6000004</v>
      </c>
      <c r="J26" t="s">
        <v>413</v>
      </c>
      <c r="K26">
        <v>60641140.8782539</v>
      </c>
      <c r="L26">
        <v>1</v>
      </c>
      <c r="M26">
        <v>10102010</v>
      </c>
      <c r="N26">
        <v>1010</v>
      </c>
      <c r="Q26" t="s">
        <v>418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2.1389999999999998</v>
      </c>
      <c r="AR26">
        <v>2.9660000000000002</v>
      </c>
      <c r="AS26" t="s">
        <v>418</v>
      </c>
      <c r="AT26">
        <v>1</v>
      </c>
      <c r="AU26">
        <v>0</v>
      </c>
      <c r="AV26" t="s">
        <v>444</v>
      </c>
      <c r="AW26">
        <v>0</v>
      </c>
      <c r="AX26">
        <v>0</v>
      </c>
      <c r="AY26">
        <v>0</v>
      </c>
      <c r="CC26">
        <v>2.5525000000000002</v>
      </c>
      <c r="CE26" t="s">
        <v>448</v>
      </c>
      <c r="CG26">
        <v>3.4</v>
      </c>
      <c r="CH26">
        <v>3.4</v>
      </c>
      <c r="CI26">
        <v>3.4</v>
      </c>
      <c r="CJ26">
        <v>0</v>
      </c>
      <c r="CK26">
        <v>3.4</v>
      </c>
      <c r="CL26">
        <v>1010</v>
      </c>
    </row>
    <row r="27" spans="1:97" x14ac:dyDescent="0.25">
      <c r="A27">
        <v>595</v>
      </c>
      <c r="B27" t="s">
        <v>545</v>
      </c>
      <c r="C27" t="s">
        <v>761</v>
      </c>
      <c r="D27" t="s">
        <v>977</v>
      </c>
      <c r="E27" t="s">
        <v>393</v>
      </c>
      <c r="F27">
        <v>2595227800</v>
      </c>
      <c r="G27">
        <v>11.41081</v>
      </c>
      <c r="H27" t="s">
        <v>408</v>
      </c>
      <c r="I27">
        <v>29613651332.518002</v>
      </c>
      <c r="J27" t="s">
        <v>414</v>
      </c>
      <c r="K27">
        <v>42986585.751212597</v>
      </c>
      <c r="L27">
        <v>0.8</v>
      </c>
      <c r="M27">
        <v>10101015</v>
      </c>
      <c r="N27">
        <v>1010</v>
      </c>
      <c r="O27">
        <v>1.7041862786529201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1.968</v>
      </c>
      <c r="AR27">
        <v>2.952</v>
      </c>
      <c r="AS27" t="s">
        <v>418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CC27">
        <v>2.46</v>
      </c>
      <c r="CE27" t="s">
        <v>448</v>
      </c>
      <c r="CG27">
        <v>1.7041862786529201</v>
      </c>
      <c r="CH27">
        <v>3.4</v>
      </c>
      <c r="CI27">
        <v>2.5520931393264599</v>
      </c>
      <c r="CJ27">
        <v>-0.18</v>
      </c>
      <c r="CK27">
        <v>2.3720931393264602</v>
      </c>
      <c r="CL27">
        <v>1010</v>
      </c>
    </row>
    <row r="28" spans="1:97" x14ac:dyDescent="0.25">
      <c r="A28">
        <v>911</v>
      </c>
      <c r="B28" t="s">
        <v>583</v>
      </c>
      <c r="C28" t="s">
        <v>799</v>
      </c>
      <c r="D28" t="s">
        <v>1015</v>
      </c>
      <c r="E28" t="s">
        <v>393</v>
      </c>
      <c r="F28">
        <v>97916510</v>
      </c>
      <c r="G28">
        <v>43.17944</v>
      </c>
      <c r="H28" t="s">
        <v>408</v>
      </c>
      <c r="I28">
        <v>4227980068.5544</v>
      </c>
      <c r="J28" t="s">
        <v>414</v>
      </c>
      <c r="K28">
        <v>4714072.9623782104</v>
      </c>
      <c r="L28">
        <v>0.75</v>
      </c>
      <c r="M28">
        <v>10102020</v>
      </c>
      <c r="N28">
        <v>1010</v>
      </c>
      <c r="Q28" t="s">
        <v>422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2.1360000000000001</v>
      </c>
      <c r="AR28">
        <v>3.0329999999999999</v>
      </c>
      <c r="AS28" t="s">
        <v>418</v>
      </c>
      <c r="AT28">
        <v>1</v>
      </c>
      <c r="AU28">
        <v>0</v>
      </c>
      <c r="AV28" t="s">
        <v>432</v>
      </c>
      <c r="AW28">
        <v>0</v>
      </c>
      <c r="AX28">
        <v>0</v>
      </c>
      <c r="AY28">
        <v>0</v>
      </c>
      <c r="CC28">
        <v>2.5844999999999998</v>
      </c>
      <c r="CE28" t="s">
        <v>448</v>
      </c>
      <c r="CG28">
        <v>3.4</v>
      </c>
      <c r="CH28">
        <v>3.4</v>
      </c>
      <c r="CI28">
        <v>3.4</v>
      </c>
      <c r="CJ28">
        <v>0.3</v>
      </c>
      <c r="CK28">
        <v>3.7</v>
      </c>
      <c r="CL28">
        <v>1010</v>
      </c>
    </row>
    <row r="29" spans="1:97" x14ac:dyDescent="0.25">
      <c r="A29">
        <v>120</v>
      </c>
      <c r="B29" t="s">
        <v>466</v>
      </c>
      <c r="C29" t="s">
        <v>682</v>
      </c>
      <c r="D29" t="s">
        <v>898</v>
      </c>
      <c r="E29" t="s">
        <v>394</v>
      </c>
      <c r="F29">
        <v>393830692</v>
      </c>
      <c r="G29">
        <v>710.1</v>
      </c>
      <c r="H29" t="s">
        <v>407</v>
      </c>
      <c r="I29">
        <v>279659174389.20001</v>
      </c>
      <c r="J29" t="s">
        <v>413</v>
      </c>
      <c r="K29">
        <v>522122564.220635</v>
      </c>
      <c r="L29">
        <v>1</v>
      </c>
      <c r="M29">
        <v>10102020</v>
      </c>
      <c r="N29">
        <v>1010</v>
      </c>
      <c r="O29">
        <v>1.9984585218575901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2.5920000000000001</v>
      </c>
      <c r="AR29">
        <v>3.641</v>
      </c>
      <c r="AS29" t="s">
        <v>418</v>
      </c>
      <c r="AT29">
        <v>1</v>
      </c>
      <c r="AU29">
        <v>0</v>
      </c>
      <c r="AV29" t="s">
        <v>444</v>
      </c>
      <c r="AW29">
        <v>0</v>
      </c>
      <c r="AX29">
        <v>0</v>
      </c>
      <c r="AY29">
        <v>0</v>
      </c>
      <c r="CC29">
        <v>3.1164999999999998</v>
      </c>
      <c r="CE29" t="s">
        <v>448</v>
      </c>
      <c r="CG29">
        <v>1.9984585218575901</v>
      </c>
      <c r="CH29">
        <v>3.4</v>
      </c>
      <c r="CI29">
        <v>2.6992292609287949</v>
      </c>
      <c r="CJ29">
        <v>-0.24</v>
      </c>
      <c r="CK29">
        <v>2.4592292609287951</v>
      </c>
      <c r="CL29">
        <v>1010</v>
      </c>
    </row>
    <row r="30" spans="1:97" s="2" customFormat="1" x14ac:dyDescent="0.25">
      <c r="A30" s="2">
        <v>119</v>
      </c>
      <c r="B30" s="2" t="s">
        <v>131</v>
      </c>
      <c r="C30" s="2" t="s">
        <v>231</v>
      </c>
      <c r="D30" s="2" t="s">
        <v>331</v>
      </c>
      <c r="E30" s="2" t="s">
        <v>394</v>
      </c>
      <c r="F30" s="2">
        <v>49328548</v>
      </c>
      <c r="G30" s="2">
        <v>569.79999999999995</v>
      </c>
      <c r="H30" s="2" t="s">
        <v>407</v>
      </c>
      <c r="I30" s="2">
        <v>28107406650.400002</v>
      </c>
      <c r="J30" s="2" t="s">
        <v>413</v>
      </c>
      <c r="K30" s="2">
        <v>78679459.003174603</v>
      </c>
      <c r="L30" s="2">
        <v>0.95000000000000007</v>
      </c>
      <c r="M30" s="2">
        <v>10102020</v>
      </c>
      <c r="N30" s="2">
        <v>1010</v>
      </c>
      <c r="O30" s="2">
        <v>1.7486641100579701</v>
      </c>
      <c r="P30" s="2">
        <v>3.1</v>
      </c>
      <c r="Q30" s="2" t="s">
        <v>415</v>
      </c>
      <c r="R30" s="2" t="s">
        <v>420</v>
      </c>
      <c r="S30" s="2">
        <v>0</v>
      </c>
      <c r="T30" s="2">
        <v>0</v>
      </c>
      <c r="U30" s="2" t="s">
        <v>420</v>
      </c>
      <c r="V30" s="2" t="s">
        <v>420</v>
      </c>
      <c r="W30" s="2" t="s">
        <v>420</v>
      </c>
      <c r="X30" s="2" t="s">
        <v>420</v>
      </c>
      <c r="Y30" s="2" t="s">
        <v>420</v>
      </c>
      <c r="Z30" s="2" t="s">
        <v>420</v>
      </c>
      <c r="AA30" s="2" t="s">
        <v>420</v>
      </c>
      <c r="AB30" s="2">
        <v>0</v>
      </c>
      <c r="AC30" s="2">
        <v>0</v>
      </c>
      <c r="AD30" s="2">
        <v>0</v>
      </c>
      <c r="AF30" s="2">
        <v>0</v>
      </c>
      <c r="AG30" s="2" t="s">
        <v>422</v>
      </c>
      <c r="AI30" s="2" t="s">
        <v>422</v>
      </c>
      <c r="AJ30" s="2" t="s">
        <v>422</v>
      </c>
      <c r="AK30" s="2" t="s">
        <v>422</v>
      </c>
      <c r="AM30" s="2">
        <v>0</v>
      </c>
      <c r="AN30" s="2">
        <v>0</v>
      </c>
      <c r="AO30" s="2">
        <v>0</v>
      </c>
      <c r="AP30" s="2">
        <v>0</v>
      </c>
      <c r="AQ30" s="2">
        <v>2.4460000000000002</v>
      </c>
      <c r="AR30" s="2">
        <v>3.2189999999999999</v>
      </c>
      <c r="AS30" s="2" t="s">
        <v>418</v>
      </c>
      <c r="AT30" s="2">
        <v>1</v>
      </c>
      <c r="AU30" s="2">
        <v>0</v>
      </c>
      <c r="AV30" s="2" t="s">
        <v>444</v>
      </c>
      <c r="AW30" s="2">
        <v>0</v>
      </c>
      <c r="AX30" s="2">
        <v>0</v>
      </c>
      <c r="AY30" s="2">
        <v>0</v>
      </c>
      <c r="CC30" s="2">
        <v>2.8325</v>
      </c>
      <c r="CE30" s="2" t="s">
        <v>448</v>
      </c>
      <c r="CG30" s="2">
        <v>1.7486641100579701</v>
      </c>
      <c r="CH30" s="2">
        <v>3.1</v>
      </c>
      <c r="CI30" s="2">
        <v>2.4243320550289851</v>
      </c>
      <c r="CJ30" s="2">
        <v>-0.3</v>
      </c>
      <c r="CK30" s="2">
        <v>2.1243320550289848</v>
      </c>
      <c r="CL30" s="2">
        <v>1010</v>
      </c>
      <c r="CM30" s="2" t="s">
        <v>1109</v>
      </c>
    </row>
    <row r="31" spans="1:97" x14ac:dyDescent="0.25">
      <c r="A31">
        <v>368</v>
      </c>
      <c r="B31" t="s">
        <v>94</v>
      </c>
      <c r="C31" t="s">
        <v>194</v>
      </c>
      <c r="D31" t="s">
        <v>294</v>
      </c>
      <c r="E31" t="s">
        <v>392</v>
      </c>
      <c r="F31">
        <v>1338435363</v>
      </c>
      <c r="G31">
        <v>39.72</v>
      </c>
      <c r="H31" t="s">
        <v>407</v>
      </c>
      <c r="I31">
        <v>53162652618.360001</v>
      </c>
      <c r="J31" t="s">
        <v>413</v>
      </c>
      <c r="K31">
        <v>57311402.692936502</v>
      </c>
      <c r="L31">
        <v>0.5</v>
      </c>
      <c r="M31">
        <v>10101015</v>
      </c>
      <c r="N31">
        <v>1010</v>
      </c>
      <c r="O31">
        <v>1.99432374876754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2.6360000000000001</v>
      </c>
      <c r="AR31">
        <v>3.3039999999999998</v>
      </c>
      <c r="AS31" t="s">
        <v>424</v>
      </c>
      <c r="AT31">
        <v>0</v>
      </c>
      <c r="AU31">
        <v>1</v>
      </c>
      <c r="AV31" t="s">
        <v>431</v>
      </c>
      <c r="AW31">
        <v>0</v>
      </c>
      <c r="AX31">
        <v>0</v>
      </c>
      <c r="AY31">
        <v>0</v>
      </c>
      <c r="CC31">
        <v>2.97</v>
      </c>
      <c r="CE31" t="s">
        <v>448</v>
      </c>
      <c r="CG31">
        <v>1.99432374876754</v>
      </c>
      <c r="CH31">
        <v>3.4</v>
      </c>
      <c r="CI31">
        <v>2.6971618743837702</v>
      </c>
      <c r="CJ31">
        <v>-0.18</v>
      </c>
      <c r="CK31">
        <v>2.51716187438377</v>
      </c>
      <c r="CL31">
        <v>1010</v>
      </c>
    </row>
    <row r="32" spans="1:97" x14ac:dyDescent="0.25">
      <c r="A32">
        <v>1058</v>
      </c>
      <c r="B32" t="s">
        <v>597</v>
      </c>
      <c r="C32" t="s">
        <v>813</v>
      </c>
      <c r="D32" t="s">
        <v>1029</v>
      </c>
      <c r="E32" t="s">
        <v>394</v>
      </c>
      <c r="F32">
        <v>2487280090</v>
      </c>
      <c r="G32">
        <v>45.975000000000001</v>
      </c>
      <c r="H32" t="s">
        <v>407</v>
      </c>
      <c r="I32">
        <v>114352702137.75</v>
      </c>
      <c r="J32" t="s">
        <v>413</v>
      </c>
      <c r="K32">
        <v>136864149.44412699</v>
      </c>
      <c r="L32">
        <v>0.55000000000000004</v>
      </c>
      <c r="M32">
        <v>10101020</v>
      </c>
      <c r="N32">
        <v>1010</v>
      </c>
      <c r="O32">
        <v>3.2867842633911799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2.0459999999999998</v>
      </c>
      <c r="AR32">
        <v>2.73</v>
      </c>
      <c r="AS32" t="s">
        <v>424</v>
      </c>
      <c r="AT32">
        <v>0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2.3879999999999999</v>
      </c>
      <c r="CE32" t="s">
        <v>448</v>
      </c>
      <c r="CG32">
        <v>3.2867842633911799</v>
      </c>
      <c r="CH32">
        <v>3.4</v>
      </c>
      <c r="CI32">
        <v>3.3433921316955901</v>
      </c>
      <c r="CJ32">
        <v>0</v>
      </c>
      <c r="CK32">
        <v>3.3433921316955901</v>
      </c>
      <c r="CL32">
        <v>1010</v>
      </c>
    </row>
    <row r="33" spans="1:91" s="2" customFormat="1" x14ac:dyDescent="0.25">
      <c r="A33" s="2">
        <v>1139</v>
      </c>
      <c r="B33" s="2" t="s">
        <v>178</v>
      </c>
      <c r="C33" s="2" t="s">
        <v>278</v>
      </c>
      <c r="D33" s="2" t="s">
        <v>378</v>
      </c>
      <c r="E33" s="2" t="s">
        <v>401</v>
      </c>
      <c r="F33" s="2">
        <v>995756840</v>
      </c>
      <c r="G33" s="2">
        <v>15.692080000000001</v>
      </c>
      <c r="H33" s="2" t="s">
        <v>411</v>
      </c>
      <c r="I33" s="2">
        <v>15625495993.8272</v>
      </c>
      <c r="J33" s="2" t="s">
        <v>414</v>
      </c>
      <c r="K33" s="2">
        <v>29289351.006745402</v>
      </c>
      <c r="L33" s="2">
        <v>1</v>
      </c>
      <c r="M33" s="2">
        <v>10101015</v>
      </c>
      <c r="N33" s="2">
        <v>1010</v>
      </c>
      <c r="O33" s="2">
        <v>1.7465783472899099</v>
      </c>
      <c r="P33" s="2">
        <v>1.5</v>
      </c>
      <c r="Q33" s="2" t="s">
        <v>415</v>
      </c>
      <c r="R33" s="2" t="s">
        <v>420</v>
      </c>
      <c r="S33" s="2">
        <v>0</v>
      </c>
      <c r="T33" s="2">
        <v>0</v>
      </c>
      <c r="U33" s="2" t="s">
        <v>420</v>
      </c>
      <c r="V33" s="2" t="s">
        <v>420</v>
      </c>
      <c r="W33" s="2" t="s">
        <v>420</v>
      </c>
      <c r="X33" s="2" t="s">
        <v>420</v>
      </c>
      <c r="Y33" s="2" t="s">
        <v>420</v>
      </c>
      <c r="Z33" s="2" t="s">
        <v>420</v>
      </c>
      <c r="AA33" s="2" t="s">
        <v>420</v>
      </c>
      <c r="AB33" s="2">
        <v>0</v>
      </c>
      <c r="AC33" s="2">
        <v>0</v>
      </c>
      <c r="AD33" s="2">
        <v>0</v>
      </c>
      <c r="AF33" s="2">
        <v>0</v>
      </c>
      <c r="AG33" s="2" t="s">
        <v>422</v>
      </c>
      <c r="AI33" s="2" t="s">
        <v>422</v>
      </c>
      <c r="AJ33" s="2" t="s">
        <v>422</v>
      </c>
      <c r="AK33" s="2" t="s">
        <v>422</v>
      </c>
      <c r="AM33" s="2">
        <v>0</v>
      </c>
      <c r="AN33" s="2">
        <v>0</v>
      </c>
      <c r="AO33" s="2">
        <v>0</v>
      </c>
      <c r="AP33" s="2">
        <v>0</v>
      </c>
      <c r="AQ33" s="2">
        <v>2.41</v>
      </c>
      <c r="AR33" s="2">
        <v>3.306</v>
      </c>
      <c r="AS33" s="2" t="s">
        <v>424</v>
      </c>
      <c r="AT33" s="2">
        <v>0</v>
      </c>
      <c r="AU33" s="2">
        <v>0</v>
      </c>
      <c r="AV33" s="2" t="s">
        <v>440</v>
      </c>
      <c r="AW33" s="2">
        <v>0</v>
      </c>
      <c r="AX33" s="2">
        <v>0</v>
      </c>
      <c r="AY33" s="2">
        <v>0</v>
      </c>
      <c r="CC33" s="2">
        <v>2.8580000000000001</v>
      </c>
      <c r="CE33" s="2" t="s">
        <v>448</v>
      </c>
      <c r="CG33" s="2">
        <v>1.7465783472899099</v>
      </c>
      <c r="CH33" s="2">
        <v>1.5</v>
      </c>
      <c r="CI33" s="2">
        <v>1.6232891736449551</v>
      </c>
      <c r="CJ33" s="2">
        <v>-0.3</v>
      </c>
      <c r="CK33" s="2">
        <v>1.323289173644955</v>
      </c>
      <c r="CL33" s="2">
        <v>1010</v>
      </c>
      <c r="CM33" s="2" t="s">
        <v>1109</v>
      </c>
    </row>
    <row r="34" spans="1:91" s="2" customFormat="1" x14ac:dyDescent="0.25">
      <c r="A34" s="2">
        <v>1156</v>
      </c>
      <c r="B34" s="2" t="s">
        <v>613</v>
      </c>
      <c r="C34" s="2" t="s">
        <v>829</v>
      </c>
      <c r="D34" s="2" t="s">
        <v>1045</v>
      </c>
      <c r="E34" s="2" t="s">
        <v>396</v>
      </c>
      <c r="F34" s="2">
        <v>1228504300</v>
      </c>
      <c r="G34" s="2">
        <v>273.60000000000002</v>
      </c>
      <c r="H34" s="2" t="s">
        <v>407</v>
      </c>
      <c r="I34" s="2">
        <v>336118776480</v>
      </c>
      <c r="J34" s="2" t="s">
        <v>413</v>
      </c>
      <c r="K34" s="2">
        <v>368554481.884426</v>
      </c>
      <c r="L34" s="2">
        <v>0.95</v>
      </c>
      <c r="M34" s="2">
        <v>10101015</v>
      </c>
      <c r="N34" s="2">
        <v>1010</v>
      </c>
      <c r="O34" s="2">
        <v>1.74740684989184</v>
      </c>
      <c r="P34" s="2">
        <v>3.1</v>
      </c>
      <c r="Q34" s="2" t="s">
        <v>416</v>
      </c>
      <c r="R34" s="2" t="s">
        <v>420</v>
      </c>
      <c r="S34" s="2">
        <v>0</v>
      </c>
      <c r="T34" s="2">
        <v>0</v>
      </c>
      <c r="U34" s="2" t="s">
        <v>420</v>
      </c>
      <c r="V34" s="2" t="s">
        <v>420</v>
      </c>
      <c r="W34" s="2" t="s">
        <v>420</v>
      </c>
      <c r="X34" s="2" t="s">
        <v>420</v>
      </c>
      <c r="Y34" s="2" t="s">
        <v>420</v>
      </c>
      <c r="Z34" s="2" t="s">
        <v>420</v>
      </c>
      <c r="AA34" s="2" t="s">
        <v>420</v>
      </c>
      <c r="AB34" s="2">
        <v>0</v>
      </c>
      <c r="AC34" s="2">
        <v>0</v>
      </c>
      <c r="AD34" s="2">
        <v>0</v>
      </c>
      <c r="AF34" s="2">
        <v>0</v>
      </c>
      <c r="AG34" s="2" t="s">
        <v>422</v>
      </c>
      <c r="AI34" s="2" t="s">
        <v>422</v>
      </c>
      <c r="AJ34" s="2" t="s">
        <v>422</v>
      </c>
      <c r="AK34" s="2" t="s">
        <v>422</v>
      </c>
      <c r="AM34" s="2">
        <v>0</v>
      </c>
      <c r="AN34" s="2">
        <v>0</v>
      </c>
      <c r="AO34" s="2">
        <v>0</v>
      </c>
      <c r="AP34" s="2">
        <v>0</v>
      </c>
      <c r="AQ34" s="2">
        <v>2.9609999999999999</v>
      </c>
      <c r="AR34" s="2">
        <v>3.121</v>
      </c>
      <c r="AS34" s="2" t="s">
        <v>424</v>
      </c>
      <c r="AT34" s="2">
        <v>0</v>
      </c>
      <c r="AU34" s="2">
        <v>0</v>
      </c>
      <c r="AV34" s="2" t="s">
        <v>435</v>
      </c>
      <c r="AW34" s="2">
        <v>0</v>
      </c>
      <c r="AX34" s="2">
        <v>0</v>
      </c>
      <c r="AY34" s="2">
        <v>0</v>
      </c>
      <c r="CC34" s="2">
        <v>3.0409999999999999</v>
      </c>
      <c r="CE34" s="2" t="s">
        <v>448</v>
      </c>
      <c r="CG34" s="2">
        <v>1.74740684989184</v>
      </c>
      <c r="CH34" s="2">
        <v>3.1</v>
      </c>
      <c r="CI34" s="2">
        <v>2.4237034249459199</v>
      </c>
      <c r="CJ34" s="2">
        <v>-0.18</v>
      </c>
      <c r="CK34" s="2">
        <v>2.2437034249459198</v>
      </c>
      <c r="CL34" s="2">
        <v>1010</v>
      </c>
      <c r="CM34" s="2" t="s">
        <v>1109</v>
      </c>
    </row>
    <row r="35" spans="1:91" x14ac:dyDescent="0.25">
      <c r="A35">
        <v>1171</v>
      </c>
      <c r="B35" t="s">
        <v>618</v>
      </c>
      <c r="C35" t="s">
        <v>834</v>
      </c>
      <c r="D35" t="s">
        <v>1050</v>
      </c>
      <c r="E35" t="s">
        <v>396</v>
      </c>
      <c r="F35">
        <v>75000000</v>
      </c>
      <c r="G35">
        <v>94</v>
      </c>
      <c r="H35" t="s">
        <v>407</v>
      </c>
      <c r="I35">
        <v>7050000000</v>
      </c>
      <c r="J35" t="s">
        <v>413</v>
      </c>
      <c r="K35">
        <v>12789693.474590201</v>
      </c>
      <c r="L35">
        <v>1</v>
      </c>
      <c r="M35">
        <v>10101020</v>
      </c>
      <c r="N35">
        <v>1010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2.3159999999999998</v>
      </c>
      <c r="AR35">
        <v>2.8919999999999999</v>
      </c>
      <c r="AS35" t="s">
        <v>424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2.6040000000000001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  <c r="CL35">
        <v>1010</v>
      </c>
    </row>
    <row r="36" spans="1:91" x14ac:dyDescent="0.25">
      <c r="A36">
        <v>1274</v>
      </c>
      <c r="B36" t="s">
        <v>633</v>
      </c>
      <c r="C36" t="s">
        <v>849</v>
      </c>
      <c r="D36" t="s">
        <v>1065</v>
      </c>
      <c r="E36" t="s">
        <v>392</v>
      </c>
      <c r="F36">
        <v>911281920</v>
      </c>
      <c r="G36">
        <v>26.75</v>
      </c>
      <c r="H36" t="s">
        <v>407</v>
      </c>
      <c r="I36">
        <v>24376791360</v>
      </c>
      <c r="J36" t="s">
        <v>413</v>
      </c>
      <c r="K36">
        <v>69986935.472063407</v>
      </c>
      <c r="L36">
        <v>0.70000000000000007</v>
      </c>
      <c r="M36">
        <v>10102010</v>
      </c>
      <c r="N36">
        <v>1010</v>
      </c>
      <c r="O36">
        <v>3.2675945310025298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2.911</v>
      </c>
      <c r="AR36">
        <v>2.8580000000000001</v>
      </c>
      <c r="AS36" t="s">
        <v>418</v>
      </c>
      <c r="AT36">
        <v>1</v>
      </c>
      <c r="AU36">
        <v>0</v>
      </c>
      <c r="AV36" t="s">
        <v>444</v>
      </c>
      <c r="AW36">
        <v>0</v>
      </c>
      <c r="AX36">
        <v>0</v>
      </c>
      <c r="AY36">
        <v>0</v>
      </c>
      <c r="CC36">
        <v>2.8845000000000001</v>
      </c>
      <c r="CE36" t="s">
        <v>448</v>
      </c>
      <c r="CG36">
        <v>3.2675945310025298</v>
      </c>
      <c r="CH36">
        <v>3.1</v>
      </c>
      <c r="CI36">
        <v>3.1837972655012652</v>
      </c>
      <c r="CJ36">
        <v>-0.3</v>
      </c>
      <c r="CK36">
        <v>2.8837972655012649</v>
      </c>
      <c r="CL36">
        <v>1010</v>
      </c>
    </row>
    <row r="37" spans="1:91" x14ac:dyDescent="0.25">
      <c r="A37">
        <v>1356</v>
      </c>
      <c r="B37" t="s">
        <v>648</v>
      </c>
      <c r="C37" t="s">
        <v>864</v>
      </c>
      <c r="D37" t="s">
        <v>1080</v>
      </c>
      <c r="E37" t="s">
        <v>404</v>
      </c>
      <c r="F37">
        <v>75171080</v>
      </c>
      <c r="G37">
        <v>79.587059999999994</v>
      </c>
      <c r="H37" t="s">
        <v>412</v>
      </c>
      <c r="I37">
        <v>5982645254.2247992</v>
      </c>
      <c r="J37" t="s">
        <v>414</v>
      </c>
      <c r="K37">
        <v>18044772.726358701</v>
      </c>
      <c r="L37">
        <v>0.8</v>
      </c>
      <c r="M37">
        <v>10101015</v>
      </c>
      <c r="N37">
        <v>1010</v>
      </c>
      <c r="O37">
        <v>1.9728064315495999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2.7850000000000001</v>
      </c>
      <c r="AR37">
        <v>3.222</v>
      </c>
      <c r="AS37" t="s">
        <v>424</v>
      </c>
      <c r="AT37">
        <v>0</v>
      </c>
      <c r="AU37">
        <v>0</v>
      </c>
      <c r="AV37" t="s">
        <v>443</v>
      </c>
      <c r="AW37">
        <v>0</v>
      </c>
      <c r="AX37">
        <v>0</v>
      </c>
      <c r="AY37">
        <v>0</v>
      </c>
      <c r="CC37">
        <v>3.0034999999999998</v>
      </c>
      <c r="CE37" t="s">
        <v>448</v>
      </c>
      <c r="CG37">
        <v>1.9728064315495999</v>
      </c>
      <c r="CH37">
        <v>3.4</v>
      </c>
      <c r="CI37">
        <v>2.6864032157748001</v>
      </c>
      <c r="CJ37">
        <v>-0.24</v>
      </c>
      <c r="CK37">
        <v>2.4464032157747999</v>
      </c>
      <c r="CL37">
        <v>1010</v>
      </c>
    </row>
    <row r="38" spans="1:91" x14ac:dyDescent="0.25">
      <c r="A38">
        <v>674</v>
      </c>
      <c r="B38" t="s">
        <v>558</v>
      </c>
      <c r="C38" t="s">
        <v>774</v>
      </c>
      <c r="D38" t="s">
        <v>990</v>
      </c>
      <c r="E38" t="s">
        <v>402</v>
      </c>
      <c r="F38">
        <v>931890010</v>
      </c>
      <c r="G38">
        <v>9.4499999999999993</v>
      </c>
      <c r="H38" t="s">
        <v>407</v>
      </c>
      <c r="I38">
        <v>8806360594.5</v>
      </c>
      <c r="J38" t="s">
        <v>413</v>
      </c>
      <c r="K38">
        <v>11490417.005327901</v>
      </c>
      <c r="L38">
        <v>0.35</v>
      </c>
      <c r="M38">
        <v>15102015</v>
      </c>
      <c r="N38">
        <v>1510</v>
      </c>
      <c r="O38">
        <v>1.7365132154734799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2.536</v>
      </c>
      <c r="AR38">
        <v>2.9889999999999999</v>
      </c>
      <c r="AS38" t="s">
        <v>422</v>
      </c>
      <c r="AT38">
        <v>1</v>
      </c>
      <c r="AU38">
        <v>0</v>
      </c>
      <c r="AV38" t="s">
        <v>441</v>
      </c>
      <c r="AW38">
        <v>0</v>
      </c>
      <c r="AX38">
        <v>0</v>
      </c>
      <c r="AY38">
        <v>0</v>
      </c>
      <c r="CC38">
        <v>2.7625000000000002</v>
      </c>
      <c r="CE38" t="s">
        <v>448</v>
      </c>
      <c r="CG38">
        <v>1.7365132154734799</v>
      </c>
      <c r="CH38">
        <v>3.4</v>
      </c>
      <c r="CI38">
        <v>2.5682566077367399</v>
      </c>
      <c r="CJ38">
        <v>-0.3</v>
      </c>
      <c r="CK38">
        <v>2.2682566077367401</v>
      </c>
      <c r="CL38">
        <v>1510</v>
      </c>
    </row>
    <row r="39" spans="1:91" x14ac:dyDescent="0.25">
      <c r="A39">
        <v>765</v>
      </c>
      <c r="B39" t="s">
        <v>567</v>
      </c>
      <c r="C39" t="s">
        <v>783</v>
      </c>
      <c r="D39" t="s">
        <v>999</v>
      </c>
      <c r="E39" t="s">
        <v>394</v>
      </c>
      <c r="F39">
        <v>3888930422</v>
      </c>
      <c r="G39">
        <v>3.5070000000000001</v>
      </c>
      <c r="H39" t="s">
        <v>407</v>
      </c>
      <c r="I39">
        <v>13638478989.954</v>
      </c>
      <c r="J39" t="s">
        <v>413</v>
      </c>
      <c r="K39">
        <v>26549992.430079401</v>
      </c>
      <c r="L39">
        <v>1</v>
      </c>
      <c r="M39">
        <v>15102015</v>
      </c>
      <c r="N39">
        <v>1510</v>
      </c>
      <c r="O39">
        <v>1.67081002557398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2.4009999999999998</v>
      </c>
      <c r="AR39">
        <v>3.0750000000000002</v>
      </c>
      <c r="AS39" t="s">
        <v>424</v>
      </c>
      <c r="AT39">
        <v>0</v>
      </c>
      <c r="AU39">
        <v>0</v>
      </c>
      <c r="AV39" t="s">
        <v>444</v>
      </c>
      <c r="AW39">
        <v>0</v>
      </c>
      <c r="AX39">
        <v>0</v>
      </c>
      <c r="AY39">
        <v>0</v>
      </c>
      <c r="CC39">
        <v>2.738</v>
      </c>
      <c r="CE39" t="s">
        <v>448</v>
      </c>
      <c r="CG39">
        <v>1.67081002557398</v>
      </c>
      <c r="CH39">
        <v>3.4</v>
      </c>
      <c r="CI39">
        <v>2.53540501278699</v>
      </c>
      <c r="CJ39">
        <v>-0.3</v>
      </c>
      <c r="CK39">
        <v>2.2354050127869902</v>
      </c>
      <c r="CL39">
        <v>1510</v>
      </c>
    </row>
    <row r="40" spans="1:91" x14ac:dyDescent="0.25">
      <c r="A40">
        <v>227</v>
      </c>
      <c r="B40" t="s">
        <v>492</v>
      </c>
      <c r="C40" t="s">
        <v>708</v>
      </c>
      <c r="D40" t="s">
        <v>924</v>
      </c>
      <c r="E40" t="s">
        <v>401</v>
      </c>
      <c r="F40">
        <v>9956837000</v>
      </c>
      <c r="G40">
        <v>1.820668</v>
      </c>
      <c r="H40" t="s">
        <v>411</v>
      </c>
      <c r="I40">
        <v>18128094507.116001</v>
      </c>
      <c r="J40" t="s">
        <v>414</v>
      </c>
      <c r="K40">
        <v>22456253.843416799</v>
      </c>
      <c r="L40">
        <v>0.4</v>
      </c>
      <c r="M40">
        <v>15102015</v>
      </c>
      <c r="N40">
        <v>1510</v>
      </c>
      <c r="O40">
        <v>2.3119389045162899</v>
      </c>
      <c r="P40">
        <v>2.39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2.762</v>
      </c>
      <c r="AR40">
        <v>2.5619999999999998</v>
      </c>
      <c r="AS40" t="s">
        <v>424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2.6619999999999999</v>
      </c>
      <c r="CE40" t="s">
        <v>448</v>
      </c>
      <c r="CG40">
        <v>2.3119389045162899</v>
      </c>
      <c r="CH40">
        <v>2.39</v>
      </c>
      <c r="CI40">
        <v>2.3509694522581448</v>
      </c>
      <c r="CJ40">
        <v>-0.3</v>
      </c>
      <c r="CK40">
        <v>2.050969452258145</v>
      </c>
      <c r="CL40">
        <v>1510</v>
      </c>
    </row>
    <row r="41" spans="1:91" x14ac:dyDescent="0.25">
      <c r="A41">
        <v>258</v>
      </c>
      <c r="B41" t="s">
        <v>498</v>
      </c>
      <c r="C41" t="s">
        <v>714</v>
      </c>
      <c r="D41" t="s">
        <v>930</v>
      </c>
      <c r="E41" t="s">
        <v>399</v>
      </c>
      <c r="F41">
        <v>706475400</v>
      </c>
      <c r="G41">
        <v>31.76</v>
      </c>
      <c r="H41" t="s">
        <v>407</v>
      </c>
      <c r="I41">
        <v>22437658704</v>
      </c>
      <c r="J41" t="s">
        <v>413</v>
      </c>
      <c r="K41">
        <v>41901141.976885699</v>
      </c>
      <c r="L41">
        <v>0.85</v>
      </c>
      <c r="M41">
        <v>15102015</v>
      </c>
      <c r="N41">
        <v>1510</v>
      </c>
      <c r="O41">
        <v>1.95381713589362</v>
      </c>
      <c r="Q41" t="s">
        <v>415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2.464</v>
      </c>
      <c r="AR41">
        <v>3.2919999999999998</v>
      </c>
      <c r="AS41" t="s">
        <v>422</v>
      </c>
      <c r="AT41">
        <v>1</v>
      </c>
      <c r="AU41">
        <v>0</v>
      </c>
      <c r="AV41" t="s">
        <v>438</v>
      </c>
      <c r="AW41">
        <v>0</v>
      </c>
      <c r="AX41">
        <v>0</v>
      </c>
      <c r="AY41">
        <v>0</v>
      </c>
      <c r="CC41">
        <v>2.8780000000000001</v>
      </c>
      <c r="CE41" t="s">
        <v>448</v>
      </c>
      <c r="CG41">
        <v>1.95381713589362</v>
      </c>
      <c r="CH41">
        <v>3.4</v>
      </c>
      <c r="CI41">
        <v>2.6769085679468101</v>
      </c>
      <c r="CJ41">
        <v>-0.3</v>
      </c>
      <c r="CK41">
        <v>2.3769085679468098</v>
      </c>
      <c r="CL41">
        <v>1510</v>
      </c>
    </row>
    <row r="42" spans="1:91" x14ac:dyDescent="0.25">
      <c r="A42">
        <v>461</v>
      </c>
      <c r="B42" t="s">
        <v>521</v>
      </c>
      <c r="C42" t="s">
        <v>737</v>
      </c>
      <c r="D42" t="s">
        <v>953</v>
      </c>
      <c r="E42" t="s">
        <v>393</v>
      </c>
      <c r="F42">
        <v>3086495800</v>
      </c>
      <c r="G42">
        <v>7.6701490000000003</v>
      </c>
      <c r="H42" t="s">
        <v>408</v>
      </c>
      <c r="I42">
        <v>23673882673.874199</v>
      </c>
      <c r="J42" t="s">
        <v>414</v>
      </c>
      <c r="K42">
        <v>52893673.909293599</v>
      </c>
      <c r="L42">
        <v>0.95</v>
      </c>
      <c r="M42">
        <v>15101010</v>
      </c>
      <c r="N42">
        <v>1510</v>
      </c>
      <c r="O42">
        <v>1.74924520915321</v>
      </c>
      <c r="P42">
        <v>3.1</v>
      </c>
      <c r="Q42" t="s">
        <v>1097</v>
      </c>
      <c r="R42" t="s">
        <v>421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2.6440000000000001</v>
      </c>
      <c r="AR42">
        <v>2.548</v>
      </c>
      <c r="AS42" t="s">
        <v>418</v>
      </c>
      <c r="AT42">
        <v>1</v>
      </c>
      <c r="AU42">
        <v>0</v>
      </c>
      <c r="AV42" t="s">
        <v>432</v>
      </c>
      <c r="AW42">
        <v>0</v>
      </c>
      <c r="AX42">
        <v>0</v>
      </c>
      <c r="AY42">
        <v>0</v>
      </c>
      <c r="CC42">
        <v>2.5960000000000001</v>
      </c>
      <c r="CE42" t="s">
        <v>448</v>
      </c>
      <c r="CG42">
        <v>1.74924520915321</v>
      </c>
      <c r="CH42">
        <v>3.1</v>
      </c>
      <c r="CI42">
        <v>2.4246226045766051</v>
      </c>
      <c r="CJ42">
        <v>0.3</v>
      </c>
      <c r="CK42">
        <v>2.7246226045766049</v>
      </c>
      <c r="CL42">
        <v>1510</v>
      </c>
    </row>
    <row r="43" spans="1:91" x14ac:dyDescent="0.25">
      <c r="A43">
        <v>437</v>
      </c>
      <c r="B43" t="s">
        <v>518</v>
      </c>
      <c r="C43" t="s">
        <v>734</v>
      </c>
      <c r="D43" t="s">
        <v>950</v>
      </c>
      <c r="E43" t="s">
        <v>397</v>
      </c>
      <c r="F43">
        <v>167335070</v>
      </c>
      <c r="G43">
        <v>42.88</v>
      </c>
      <c r="H43" t="s">
        <v>407</v>
      </c>
      <c r="I43">
        <v>7175327801.6000004</v>
      </c>
      <c r="J43" t="s">
        <v>413</v>
      </c>
      <c r="K43">
        <v>11007741.5872881</v>
      </c>
      <c r="L43">
        <v>0.9</v>
      </c>
      <c r="M43">
        <v>15102015</v>
      </c>
      <c r="N43">
        <v>1510</v>
      </c>
      <c r="O43">
        <v>1.7468080269888999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2.5310000000000001</v>
      </c>
      <c r="AR43">
        <v>3.1970000000000001</v>
      </c>
      <c r="AS43" t="s">
        <v>424</v>
      </c>
      <c r="AT43">
        <v>0</v>
      </c>
      <c r="AU43">
        <v>0</v>
      </c>
      <c r="AV43" t="s">
        <v>436</v>
      </c>
      <c r="AW43">
        <v>0</v>
      </c>
      <c r="AX43">
        <v>0</v>
      </c>
      <c r="AY43">
        <v>0</v>
      </c>
      <c r="CC43">
        <v>2.8639999999999999</v>
      </c>
      <c r="CE43" t="s">
        <v>448</v>
      </c>
      <c r="CG43">
        <v>1.7468080269888999</v>
      </c>
      <c r="CH43">
        <v>3.4</v>
      </c>
      <c r="CI43">
        <v>2.57340401349445</v>
      </c>
      <c r="CJ43">
        <v>-0.3</v>
      </c>
      <c r="CK43">
        <v>2.2734040134944502</v>
      </c>
      <c r="CL43">
        <v>1510</v>
      </c>
    </row>
    <row r="44" spans="1:91" x14ac:dyDescent="0.25">
      <c r="A44">
        <v>386</v>
      </c>
      <c r="B44" t="s">
        <v>511</v>
      </c>
      <c r="C44" t="s">
        <v>727</v>
      </c>
      <c r="D44" t="s">
        <v>943</v>
      </c>
      <c r="E44" t="s">
        <v>396</v>
      </c>
      <c r="F44">
        <v>4986458500</v>
      </c>
      <c r="G44">
        <v>34.520000000000003</v>
      </c>
      <c r="H44" t="s">
        <v>407</v>
      </c>
      <c r="I44">
        <v>172132547420</v>
      </c>
      <c r="J44" t="s">
        <v>413</v>
      </c>
      <c r="K44">
        <v>206808355.30581999</v>
      </c>
      <c r="L44">
        <v>0.75</v>
      </c>
      <c r="M44">
        <v>15102015</v>
      </c>
      <c r="N44">
        <v>1510</v>
      </c>
      <c r="O44">
        <v>1.74534618126999</v>
      </c>
      <c r="Q44" t="s">
        <v>415</v>
      </c>
      <c r="R44" t="s">
        <v>421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2.673</v>
      </c>
      <c r="AR44">
        <v>3.2040000000000002</v>
      </c>
      <c r="AS44" t="s">
        <v>424</v>
      </c>
      <c r="AT44">
        <v>0</v>
      </c>
      <c r="AU44">
        <v>0</v>
      </c>
      <c r="AV44" t="s">
        <v>435</v>
      </c>
      <c r="AW44">
        <v>0</v>
      </c>
      <c r="AX44">
        <v>0</v>
      </c>
      <c r="AY44">
        <v>0</v>
      </c>
      <c r="CC44">
        <v>2.9384999999999999</v>
      </c>
      <c r="CE44" t="s">
        <v>448</v>
      </c>
      <c r="CG44">
        <v>1.74534618126999</v>
      </c>
      <c r="CH44">
        <v>3.4</v>
      </c>
      <c r="CI44">
        <v>2.5726730906349951</v>
      </c>
      <c r="CJ44">
        <v>-0.3</v>
      </c>
      <c r="CK44">
        <v>2.2726730906349948</v>
      </c>
      <c r="CL44">
        <v>1510</v>
      </c>
    </row>
    <row r="45" spans="1:91" x14ac:dyDescent="0.25">
      <c r="A45">
        <v>962</v>
      </c>
      <c r="B45" t="s">
        <v>586</v>
      </c>
      <c r="C45" t="s">
        <v>802</v>
      </c>
      <c r="D45" t="s">
        <v>1018</v>
      </c>
      <c r="E45" t="s">
        <v>397</v>
      </c>
      <c r="F45">
        <v>5605850600</v>
      </c>
      <c r="G45">
        <v>4.8034999999999997</v>
      </c>
      <c r="H45" t="s">
        <v>407</v>
      </c>
      <c r="I45">
        <v>26927703357.099998</v>
      </c>
      <c r="J45" t="s">
        <v>413</v>
      </c>
      <c r="K45">
        <v>50511232.338305101</v>
      </c>
      <c r="L45">
        <v>0.95</v>
      </c>
      <c r="M45">
        <v>15101010</v>
      </c>
      <c r="N45">
        <v>1510</v>
      </c>
      <c r="O45">
        <v>1.74891070194458</v>
      </c>
      <c r="P45">
        <v>3.1</v>
      </c>
      <c r="Q45" t="s">
        <v>418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2.6880000000000002</v>
      </c>
      <c r="AR45">
        <v>3.6120000000000001</v>
      </c>
      <c r="AS45" t="s">
        <v>418</v>
      </c>
      <c r="AT45">
        <v>1</v>
      </c>
      <c r="AU45">
        <v>0</v>
      </c>
      <c r="AV45" t="s">
        <v>436</v>
      </c>
      <c r="AW45">
        <v>0</v>
      </c>
      <c r="AX45">
        <v>0</v>
      </c>
      <c r="AY45">
        <v>0</v>
      </c>
      <c r="CC45">
        <v>3.15</v>
      </c>
      <c r="CE45" t="s">
        <v>448</v>
      </c>
      <c r="CG45">
        <v>1.74891070194458</v>
      </c>
      <c r="CH45">
        <v>3.1</v>
      </c>
      <c r="CI45">
        <v>2.4244553509722899</v>
      </c>
      <c r="CJ45">
        <v>0</v>
      </c>
      <c r="CK45">
        <v>2.4244553509722899</v>
      </c>
      <c r="CL45">
        <v>1510</v>
      </c>
    </row>
    <row r="46" spans="1:91" x14ac:dyDescent="0.25">
      <c r="A46">
        <v>1002</v>
      </c>
      <c r="B46" t="s">
        <v>144</v>
      </c>
      <c r="C46" t="s">
        <v>244</v>
      </c>
      <c r="D46" t="s">
        <v>344</v>
      </c>
      <c r="E46" t="s">
        <v>392</v>
      </c>
      <c r="F46">
        <v>2660056599</v>
      </c>
      <c r="G46">
        <v>11.074999999999999</v>
      </c>
      <c r="H46" t="s">
        <v>407</v>
      </c>
      <c r="I46">
        <v>29460126833.924999</v>
      </c>
      <c r="J46" t="s">
        <v>413</v>
      </c>
      <c r="K46">
        <v>71522746.378896803</v>
      </c>
      <c r="L46">
        <v>0.65</v>
      </c>
      <c r="M46">
        <v>15102015</v>
      </c>
      <c r="N46">
        <v>1510</v>
      </c>
      <c r="O46">
        <v>1.7104133479050101</v>
      </c>
      <c r="P46">
        <v>2.39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2.7160000000000002</v>
      </c>
      <c r="AR46">
        <v>2.7469999999999999</v>
      </c>
      <c r="AS46" t="s">
        <v>424</v>
      </c>
      <c r="AT46">
        <v>0</v>
      </c>
      <c r="AU46">
        <v>0</v>
      </c>
      <c r="AV46" t="s">
        <v>431</v>
      </c>
      <c r="AW46">
        <v>0</v>
      </c>
      <c r="AX46">
        <v>0</v>
      </c>
      <c r="AY46">
        <v>0</v>
      </c>
      <c r="CC46">
        <v>2.7315</v>
      </c>
      <c r="CE46" t="s">
        <v>448</v>
      </c>
      <c r="CG46">
        <v>1.7104133479050101</v>
      </c>
      <c r="CH46">
        <v>2.39</v>
      </c>
      <c r="CI46">
        <v>2.0502066739525051</v>
      </c>
      <c r="CJ46">
        <v>-0.18</v>
      </c>
      <c r="CK46">
        <v>1.8702066739525049</v>
      </c>
      <c r="CL46">
        <v>1510</v>
      </c>
    </row>
    <row r="47" spans="1:91" x14ac:dyDescent="0.25">
      <c r="A47">
        <v>1296</v>
      </c>
      <c r="B47" t="s">
        <v>634</v>
      </c>
      <c r="C47" t="s">
        <v>850</v>
      </c>
      <c r="D47" t="s">
        <v>1066</v>
      </c>
      <c r="E47" t="s">
        <v>404</v>
      </c>
      <c r="F47">
        <v>69759705</v>
      </c>
      <c r="G47">
        <v>45.210979999999999</v>
      </c>
      <c r="H47" t="s">
        <v>412</v>
      </c>
      <c r="I47">
        <v>3153904627.5609002</v>
      </c>
      <c r="J47" t="s">
        <v>414</v>
      </c>
      <c r="K47">
        <v>14965457.106192701</v>
      </c>
      <c r="L47">
        <v>0.95</v>
      </c>
      <c r="M47">
        <v>15102015</v>
      </c>
      <c r="N47">
        <v>1510</v>
      </c>
      <c r="R47" t="s">
        <v>1100</v>
      </c>
      <c r="S47" t="s">
        <v>1100</v>
      </c>
      <c r="T47" t="s">
        <v>1100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C47">
        <v>0</v>
      </c>
      <c r="AQ47" t="s">
        <v>1100</v>
      </c>
      <c r="AR47" t="s">
        <v>1100</v>
      </c>
      <c r="AS47" t="s">
        <v>424</v>
      </c>
      <c r="AT47">
        <v>0</v>
      </c>
      <c r="AU47">
        <v>0</v>
      </c>
      <c r="AV47" t="s">
        <v>443</v>
      </c>
      <c r="AW47">
        <v>0</v>
      </c>
      <c r="AX47">
        <v>0</v>
      </c>
      <c r="AY47">
        <v>0</v>
      </c>
      <c r="CE47" t="s">
        <v>448</v>
      </c>
      <c r="CG47">
        <v>3.4</v>
      </c>
      <c r="CH47">
        <v>3.4</v>
      </c>
      <c r="CI47">
        <v>3.4</v>
      </c>
      <c r="CJ47">
        <v>0.3</v>
      </c>
      <c r="CK47">
        <v>3.7</v>
      </c>
      <c r="CL47">
        <v>1510</v>
      </c>
    </row>
    <row r="48" spans="1:91" x14ac:dyDescent="0.25">
      <c r="A48">
        <v>1312</v>
      </c>
      <c r="B48" t="s">
        <v>641</v>
      </c>
      <c r="C48" t="s">
        <v>857</v>
      </c>
      <c r="D48" t="s">
        <v>1073</v>
      </c>
      <c r="E48" t="s">
        <v>404</v>
      </c>
      <c r="F48">
        <v>51801945</v>
      </c>
      <c r="G48">
        <v>531.21839999999997</v>
      </c>
      <c r="H48" t="s">
        <v>412</v>
      </c>
      <c r="I48">
        <v>27518146339.787998</v>
      </c>
      <c r="J48" t="s">
        <v>414</v>
      </c>
      <c r="K48">
        <v>54056194.880447403</v>
      </c>
      <c r="L48">
        <v>0.5</v>
      </c>
      <c r="M48">
        <v>15102015</v>
      </c>
      <c r="N48">
        <v>1510</v>
      </c>
      <c r="O48">
        <v>1.7043064448883301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2.7719999999999998</v>
      </c>
      <c r="AR48">
        <v>2.488</v>
      </c>
      <c r="AS48" t="s">
        <v>424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2.63</v>
      </c>
      <c r="CE48" t="s">
        <v>448</v>
      </c>
      <c r="CG48">
        <v>1.7043064448883301</v>
      </c>
      <c r="CH48">
        <v>3.4</v>
      </c>
      <c r="CI48">
        <v>2.552153222444165</v>
      </c>
      <c r="CJ48">
        <v>-0.3</v>
      </c>
      <c r="CK48">
        <v>2.2521532224441652</v>
      </c>
      <c r="CL48">
        <v>1510</v>
      </c>
    </row>
    <row r="49" spans="1:90" x14ac:dyDescent="0.25">
      <c r="A49">
        <v>1345</v>
      </c>
      <c r="B49" t="s">
        <v>644</v>
      </c>
      <c r="C49" t="s">
        <v>860</v>
      </c>
      <c r="D49" t="s">
        <v>1076</v>
      </c>
      <c r="E49" t="s">
        <v>393</v>
      </c>
      <c r="F49">
        <v>683286900</v>
      </c>
      <c r="G49">
        <v>11.195</v>
      </c>
      <c r="H49" t="s">
        <v>408</v>
      </c>
      <c r="I49">
        <v>7649396845.5</v>
      </c>
      <c r="J49" t="s">
        <v>414</v>
      </c>
      <c r="K49">
        <v>18266804.221528899</v>
      </c>
      <c r="L49">
        <v>0.8</v>
      </c>
      <c r="M49">
        <v>15102015</v>
      </c>
      <c r="N49">
        <v>1510</v>
      </c>
      <c r="O49">
        <v>1.74727372151472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2.5539999999999998</v>
      </c>
      <c r="AR49">
        <v>3.0670000000000002</v>
      </c>
      <c r="AS49" t="s">
        <v>424</v>
      </c>
      <c r="AT49">
        <v>0</v>
      </c>
      <c r="AU49">
        <v>0</v>
      </c>
      <c r="AV49" t="s">
        <v>432</v>
      </c>
      <c r="AW49">
        <v>0</v>
      </c>
      <c r="AX49">
        <v>0</v>
      </c>
      <c r="AY49">
        <v>0</v>
      </c>
      <c r="CC49">
        <v>2.8105000000000002</v>
      </c>
      <c r="CE49" t="s">
        <v>448</v>
      </c>
      <c r="CG49">
        <v>1.74727372151472</v>
      </c>
      <c r="CH49">
        <v>3.4</v>
      </c>
      <c r="CI49">
        <v>2.5736368607573601</v>
      </c>
      <c r="CJ49">
        <v>-0.3</v>
      </c>
      <c r="CK49">
        <v>2.2736368607573598</v>
      </c>
      <c r="CL49">
        <v>1510</v>
      </c>
    </row>
    <row r="50" spans="1:90" x14ac:dyDescent="0.25">
      <c r="A50">
        <v>1348</v>
      </c>
      <c r="B50" t="s">
        <v>189</v>
      </c>
      <c r="C50" t="s">
        <v>289</v>
      </c>
      <c r="D50" t="s">
        <v>389</v>
      </c>
      <c r="E50" t="s">
        <v>399</v>
      </c>
      <c r="F50">
        <v>5670161600</v>
      </c>
      <c r="G50">
        <v>4.1740000000000004</v>
      </c>
      <c r="H50" t="s">
        <v>407</v>
      </c>
      <c r="I50">
        <v>23667254518.400002</v>
      </c>
      <c r="J50" t="s">
        <v>413</v>
      </c>
      <c r="K50">
        <v>53268601.0030111</v>
      </c>
      <c r="L50">
        <v>0.7</v>
      </c>
      <c r="M50">
        <v>15102015</v>
      </c>
      <c r="N50">
        <v>1510</v>
      </c>
      <c r="O50">
        <v>1.7233600828722999</v>
      </c>
      <c r="P50">
        <v>1.5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3.1030000000000002</v>
      </c>
      <c r="AR50">
        <v>2.8849999999999998</v>
      </c>
      <c r="AS50" t="s">
        <v>424</v>
      </c>
      <c r="AT50">
        <v>0</v>
      </c>
      <c r="AU50">
        <v>0</v>
      </c>
      <c r="AV50" t="s">
        <v>438</v>
      </c>
      <c r="AW50">
        <v>0</v>
      </c>
      <c r="AX50">
        <v>0</v>
      </c>
      <c r="AY50">
        <v>0</v>
      </c>
      <c r="CC50">
        <v>2.9940000000000002</v>
      </c>
      <c r="CE50" t="s">
        <v>448</v>
      </c>
      <c r="CG50">
        <v>1.7233600828722999</v>
      </c>
      <c r="CH50">
        <v>1.5</v>
      </c>
      <c r="CI50">
        <v>1.6116800414361501</v>
      </c>
      <c r="CJ50">
        <v>-0.3</v>
      </c>
      <c r="CK50">
        <v>1.31168004143615</v>
      </c>
      <c r="CL50">
        <v>1510</v>
      </c>
    </row>
    <row r="51" spans="1:90" x14ac:dyDescent="0.25">
      <c r="A51">
        <v>1349</v>
      </c>
      <c r="B51" t="s">
        <v>645</v>
      </c>
      <c r="C51" t="s">
        <v>861</v>
      </c>
      <c r="D51" t="s">
        <v>1077</v>
      </c>
      <c r="E51" t="s">
        <v>403</v>
      </c>
      <c r="F51">
        <v>664499940</v>
      </c>
      <c r="G51">
        <v>8.43</v>
      </c>
      <c r="H51" t="s">
        <v>407</v>
      </c>
      <c r="I51">
        <v>5601734494.1999998</v>
      </c>
      <c r="J51" t="s">
        <v>413</v>
      </c>
      <c r="K51">
        <v>447632.55360655801</v>
      </c>
      <c r="L51">
        <v>1</v>
      </c>
      <c r="M51">
        <v>15102015</v>
      </c>
      <c r="N51">
        <v>1510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2.4969999999999999</v>
      </c>
      <c r="AR51">
        <v>2.589</v>
      </c>
      <c r="AS51" t="s">
        <v>424</v>
      </c>
      <c r="AT51">
        <v>0</v>
      </c>
      <c r="AU51">
        <v>0</v>
      </c>
      <c r="AV51" t="s">
        <v>442</v>
      </c>
      <c r="AW51">
        <v>0</v>
      </c>
      <c r="AX51">
        <v>0</v>
      </c>
      <c r="AY51">
        <v>0</v>
      </c>
      <c r="CC51">
        <v>2.5430000000000001</v>
      </c>
      <c r="CE51" t="s">
        <v>448</v>
      </c>
      <c r="CG51">
        <v>3.4</v>
      </c>
      <c r="CH51">
        <v>3.4</v>
      </c>
      <c r="CI51">
        <v>3.4</v>
      </c>
      <c r="CJ51">
        <v>-0.24</v>
      </c>
      <c r="CK51">
        <v>3.16</v>
      </c>
      <c r="CL51">
        <v>1510</v>
      </c>
    </row>
    <row r="52" spans="1:90" x14ac:dyDescent="0.25">
      <c r="A52">
        <v>1350</v>
      </c>
      <c r="B52" t="s">
        <v>137</v>
      </c>
      <c r="C52" t="s">
        <v>237</v>
      </c>
      <c r="D52" t="s">
        <v>337</v>
      </c>
      <c r="E52" t="s">
        <v>398</v>
      </c>
      <c r="F52">
        <v>1368349989</v>
      </c>
      <c r="G52">
        <v>12.142609999999999</v>
      </c>
      <c r="H52" t="s">
        <v>409</v>
      </c>
      <c r="I52">
        <v>16615340259.93129</v>
      </c>
      <c r="J52" t="s">
        <v>414</v>
      </c>
      <c r="K52">
        <v>14604406.268437199</v>
      </c>
      <c r="L52">
        <v>0.45</v>
      </c>
      <c r="M52">
        <v>15102015</v>
      </c>
      <c r="N52">
        <v>1510</v>
      </c>
      <c r="O52">
        <v>1.692422773381</v>
      </c>
      <c r="P52">
        <v>2.7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2.3370000000000002</v>
      </c>
      <c r="AR52">
        <v>2.9340000000000002</v>
      </c>
      <c r="AS52" t="s">
        <v>424</v>
      </c>
      <c r="AT52">
        <v>0</v>
      </c>
      <c r="AU52">
        <v>0</v>
      </c>
      <c r="AV52" t="s">
        <v>437</v>
      </c>
      <c r="AW52">
        <v>0</v>
      </c>
      <c r="AX52">
        <v>0</v>
      </c>
      <c r="AY52">
        <v>0</v>
      </c>
      <c r="CC52">
        <v>2.6355</v>
      </c>
      <c r="CE52" t="s">
        <v>448</v>
      </c>
      <c r="CG52">
        <v>1.692422773381</v>
      </c>
      <c r="CH52">
        <v>2.7</v>
      </c>
      <c r="CI52">
        <v>2.1962113866905</v>
      </c>
      <c r="CJ52">
        <v>-0.24</v>
      </c>
      <c r="CK52">
        <v>1.9562113866905</v>
      </c>
      <c r="CL52">
        <v>1510</v>
      </c>
    </row>
    <row r="53" spans="1:90" x14ac:dyDescent="0.25">
      <c r="A53">
        <v>1352</v>
      </c>
      <c r="B53" t="s">
        <v>647</v>
      </c>
      <c r="C53" t="s">
        <v>863</v>
      </c>
      <c r="D53" t="s">
        <v>1079</v>
      </c>
      <c r="E53" t="s">
        <v>393</v>
      </c>
      <c r="F53">
        <v>3932109400</v>
      </c>
      <c r="G53">
        <v>3.062665</v>
      </c>
      <c r="H53" t="s">
        <v>408</v>
      </c>
      <c r="I53">
        <v>12042733835.551001</v>
      </c>
      <c r="J53" t="s">
        <v>414</v>
      </c>
      <c r="K53">
        <v>23714827.3458638</v>
      </c>
      <c r="L53">
        <v>0.6</v>
      </c>
      <c r="M53">
        <v>15102015</v>
      </c>
      <c r="N53">
        <v>1510</v>
      </c>
      <c r="O53">
        <v>1.7484413889375301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2.4809999999999999</v>
      </c>
      <c r="AR53">
        <v>3.2639999999999998</v>
      </c>
      <c r="AS53" t="s">
        <v>424</v>
      </c>
      <c r="AT53">
        <v>0</v>
      </c>
      <c r="AU53">
        <v>0</v>
      </c>
      <c r="AV53" t="s">
        <v>432</v>
      </c>
      <c r="AW53">
        <v>0</v>
      </c>
      <c r="AX53">
        <v>0</v>
      </c>
      <c r="AY53">
        <v>0</v>
      </c>
      <c r="CC53">
        <v>2.8725000000000001</v>
      </c>
      <c r="CE53" t="s">
        <v>448</v>
      </c>
      <c r="CG53">
        <v>1.7484413889375301</v>
      </c>
      <c r="CH53">
        <v>3.4</v>
      </c>
      <c r="CI53">
        <v>2.5742206944687651</v>
      </c>
      <c r="CJ53">
        <v>-0.18</v>
      </c>
      <c r="CK53">
        <v>2.394220694468765</v>
      </c>
      <c r="CL53">
        <v>1510</v>
      </c>
    </row>
    <row r="54" spans="1:90" x14ac:dyDescent="0.25">
      <c r="A54">
        <v>1471</v>
      </c>
      <c r="B54" t="s">
        <v>187</v>
      </c>
      <c r="C54" t="s">
        <v>287</v>
      </c>
      <c r="D54" t="s">
        <v>387</v>
      </c>
      <c r="E54" t="s">
        <v>401</v>
      </c>
      <c r="F54">
        <v>25081295000</v>
      </c>
      <c r="G54">
        <v>0.80032029999999998</v>
      </c>
      <c r="H54" t="s">
        <v>411</v>
      </c>
      <c r="I54">
        <v>20073069538.788502</v>
      </c>
      <c r="J54" t="s">
        <v>414</v>
      </c>
      <c r="K54">
        <v>51438057.273945697</v>
      </c>
      <c r="L54">
        <v>0.8</v>
      </c>
      <c r="M54">
        <v>15102015</v>
      </c>
      <c r="N54">
        <v>1510</v>
      </c>
      <c r="O54">
        <v>1.72809052700944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2.7650000000000001</v>
      </c>
      <c r="AR54">
        <v>3.141</v>
      </c>
      <c r="AS54" t="s">
        <v>424</v>
      </c>
      <c r="AT54">
        <v>0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2.9529999999999998</v>
      </c>
      <c r="CE54" t="s">
        <v>448</v>
      </c>
      <c r="CG54">
        <v>1.72809052700944</v>
      </c>
      <c r="CH54">
        <v>1.5</v>
      </c>
      <c r="CI54">
        <v>1.61404526350472</v>
      </c>
      <c r="CJ54">
        <v>-0.3</v>
      </c>
      <c r="CK54">
        <v>1.31404526350472</v>
      </c>
      <c r="CL54">
        <v>1510</v>
      </c>
    </row>
    <row r="55" spans="1:90" x14ac:dyDescent="0.25">
      <c r="A55">
        <v>379</v>
      </c>
      <c r="B55" t="s">
        <v>508</v>
      </c>
      <c r="C55" t="s">
        <v>724</v>
      </c>
      <c r="D55" t="s">
        <v>940</v>
      </c>
      <c r="E55" t="s">
        <v>400</v>
      </c>
      <c r="F55">
        <v>221089800</v>
      </c>
      <c r="G55">
        <v>35.655799999999999</v>
      </c>
      <c r="H55" t="s">
        <v>410</v>
      </c>
      <c r="I55">
        <v>7883133690.8400002</v>
      </c>
      <c r="J55" t="s">
        <v>414</v>
      </c>
      <c r="K55">
        <v>10220216.057256401</v>
      </c>
      <c r="L55">
        <v>0.4</v>
      </c>
      <c r="M55">
        <v>20102010</v>
      </c>
      <c r="N55">
        <v>2010</v>
      </c>
      <c r="O55">
        <v>1.71986019485342</v>
      </c>
      <c r="Q55" t="s">
        <v>422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2.673</v>
      </c>
      <c r="AR55">
        <v>3.101</v>
      </c>
      <c r="AS55" t="s">
        <v>418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2.887</v>
      </c>
      <c r="CE55" t="s">
        <v>448</v>
      </c>
      <c r="CG55">
        <v>1.71986019485342</v>
      </c>
      <c r="CH55">
        <v>3.4</v>
      </c>
      <c r="CI55">
        <v>2.5599300974267098</v>
      </c>
      <c r="CJ55">
        <v>0.3</v>
      </c>
      <c r="CK55">
        <v>2.8599300974267101</v>
      </c>
      <c r="CL55">
        <v>2010</v>
      </c>
    </row>
    <row r="56" spans="1:90" x14ac:dyDescent="0.25">
      <c r="A56">
        <v>306</v>
      </c>
      <c r="B56" t="s">
        <v>500</v>
      </c>
      <c r="C56" t="s">
        <v>716</v>
      </c>
      <c r="D56" t="s">
        <v>932</v>
      </c>
      <c r="E56" t="s">
        <v>400</v>
      </c>
      <c r="F56">
        <v>210200000</v>
      </c>
      <c r="G56">
        <v>107.1014</v>
      </c>
      <c r="H56" t="s">
        <v>410</v>
      </c>
      <c r="I56">
        <v>22512714280</v>
      </c>
      <c r="J56" t="s">
        <v>414</v>
      </c>
      <c r="K56">
        <v>21750532.031447802</v>
      </c>
      <c r="L56">
        <v>0.75</v>
      </c>
      <c r="M56">
        <v>20102015</v>
      </c>
      <c r="N56">
        <v>2010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2.875</v>
      </c>
      <c r="AR56">
        <v>2.4889999999999999</v>
      </c>
      <c r="AS56" t="s">
        <v>418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2.6819999999999999</v>
      </c>
      <c r="CE56" t="s">
        <v>448</v>
      </c>
      <c r="CG56">
        <v>3.4</v>
      </c>
      <c r="CH56">
        <v>3.4</v>
      </c>
      <c r="CI56">
        <v>3.4</v>
      </c>
      <c r="CJ56">
        <v>-0.18</v>
      </c>
      <c r="CK56">
        <v>3.22</v>
      </c>
      <c r="CL56">
        <v>2010</v>
      </c>
    </row>
    <row r="57" spans="1:90" x14ac:dyDescent="0.25">
      <c r="A57">
        <v>322</v>
      </c>
      <c r="B57" t="s">
        <v>155</v>
      </c>
      <c r="C57" t="s">
        <v>255</v>
      </c>
      <c r="D57" t="s">
        <v>355</v>
      </c>
      <c r="E57" t="s">
        <v>401</v>
      </c>
      <c r="F57">
        <v>2049789600</v>
      </c>
      <c r="G57">
        <v>2.9909249999999998</v>
      </c>
      <c r="H57" t="s">
        <v>411</v>
      </c>
      <c r="I57">
        <v>6130766959.3800001</v>
      </c>
      <c r="J57" t="s">
        <v>414</v>
      </c>
      <c r="K57">
        <v>9155054.9499982595</v>
      </c>
      <c r="L57">
        <v>0.8</v>
      </c>
      <c r="M57">
        <v>20102015</v>
      </c>
      <c r="N57">
        <v>2010</v>
      </c>
      <c r="O57">
        <v>1.97423180401412</v>
      </c>
      <c r="P57">
        <v>1.5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2.786</v>
      </c>
      <c r="AR57">
        <v>3.0009999999999999</v>
      </c>
      <c r="AS57" t="s">
        <v>418</v>
      </c>
      <c r="AT57">
        <v>1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2.8935</v>
      </c>
      <c r="CE57" t="s">
        <v>448</v>
      </c>
      <c r="CG57">
        <v>1.97423180401412</v>
      </c>
      <c r="CH57">
        <v>1.5</v>
      </c>
      <c r="CI57">
        <v>1.7371159020070599</v>
      </c>
      <c r="CJ57">
        <v>-0.18</v>
      </c>
      <c r="CK57">
        <v>1.55711590200706</v>
      </c>
      <c r="CL57">
        <v>2010</v>
      </c>
    </row>
    <row r="58" spans="1:90" x14ac:dyDescent="0.25">
      <c r="A58">
        <v>550</v>
      </c>
      <c r="B58" t="s">
        <v>537</v>
      </c>
      <c r="C58" t="s">
        <v>753</v>
      </c>
      <c r="D58" t="s">
        <v>969</v>
      </c>
      <c r="E58" t="s">
        <v>393</v>
      </c>
      <c r="F58">
        <v>254152370</v>
      </c>
      <c r="G58">
        <v>19.76435</v>
      </c>
      <c r="H58" t="s">
        <v>408</v>
      </c>
      <c r="I58">
        <v>5023156394.0095015</v>
      </c>
      <c r="J58" t="s">
        <v>414</v>
      </c>
      <c r="K58">
        <v>16679244.3821142</v>
      </c>
      <c r="L58">
        <v>0.85</v>
      </c>
      <c r="M58">
        <v>20102010</v>
      </c>
      <c r="N58">
        <v>2010</v>
      </c>
      <c r="Q58" t="s">
        <v>1098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2.4279999999999999</v>
      </c>
      <c r="AR58">
        <v>2.9260000000000002</v>
      </c>
      <c r="AS58" t="s">
        <v>418</v>
      </c>
      <c r="AT58">
        <v>1</v>
      </c>
      <c r="AU58">
        <v>0</v>
      </c>
      <c r="AV58" t="s">
        <v>432</v>
      </c>
      <c r="AW58">
        <v>0</v>
      </c>
      <c r="AX58">
        <v>0</v>
      </c>
      <c r="AY58">
        <v>0</v>
      </c>
      <c r="CC58">
        <v>2.677</v>
      </c>
      <c r="CE58" t="s">
        <v>448</v>
      </c>
      <c r="CG58">
        <v>3.4</v>
      </c>
      <c r="CH58">
        <v>3.4</v>
      </c>
      <c r="CI58">
        <v>3.4</v>
      </c>
      <c r="CJ58">
        <v>0.3</v>
      </c>
      <c r="CK58">
        <v>3.7</v>
      </c>
      <c r="CL58">
        <v>2010</v>
      </c>
    </row>
    <row r="59" spans="1:90" x14ac:dyDescent="0.25">
      <c r="A59">
        <v>675</v>
      </c>
      <c r="B59" t="s">
        <v>559</v>
      </c>
      <c r="C59" t="s">
        <v>775</v>
      </c>
      <c r="D59" t="s">
        <v>991</v>
      </c>
      <c r="E59" t="s">
        <v>392</v>
      </c>
      <c r="F59">
        <v>83814526</v>
      </c>
      <c r="G59">
        <v>110.4</v>
      </c>
      <c r="H59" t="s">
        <v>407</v>
      </c>
      <c r="I59">
        <v>9253123670.3999996</v>
      </c>
      <c r="J59" t="s">
        <v>413</v>
      </c>
      <c r="K59">
        <v>7962936.3880952401</v>
      </c>
      <c r="L59">
        <v>0.4</v>
      </c>
      <c r="M59">
        <v>20103015</v>
      </c>
      <c r="N59">
        <v>2010</v>
      </c>
      <c r="O59">
        <v>1.7993005952380901</v>
      </c>
      <c r="P59">
        <v>2.7</v>
      </c>
      <c r="Q59" t="s">
        <v>419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2.6040000000000001</v>
      </c>
      <c r="AR59">
        <v>2.907</v>
      </c>
      <c r="AS59" t="s">
        <v>430</v>
      </c>
      <c r="AT59">
        <v>0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2.7555000000000001</v>
      </c>
      <c r="CE59" t="s">
        <v>448</v>
      </c>
      <c r="CG59">
        <v>1.7993005952380901</v>
      </c>
      <c r="CH59">
        <v>2.7</v>
      </c>
      <c r="CI59">
        <v>2.2496502976190449</v>
      </c>
      <c r="CJ59">
        <v>0.18</v>
      </c>
      <c r="CK59">
        <v>2.4296502976190451</v>
      </c>
      <c r="CL59">
        <v>2010</v>
      </c>
    </row>
    <row r="60" spans="1:90" x14ac:dyDescent="0.25">
      <c r="A60">
        <v>73</v>
      </c>
      <c r="B60" t="s">
        <v>143</v>
      </c>
      <c r="C60" t="s">
        <v>243</v>
      </c>
      <c r="D60" t="s">
        <v>343</v>
      </c>
      <c r="E60" t="s">
        <v>400</v>
      </c>
      <c r="F60">
        <v>234974400</v>
      </c>
      <c r="G60">
        <v>18.719290000000001</v>
      </c>
      <c r="H60" t="s">
        <v>410</v>
      </c>
      <c r="I60">
        <v>4398553936.1760006</v>
      </c>
      <c r="J60" t="s">
        <v>414</v>
      </c>
      <c r="K60">
        <v>7606684.1957903598</v>
      </c>
      <c r="L60">
        <v>0.85</v>
      </c>
      <c r="M60">
        <v>20102010</v>
      </c>
      <c r="N60">
        <v>2010</v>
      </c>
      <c r="O60">
        <v>1.91599093280441</v>
      </c>
      <c r="P60">
        <v>1.5</v>
      </c>
      <c r="Q60" t="s">
        <v>419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2.6269999999999998</v>
      </c>
      <c r="AR60">
        <v>2.7530000000000001</v>
      </c>
      <c r="AS60" t="s">
        <v>418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2.69</v>
      </c>
      <c r="CE60" t="s">
        <v>448</v>
      </c>
      <c r="CG60">
        <v>1.91599093280441</v>
      </c>
      <c r="CH60">
        <v>1.5</v>
      </c>
      <c r="CI60">
        <v>1.707995466402205</v>
      </c>
      <c r="CJ60">
        <v>0.18</v>
      </c>
      <c r="CK60">
        <v>1.8879954664022049</v>
      </c>
      <c r="CL60">
        <v>2010</v>
      </c>
    </row>
    <row r="61" spans="1:90" x14ac:dyDescent="0.25">
      <c r="A61">
        <v>85</v>
      </c>
      <c r="B61" t="s">
        <v>462</v>
      </c>
      <c r="C61" t="s">
        <v>678</v>
      </c>
      <c r="D61" t="s">
        <v>894</v>
      </c>
      <c r="E61" t="s">
        <v>402</v>
      </c>
      <c r="F61">
        <v>226388620</v>
      </c>
      <c r="G61">
        <v>25.22</v>
      </c>
      <c r="H61" t="s">
        <v>407</v>
      </c>
      <c r="I61">
        <v>5709520996.3999996</v>
      </c>
      <c r="J61" t="s">
        <v>413</v>
      </c>
      <c r="K61">
        <v>16355031.9673771</v>
      </c>
      <c r="L61">
        <v>0.60000000000000009</v>
      </c>
      <c r="M61">
        <v>20102015</v>
      </c>
      <c r="N61">
        <v>2010</v>
      </c>
      <c r="O61">
        <v>3.2515364392638801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2.4340000000000002</v>
      </c>
      <c r="AR61">
        <v>2.496</v>
      </c>
      <c r="AS61" t="s">
        <v>429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2.4649999999999999</v>
      </c>
      <c r="CE61" t="s">
        <v>448</v>
      </c>
      <c r="CG61">
        <v>3.2515364392638801</v>
      </c>
      <c r="CH61">
        <v>3.4</v>
      </c>
      <c r="CI61">
        <v>3.3257682196319398</v>
      </c>
      <c r="CJ61">
        <v>-0.18</v>
      </c>
      <c r="CK61">
        <v>3.1457682196319401</v>
      </c>
      <c r="CL61">
        <v>2010</v>
      </c>
    </row>
    <row r="62" spans="1:90" x14ac:dyDescent="0.25">
      <c r="A62">
        <v>108</v>
      </c>
      <c r="B62" t="s">
        <v>465</v>
      </c>
      <c r="C62" t="s">
        <v>681</v>
      </c>
      <c r="D62" t="s">
        <v>897</v>
      </c>
      <c r="E62" t="s">
        <v>405</v>
      </c>
      <c r="F62">
        <v>60760957</v>
      </c>
      <c r="G62">
        <v>619.20000000000005</v>
      </c>
      <c r="H62" t="s">
        <v>407</v>
      </c>
      <c r="I62">
        <v>37623184574.400002</v>
      </c>
      <c r="J62" t="s">
        <v>413</v>
      </c>
      <c r="K62">
        <v>36004032.6809524</v>
      </c>
      <c r="L62">
        <v>1</v>
      </c>
      <c r="M62">
        <v>20103010</v>
      </c>
      <c r="N62">
        <v>2010</v>
      </c>
      <c r="O62">
        <v>3.4</v>
      </c>
      <c r="Q62" t="s">
        <v>422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2.3410000000000002</v>
      </c>
      <c r="AR62">
        <v>3.0019999999999998</v>
      </c>
      <c r="AS62" t="s">
        <v>430</v>
      </c>
      <c r="AT62">
        <v>0</v>
      </c>
      <c r="AU62">
        <v>0</v>
      </c>
      <c r="AV62" t="s">
        <v>444</v>
      </c>
      <c r="AW62">
        <v>0</v>
      </c>
      <c r="AX62">
        <v>0</v>
      </c>
      <c r="AY62">
        <v>0</v>
      </c>
      <c r="CC62">
        <v>2.6715</v>
      </c>
      <c r="CE62" t="s">
        <v>448</v>
      </c>
      <c r="CG62">
        <v>3.4</v>
      </c>
      <c r="CH62">
        <v>3.4</v>
      </c>
      <c r="CI62">
        <v>3.4</v>
      </c>
      <c r="CJ62">
        <v>0.3</v>
      </c>
      <c r="CK62">
        <v>3.7</v>
      </c>
      <c r="CL62">
        <v>2010</v>
      </c>
    </row>
    <row r="63" spans="1:90" x14ac:dyDescent="0.25">
      <c r="A63">
        <v>126</v>
      </c>
      <c r="B63" t="s">
        <v>182</v>
      </c>
      <c r="C63" t="s">
        <v>282</v>
      </c>
      <c r="D63" t="s">
        <v>382</v>
      </c>
      <c r="E63" t="s">
        <v>401</v>
      </c>
      <c r="F63">
        <v>1550581200</v>
      </c>
      <c r="G63">
        <v>141.54310000000001</v>
      </c>
      <c r="H63" t="s">
        <v>411</v>
      </c>
      <c r="I63">
        <v>219474069849.72</v>
      </c>
      <c r="J63" t="s">
        <v>414</v>
      </c>
      <c r="K63">
        <v>175769656.35404101</v>
      </c>
      <c r="L63">
        <v>1</v>
      </c>
      <c r="M63">
        <v>20103015</v>
      </c>
      <c r="N63">
        <v>2010</v>
      </c>
      <c r="O63">
        <v>1.74009250374075</v>
      </c>
      <c r="P63">
        <v>1.5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2.7770000000000001</v>
      </c>
      <c r="AR63">
        <v>2.399</v>
      </c>
      <c r="AS63" t="s">
        <v>418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2.5880000000000001</v>
      </c>
      <c r="CE63" t="s">
        <v>448</v>
      </c>
      <c r="CG63">
        <v>1.74009250374075</v>
      </c>
      <c r="CH63">
        <v>1.5</v>
      </c>
      <c r="CI63">
        <v>1.6200462518703751</v>
      </c>
      <c r="CJ63">
        <v>-0.3</v>
      </c>
      <c r="CK63">
        <v>1.3200462518703751</v>
      </c>
      <c r="CL63">
        <v>2010</v>
      </c>
    </row>
    <row r="64" spans="1:90" x14ac:dyDescent="0.25">
      <c r="A64">
        <v>469</v>
      </c>
      <c r="B64" t="s">
        <v>525</v>
      </c>
      <c r="C64" t="s">
        <v>741</v>
      </c>
      <c r="D64" t="s">
        <v>957</v>
      </c>
      <c r="E64" t="s">
        <v>392</v>
      </c>
      <c r="F64">
        <v>192981183</v>
      </c>
      <c r="G64">
        <v>48.8</v>
      </c>
      <c r="H64" t="s">
        <v>407</v>
      </c>
      <c r="I64">
        <v>9417481730.3999996</v>
      </c>
      <c r="J64" t="s">
        <v>413</v>
      </c>
      <c r="K64">
        <v>18196805.817460299</v>
      </c>
      <c r="L64">
        <v>0.65</v>
      </c>
      <c r="M64">
        <v>20102020</v>
      </c>
      <c r="N64">
        <v>2010</v>
      </c>
      <c r="O64">
        <v>3.4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2.363</v>
      </c>
      <c r="AR64">
        <v>2.9710000000000001</v>
      </c>
      <c r="AS64" t="s">
        <v>430</v>
      </c>
      <c r="AT64">
        <v>0</v>
      </c>
      <c r="AU64">
        <v>0</v>
      </c>
      <c r="AV64" t="s">
        <v>431</v>
      </c>
      <c r="AW64">
        <v>0</v>
      </c>
      <c r="AX64">
        <v>0</v>
      </c>
      <c r="AY64">
        <v>0</v>
      </c>
      <c r="CC64">
        <v>2.6669999999999998</v>
      </c>
      <c r="CE64" t="s">
        <v>448</v>
      </c>
      <c r="CG64">
        <v>3.4</v>
      </c>
      <c r="CH64">
        <v>3.4</v>
      </c>
      <c r="CI64">
        <v>3.4</v>
      </c>
      <c r="CJ64">
        <v>0</v>
      </c>
      <c r="CK64">
        <v>3.4</v>
      </c>
      <c r="CL64">
        <v>2010</v>
      </c>
    </row>
    <row r="65" spans="1:90" x14ac:dyDescent="0.25">
      <c r="A65">
        <v>178</v>
      </c>
      <c r="B65" t="s">
        <v>481</v>
      </c>
      <c r="C65" t="s">
        <v>697</v>
      </c>
      <c r="D65" t="s">
        <v>913</v>
      </c>
      <c r="E65" t="s">
        <v>396</v>
      </c>
      <c r="F65">
        <v>982424100</v>
      </c>
      <c r="G65">
        <v>22.05</v>
      </c>
      <c r="H65" t="s">
        <v>407</v>
      </c>
      <c r="I65">
        <v>21662451405</v>
      </c>
      <c r="J65" t="s">
        <v>413</v>
      </c>
      <c r="K65">
        <v>74110033.456483603</v>
      </c>
      <c r="L65">
        <v>1</v>
      </c>
      <c r="M65">
        <v>20103015</v>
      </c>
      <c r="N65">
        <v>2010</v>
      </c>
      <c r="O65">
        <v>1.6931442341836</v>
      </c>
      <c r="P65">
        <v>3.1</v>
      </c>
      <c r="Q65" t="s">
        <v>416</v>
      </c>
      <c r="R65" t="s">
        <v>421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2.6280000000000001</v>
      </c>
      <c r="AR65">
        <v>3.1920000000000002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2.91</v>
      </c>
      <c r="CE65" t="s">
        <v>448</v>
      </c>
      <c r="CG65">
        <v>1.6931442341836</v>
      </c>
      <c r="CH65">
        <v>3.1</v>
      </c>
      <c r="CI65">
        <v>2.3965721170918002</v>
      </c>
      <c r="CJ65">
        <v>-0.18</v>
      </c>
      <c r="CK65">
        <v>2.2165721170918</v>
      </c>
      <c r="CL65">
        <v>2010</v>
      </c>
    </row>
    <row r="66" spans="1:90" x14ac:dyDescent="0.25">
      <c r="A66">
        <v>56</v>
      </c>
      <c r="B66" t="s">
        <v>459</v>
      </c>
      <c r="C66" t="s">
        <v>675</v>
      </c>
      <c r="D66" t="s">
        <v>891</v>
      </c>
      <c r="E66" t="s">
        <v>404</v>
      </c>
      <c r="F66">
        <v>499700000</v>
      </c>
      <c r="G66">
        <v>86.381460000000004</v>
      </c>
      <c r="H66" t="s">
        <v>412</v>
      </c>
      <c r="I66">
        <v>43164815562</v>
      </c>
      <c r="J66" t="s">
        <v>414</v>
      </c>
      <c r="K66">
        <v>63266427.994974203</v>
      </c>
      <c r="L66">
        <v>1</v>
      </c>
      <c r="M66">
        <v>20102015</v>
      </c>
      <c r="N66">
        <v>2010</v>
      </c>
      <c r="O66">
        <v>3.4</v>
      </c>
      <c r="Q66" t="s">
        <v>422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2.8130000000000002</v>
      </c>
      <c r="AR66">
        <v>3.153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2.9830000000000001</v>
      </c>
      <c r="CE66" t="s">
        <v>448</v>
      </c>
      <c r="CG66">
        <v>3.4</v>
      </c>
      <c r="CH66">
        <v>3.4</v>
      </c>
      <c r="CI66">
        <v>3.4</v>
      </c>
      <c r="CJ66">
        <v>0.3</v>
      </c>
      <c r="CK66">
        <v>3.7</v>
      </c>
      <c r="CL66">
        <v>2010</v>
      </c>
    </row>
    <row r="67" spans="1:90" x14ac:dyDescent="0.25">
      <c r="A67">
        <v>566</v>
      </c>
      <c r="B67" t="s">
        <v>186</v>
      </c>
      <c r="C67" t="s">
        <v>286</v>
      </c>
      <c r="D67" t="s">
        <v>386</v>
      </c>
      <c r="E67" t="s">
        <v>401</v>
      </c>
      <c r="F67">
        <v>4145945300</v>
      </c>
      <c r="G67">
        <v>17.2758</v>
      </c>
      <c r="H67" t="s">
        <v>411</v>
      </c>
      <c r="I67">
        <v>71624521813.740005</v>
      </c>
      <c r="J67" t="s">
        <v>414</v>
      </c>
      <c r="K67">
        <v>94231734.899956703</v>
      </c>
      <c r="L67">
        <v>1</v>
      </c>
      <c r="M67">
        <v>20103015</v>
      </c>
      <c r="N67">
        <v>2010</v>
      </c>
      <c r="O67">
        <v>1.73069234760163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3.198</v>
      </c>
      <c r="AR67">
        <v>2.7879999999999998</v>
      </c>
      <c r="AS67" t="s">
        <v>418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2.9929999999999999</v>
      </c>
      <c r="CE67" t="s">
        <v>448</v>
      </c>
      <c r="CG67">
        <v>1.73069234760163</v>
      </c>
      <c r="CH67">
        <v>1.5</v>
      </c>
      <c r="CI67">
        <v>1.615346173800815</v>
      </c>
      <c r="CJ67">
        <v>-0.3</v>
      </c>
      <c r="CK67">
        <v>1.315346173800815</v>
      </c>
      <c r="CL67">
        <v>2010</v>
      </c>
    </row>
    <row r="68" spans="1:90" x14ac:dyDescent="0.25">
      <c r="A68">
        <v>572</v>
      </c>
      <c r="B68" t="s">
        <v>539</v>
      </c>
      <c r="C68" t="s">
        <v>755</v>
      </c>
      <c r="D68" t="s">
        <v>971</v>
      </c>
      <c r="E68" t="s">
        <v>401</v>
      </c>
      <c r="F68">
        <v>9054145500</v>
      </c>
      <c r="G68">
        <v>4.720923</v>
      </c>
      <c r="H68" t="s">
        <v>411</v>
      </c>
      <c r="I68">
        <v>42743923736.296501</v>
      </c>
      <c r="J68" t="s">
        <v>414</v>
      </c>
      <c r="K68">
        <v>65098471.127073102</v>
      </c>
      <c r="L68">
        <v>0.95</v>
      </c>
      <c r="M68">
        <v>20103015</v>
      </c>
      <c r="N68">
        <v>2010</v>
      </c>
      <c r="O68">
        <v>1.9829771812847601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2.2170000000000001</v>
      </c>
      <c r="AR68">
        <v>2.98</v>
      </c>
      <c r="AS68" t="s">
        <v>418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2.5985</v>
      </c>
      <c r="CE68" t="s">
        <v>448</v>
      </c>
      <c r="CG68">
        <v>1.9829771812847601</v>
      </c>
      <c r="CH68">
        <v>3.4</v>
      </c>
      <c r="CI68">
        <v>2.69148859064238</v>
      </c>
      <c r="CJ68">
        <v>-0.18</v>
      </c>
      <c r="CK68">
        <v>2.5114885906423798</v>
      </c>
      <c r="CL68">
        <v>2010</v>
      </c>
    </row>
    <row r="69" spans="1:90" x14ac:dyDescent="0.25">
      <c r="A69">
        <v>196</v>
      </c>
      <c r="B69" t="s">
        <v>487</v>
      </c>
      <c r="C69" t="s">
        <v>703</v>
      </c>
      <c r="D69" t="s">
        <v>919</v>
      </c>
      <c r="E69" t="s">
        <v>392</v>
      </c>
      <c r="F69">
        <v>118361220</v>
      </c>
      <c r="G69">
        <v>112.5</v>
      </c>
      <c r="H69" t="s">
        <v>407</v>
      </c>
      <c r="I69">
        <v>13315637250</v>
      </c>
      <c r="J69" t="s">
        <v>413</v>
      </c>
      <c r="K69">
        <v>10533264.3742064</v>
      </c>
      <c r="L69">
        <v>0.4</v>
      </c>
      <c r="M69">
        <v>20102010</v>
      </c>
      <c r="N69">
        <v>2010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2.8940000000000001</v>
      </c>
      <c r="AR69">
        <v>2.8130000000000002</v>
      </c>
      <c r="AS69" t="s">
        <v>418</v>
      </c>
      <c r="AT69">
        <v>1</v>
      </c>
      <c r="AU69">
        <v>0</v>
      </c>
      <c r="AV69" t="s">
        <v>431</v>
      </c>
      <c r="AW69">
        <v>0</v>
      </c>
      <c r="AX69">
        <v>0</v>
      </c>
      <c r="AY69">
        <v>0</v>
      </c>
      <c r="CC69">
        <v>2.8534999999999999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  <c r="CL69">
        <v>2010</v>
      </c>
    </row>
    <row r="70" spans="1:90" x14ac:dyDescent="0.25">
      <c r="A70">
        <v>517</v>
      </c>
      <c r="B70" t="s">
        <v>532</v>
      </c>
      <c r="C70" t="s">
        <v>748</v>
      </c>
      <c r="D70" t="s">
        <v>964</v>
      </c>
      <c r="E70" t="s">
        <v>396</v>
      </c>
      <c r="F70">
        <v>563237300</v>
      </c>
      <c r="G70">
        <v>36.49</v>
      </c>
      <c r="H70" t="s">
        <v>407</v>
      </c>
      <c r="I70">
        <v>20552529077</v>
      </c>
      <c r="J70" t="s">
        <v>413</v>
      </c>
      <c r="K70">
        <v>32270187.444180299</v>
      </c>
      <c r="L70">
        <v>0.75</v>
      </c>
      <c r="M70">
        <v>20101025</v>
      </c>
      <c r="N70">
        <v>2010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2.6930000000000001</v>
      </c>
      <c r="AR70">
        <v>3.2290000000000001</v>
      </c>
      <c r="AS70" t="s">
        <v>1103</v>
      </c>
      <c r="AT70">
        <v>0</v>
      </c>
      <c r="AU70">
        <v>0</v>
      </c>
      <c r="AV70" t="s">
        <v>435</v>
      </c>
      <c r="AW70">
        <v>0</v>
      </c>
      <c r="AX70">
        <v>0</v>
      </c>
      <c r="AY70">
        <v>0</v>
      </c>
      <c r="CC70">
        <v>2.9609999999999999</v>
      </c>
      <c r="CE70" t="s">
        <v>448</v>
      </c>
      <c r="CG70">
        <v>3.4</v>
      </c>
      <c r="CH70">
        <v>3.4</v>
      </c>
      <c r="CI70">
        <v>3.4</v>
      </c>
      <c r="CJ70">
        <v>-0.18</v>
      </c>
      <c r="CK70">
        <v>3.22</v>
      </c>
      <c r="CL70">
        <v>2010</v>
      </c>
    </row>
    <row r="71" spans="1:90" x14ac:dyDescent="0.25">
      <c r="A71">
        <v>859</v>
      </c>
      <c r="B71" t="s">
        <v>579</v>
      </c>
      <c r="C71" t="s">
        <v>795</v>
      </c>
      <c r="D71" t="s">
        <v>1011</v>
      </c>
      <c r="E71" t="s">
        <v>396</v>
      </c>
      <c r="F71">
        <v>129242250</v>
      </c>
      <c r="G71">
        <v>135.5</v>
      </c>
      <c r="H71" t="s">
        <v>407</v>
      </c>
      <c r="I71">
        <v>17512324875</v>
      </c>
      <c r="J71" t="s">
        <v>413</v>
      </c>
      <c r="K71">
        <v>40686209.574180298</v>
      </c>
      <c r="L71">
        <v>1</v>
      </c>
      <c r="M71">
        <v>20103015</v>
      </c>
      <c r="N71">
        <v>2010</v>
      </c>
      <c r="O71">
        <v>1.8993924129978601</v>
      </c>
      <c r="P71">
        <v>3.1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2.8839999999999999</v>
      </c>
      <c r="AR71">
        <v>2.6880000000000002</v>
      </c>
      <c r="AS71" t="s">
        <v>430</v>
      </c>
      <c r="AT71">
        <v>0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2.786</v>
      </c>
      <c r="CE71" t="s">
        <v>448</v>
      </c>
      <c r="CG71">
        <v>1.8993924129978601</v>
      </c>
      <c r="CH71">
        <v>3.1</v>
      </c>
      <c r="CI71">
        <v>2.4996962064989301</v>
      </c>
      <c r="CJ71">
        <v>-0.18</v>
      </c>
      <c r="CK71">
        <v>2.3196962064989299</v>
      </c>
      <c r="CL71">
        <v>2010</v>
      </c>
    </row>
    <row r="72" spans="1:90" x14ac:dyDescent="0.25">
      <c r="A72">
        <v>465</v>
      </c>
      <c r="B72" t="s">
        <v>523</v>
      </c>
      <c r="C72" t="s">
        <v>739</v>
      </c>
      <c r="D72" t="s">
        <v>955</v>
      </c>
      <c r="E72" t="s">
        <v>392</v>
      </c>
      <c r="F72">
        <v>457507201</v>
      </c>
      <c r="G72">
        <v>290.89999999999998</v>
      </c>
      <c r="H72" t="s">
        <v>407</v>
      </c>
      <c r="I72">
        <v>133088844770.89999</v>
      </c>
      <c r="J72" t="s">
        <v>413</v>
      </c>
      <c r="K72">
        <v>129173182.36587299</v>
      </c>
      <c r="L72">
        <v>0.70000000000000007</v>
      </c>
      <c r="M72">
        <v>20102015</v>
      </c>
      <c r="N72">
        <v>2010</v>
      </c>
      <c r="O72">
        <v>1.8933020825698099</v>
      </c>
      <c r="P72">
        <v>3.1</v>
      </c>
      <c r="Q72" t="s">
        <v>417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2.7309999999999999</v>
      </c>
      <c r="AR72">
        <v>2.5099999999999998</v>
      </c>
      <c r="AS72" t="s">
        <v>418</v>
      </c>
      <c r="AT72">
        <v>1</v>
      </c>
      <c r="AU72">
        <v>0</v>
      </c>
      <c r="AV72" t="s">
        <v>431</v>
      </c>
      <c r="AW72">
        <v>0</v>
      </c>
      <c r="AX72">
        <v>0</v>
      </c>
      <c r="AY72">
        <v>0</v>
      </c>
      <c r="CC72">
        <v>2.6204999999999998</v>
      </c>
      <c r="CE72" t="s">
        <v>448</v>
      </c>
      <c r="CG72">
        <v>1.8933020825698099</v>
      </c>
      <c r="CH72">
        <v>3.1</v>
      </c>
      <c r="CI72">
        <v>2.4966510412849048</v>
      </c>
      <c r="CJ72">
        <v>-0.24</v>
      </c>
      <c r="CK72">
        <v>2.256651041284905</v>
      </c>
      <c r="CL72">
        <v>2010</v>
      </c>
    </row>
    <row r="73" spans="1:90" x14ac:dyDescent="0.25">
      <c r="A73">
        <v>516</v>
      </c>
      <c r="B73" t="s">
        <v>531</v>
      </c>
      <c r="C73" t="s">
        <v>747</v>
      </c>
      <c r="D73" t="s">
        <v>963</v>
      </c>
      <c r="E73" t="s">
        <v>396</v>
      </c>
      <c r="F73">
        <v>293413450</v>
      </c>
      <c r="G73">
        <v>44.23</v>
      </c>
      <c r="H73" t="s">
        <v>407</v>
      </c>
      <c r="I73">
        <v>12977676893.5</v>
      </c>
      <c r="J73" t="s">
        <v>413</v>
      </c>
      <c r="K73">
        <v>20758867.199098401</v>
      </c>
      <c r="L73">
        <v>0.7</v>
      </c>
      <c r="M73">
        <v>20101025</v>
      </c>
      <c r="N73">
        <v>2010</v>
      </c>
      <c r="Q73" t="s">
        <v>418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2.6869999999999998</v>
      </c>
      <c r="AR73">
        <v>2.73</v>
      </c>
      <c r="AS73" t="s">
        <v>1103</v>
      </c>
      <c r="AT73">
        <v>0</v>
      </c>
      <c r="AU73">
        <v>0</v>
      </c>
      <c r="AV73" t="s">
        <v>435</v>
      </c>
      <c r="AW73">
        <v>0</v>
      </c>
      <c r="AX73">
        <v>0</v>
      </c>
      <c r="AY73">
        <v>0</v>
      </c>
      <c r="CC73">
        <v>2.7084999999999999</v>
      </c>
      <c r="CE73" t="s">
        <v>448</v>
      </c>
      <c r="CG73">
        <v>3.4</v>
      </c>
      <c r="CH73">
        <v>3.4</v>
      </c>
      <c r="CI73">
        <v>3.4</v>
      </c>
      <c r="CJ73">
        <v>0</v>
      </c>
      <c r="CK73">
        <v>3.4</v>
      </c>
      <c r="CL73">
        <v>2010</v>
      </c>
    </row>
    <row r="74" spans="1:90" x14ac:dyDescent="0.25">
      <c r="A74">
        <v>597</v>
      </c>
      <c r="B74" t="s">
        <v>546</v>
      </c>
      <c r="C74" t="s">
        <v>762</v>
      </c>
      <c r="D74" t="s">
        <v>978</v>
      </c>
      <c r="E74" t="s">
        <v>401</v>
      </c>
      <c r="F74">
        <v>221886460</v>
      </c>
      <c r="G74">
        <v>27.926590000000001</v>
      </c>
      <c r="H74" t="s">
        <v>411</v>
      </c>
      <c r="I74">
        <v>6196532194.9714003</v>
      </c>
      <c r="J74" t="s">
        <v>414</v>
      </c>
      <c r="K74">
        <v>7589738.3235018896</v>
      </c>
      <c r="L74">
        <v>0.75</v>
      </c>
      <c r="M74">
        <v>20103015</v>
      </c>
      <c r="N74">
        <v>2010</v>
      </c>
      <c r="O74">
        <v>3.4</v>
      </c>
      <c r="P74">
        <v>3.1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2.6739999999999999</v>
      </c>
      <c r="AR74">
        <v>2.137</v>
      </c>
      <c r="AS74" t="s">
        <v>418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2.4055</v>
      </c>
      <c r="CE74" t="s">
        <v>448</v>
      </c>
      <c r="CG74">
        <v>3.4</v>
      </c>
      <c r="CH74">
        <v>3.1</v>
      </c>
      <c r="CI74">
        <v>3.25</v>
      </c>
      <c r="CJ74">
        <v>-0.18</v>
      </c>
      <c r="CK74">
        <v>3.07</v>
      </c>
      <c r="CL74">
        <v>2010</v>
      </c>
    </row>
    <row r="75" spans="1:90" x14ac:dyDescent="0.25">
      <c r="A75">
        <v>545</v>
      </c>
      <c r="B75" t="s">
        <v>536</v>
      </c>
      <c r="C75" t="s">
        <v>752</v>
      </c>
      <c r="D75" t="s">
        <v>968</v>
      </c>
      <c r="E75" t="s">
        <v>400</v>
      </c>
      <c r="F75">
        <v>66187190</v>
      </c>
      <c r="G75">
        <v>212.19220000000001</v>
      </c>
      <c r="H75" t="s">
        <v>410</v>
      </c>
      <c r="I75">
        <v>14044405457.917999</v>
      </c>
      <c r="J75" t="s">
        <v>414</v>
      </c>
      <c r="K75">
        <v>23766057.6945187</v>
      </c>
      <c r="L75">
        <v>1</v>
      </c>
      <c r="M75">
        <v>20103010</v>
      </c>
      <c r="N75">
        <v>2010</v>
      </c>
      <c r="O75">
        <v>3.4</v>
      </c>
      <c r="Q75" t="s">
        <v>422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2.2610000000000001</v>
      </c>
      <c r="AR75">
        <v>3.0550000000000002</v>
      </c>
      <c r="AS75" t="s">
        <v>430</v>
      </c>
      <c r="AT75">
        <v>0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2.6579999999999999</v>
      </c>
      <c r="CE75" t="s">
        <v>448</v>
      </c>
      <c r="CG75">
        <v>3.4</v>
      </c>
      <c r="CH75">
        <v>3.4</v>
      </c>
      <c r="CI75">
        <v>3.4</v>
      </c>
      <c r="CJ75">
        <v>0.3</v>
      </c>
      <c r="CK75">
        <v>3.7</v>
      </c>
      <c r="CL75">
        <v>2010</v>
      </c>
    </row>
    <row r="76" spans="1:90" x14ac:dyDescent="0.25">
      <c r="A76">
        <v>974</v>
      </c>
      <c r="B76" t="s">
        <v>185</v>
      </c>
      <c r="C76" t="s">
        <v>285</v>
      </c>
      <c r="D76" t="s">
        <v>385</v>
      </c>
      <c r="E76" t="s">
        <v>404</v>
      </c>
      <c r="F76">
        <v>2189930400</v>
      </c>
      <c r="G76">
        <v>104.3617</v>
      </c>
      <c r="H76" t="s">
        <v>412</v>
      </c>
      <c r="I76">
        <v>228544859425.67999</v>
      </c>
      <c r="J76" t="s">
        <v>414</v>
      </c>
      <c r="K76">
        <v>348052438.84857303</v>
      </c>
      <c r="L76">
        <v>0.95</v>
      </c>
      <c r="M76">
        <v>20103015</v>
      </c>
      <c r="N76">
        <v>2010</v>
      </c>
      <c r="O76">
        <v>1.7351435772655099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2.9780000000000002</v>
      </c>
      <c r="AR76">
        <v>2.9729999999999999</v>
      </c>
      <c r="AS76" t="s">
        <v>418</v>
      </c>
      <c r="AT76">
        <v>1</v>
      </c>
      <c r="AU76">
        <v>0</v>
      </c>
      <c r="AV76" t="s">
        <v>443</v>
      </c>
      <c r="AW76">
        <v>0</v>
      </c>
      <c r="AX76">
        <v>0</v>
      </c>
      <c r="AY76">
        <v>0</v>
      </c>
      <c r="CC76">
        <v>2.9754999999999998</v>
      </c>
      <c r="CE76" t="s">
        <v>448</v>
      </c>
      <c r="CG76">
        <v>1.7351435772655099</v>
      </c>
      <c r="CH76">
        <v>1.5</v>
      </c>
      <c r="CI76">
        <v>1.617571788632755</v>
      </c>
      <c r="CJ76">
        <v>-0.3</v>
      </c>
      <c r="CK76">
        <v>1.3175717886327549</v>
      </c>
      <c r="CL76">
        <v>2010</v>
      </c>
    </row>
    <row r="77" spans="1:90" x14ac:dyDescent="0.25">
      <c r="A77">
        <v>975</v>
      </c>
      <c r="B77" t="s">
        <v>589</v>
      </c>
      <c r="C77" t="s">
        <v>805</v>
      </c>
      <c r="D77" t="s">
        <v>1021</v>
      </c>
      <c r="E77" t="s">
        <v>400</v>
      </c>
      <c r="F77">
        <v>3390128000</v>
      </c>
      <c r="G77">
        <v>84.447940000000003</v>
      </c>
      <c r="H77" t="s">
        <v>410</v>
      </c>
      <c r="I77">
        <v>286289325936.32001</v>
      </c>
      <c r="J77" t="s">
        <v>414</v>
      </c>
      <c r="K77">
        <v>373752660.226686</v>
      </c>
      <c r="L77">
        <v>0.95</v>
      </c>
      <c r="M77">
        <v>20103015</v>
      </c>
      <c r="N77">
        <v>2010</v>
      </c>
      <c r="O77">
        <v>3.2456929917849702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2.7360000000000002</v>
      </c>
      <c r="AR77">
        <v>2.2970000000000002</v>
      </c>
      <c r="AS77" t="s">
        <v>418</v>
      </c>
      <c r="AT77">
        <v>1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2.5165000000000002</v>
      </c>
      <c r="CE77" t="s">
        <v>448</v>
      </c>
      <c r="CG77">
        <v>3.2456929917849702</v>
      </c>
      <c r="CH77">
        <v>3.4</v>
      </c>
      <c r="CI77">
        <v>3.322846495892485</v>
      </c>
      <c r="CJ77">
        <v>-0.24</v>
      </c>
      <c r="CK77">
        <v>3.0828464958924848</v>
      </c>
      <c r="CL77">
        <v>2010</v>
      </c>
    </row>
    <row r="78" spans="1:90" x14ac:dyDescent="0.25">
      <c r="A78">
        <v>976</v>
      </c>
      <c r="B78" t="s">
        <v>190</v>
      </c>
      <c r="C78" t="s">
        <v>290</v>
      </c>
      <c r="D78" t="s">
        <v>390</v>
      </c>
      <c r="E78" t="s">
        <v>400</v>
      </c>
      <c r="F78">
        <v>414555050</v>
      </c>
      <c r="G78">
        <v>53.644550000000002</v>
      </c>
      <c r="H78" t="s">
        <v>410</v>
      </c>
      <c r="I78">
        <v>22238619107.477501</v>
      </c>
      <c r="J78" t="s">
        <v>414</v>
      </c>
      <c r="K78">
        <v>28551144.8592216</v>
      </c>
      <c r="L78">
        <v>0.85</v>
      </c>
      <c r="M78">
        <v>20103010</v>
      </c>
      <c r="N78">
        <v>2010</v>
      </c>
      <c r="O78">
        <v>1.7046060481660801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2.5750000000000002</v>
      </c>
      <c r="AR78">
        <v>2.8759999999999999</v>
      </c>
      <c r="AS78" t="s">
        <v>418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2.7254999999999998</v>
      </c>
      <c r="CE78" t="s">
        <v>448</v>
      </c>
      <c r="CG78">
        <v>1.7046060481660801</v>
      </c>
      <c r="CH78">
        <v>1.5</v>
      </c>
      <c r="CI78">
        <v>1.60230302408304</v>
      </c>
      <c r="CJ78">
        <v>-0.3</v>
      </c>
      <c r="CK78">
        <v>1.30230302408304</v>
      </c>
      <c r="CL78">
        <v>2010</v>
      </c>
    </row>
    <row r="79" spans="1:90" x14ac:dyDescent="0.25">
      <c r="A79">
        <v>1007</v>
      </c>
      <c r="B79" t="s">
        <v>129</v>
      </c>
      <c r="C79" t="s">
        <v>229</v>
      </c>
      <c r="D79" t="s">
        <v>329</v>
      </c>
      <c r="E79" t="s">
        <v>397</v>
      </c>
      <c r="F79">
        <v>108382010</v>
      </c>
      <c r="G79">
        <v>52.44</v>
      </c>
      <c r="H79" t="s">
        <v>407</v>
      </c>
      <c r="I79">
        <v>5683552604.3999996</v>
      </c>
      <c r="J79" t="s">
        <v>413</v>
      </c>
      <c r="K79">
        <v>9590018.5647457596</v>
      </c>
      <c r="L79">
        <v>1</v>
      </c>
      <c r="M79">
        <v>20103015</v>
      </c>
      <c r="N79">
        <v>2010</v>
      </c>
      <c r="O79">
        <v>1.9707580162642699</v>
      </c>
      <c r="P79">
        <v>2.7</v>
      </c>
      <c r="Q79" t="s">
        <v>416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2.4689999999999999</v>
      </c>
      <c r="AR79">
        <v>2.8260000000000001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2.6475</v>
      </c>
      <c r="CE79" t="s">
        <v>448</v>
      </c>
      <c r="CG79">
        <v>1.9707580162642699</v>
      </c>
      <c r="CH79">
        <v>2.7</v>
      </c>
      <c r="CI79">
        <v>2.3353790081321351</v>
      </c>
      <c r="CJ79">
        <v>-0.18</v>
      </c>
      <c r="CK79">
        <v>2.1553790081321349</v>
      </c>
      <c r="CL79">
        <v>2010</v>
      </c>
    </row>
    <row r="80" spans="1:90" x14ac:dyDescent="0.25">
      <c r="A80">
        <v>1038</v>
      </c>
      <c r="B80" t="s">
        <v>593</v>
      </c>
      <c r="C80" t="s">
        <v>809</v>
      </c>
      <c r="D80" t="s">
        <v>1025</v>
      </c>
      <c r="E80" t="s">
        <v>394</v>
      </c>
      <c r="F80">
        <v>939939384</v>
      </c>
      <c r="G80">
        <v>24.31</v>
      </c>
      <c r="H80" t="s">
        <v>407</v>
      </c>
      <c r="I80">
        <v>22849926425.040001</v>
      </c>
      <c r="J80" t="s">
        <v>413</v>
      </c>
      <c r="K80">
        <v>40946012.608492099</v>
      </c>
      <c r="L80">
        <v>0.85000000000000009</v>
      </c>
      <c r="M80">
        <v>20102010</v>
      </c>
      <c r="N80">
        <v>2010</v>
      </c>
      <c r="O80">
        <v>1.9980843917530799</v>
      </c>
      <c r="Q80" t="s">
        <v>415</v>
      </c>
      <c r="R80" t="s">
        <v>421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2.5950000000000002</v>
      </c>
      <c r="AR80">
        <v>3.242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2.9184999999999999</v>
      </c>
      <c r="CE80" t="s">
        <v>448</v>
      </c>
      <c r="CG80">
        <v>1.9980843917530799</v>
      </c>
      <c r="CH80">
        <v>3.4</v>
      </c>
      <c r="CI80">
        <v>2.6990421958765398</v>
      </c>
      <c r="CJ80">
        <v>-0.3</v>
      </c>
      <c r="CK80">
        <v>2.39904219587654</v>
      </c>
      <c r="CL80">
        <v>2010</v>
      </c>
    </row>
    <row r="81" spans="1:90" x14ac:dyDescent="0.25">
      <c r="A81">
        <v>1073</v>
      </c>
      <c r="B81" t="s">
        <v>600</v>
      </c>
      <c r="C81" t="s">
        <v>816</v>
      </c>
      <c r="D81" t="s">
        <v>1032</v>
      </c>
      <c r="E81" t="s">
        <v>396</v>
      </c>
      <c r="F81">
        <v>217680560</v>
      </c>
      <c r="G81">
        <v>37.375</v>
      </c>
      <c r="H81" t="s">
        <v>407</v>
      </c>
      <c r="I81">
        <v>8135810930</v>
      </c>
      <c r="J81" t="s">
        <v>413</v>
      </c>
      <c r="K81">
        <v>23363361.809672099</v>
      </c>
      <c r="L81">
        <v>1</v>
      </c>
      <c r="M81">
        <v>20102015</v>
      </c>
      <c r="N81">
        <v>2010</v>
      </c>
      <c r="O81">
        <v>1.7389424356994501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2.78</v>
      </c>
      <c r="AR81">
        <v>3.0979999999999999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2.9390000000000001</v>
      </c>
      <c r="CE81" t="s">
        <v>448</v>
      </c>
      <c r="CG81">
        <v>1.7389424356994501</v>
      </c>
      <c r="CH81">
        <v>3.4</v>
      </c>
      <c r="CI81">
        <v>2.569471217849725</v>
      </c>
      <c r="CJ81">
        <v>-0.18</v>
      </c>
      <c r="CK81">
        <v>2.3894712178497248</v>
      </c>
      <c r="CL81">
        <v>2010</v>
      </c>
    </row>
    <row r="82" spans="1:90" x14ac:dyDescent="0.25">
      <c r="A82">
        <v>1089</v>
      </c>
      <c r="B82" t="s">
        <v>604</v>
      </c>
      <c r="C82" t="s">
        <v>820</v>
      </c>
      <c r="D82" t="s">
        <v>1036</v>
      </c>
      <c r="E82" t="s">
        <v>402</v>
      </c>
      <c r="F82">
        <v>209125156</v>
      </c>
      <c r="G82">
        <v>54.1</v>
      </c>
      <c r="H82" t="s">
        <v>407</v>
      </c>
      <c r="I82">
        <v>11313670939.6</v>
      </c>
      <c r="J82" t="s">
        <v>413</v>
      </c>
      <c r="K82">
        <v>17990236.415327899</v>
      </c>
      <c r="L82">
        <v>0.5</v>
      </c>
      <c r="M82">
        <v>20103015</v>
      </c>
      <c r="N82">
        <v>2010</v>
      </c>
      <c r="O82">
        <v>3.4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2.4609999999999999</v>
      </c>
      <c r="AR82">
        <v>3.0750000000000002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2.7679999999999998</v>
      </c>
      <c r="CE82" t="s">
        <v>448</v>
      </c>
      <c r="CG82">
        <v>3.4</v>
      </c>
      <c r="CH82">
        <v>3.4</v>
      </c>
      <c r="CI82">
        <v>3.4</v>
      </c>
      <c r="CJ82">
        <v>-0.18</v>
      </c>
      <c r="CK82">
        <v>3.22</v>
      </c>
      <c r="CL82">
        <v>2010</v>
      </c>
    </row>
    <row r="83" spans="1:90" x14ac:dyDescent="0.25">
      <c r="A83">
        <v>1117</v>
      </c>
      <c r="B83" t="s">
        <v>608</v>
      </c>
      <c r="C83" t="s">
        <v>824</v>
      </c>
      <c r="D83" t="s">
        <v>1040</v>
      </c>
      <c r="E83" t="s">
        <v>404</v>
      </c>
      <c r="F83">
        <v>702562700</v>
      </c>
      <c r="G83">
        <v>317.28489999999999</v>
      </c>
      <c r="H83" t="s">
        <v>412</v>
      </c>
      <c r="I83">
        <v>222912536013.23001</v>
      </c>
      <c r="J83" t="s">
        <v>414</v>
      </c>
      <c r="K83">
        <v>309147577.91078299</v>
      </c>
      <c r="L83">
        <v>1</v>
      </c>
      <c r="M83">
        <v>20103015</v>
      </c>
      <c r="N83">
        <v>2010</v>
      </c>
      <c r="O83">
        <v>3.4</v>
      </c>
      <c r="Q83" t="s">
        <v>422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2.8759999999999999</v>
      </c>
      <c r="AR83">
        <v>2.17</v>
      </c>
      <c r="AS83" t="s">
        <v>418</v>
      </c>
      <c r="AT83">
        <v>1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2.5230000000000001</v>
      </c>
      <c r="CE83" t="s">
        <v>448</v>
      </c>
      <c r="CG83">
        <v>3.4</v>
      </c>
      <c r="CH83">
        <v>3.4</v>
      </c>
      <c r="CI83">
        <v>3.4</v>
      </c>
      <c r="CJ83">
        <v>0.3</v>
      </c>
      <c r="CK83">
        <v>3.7</v>
      </c>
      <c r="CL83">
        <v>2010</v>
      </c>
    </row>
    <row r="84" spans="1:90" x14ac:dyDescent="0.25">
      <c r="A84">
        <v>1147</v>
      </c>
      <c r="B84" t="s">
        <v>612</v>
      </c>
      <c r="C84" t="s">
        <v>828</v>
      </c>
      <c r="D84" t="s">
        <v>1044</v>
      </c>
      <c r="E84" t="s">
        <v>404</v>
      </c>
      <c r="F84">
        <v>440000000</v>
      </c>
      <c r="G84">
        <v>44.402880000000003</v>
      </c>
      <c r="H84" t="s">
        <v>412</v>
      </c>
      <c r="I84">
        <v>19537267200</v>
      </c>
      <c r="J84" t="s">
        <v>414</v>
      </c>
      <c r="K84">
        <v>39588862.186575599</v>
      </c>
      <c r="L84">
        <v>1</v>
      </c>
      <c r="M84">
        <v>20103015</v>
      </c>
      <c r="N84">
        <v>2010</v>
      </c>
      <c r="Q84" t="s">
        <v>1099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2.7509999999999999</v>
      </c>
      <c r="AR84">
        <v>2.8420000000000001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2.7965</v>
      </c>
      <c r="CE84" t="s">
        <v>448</v>
      </c>
      <c r="CG84">
        <v>3.4</v>
      </c>
      <c r="CH84">
        <v>3.4</v>
      </c>
      <c r="CI84">
        <v>3.4</v>
      </c>
      <c r="CJ84">
        <v>-0.12</v>
      </c>
      <c r="CK84">
        <v>3.28</v>
      </c>
      <c r="CL84">
        <v>2010</v>
      </c>
    </row>
    <row r="85" spans="1:90" x14ac:dyDescent="0.25">
      <c r="A85">
        <v>1151</v>
      </c>
      <c r="B85" t="s">
        <v>174</v>
      </c>
      <c r="C85" t="s">
        <v>274</v>
      </c>
      <c r="D85" t="s">
        <v>374</v>
      </c>
      <c r="E85" t="s">
        <v>392</v>
      </c>
      <c r="F85">
        <v>1263122721</v>
      </c>
      <c r="G85">
        <v>104.12</v>
      </c>
      <c r="H85" t="s">
        <v>407</v>
      </c>
      <c r="I85">
        <v>131516337710.52</v>
      </c>
      <c r="J85" t="s">
        <v>413</v>
      </c>
      <c r="K85">
        <v>154796225.17039701</v>
      </c>
      <c r="L85">
        <v>0.95000000000000007</v>
      </c>
      <c r="M85">
        <v>20103015</v>
      </c>
      <c r="N85">
        <v>2010</v>
      </c>
      <c r="O85">
        <v>1.72319966282151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2.98</v>
      </c>
      <c r="AR85">
        <v>2.774</v>
      </c>
      <c r="AS85" t="s">
        <v>418</v>
      </c>
      <c r="AT85">
        <v>1</v>
      </c>
      <c r="AU85">
        <v>0</v>
      </c>
      <c r="AV85" t="s">
        <v>431</v>
      </c>
      <c r="AW85">
        <v>0</v>
      </c>
      <c r="AX85">
        <v>0</v>
      </c>
      <c r="AY85">
        <v>0</v>
      </c>
      <c r="CC85">
        <v>2.8769999999999998</v>
      </c>
      <c r="CE85" t="s">
        <v>448</v>
      </c>
      <c r="CG85">
        <v>1.72319966282151</v>
      </c>
      <c r="CH85">
        <v>1.5</v>
      </c>
      <c r="CI85">
        <v>1.6115998314107549</v>
      </c>
      <c r="CJ85">
        <v>-0.24</v>
      </c>
      <c r="CK85">
        <v>1.3715998314107549</v>
      </c>
      <c r="CL85">
        <v>2010</v>
      </c>
    </row>
    <row r="86" spans="1:90" x14ac:dyDescent="0.25">
      <c r="A86">
        <v>1158</v>
      </c>
      <c r="B86" t="s">
        <v>614</v>
      </c>
      <c r="C86" t="s">
        <v>830</v>
      </c>
      <c r="D86" t="s">
        <v>1046</v>
      </c>
      <c r="E86" t="s">
        <v>396</v>
      </c>
      <c r="F86">
        <v>37440000</v>
      </c>
      <c r="G86">
        <v>242</v>
      </c>
      <c r="H86" t="s">
        <v>407</v>
      </c>
      <c r="I86">
        <v>9060480000</v>
      </c>
      <c r="J86" t="s">
        <v>413</v>
      </c>
      <c r="K86">
        <v>21304033.759016398</v>
      </c>
      <c r="L86">
        <v>0.65</v>
      </c>
      <c r="M86">
        <v>20102010</v>
      </c>
      <c r="N86">
        <v>2010</v>
      </c>
      <c r="O86">
        <v>3.4</v>
      </c>
      <c r="Q86" t="s">
        <v>422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2.4620000000000002</v>
      </c>
      <c r="AR86">
        <v>2.8980000000000001</v>
      </c>
      <c r="AS86" t="s">
        <v>418</v>
      </c>
      <c r="AT86">
        <v>1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2.68</v>
      </c>
      <c r="CE86" t="s">
        <v>448</v>
      </c>
      <c r="CG86">
        <v>3.4</v>
      </c>
      <c r="CH86">
        <v>3.4</v>
      </c>
      <c r="CI86">
        <v>3.4</v>
      </c>
      <c r="CJ86">
        <v>0.3</v>
      </c>
      <c r="CK86">
        <v>3.7</v>
      </c>
      <c r="CL86">
        <v>2010</v>
      </c>
    </row>
    <row r="87" spans="1:90" x14ac:dyDescent="0.25">
      <c r="A87">
        <v>1159</v>
      </c>
      <c r="B87" t="s">
        <v>615</v>
      </c>
      <c r="C87" t="s">
        <v>831</v>
      </c>
      <c r="D87" t="s">
        <v>1047</v>
      </c>
      <c r="E87" t="s">
        <v>392</v>
      </c>
      <c r="F87">
        <v>97330405</v>
      </c>
      <c r="G87">
        <v>204.4</v>
      </c>
      <c r="H87" t="s">
        <v>407</v>
      </c>
      <c r="I87">
        <v>19894334782</v>
      </c>
      <c r="J87" t="s">
        <v>413</v>
      </c>
      <c r="K87">
        <v>11558105.1543651</v>
      </c>
      <c r="L87">
        <v>0.3</v>
      </c>
      <c r="M87">
        <v>20102015</v>
      </c>
      <c r="N87">
        <v>2010</v>
      </c>
      <c r="O87">
        <v>3.4</v>
      </c>
      <c r="Q87" t="s">
        <v>422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2.613</v>
      </c>
      <c r="AR87">
        <v>2.75</v>
      </c>
      <c r="AS87" t="s">
        <v>418</v>
      </c>
      <c r="AT87">
        <v>1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2.6815000000000002</v>
      </c>
      <c r="CE87" t="s">
        <v>448</v>
      </c>
      <c r="CG87">
        <v>3.4</v>
      </c>
      <c r="CH87">
        <v>3.4</v>
      </c>
      <c r="CI87">
        <v>3.4</v>
      </c>
      <c r="CJ87">
        <v>0.3</v>
      </c>
      <c r="CK87">
        <v>3.7</v>
      </c>
      <c r="CL87">
        <v>2010</v>
      </c>
    </row>
    <row r="88" spans="1:90" x14ac:dyDescent="0.25">
      <c r="A88">
        <v>1177</v>
      </c>
      <c r="B88" t="s">
        <v>619</v>
      </c>
      <c r="C88" t="s">
        <v>835</v>
      </c>
      <c r="D88" t="s">
        <v>1051</v>
      </c>
      <c r="E88" t="s">
        <v>393</v>
      </c>
      <c r="F88">
        <v>182017440</v>
      </c>
      <c r="G88">
        <v>21.872959999999999</v>
      </c>
      <c r="H88" t="s">
        <v>408</v>
      </c>
      <c r="I88">
        <v>3981260184.4224</v>
      </c>
      <c r="J88" t="s">
        <v>414</v>
      </c>
      <c r="K88">
        <v>3194424.91529821</v>
      </c>
      <c r="L88">
        <v>0.75</v>
      </c>
      <c r="M88">
        <v>20102010</v>
      </c>
      <c r="N88">
        <v>2010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2.3690000000000002</v>
      </c>
      <c r="AR88">
        <v>2.1259999999999999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2.2475000000000001</v>
      </c>
      <c r="CE88" t="s">
        <v>448</v>
      </c>
      <c r="CG88">
        <v>3.4</v>
      </c>
      <c r="CH88">
        <v>3.4</v>
      </c>
      <c r="CI88">
        <v>3.4</v>
      </c>
      <c r="CJ88">
        <v>0.3</v>
      </c>
      <c r="CK88">
        <v>3.7</v>
      </c>
      <c r="CL88">
        <v>2010</v>
      </c>
    </row>
    <row r="89" spans="1:90" x14ac:dyDescent="0.25">
      <c r="A89">
        <v>1211</v>
      </c>
      <c r="B89" t="s">
        <v>623</v>
      </c>
      <c r="C89" t="s">
        <v>839</v>
      </c>
      <c r="D89" t="s">
        <v>1055</v>
      </c>
      <c r="E89" t="s">
        <v>404</v>
      </c>
      <c r="F89">
        <v>4513000</v>
      </c>
      <c r="G89">
        <v>1059.0340000000001</v>
      </c>
      <c r="H89" t="s">
        <v>412</v>
      </c>
      <c r="I89">
        <v>4779420442</v>
      </c>
      <c r="J89" t="s">
        <v>414</v>
      </c>
      <c r="K89">
        <v>8836214.8853714094</v>
      </c>
      <c r="L89">
        <v>0.95</v>
      </c>
      <c r="M89">
        <v>20103015</v>
      </c>
      <c r="N89">
        <v>2010</v>
      </c>
      <c r="Q89" t="s">
        <v>419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2.593</v>
      </c>
      <c r="AR89">
        <v>3.0190000000000001</v>
      </c>
      <c r="AS89" t="s">
        <v>418</v>
      </c>
      <c r="AT89">
        <v>1</v>
      </c>
      <c r="AU89">
        <v>0</v>
      </c>
      <c r="AV89" t="s">
        <v>443</v>
      </c>
      <c r="AW89">
        <v>0</v>
      </c>
      <c r="AX89">
        <v>0</v>
      </c>
      <c r="AY89">
        <v>0</v>
      </c>
      <c r="CC89">
        <v>2.806</v>
      </c>
      <c r="CE89" t="s">
        <v>448</v>
      </c>
      <c r="CG89">
        <v>3.4</v>
      </c>
      <c r="CH89">
        <v>3.4</v>
      </c>
      <c r="CI89">
        <v>3.4</v>
      </c>
      <c r="CJ89">
        <v>0.18</v>
      </c>
      <c r="CK89">
        <v>3.58</v>
      </c>
      <c r="CL89">
        <v>2010</v>
      </c>
    </row>
    <row r="90" spans="1:90" x14ac:dyDescent="0.25">
      <c r="A90">
        <v>1214</v>
      </c>
      <c r="B90" t="s">
        <v>624</v>
      </c>
      <c r="C90" t="s">
        <v>840</v>
      </c>
      <c r="D90" t="s">
        <v>1056</v>
      </c>
      <c r="E90" t="s">
        <v>396</v>
      </c>
      <c r="F90">
        <v>1128000000</v>
      </c>
      <c r="G90">
        <v>55.74</v>
      </c>
      <c r="H90" t="s">
        <v>407</v>
      </c>
      <c r="I90">
        <v>62874720000</v>
      </c>
      <c r="J90" t="s">
        <v>413</v>
      </c>
      <c r="K90">
        <v>37144508.143114701</v>
      </c>
      <c r="L90">
        <v>0.25</v>
      </c>
      <c r="M90">
        <v>20102010</v>
      </c>
      <c r="N90">
        <v>2010</v>
      </c>
      <c r="O90">
        <v>2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2.9220000000000002</v>
      </c>
      <c r="AR90">
        <v>2.8780000000000001</v>
      </c>
      <c r="AS90" t="s">
        <v>418</v>
      </c>
      <c r="AT90">
        <v>1</v>
      </c>
      <c r="AU90">
        <v>0</v>
      </c>
      <c r="AV90" t="s">
        <v>435</v>
      </c>
      <c r="AW90">
        <v>0</v>
      </c>
      <c r="AX90">
        <v>0</v>
      </c>
      <c r="AY90">
        <v>0</v>
      </c>
      <c r="CC90">
        <v>2.9</v>
      </c>
      <c r="CE90" t="s">
        <v>448</v>
      </c>
      <c r="CG90">
        <v>2</v>
      </c>
      <c r="CH90">
        <v>3.4</v>
      </c>
      <c r="CI90">
        <v>2.7</v>
      </c>
      <c r="CJ90">
        <v>-0.3</v>
      </c>
      <c r="CK90">
        <v>2.4</v>
      </c>
      <c r="CL90">
        <v>2010</v>
      </c>
    </row>
    <row r="91" spans="1:90" x14ac:dyDescent="0.25">
      <c r="A91">
        <v>1232</v>
      </c>
      <c r="B91" t="s">
        <v>627</v>
      </c>
      <c r="C91" t="s">
        <v>843</v>
      </c>
      <c r="D91" t="s">
        <v>1059</v>
      </c>
      <c r="E91" t="s">
        <v>401</v>
      </c>
      <c r="F91">
        <v>874396060</v>
      </c>
      <c r="G91">
        <v>12.494429999999999</v>
      </c>
      <c r="H91" t="s">
        <v>411</v>
      </c>
      <c r="I91">
        <v>10925080363.945801</v>
      </c>
      <c r="J91" t="s">
        <v>414</v>
      </c>
      <c r="K91">
        <v>18147097.5031357</v>
      </c>
      <c r="L91">
        <v>0.95</v>
      </c>
      <c r="M91">
        <v>20102010</v>
      </c>
      <c r="N91">
        <v>2010</v>
      </c>
      <c r="O91">
        <v>3.4</v>
      </c>
      <c r="P91">
        <v>1.5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3.0630000000000002</v>
      </c>
      <c r="AR91">
        <v>3.4209999999999998</v>
      </c>
      <c r="AS91" t="s">
        <v>418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3.242</v>
      </c>
      <c r="CE91" t="s">
        <v>448</v>
      </c>
      <c r="CG91">
        <v>3.4</v>
      </c>
      <c r="CH91">
        <v>1.5</v>
      </c>
      <c r="CI91">
        <v>2.4500000000000002</v>
      </c>
      <c r="CJ91">
        <v>-0.18</v>
      </c>
      <c r="CK91">
        <v>2.27</v>
      </c>
      <c r="CL91">
        <v>2010</v>
      </c>
    </row>
    <row r="92" spans="1:90" x14ac:dyDescent="0.25">
      <c r="A92">
        <v>1250</v>
      </c>
      <c r="B92" t="s">
        <v>134</v>
      </c>
      <c r="C92" t="s">
        <v>234</v>
      </c>
      <c r="D92" t="s">
        <v>334</v>
      </c>
      <c r="E92" t="s">
        <v>404</v>
      </c>
      <c r="F92">
        <v>59626810</v>
      </c>
      <c r="G92">
        <v>310.37360000000001</v>
      </c>
      <c r="H92" t="s">
        <v>412</v>
      </c>
      <c r="I92">
        <v>18506587676.216</v>
      </c>
      <c r="J92" t="s">
        <v>414</v>
      </c>
      <c r="K92">
        <v>37253581.499226198</v>
      </c>
      <c r="L92">
        <v>0.85</v>
      </c>
      <c r="M92">
        <v>20102010</v>
      </c>
      <c r="N92">
        <v>2010</v>
      </c>
      <c r="O92">
        <v>1.9776400456237699</v>
      </c>
      <c r="P92">
        <v>2.39</v>
      </c>
      <c r="Q92" t="s">
        <v>416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3.0779999999999998</v>
      </c>
      <c r="AR92">
        <v>3.0640000000000001</v>
      </c>
      <c r="AS92" t="s">
        <v>418</v>
      </c>
      <c r="AT92">
        <v>1</v>
      </c>
      <c r="AU92">
        <v>0</v>
      </c>
      <c r="AV92" t="s">
        <v>443</v>
      </c>
      <c r="AW92">
        <v>0</v>
      </c>
      <c r="AX92">
        <v>0</v>
      </c>
      <c r="AY92">
        <v>0</v>
      </c>
      <c r="CC92">
        <v>3.0710000000000002</v>
      </c>
      <c r="CE92" t="s">
        <v>448</v>
      </c>
      <c r="CG92">
        <v>1.9776400456237699</v>
      </c>
      <c r="CH92">
        <v>2.39</v>
      </c>
      <c r="CI92">
        <v>2.1838200228118851</v>
      </c>
      <c r="CJ92">
        <v>-0.18</v>
      </c>
      <c r="CK92">
        <v>2.003820022811885</v>
      </c>
      <c r="CL92">
        <v>2010</v>
      </c>
    </row>
    <row r="93" spans="1:90" x14ac:dyDescent="0.25">
      <c r="A93">
        <v>1279</v>
      </c>
      <c r="B93" t="s">
        <v>125</v>
      </c>
      <c r="C93" t="s">
        <v>225</v>
      </c>
      <c r="D93" t="s">
        <v>325</v>
      </c>
      <c r="E93" t="s">
        <v>404</v>
      </c>
      <c r="F93">
        <v>159455250</v>
      </c>
      <c r="G93">
        <v>138.75899999999999</v>
      </c>
      <c r="H93" t="s">
        <v>412</v>
      </c>
      <c r="I93">
        <v>22125851034.75</v>
      </c>
      <c r="J93" t="s">
        <v>414</v>
      </c>
      <c r="K93">
        <v>38963232.823840298</v>
      </c>
      <c r="L93">
        <v>0.75</v>
      </c>
      <c r="M93">
        <v>20102015</v>
      </c>
      <c r="N93">
        <v>2010</v>
      </c>
      <c r="O93">
        <v>1.74431611527946</v>
      </c>
      <c r="P93">
        <v>3.01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2.85</v>
      </c>
      <c r="AR93">
        <v>2.2160000000000002</v>
      </c>
      <c r="AS93" t="s">
        <v>418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2.5329999999999999</v>
      </c>
      <c r="CE93" t="s">
        <v>448</v>
      </c>
      <c r="CG93">
        <v>1.74431611527946</v>
      </c>
      <c r="CH93">
        <v>3.01</v>
      </c>
      <c r="CI93">
        <v>2.37715805763973</v>
      </c>
      <c r="CJ93">
        <v>-0.18</v>
      </c>
      <c r="CK93">
        <v>2.1971580576397298</v>
      </c>
      <c r="CL93">
        <v>2010</v>
      </c>
    </row>
    <row r="94" spans="1:90" x14ac:dyDescent="0.25">
      <c r="A94">
        <v>1307</v>
      </c>
      <c r="B94" t="s">
        <v>637</v>
      </c>
      <c r="C94" t="s">
        <v>853</v>
      </c>
      <c r="D94" t="s">
        <v>1069</v>
      </c>
      <c r="E94" t="s">
        <v>393</v>
      </c>
      <c r="F94">
        <v>356000060</v>
      </c>
      <c r="G94">
        <v>28.090910000000001</v>
      </c>
      <c r="H94" t="s">
        <v>408</v>
      </c>
      <c r="I94">
        <v>10000365645.454599</v>
      </c>
      <c r="J94" t="s">
        <v>414</v>
      </c>
      <c r="K94">
        <v>9484698.7879996691</v>
      </c>
      <c r="L94">
        <v>0.55000000000000004</v>
      </c>
      <c r="M94">
        <v>20103015</v>
      </c>
      <c r="N94">
        <v>2010</v>
      </c>
      <c r="Q94" t="s">
        <v>418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2.5059999999999998</v>
      </c>
      <c r="AR94">
        <v>3.0790000000000002</v>
      </c>
      <c r="AS94" t="s">
        <v>430</v>
      </c>
      <c r="AT94">
        <v>0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2.7925</v>
      </c>
      <c r="CE94" t="s">
        <v>448</v>
      </c>
      <c r="CG94">
        <v>3.4</v>
      </c>
      <c r="CH94">
        <v>3.4</v>
      </c>
      <c r="CI94">
        <v>3.4</v>
      </c>
      <c r="CJ94">
        <v>0</v>
      </c>
      <c r="CK94">
        <v>3.4</v>
      </c>
      <c r="CL94">
        <v>2010</v>
      </c>
    </row>
    <row r="95" spans="1:90" x14ac:dyDescent="0.25">
      <c r="A95">
        <v>1426</v>
      </c>
      <c r="B95" t="s">
        <v>158</v>
      </c>
      <c r="C95" t="s">
        <v>258</v>
      </c>
      <c r="D95" t="s">
        <v>358</v>
      </c>
      <c r="E95" t="s">
        <v>405</v>
      </c>
      <c r="F95">
        <v>194505658</v>
      </c>
      <c r="G95">
        <v>181.8</v>
      </c>
      <c r="H95" t="s">
        <v>407</v>
      </c>
      <c r="I95">
        <v>35361128624.400002</v>
      </c>
      <c r="J95" t="s">
        <v>413</v>
      </c>
      <c r="K95">
        <v>36834331.3722222</v>
      </c>
      <c r="L95">
        <v>0.65</v>
      </c>
      <c r="M95">
        <v>20103015</v>
      </c>
      <c r="N95">
        <v>2010</v>
      </c>
      <c r="O95">
        <v>1.74156423615151</v>
      </c>
      <c r="P95">
        <v>1.77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2.661</v>
      </c>
      <c r="AR95">
        <v>2.8610000000000002</v>
      </c>
      <c r="AS95" t="s">
        <v>430</v>
      </c>
      <c r="AT95">
        <v>0</v>
      </c>
      <c r="AU95">
        <v>0</v>
      </c>
      <c r="AV95" t="s">
        <v>445</v>
      </c>
      <c r="AW95">
        <v>0</v>
      </c>
      <c r="AX95">
        <v>0</v>
      </c>
      <c r="AY95">
        <v>0</v>
      </c>
      <c r="CC95">
        <v>2.7610000000000001</v>
      </c>
      <c r="CE95" t="s">
        <v>448</v>
      </c>
      <c r="CG95">
        <v>1.74156423615151</v>
      </c>
      <c r="CH95">
        <v>1.77</v>
      </c>
      <c r="CI95">
        <v>1.7557821180757549</v>
      </c>
      <c r="CJ95">
        <v>-0.24</v>
      </c>
      <c r="CK95">
        <v>1.5157821180757549</v>
      </c>
      <c r="CL95">
        <v>2010</v>
      </c>
    </row>
    <row r="96" spans="1:90" x14ac:dyDescent="0.25">
      <c r="A96">
        <v>1538</v>
      </c>
      <c r="B96" t="s">
        <v>664</v>
      </c>
      <c r="C96" t="s">
        <v>880</v>
      </c>
      <c r="D96" t="s">
        <v>1096</v>
      </c>
      <c r="E96" t="s">
        <v>400</v>
      </c>
      <c r="F96">
        <v>71023870</v>
      </c>
      <c r="G96">
        <v>95.707660000000004</v>
      </c>
      <c r="H96" t="s">
        <v>410</v>
      </c>
      <c r="I96">
        <v>6797528401.8442001</v>
      </c>
      <c r="J96" t="s">
        <v>414</v>
      </c>
      <c r="K96">
        <v>18585941.2435234</v>
      </c>
      <c r="L96">
        <v>0.9</v>
      </c>
      <c r="M96">
        <v>20103010</v>
      </c>
      <c r="N96">
        <v>2010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2.266</v>
      </c>
      <c r="AR96">
        <v>2.3730000000000002</v>
      </c>
      <c r="AS96" t="s">
        <v>430</v>
      </c>
      <c r="AT96">
        <v>0</v>
      </c>
      <c r="AU96">
        <v>0</v>
      </c>
      <c r="AV96" t="s">
        <v>439</v>
      </c>
      <c r="AW96">
        <v>0</v>
      </c>
      <c r="AX96">
        <v>0</v>
      </c>
      <c r="AY96">
        <v>0</v>
      </c>
      <c r="CC96">
        <v>2.3195000000000001</v>
      </c>
      <c r="CE96" t="s">
        <v>448</v>
      </c>
      <c r="CG96">
        <v>3.4</v>
      </c>
      <c r="CH96">
        <v>3.4</v>
      </c>
      <c r="CI96">
        <v>3.4</v>
      </c>
      <c r="CJ96">
        <v>0.3</v>
      </c>
      <c r="CK96">
        <v>3.7</v>
      </c>
      <c r="CL96">
        <v>2010</v>
      </c>
    </row>
    <row r="97" spans="1:90" x14ac:dyDescent="0.25">
      <c r="A97">
        <v>211</v>
      </c>
      <c r="B97" t="s">
        <v>489</v>
      </c>
      <c r="C97" t="s">
        <v>705</v>
      </c>
      <c r="D97" t="s">
        <v>921</v>
      </c>
      <c r="E97" t="s">
        <v>402</v>
      </c>
      <c r="F97">
        <v>1421624324</v>
      </c>
      <c r="G97">
        <v>6.8019999999999996</v>
      </c>
      <c r="H97" t="s">
        <v>407</v>
      </c>
      <c r="I97">
        <v>9669888651.8479996</v>
      </c>
      <c r="J97" t="s">
        <v>413</v>
      </c>
      <c r="K97">
        <v>111966595.383213</v>
      </c>
      <c r="L97">
        <v>0.70000000000000007</v>
      </c>
      <c r="M97">
        <v>30101010</v>
      </c>
      <c r="N97">
        <v>3010</v>
      </c>
      <c r="O97">
        <v>3.4</v>
      </c>
      <c r="P97">
        <v>3.1</v>
      </c>
      <c r="Q97" t="s">
        <v>418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2.3929999999999998</v>
      </c>
      <c r="AR97">
        <v>3.008</v>
      </c>
      <c r="AS97" t="s">
        <v>427</v>
      </c>
      <c r="AT97">
        <v>0</v>
      </c>
      <c r="AU97">
        <v>0</v>
      </c>
      <c r="AV97" t="s">
        <v>441</v>
      </c>
      <c r="AW97">
        <v>0</v>
      </c>
      <c r="AX97">
        <v>0</v>
      </c>
      <c r="AY97">
        <v>0</v>
      </c>
      <c r="CC97">
        <v>2.7004999999999999</v>
      </c>
      <c r="CE97" t="s">
        <v>448</v>
      </c>
      <c r="CG97">
        <v>3.4</v>
      </c>
      <c r="CH97">
        <v>3.1</v>
      </c>
      <c r="CI97">
        <v>3.25</v>
      </c>
      <c r="CJ97">
        <v>0</v>
      </c>
      <c r="CK97">
        <v>3.25</v>
      </c>
      <c r="CL97">
        <v>3010</v>
      </c>
    </row>
    <row r="98" spans="1:90" x14ac:dyDescent="0.25">
      <c r="A98">
        <v>802</v>
      </c>
      <c r="B98" t="s">
        <v>571</v>
      </c>
      <c r="C98" t="s">
        <v>787</v>
      </c>
      <c r="D98" t="s">
        <v>1003</v>
      </c>
      <c r="E98" t="s">
        <v>401</v>
      </c>
      <c r="F98">
        <v>60745742000</v>
      </c>
      <c r="G98">
        <v>0.81240979999999996</v>
      </c>
      <c r="H98" t="s">
        <v>411</v>
      </c>
      <c r="I98">
        <v>49350436109.071587</v>
      </c>
      <c r="J98" t="s">
        <v>414</v>
      </c>
      <c r="K98">
        <v>75488016.146108702</v>
      </c>
      <c r="L98">
        <v>1</v>
      </c>
      <c r="M98">
        <v>30101010</v>
      </c>
      <c r="N98">
        <v>3010</v>
      </c>
      <c r="O98">
        <v>3.0199999999999898</v>
      </c>
      <c r="Q98" t="s">
        <v>1097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2.468</v>
      </c>
      <c r="AR98">
        <v>3.3460000000000001</v>
      </c>
      <c r="AS98" t="s">
        <v>427</v>
      </c>
      <c r="AT98">
        <v>0</v>
      </c>
      <c r="AU98">
        <v>0</v>
      </c>
      <c r="AV98" t="s">
        <v>440</v>
      </c>
      <c r="AW98">
        <v>0</v>
      </c>
      <c r="AX98">
        <v>0</v>
      </c>
      <c r="AY98">
        <v>0</v>
      </c>
      <c r="CC98">
        <v>2.907</v>
      </c>
      <c r="CE98" t="s">
        <v>448</v>
      </c>
      <c r="CG98">
        <v>3.0199999999999898</v>
      </c>
      <c r="CH98">
        <v>3.4</v>
      </c>
      <c r="CI98">
        <v>3.2099999999999951</v>
      </c>
      <c r="CJ98">
        <v>0.3</v>
      </c>
      <c r="CK98">
        <v>3.509999999999994</v>
      </c>
      <c r="CL98">
        <v>3010</v>
      </c>
    </row>
    <row r="99" spans="1:90" x14ac:dyDescent="0.25">
      <c r="A99">
        <v>160</v>
      </c>
      <c r="B99" t="s">
        <v>476</v>
      </c>
      <c r="C99" t="s">
        <v>692</v>
      </c>
      <c r="D99" t="s">
        <v>908</v>
      </c>
      <c r="E99" t="s">
        <v>399</v>
      </c>
      <c r="F99">
        <v>5440221700</v>
      </c>
      <c r="G99">
        <v>2.52</v>
      </c>
      <c r="H99" t="s">
        <v>407</v>
      </c>
      <c r="I99">
        <v>13709358684</v>
      </c>
      <c r="J99" t="s">
        <v>413</v>
      </c>
      <c r="K99">
        <v>27278072.916000001</v>
      </c>
      <c r="L99">
        <v>1</v>
      </c>
      <c r="M99">
        <v>30101010</v>
      </c>
      <c r="N99">
        <v>3010</v>
      </c>
      <c r="O99">
        <v>3.06327446033775</v>
      </c>
      <c r="Q99" t="s">
        <v>416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2.6110000000000002</v>
      </c>
      <c r="AR99">
        <v>3.254</v>
      </c>
      <c r="AS99" t="s">
        <v>427</v>
      </c>
      <c r="AT99">
        <v>0</v>
      </c>
      <c r="AU99">
        <v>0</v>
      </c>
      <c r="AV99" t="s">
        <v>438</v>
      </c>
      <c r="AW99">
        <v>0</v>
      </c>
      <c r="AX99">
        <v>0</v>
      </c>
      <c r="AY99">
        <v>0</v>
      </c>
      <c r="CC99">
        <v>2.9325000000000001</v>
      </c>
      <c r="CE99" t="s">
        <v>448</v>
      </c>
      <c r="CG99">
        <v>3.06327446033775</v>
      </c>
      <c r="CH99">
        <v>3.4</v>
      </c>
      <c r="CI99">
        <v>3.2316372301688752</v>
      </c>
      <c r="CJ99">
        <v>-0.18</v>
      </c>
      <c r="CK99">
        <v>3.051637230168875</v>
      </c>
      <c r="CL99">
        <v>3010</v>
      </c>
    </row>
    <row r="100" spans="1:90" x14ac:dyDescent="0.25">
      <c r="A100">
        <v>170</v>
      </c>
      <c r="B100" t="s">
        <v>479</v>
      </c>
      <c r="C100" t="s">
        <v>695</v>
      </c>
      <c r="D100" t="s">
        <v>911</v>
      </c>
      <c r="E100" t="s">
        <v>401</v>
      </c>
      <c r="F100">
        <v>14406017000</v>
      </c>
      <c r="G100">
        <v>3.6727690000000002</v>
      </c>
      <c r="H100" t="s">
        <v>411</v>
      </c>
      <c r="I100">
        <v>52909972651.073013</v>
      </c>
      <c r="J100" t="s">
        <v>414</v>
      </c>
      <c r="K100">
        <v>97848428.157194898</v>
      </c>
      <c r="L100">
        <v>1</v>
      </c>
      <c r="M100">
        <v>30101010</v>
      </c>
      <c r="N100">
        <v>3010</v>
      </c>
      <c r="O100">
        <v>3.0199999999999898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2.387</v>
      </c>
      <c r="AR100">
        <v>3.5019999999999998</v>
      </c>
      <c r="AS100" t="s">
        <v>427</v>
      </c>
      <c r="AT100">
        <v>0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2.9445000000000001</v>
      </c>
      <c r="CE100" t="s">
        <v>448</v>
      </c>
      <c r="CG100">
        <v>3.0199999999999898</v>
      </c>
      <c r="CH100">
        <v>3.4</v>
      </c>
      <c r="CI100">
        <v>3.2099999999999951</v>
      </c>
      <c r="CJ100">
        <v>-0.24</v>
      </c>
      <c r="CK100">
        <v>2.969999999999994</v>
      </c>
      <c r="CL100">
        <v>3010</v>
      </c>
    </row>
    <row r="101" spans="1:90" x14ac:dyDescent="0.25">
      <c r="A101">
        <v>309</v>
      </c>
      <c r="B101" t="s">
        <v>157</v>
      </c>
      <c r="C101" t="s">
        <v>257</v>
      </c>
      <c r="D101" t="s">
        <v>357</v>
      </c>
      <c r="E101" t="s">
        <v>396</v>
      </c>
      <c r="F101">
        <v>1184669100</v>
      </c>
      <c r="G101">
        <v>19.524999999999999</v>
      </c>
      <c r="H101" t="s">
        <v>407</v>
      </c>
      <c r="I101">
        <v>23130664177.5</v>
      </c>
      <c r="J101" t="s">
        <v>413</v>
      </c>
      <c r="K101">
        <v>92864872.3770082</v>
      </c>
      <c r="L101">
        <v>0.8</v>
      </c>
      <c r="M101">
        <v>30101010</v>
      </c>
      <c r="N101">
        <v>3010</v>
      </c>
      <c r="O101">
        <v>1.9118214423098601</v>
      </c>
      <c r="P101">
        <v>1.5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2.3889999999999998</v>
      </c>
      <c r="AR101">
        <v>2.794</v>
      </c>
      <c r="AS101" t="s">
        <v>427</v>
      </c>
      <c r="AT101">
        <v>0</v>
      </c>
      <c r="AU101">
        <v>0</v>
      </c>
      <c r="AV101" t="s">
        <v>435</v>
      </c>
      <c r="AW101">
        <v>0</v>
      </c>
      <c r="AX101">
        <v>0</v>
      </c>
      <c r="AY101">
        <v>0</v>
      </c>
      <c r="CC101">
        <v>2.5914999999999999</v>
      </c>
      <c r="CE101" t="s">
        <v>448</v>
      </c>
      <c r="CG101">
        <v>1.9118214423098601</v>
      </c>
      <c r="CH101">
        <v>1.5</v>
      </c>
      <c r="CI101">
        <v>1.70591072115493</v>
      </c>
      <c r="CJ101">
        <v>-0.18</v>
      </c>
      <c r="CK101">
        <v>1.5259107211549301</v>
      </c>
      <c r="CL101">
        <v>3010</v>
      </c>
    </row>
    <row r="102" spans="1:90" x14ac:dyDescent="0.25">
      <c r="A102">
        <v>648</v>
      </c>
      <c r="B102" t="s">
        <v>553</v>
      </c>
      <c r="C102" t="s">
        <v>769</v>
      </c>
      <c r="D102" t="s">
        <v>985</v>
      </c>
      <c r="E102" t="s">
        <v>394</v>
      </c>
      <c r="F102">
        <v>3147391173</v>
      </c>
      <c r="G102">
        <v>16.564</v>
      </c>
      <c r="H102" t="s">
        <v>407</v>
      </c>
      <c r="I102">
        <v>52133387389.571999</v>
      </c>
      <c r="J102" t="s">
        <v>413</v>
      </c>
      <c r="K102">
        <v>157598776.08198401</v>
      </c>
      <c r="L102">
        <v>1</v>
      </c>
      <c r="M102">
        <v>30101010</v>
      </c>
      <c r="N102">
        <v>3010</v>
      </c>
      <c r="O102">
        <v>3.2733333333333299</v>
      </c>
      <c r="Q102" t="s">
        <v>1097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2.214</v>
      </c>
      <c r="AR102">
        <v>2.871</v>
      </c>
      <c r="AS102" t="s">
        <v>427</v>
      </c>
      <c r="AT102">
        <v>0</v>
      </c>
      <c r="AU102">
        <v>0</v>
      </c>
      <c r="AV102" t="s">
        <v>444</v>
      </c>
      <c r="AW102">
        <v>0</v>
      </c>
      <c r="AX102">
        <v>0</v>
      </c>
      <c r="AY102">
        <v>0</v>
      </c>
      <c r="CC102">
        <v>2.5425</v>
      </c>
      <c r="CE102" t="s">
        <v>448</v>
      </c>
      <c r="CG102">
        <v>3.2733333333333299</v>
      </c>
      <c r="CH102">
        <v>3.4</v>
      </c>
      <c r="CI102">
        <v>3.3366666666666651</v>
      </c>
      <c r="CJ102">
        <v>0.3</v>
      </c>
      <c r="CK102">
        <v>3.6366666666666649</v>
      </c>
      <c r="CL102">
        <v>3010</v>
      </c>
    </row>
    <row r="103" spans="1:90" x14ac:dyDescent="0.25">
      <c r="A103">
        <v>142</v>
      </c>
      <c r="B103" t="s">
        <v>469</v>
      </c>
      <c r="C103" t="s">
        <v>685</v>
      </c>
      <c r="D103" t="s">
        <v>901</v>
      </c>
      <c r="E103" t="s">
        <v>393</v>
      </c>
      <c r="F103">
        <v>157236950</v>
      </c>
      <c r="G103">
        <v>30.078130000000002</v>
      </c>
      <c r="H103" t="s">
        <v>408</v>
      </c>
      <c r="I103">
        <v>4729393422.9035006</v>
      </c>
      <c r="J103" t="s">
        <v>414</v>
      </c>
      <c r="K103">
        <v>8967483.0466652308</v>
      </c>
      <c r="L103">
        <v>0.75</v>
      </c>
      <c r="M103">
        <v>30101010</v>
      </c>
      <c r="N103">
        <v>3010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2.1560000000000001</v>
      </c>
      <c r="AR103">
        <v>2.677</v>
      </c>
      <c r="AS103" t="s">
        <v>427</v>
      </c>
      <c r="AT103">
        <v>0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2.4165000000000001</v>
      </c>
      <c r="CE103" t="s">
        <v>448</v>
      </c>
      <c r="CG103">
        <v>3.4</v>
      </c>
      <c r="CH103">
        <v>3.4</v>
      </c>
      <c r="CI103">
        <v>3.4</v>
      </c>
      <c r="CJ103">
        <v>0.3</v>
      </c>
      <c r="CK103">
        <v>3.7</v>
      </c>
      <c r="CL103">
        <v>3010</v>
      </c>
    </row>
    <row r="104" spans="1:90" x14ac:dyDescent="0.25">
      <c r="A104">
        <v>151</v>
      </c>
      <c r="B104" t="s">
        <v>471</v>
      </c>
      <c r="C104" t="s">
        <v>687</v>
      </c>
      <c r="D104" t="s">
        <v>903</v>
      </c>
      <c r="E104" t="s">
        <v>406</v>
      </c>
      <c r="F104">
        <v>15113989952</v>
      </c>
      <c r="G104">
        <v>0.54979999999999996</v>
      </c>
      <c r="H104" t="s">
        <v>407</v>
      </c>
      <c r="I104">
        <v>8309671675.6095991</v>
      </c>
      <c r="J104" t="s">
        <v>413</v>
      </c>
      <c r="K104">
        <v>29346586.367082499</v>
      </c>
      <c r="L104">
        <v>0.60000000000000009</v>
      </c>
      <c r="M104">
        <v>30101010</v>
      </c>
      <c r="N104">
        <v>3010</v>
      </c>
      <c r="Q104" t="s">
        <v>416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2.1379999999999999</v>
      </c>
      <c r="AR104">
        <v>2.69</v>
      </c>
      <c r="AS104" t="s">
        <v>427</v>
      </c>
      <c r="AT104">
        <v>0</v>
      </c>
      <c r="AU104">
        <v>0</v>
      </c>
      <c r="AV104" t="s">
        <v>447</v>
      </c>
      <c r="AW104">
        <v>0</v>
      </c>
      <c r="AX104">
        <v>0</v>
      </c>
      <c r="AY104">
        <v>0</v>
      </c>
      <c r="CC104">
        <v>2.4140000000000001</v>
      </c>
      <c r="CE104" t="s">
        <v>448</v>
      </c>
      <c r="CG104">
        <v>3.4</v>
      </c>
      <c r="CH104">
        <v>3.4</v>
      </c>
      <c r="CI104">
        <v>3.4</v>
      </c>
      <c r="CJ104">
        <v>-0.18</v>
      </c>
      <c r="CK104">
        <v>3.22</v>
      </c>
      <c r="CL104">
        <v>3010</v>
      </c>
    </row>
    <row r="105" spans="1:90" x14ac:dyDescent="0.25">
      <c r="A105">
        <v>158</v>
      </c>
      <c r="B105" t="s">
        <v>474</v>
      </c>
      <c r="C105" t="s">
        <v>690</v>
      </c>
      <c r="D105" t="s">
        <v>906</v>
      </c>
      <c r="E105" t="s">
        <v>402</v>
      </c>
      <c r="F105">
        <v>1259689706</v>
      </c>
      <c r="G105">
        <v>6.43</v>
      </c>
      <c r="H105" t="s">
        <v>407</v>
      </c>
      <c r="I105">
        <v>8099804809.5799999</v>
      </c>
      <c r="J105" t="s">
        <v>413</v>
      </c>
      <c r="K105">
        <v>101530512.28059</v>
      </c>
      <c r="L105">
        <v>0.70000000000000007</v>
      </c>
      <c r="M105">
        <v>30101010</v>
      </c>
      <c r="N105">
        <v>3010</v>
      </c>
      <c r="Q105" t="s">
        <v>422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2.1349999999999998</v>
      </c>
      <c r="AR105">
        <v>2.6760000000000002</v>
      </c>
      <c r="AS105" t="s">
        <v>427</v>
      </c>
      <c r="AT105">
        <v>0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2.4055</v>
      </c>
      <c r="CE105" t="s">
        <v>448</v>
      </c>
      <c r="CG105">
        <v>3.4</v>
      </c>
      <c r="CH105">
        <v>3.4</v>
      </c>
      <c r="CI105">
        <v>3.4</v>
      </c>
      <c r="CJ105">
        <v>0.3</v>
      </c>
      <c r="CK105">
        <v>3.7</v>
      </c>
      <c r="CL105">
        <v>3010</v>
      </c>
    </row>
    <row r="106" spans="1:90" x14ac:dyDescent="0.25">
      <c r="A106">
        <v>161</v>
      </c>
      <c r="B106" t="s">
        <v>133</v>
      </c>
      <c r="C106" t="s">
        <v>233</v>
      </c>
      <c r="D106" t="s">
        <v>333</v>
      </c>
      <c r="E106" t="s">
        <v>399</v>
      </c>
      <c r="F106">
        <v>15152492000</v>
      </c>
      <c r="G106">
        <v>5.8840000000000003</v>
      </c>
      <c r="H106" t="s">
        <v>407</v>
      </c>
      <c r="I106">
        <v>89157262928</v>
      </c>
      <c r="J106" t="s">
        <v>413</v>
      </c>
      <c r="K106">
        <v>149229392.385506</v>
      </c>
      <c r="L106">
        <v>1</v>
      </c>
      <c r="M106">
        <v>30101010</v>
      </c>
      <c r="N106">
        <v>3010</v>
      </c>
      <c r="O106">
        <v>3.1466666666666598</v>
      </c>
      <c r="P106">
        <v>1.5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2.3980000000000001</v>
      </c>
      <c r="AR106">
        <v>3.1459999999999999</v>
      </c>
      <c r="AS106" t="s">
        <v>427</v>
      </c>
      <c r="AT106">
        <v>0</v>
      </c>
      <c r="AU106">
        <v>0</v>
      </c>
      <c r="AV106" t="s">
        <v>438</v>
      </c>
      <c r="AW106">
        <v>0</v>
      </c>
      <c r="AX106">
        <v>0</v>
      </c>
      <c r="AY106">
        <v>0</v>
      </c>
      <c r="CC106">
        <v>2.7719999999999998</v>
      </c>
      <c r="CE106" t="s">
        <v>448</v>
      </c>
      <c r="CG106">
        <v>3.1466666666666598</v>
      </c>
      <c r="CH106">
        <v>1.5</v>
      </c>
      <c r="CI106">
        <v>2.3233333333333301</v>
      </c>
      <c r="CJ106">
        <v>-0.3</v>
      </c>
      <c r="CK106">
        <v>2.0233333333333299</v>
      </c>
      <c r="CL106">
        <v>3010</v>
      </c>
    </row>
    <row r="107" spans="1:90" x14ac:dyDescent="0.25">
      <c r="A107">
        <v>365</v>
      </c>
      <c r="B107" t="s">
        <v>507</v>
      </c>
      <c r="C107" t="s">
        <v>723</v>
      </c>
      <c r="D107" t="s">
        <v>939</v>
      </c>
      <c r="E107" t="s">
        <v>400</v>
      </c>
      <c r="F107">
        <v>862184630</v>
      </c>
      <c r="G107">
        <v>31.647870000000001</v>
      </c>
      <c r="H107" t="s">
        <v>410</v>
      </c>
      <c r="I107">
        <v>27286307086.238098</v>
      </c>
      <c r="J107" t="s">
        <v>414</v>
      </c>
      <c r="K107">
        <v>35639717.664424598</v>
      </c>
      <c r="L107">
        <v>0.8</v>
      </c>
      <c r="M107">
        <v>30101010</v>
      </c>
      <c r="N107">
        <v>3010</v>
      </c>
      <c r="O107">
        <v>3.14451855129867</v>
      </c>
      <c r="P107">
        <v>3.1</v>
      </c>
      <c r="Q107" t="s">
        <v>416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2.302</v>
      </c>
      <c r="AR107">
        <v>2.782</v>
      </c>
      <c r="AS107" t="s">
        <v>427</v>
      </c>
      <c r="AT107">
        <v>0</v>
      </c>
      <c r="AU107">
        <v>0</v>
      </c>
      <c r="AV107" t="s">
        <v>439</v>
      </c>
      <c r="AW107">
        <v>0</v>
      </c>
      <c r="AX107">
        <v>0</v>
      </c>
      <c r="AY107">
        <v>0</v>
      </c>
      <c r="CC107">
        <v>2.5419999999999998</v>
      </c>
      <c r="CE107" t="s">
        <v>448</v>
      </c>
      <c r="CG107">
        <v>3.14451855129867</v>
      </c>
      <c r="CH107">
        <v>3.1</v>
      </c>
      <c r="CI107">
        <v>3.122259275649335</v>
      </c>
      <c r="CJ107">
        <v>-0.18</v>
      </c>
      <c r="CK107">
        <v>2.9422592756493349</v>
      </c>
      <c r="CL107">
        <v>3010</v>
      </c>
    </row>
    <row r="108" spans="1:90" x14ac:dyDescent="0.25">
      <c r="A108">
        <v>714</v>
      </c>
      <c r="B108" t="s">
        <v>562</v>
      </c>
      <c r="C108" t="s">
        <v>778</v>
      </c>
      <c r="D108" t="s">
        <v>994</v>
      </c>
      <c r="E108" t="s">
        <v>400</v>
      </c>
      <c r="F108">
        <v>64272095</v>
      </c>
      <c r="G108">
        <v>73.523319999999998</v>
      </c>
      <c r="H108" t="s">
        <v>410</v>
      </c>
      <c r="I108">
        <v>4725497807.7553997</v>
      </c>
      <c r="J108" t="s">
        <v>414</v>
      </c>
      <c r="K108">
        <v>7679046.3637891002</v>
      </c>
      <c r="L108">
        <v>0.7</v>
      </c>
      <c r="M108">
        <v>30101010</v>
      </c>
      <c r="N108">
        <v>3010</v>
      </c>
      <c r="O108">
        <v>3.4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2.3170000000000002</v>
      </c>
      <c r="AR108">
        <v>2.5019999999999998</v>
      </c>
      <c r="AS108" t="s">
        <v>427</v>
      </c>
      <c r="AT108">
        <v>0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2.4095</v>
      </c>
      <c r="CE108" t="s">
        <v>448</v>
      </c>
      <c r="CG108">
        <v>3.4</v>
      </c>
      <c r="CH108">
        <v>3.4</v>
      </c>
      <c r="CI108">
        <v>3.4</v>
      </c>
      <c r="CJ108">
        <v>-0.18</v>
      </c>
      <c r="CK108">
        <v>3.22</v>
      </c>
      <c r="CL108">
        <v>3010</v>
      </c>
    </row>
    <row r="109" spans="1:90" x14ac:dyDescent="0.25">
      <c r="A109">
        <v>401</v>
      </c>
      <c r="B109" t="s">
        <v>513</v>
      </c>
      <c r="C109" t="s">
        <v>729</v>
      </c>
      <c r="D109" t="s">
        <v>945</v>
      </c>
      <c r="E109" t="s">
        <v>398</v>
      </c>
      <c r="F109">
        <v>1492530286</v>
      </c>
      <c r="G109">
        <v>21.722549999999998</v>
      </c>
      <c r="H109" t="s">
        <v>409</v>
      </c>
      <c r="I109">
        <v>32421563764.1493</v>
      </c>
      <c r="J109" t="s">
        <v>414</v>
      </c>
      <c r="K109">
        <v>28339201.280232199</v>
      </c>
      <c r="L109">
        <v>0.55000000000000004</v>
      </c>
      <c r="M109">
        <v>30101010</v>
      </c>
      <c r="N109">
        <v>3010</v>
      </c>
      <c r="O109">
        <v>3.4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2.2930000000000001</v>
      </c>
      <c r="AR109">
        <v>3.117</v>
      </c>
      <c r="AS109" t="s">
        <v>427</v>
      </c>
      <c r="AT109">
        <v>0</v>
      </c>
      <c r="AU109">
        <v>0</v>
      </c>
      <c r="AV109" t="s">
        <v>437</v>
      </c>
      <c r="AW109">
        <v>0</v>
      </c>
      <c r="AX109">
        <v>0</v>
      </c>
      <c r="AY109">
        <v>0</v>
      </c>
      <c r="CC109">
        <v>2.7050000000000001</v>
      </c>
      <c r="CE109" t="s">
        <v>448</v>
      </c>
      <c r="CG109">
        <v>3.4</v>
      </c>
      <c r="CH109">
        <v>3.4</v>
      </c>
      <c r="CI109">
        <v>3.4</v>
      </c>
      <c r="CJ109">
        <v>-0.24</v>
      </c>
      <c r="CK109">
        <v>3.16</v>
      </c>
      <c r="CL109">
        <v>3010</v>
      </c>
    </row>
    <row r="110" spans="1:90" x14ac:dyDescent="0.25">
      <c r="A110">
        <v>45</v>
      </c>
      <c r="B110" t="s">
        <v>151</v>
      </c>
      <c r="C110" t="s">
        <v>251</v>
      </c>
      <c r="D110" t="s">
        <v>351</v>
      </c>
      <c r="E110" t="s">
        <v>395</v>
      </c>
      <c r="F110">
        <v>2328438575</v>
      </c>
      <c r="G110">
        <v>6.34</v>
      </c>
      <c r="H110" t="s">
        <v>407</v>
      </c>
      <c r="I110">
        <v>14762300565.5</v>
      </c>
      <c r="J110" t="s">
        <v>413</v>
      </c>
      <c r="K110">
        <v>28502146.137509499</v>
      </c>
      <c r="L110">
        <v>0.9</v>
      </c>
      <c r="M110">
        <v>30101010</v>
      </c>
      <c r="N110">
        <v>3010</v>
      </c>
      <c r="O110">
        <v>1.99934707512142</v>
      </c>
      <c r="P110">
        <v>1.5</v>
      </c>
      <c r="Q110" t="s">
        <v>416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2.4860000000000002</v>
      </c>
      <c r="AR110">
        <v>3.169</v>
      </c>
      <c r="AS110" t="s">
        <v>427</v>
      </c>
      <c r="AT110">
        <v>0</v>
      </c>
      <c r="AU110">
        <v>0</v>
      </c>
      <c r="AV110" t="s">
        <v>434</v>
      </c>
      <c r="AW110">
        <v>0</v>
      </c>
      <c r="AX110">
        <v>0</v>
      </c>
      <c r="AY110">
        <v>0</v>
      </c>
      <c r="CC110">
        <v>2.8275000000000001</v>
      </c>
      <c r="CE110" t="s">
        <v>448</v>
      </c>
      <c r="CG110">
        <v>1.99934707512142</v>
      </c>
      <c r="CH110">
        <v>1.5</v>
      </c>
      <c r="CI110">
        <v>1.74967353756071</v>
      </c>
      <c r="CJ110">
        <v>-0.18</v>
      </c>
      <c r="CK110">
        <v>1.56967353756071</v>
      </c>
      <c r="CL110">
        <v>3010</v>
      </c>
    </row>
    <row r="111" spans="1:90" x14ac:dyDescent="0.25">
      <c r="A111">
        <v>462</v>
      </c>
      <c r="B111" t="s">
        <v>522</v>
      </c>
      <c r="C111" t="s">
        <v>738</v>
      </c>
      <c r="D111" t="s">
        <v>954</v>
      </c>
      <c r="E111" t="s">
        <v>403</v>
      </c>
      <c r="F111">
        <v>410514370</v>
      </c>
      <c r="G111">
        <v>66.3</v>
      </c>
      <c r="H111" t="s">
        <v>407</v>
      </c>
      <c r="I111">
        <v>27217102731</v>
      </c>
      <c r="J111" t="s">
        <v>413</v>
      </c>
      <c r="K111">
        <v>28633350.351147499</v>
      </c>
      <c r="L111">
        <v>0.8</v>
      </c>
      <c r="M111">
        <v>30101010</v>
      </c>
      <c r="N111">
        <v>3010</v>
      </c>
      <c r="O111">
        <v>3.4</v>
      </c>
      <c r="Q111" t="s">
        <v>416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2.3410000000000002</v>
      </c>
      <c r="AR111">
        <v>2.7240000000000002</v>
      </c>
      <c r="AS111" t="s">
        <v>427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2.5325000000000002</v>
      </c>
      <c r="CE111" t="s">
        <v>448</v>
      </c>
      <c r="CG111">
        <v>3.4</v>
      </c>
      <c r="CH111">
        <v>3.4</v>
      </c>
      <c r="CI111">
        <v>3.4</v>
      </c>
      <c r="CJ111">
        <v>-0.18</v>
      </c>
      <c r="CK111">
        <v>3.22</v>
      </c>
      <c r="CL111">
        <v>3010</v>
      </c>
    </row>
    <row r="112" spans="1:90" x14ac:dyDescent="0.25">
      <c r="A112">
        <v>14</v>
      </c>
      <c r="B112" t="s">
        <v>450</v>
      </c>
      <c r="C112" t="s">
        <v>666</v>
      </c>
      <c r="D112" t="s">
        <v>882</v>
      </c>
      <c r="E112" t="s">
        <v>394</v>
      </c>
      <c r="F112">
        <v>539163896</v>
      </c>
      <c r="G112">
        <v>17.8</v>
      </c>
      <c r="H112" t="s">
        <v>407</v>
      </c>
      <c r="I112">
        <v>9597117348.8000011</v>
      </c>
      <c r="J112" t="s">
        <v>413</v>
      </c>
      <c r="K112">
        <v>48401045.407301597</v>
      </c>
      <c r="L112">
        <v>1</v>
      </c>
      <c r="M112">
        <v>30101010</v>
      </c>
      <c r="N112">
        <v>3010</v>
      </c>
      <c r="O112">
        <v>3.2733333333333299</v>
      </c>
      <c r="Q112" t="s">
        <v>418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2.3940000000000001</v>
      </c>
      <c r="AR112">
        <v>2.7789999999999999</v>
      </c>
      <c r="AS112" t="s">
        <v>427</v>
      </c>
      <c r="AT112">
        <v>0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2.5865</v>
      </c>
      <c r="CE112" t="s">
        <v>448</v>
      </c>
      <c r="CG112">
        <v>3.2733333333333299</v>
      </c>
      <c r="CH112">
        <v>3.4</v>
      </c>
      <c r="CI112">
        <v>3.3366666666666651</v>
      </c>
      <c r="CJ112">
        <v>0</v>
      </c>
      <c r="CK112">
        <v>3.3366666666666651</v>
      </c>
      <c r="CL112">
        <v>3010</v>
      </c>
    </row>
    <row r="113" spans="1:90" x14ac:dyDescent="0.25">
      <c r="A113">
        <v>169</v>
      </c>
      <c r="B113" t="s">
        <v>478</v>
      </c>
      <c r="C113" t="s">
        <v>694</v>
      </c>
      <c r="D113" t="s">
        <v>910</v>
      </c>
      <c r="E113" t="s">
        <v>399</v>
      </c>
      <c r="F113">
        <v>898866150</v>
      </c>
      <c r="G113">
        <v>8.968</v>
      </c>
      <c r="H113" t="s">
        <v>407</v>
      </c>
      <c r="I113">
        <v>8061031633.1999998</v>
      </c>
      <c r="J113" t="s">
        <v>413</v>
      </c>
      <c r="K113">
        <v>16669299.799092099</v>
      </c>
      <c r="L113">
        <v>0.7</v>
      </c>
      <c r="M113">
        <v>30101010</v>
      </c>
      <c r="N113">
        <v>3010</v>
      </c>
      <c r="O113">
        <v>3.4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2.4279999999999999</v>
      </c>
      <c r="AR113">
        <v>2.2440000000000002</v>
      </c>
      <c r="AS113" t="s">
        <v>427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2.3359999999999999</v>
      </c>
      <c r="CE113" t="s">
        <v>448</v>
      </c>
      <c r="CG113">
        <v>3.4</v>
      </c>
      <c r="CH113">
        <v>3.4</v>
      </c>
      <c r="CI113">
        <v>3.4</v>
      </c>
      <c r="CJ113">
        <v>-0.24</v>
      </c>
      <c r="CK113">
        <v>3.16</v>
      </c>
      <c r="CL113">
        <v>3010</v>
      </c>
    </row>
    <row r="114" spans="1:90" x14ac:dyDescent="0.25">
      <c r="A114">
        <v>234</v>
      </c>
      <c r="B114" t="s">
        <v>495</v>
      </c>
      <c r="C114" t="s">
        <v>711</v>
      </c>
      <c r="D114" t="s">
        <v>927</v>
      </c>
      <c r="E114" t="s">
        <v>399</v>
      </c>
      <c r="F114">
        <v>7174938000</v>
      </c>
      <c r="G114">
        <v>6.4960000000000004</v>
      </c>
      <c r="H114" t="s">
        <v>407</v>
      </c>
      <c r="I114">
        <v>46608397248</v>
      </c>
      <c r="J114" t="s">
        <v>413</v>
      </c>
      <c r="K114">
        <v>56714187.6754127</v>
      </c>
      <c r="L114">
        <v>0.5</v>
      </c>
      <c r="M114">
        <v>30101010</v>
      </c>
      <c r="N114">
        <v>3010</v>
      </c>
      <c r="O114">
        <v>3.3263230654218598</v>
      </c>
      <c r="Q114" t="s">
        <v>417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2.9020000000000001</v>
      </c>
      <c r="AR114">
        <v>2.9740000000000002</v>
      </c>
      <c r="AS114" t="s">
        <v>427</v>
      </c>
      <c r="AT114">
        <v>0</v>
      </c>
      <c r="AU114">
        <v>0</v>
      </c>
      <c r="AV114" t="s">
        <v>438</v>
      </c>
      <c r="AW114">
        <v>0</v>
      </c>
      <c r="AX114">
        <v>0</v>
      </c>
      <c r="AY114">
        <v>0</v>
      </c>
      <c r="CC114">
        <v>2.9380000000000002</v>
      </c>
      <c r="CE114" t="s">
        <v>448</v>
      </c>
      <c r="CG114">
        <v>3.3263230654218598</v>
      </c>
      <c r="CH114">
        <v>3.4</v>
      </c>
      <c r="CI114">
        <v>3.3631615327109299</v>
      </c>
      <c r="CJ114">
        <v>-0.24</v>
      </c>
      <c r="CK114">
        <v>3.1231615327109301</v>
      </c>
      <c r="CL114">
        <v>3010</v>
      </c>
    </row>
    <row r="115" spans="1:90" x14ac:dyDescent="0.25">
      <c r="A115">
        <v>498</v>
      </c>
      <c r="B115" t="s">
        <v>529</v>
      </c>
      <c r="C115" t="s">
        <v>745</v>
      </c>
      <c r="D115" t="s">
        <v>961</v>
      </c>
      <c r="E115" t="s">
        <v>402</v>
      </c>
      <c r="F115">
        <v>610999427</v>
      </c>
      <c r="G115">
        <v>17.695</v>
      </c>
      <c r="H115" t="s">
        <v>407</v>
      </c>
      <c r="I115">
        <v>10811634860.764999</v>
      </c>
      <c r="J115" t="s">
        <v>413</v>
      </c>
      <c r="K115">
        <v>31047353.379344299</v>
      </c>
      <c r="L115">
        <v>1</v>
      </c>
      <c r="M115">
        <v>30101010</v>
      </c>
      <c r="N115">
        <v>3010</v>
      </c>
      <c r="O115">
        <v>3.1469618776366</v>
      </c>
      <c r="Q115" t="s">
        <v>1097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2.335</v>
      </c>
      <c r="AR115">
        <v>3.3420000000000001</v>
      </c>
      <c r="AS115" t="s">
        <v>427</v>
      </c>
      <c r="AT115">
        <v>0</v>
      </c>
      <c r="AU115">
        <v>0</v>
      </c>
      <c r="AV115" t="s">
        <v>441</v>
      </c>
      <c r="AW115">
        <v>0</v>
      </c>
      <c r="AX115">
        <v>0</v>
      </c>
      <c r="AY115">
        <v>0</v>
      </c>
      <c r="CC115">
        <v>2.8384999999999998</v>
      </c>
      <c r="CE115" t="s">
        <v>448</v>
      </c>
      <c r="CG115">
        <v>3.1469618776366</v>
      </c>
      <c r="CH115">
        <v>3.4</v>
      </c>
      <c r="CI115">
        <v>3.2734809388183002</v>
      </c>
      <c r="CJ115">
        <v>0.3</v>
      </c>
      <c r="CK115">
        <v>3.5734809388183</v>
      </c>
      <c r="CL115">
        <v>3010</v>
      </c>
    </row>
    <row r="116" spans="1:90" x14ac:dyDescent="0.25">
      <c r="A116">
        <v>165</v>
      </c>
      <c r="B116" t="s">
        <v>477</v>
      </c>
      <c r="C116" t="s">
        <v>693</v>
      </c>
      <c r="D116" t="s">
        <v>909</v>
      </c>
      <c r="E116" t="s">
        <v>395</v>
      </c>
      <c r="F116">
        <v>1003409101</v>
      </c>
      <c r="G116">
        <v>10.44</v>
      </c>
      <c r="H116" t="s">
        <v>407</v>
      </c>
      <c r="I116">
        <v>10475591014.440001</v>
      </c>
      <c r="J116" t="s">
        <v>413</v>
      </c>
      <c r="K116">
        <v>17800026.3292921</v>
      </c>
      <c r="L116">
        <v>1</v>
      </c>
      <c r="M116">
        <v>30101010</v>
      </c>
      <c r="N116">
        <v>3010</v>
      </c>
      <c r="O116">
        <v>1.9796332440151201</v>
      </c>
      <c r="Q116" t="s">
        <v>418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2.3170000000000002</v>
      </c>
      <c r="AR116">
        <v>2.5430000000000001</v>
      </c>
      <c r="AS116" t="s">
        <v>427</v>
      </c>
      <c r="AT116">
        <v>0</v>
      </c>
      <c r="AU116">
        <v>0</v>
      </c>
      <c r="AV116" t="s">
        <v>434</v>
      </c>
      <c r="AW116">
        <v>0</v>
      </c>
      <c r="AX116">
        <v>0</v>
      </c>
      <c r="AY116">
        <v>0</v>
      </c>
      <c r="CC116">
        <v>2.4300000000000002</v>
      </c>
      <c r="CE116" t="s">
        <v>448</v>
      </c>
      <c r="CG116">
        <v>1.9796332440151201</v>
      </c>
      <c r="CH116">
        <v>3.4</v>
      </c>
      <c r="CI116">
        <v>2.6898166220075601</v>
      </c>
      <c r="CJ116">
        <v>0</v>
      </c>
      <c r="CK116">
        <v>2.6898166220075601</v>
      </c>
      <c r="CL116">
        <v>3010</v>
      </c>
    </row>
    <row r="117" spans="1:90" x14ac:dyDescent="0.25">
      <c r="A117">
        <v>383</v>
      </c>
      <c r="B117" t="s">
        <v>509</v>
      </c>
      <c r="C117" t="s">
        <v>725</v>
      </c>
      <c r="D117" t="s">
        <v>941</v>
      </c>
      <c r="E117" t="s">
        <v>396</v>
      </c>
      <c r="F117">
        <v>1948252900</v>
      </c>
      <c r="G117">
        <v>19.641999999999999</v>
      </c>
      <c r="H117" t="s">
        <v>407</v>
      </c>
      <c r="I117">
        <v>38267583461.800003</v>
      </c>
      <c r="J117" t="s">
        <v>413</v>
      </c>
      <c r="K117">
        <v>129324709.25982</v>
      </c>
      <c r="L117">
        <v>1</v>
      </c>
      <c r="M117">
        <v>30101010</v>
      </c>
      <c r="N117">
        <v>3010</v>
      </c>
      <c r="Q117" t="s">
        <v>416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2.238</v>
      </c>
      <c r="AR117">
        <v>3.1379999999999999</v>
      </c>
      <c r="AS117" t="s">
        <v>427</v>
      </c>
      <c r="AT117">
        <v>0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2.6880000000000002</v>
      </c>
      <c r="CE117" t="s">
        <v>448</v>
      </c>
      <c r="CG117">
        <v>3.4</v>
      </c>
      <c r="CH117">
        <v>3.4</v>
      </c>
      <c r="CI117">
        <v>3.4</v>
      </c>
      <c r="CJ117">
        <v>-0.18</v>
      </c>
      <c r="CK117">
        <v>3.22</v>
      </c>
      <c r="CL117">
        <v>3010</v>
      </c>
    </row>
    <row r="118" spans="1:90" x14ac:dyDescent="0.25">
      <c r="A118">
        <v>919</v>
      </c>
      <c r="B118" t="s">
        <v>109</v>
      </c>
      <c r="C118" t="s">
        <v>209</v>
      </c>
      <c r="D118" t="s">
        <v>309</v>
      </c>
      <c r="E118" t="s">
        <v>401</v>
      </c>
      <c r="F118">
        <v>8058562000</v>
      </c>
      <c r="G118">
        <v>5.4620050000000004</v>
      </c>
      <c r="H118" t="s">
        <v>411</v>
      </c>
      <c r="I118">
        <v>44015905936.810013</v>
      </c>
      <c r="J118" t="s">
        <v>414</v>
      </c>
      <c r="K118">
        <v>81343299.2132736</v>
      </c>
      <c r="L118">
        <v>0.9</v>
      </c>
      <c r="M118">
        <v>30101010</v>
      </c>
      <c r="N118">
        <v>3010</v>
      </c>
      <c r="O118">
        <v>1.9993421653535901</v>
      </c>
      <c r="Q118" t="s">
        <v>417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2.4140000000000001</v>
      </c>
      <c r="AR118">
        <v>2.734</v>
      </c>
      <c r="AS118" t="s">
        <v>427</v>
      </c>
      <c r="AT118">
        <v>0</v>
      </c>
      <c r="AU118">
        <v>0</v>
      </c>
      <c r="AV118" t="s">
        <v>440</v>
      </c>
      <c r="AW118">
        <v>0</v>
      </c>
      <c r="AX118">
        <v>0</v>
      </c>
      <c r="AY118">
        <v>0</v>
      </c>
      <c r="CC118">
        <v>2.5739999999999998</v>
      </c>
      <c r="CE118" t="s">
        <v>448</v>
      </c>
      <c r="CG118">
        <v>1.9993421653535901</v>
      </c>
      <c r="CH118">
        <v>3.4</v>
      </c>
      <c r="CI118">
        <v>2.6996710826767951</v>
      </c>
      <c r="CJ118">
        <v>-0.24</v>
      </c>
      <c r="CK118">
        <v>2.4596710826767949</v>
      </c>
      <c r="CL118">
        <v>3010</v>
      </c>
    </row>
    <row r="119" spans="1:90" x14ac:dyDescent="0.25">
      <c r="A119">
        <v>212</v>
      </c>
      <c r="B119" t="s">
        <v>122</v>
      </c>
      <c r="C119" t="s">
        <v>222</v>
      </c>
      <c r="D119" t="s">
        <v>322</v>
      </c>
      <c r="E119" t="s">
        <v>404</v>
      </c>
      <c r="F119">
        <v>86061900</v>
      </c>
      <c r="G119">
        <v>100.7996</v>
      </c>
      <c r="H119" t="s">
        <v>412</v>
      </c>
      <c r="I119">
        <v>8675005095.2399998</v>
      </c>
      <c r="J119" t="s">
        <v>414</v>
      </c>
      <c r="K119">
        <v>7565856.8700409401</v>
      </c>
      <c r="L119">
        <v>0.35</v>
      </c>
      <c r="M119">
        <v>30101010</v>
      </c>
      <c r="N119">
        <v>3010</v>
      </c>
      <c r="O119">
        <v>2.7183589714236498</v>
      </c>
      <c r="P119">
        <v>2.08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2.3719999999999999</v>
      </c>
      <c r="AR119">
        <v>2.5950000000000002</v>
      </c>
      <c r="AS119" t="s">
        <v>427</v>
      </c>
      <c r="AT119">
        <v>0</v>
      </c>
      <c r="AU119">
        <v>0</v>
      </c>
      <c r="AV119" t="s">
        <v>443</v>
      </c>
      <c r="AW119">
        <v>0</v>
      </c>
      <c r="AX119">
        <v>0</v>
      </c>
      <c r="AY119">
        <v>0</v>
      </c>
      <c r="CC119">
        <v>2.4834999999999998</v>
      </c>
      <c r="CE119" t="s">
        <v>448</v>
      </c>
      <c r="CG119">
        <v>2.7183589714236498</v>
      </c>
      <c r="CH119">
        <v>2.08</v>
      </c>
      <c r="CI119">
        <v>2.3991794857118252</v>
      </c>
      <c r="CJ119">
        <v>-0.18</v>
      </c>
      <c r="CK119">
        <v>2.219179485711825</v>
      </c>
      <c r="CL119">
        <v>3010</v>
      </c>
    </row>
    <row r="120" spans="1:90" x14ac:dyDescent="0.25">
      <c r="A120">
        <v>159</v>
      </c>
      <c r="B120" t="s">
        <v>475</v>
      </c>
      <c r="C120" t="s">
        <v>691</v>
      </c>
      <c r="D120" t="s">
        <v>907</v>
      </c>
      <c r="E120" t="s">
        <v>402</v>
      </c>
      <c r="F120">
        <v>1515182126</v>
      </c>
      <c r="G120">
        <v>9.0960000000000001</v>
      </c>
      <c r="H120" t="s">
        <v>407</v>
      </c>
      <c r="I120">
        <v>13782096618.096001</v>
      </c>
      <c r="J120" t="s">
        <v>413</v>
      </c>
      <c r="K120">
        <v>107595421.248656</v>
      </c>
      <c r="L120">
        <v>0.8</v>
      </c>
      <c r="M120">
        <v>30101010</v>
      </c>
      <c r="N120">
        <v>3010</v>
      </c>
      <c r="O120">
        <v>3.4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2.3959999999999999</v>
      </c>
      <c r="AR120">
        <v>2.5619999999999998</v>
      </c>
      <c r="AS120" t="s">
        <v>427</v>
      </c>
      <c r="AT120">
        <v>0</v>
      </c>
      <c r="AU120">
        <v>0</v>
      </c>
      <c r="AV120" t="s">
        <v>441</v>
      </c>
      <c r="AW120">
        <v>0</v>
      </c>
      <c r="AX120">
        <v>0</v>
      </c>
      <c r="AY120">
        <v>0</v>
      </c>
      <c r="CC120">
        <v>2.4790000000000001</v>
      </c>
      <c r="CE120" t="s">
        <v>448</v>
      </c>
      <c r="CG120">
        <v>3.4</v>
      </c>
      <c r="CH120">
        <v>3.4</v>
      </c>
      <c r="CI120">
        <v>3.4</v>
      </c>
      <c r="CJ120">
        <v>-0.18</v>
      </c>
      <c r="CK120">
        <v>3.22</v>
      </c>
      <c r="CL120">
        <v>3010</v>
      </c>
    </row>
    <row r="121" spans="1:90" x14ac:dyDescent="0.25">
      <c r="A121">
        <v>180</v>
      </c>
      <c r="B121" t="s">
        <v>483</v>
      </c>
      <c r="C121" t="s">
        <v>699</v>
      </c>
      <c r="D121" t="s">
        <v>915</v>
      </c>
      <c r="E121" t="s">
        <v>402</v>
      </c>
      <c r="F121">
        <v>453385777</v>
      </c>
      <c r="G121">
        <v>10.09</v>
      </c>
      <c r="H121" t="s">
        <v>407</v>
      </c>
      <c r="I121">
        <v>4574662489.9300003</v>
      </c>
      <c r="J121" t="s">
        <v>413</v>
      </c>
      <c r="K121">
        <v>20030570.2642623</v>
      </c>
      <c r="L121">
        <v>0.8</v>
      </c>
      <c r="M121">
        <v>30101010</v>
      </c>
      <c r="N121">
        <v>3010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2.2709999999999999</v>
      </c>
      <c r="AR121">
        <v>2.4420000000000002</v>
      </c>
      <c r="AS121" t="s">
        <v>427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2.3565</v>
      </c>
      <c r="CE121" t="s">
        <v>448</v>
      </c>
      <c r="CG121">
        <v>3.4</v>
      </c>
      <c r="CH121">
        <v>3.4</v>
      </c>
      <c r="CI121">
        <v>3.4</v>
      </c>
      <c r="CJ121">
        <v>-0.18</v>
      </c>
      <c r="CK121">
        <v>3.22</v>
      </c>
      <c r="CL121">
        <v>3010</v>
      </c>
    </row>
    <row r="122" spans="1:90" x14ac:dyDescent="0.25">
      <c r="A122">
        <v>203</v>
      </c>
      <c r="B122" t="s">
        <v>128</v>
      </c>
      <c r="C122" t="s">
        <v>228</v>
      </c>
      <c r="D122" t="s">
        <v>328</v>
      </c>
      <c r="E122" t="s">
        <v>392</v>
      </c>
      <c r="F122">
        <v>1130810671</v>
      </c>
      <c r="G122">
        <v>71.12</v>
      </c>
      <c r="H122" t="s">
        <v>407</v>
      </c>
      <c r="I122">
        <v>80423254921.520004</v>
      </c>
      <c r="J122" t="s">
        <v>413</v>
      </c>
      <c r="K122">
        <v>181499028.285079</v>
      </c>
      <c r="L122">
        <v>0.95000000000000007</v>
      </c>
      <c r="M122">
        <v>30101010</v>
      </c>
      <c r="N122">
        <v>3010</v>
      </c>
      <c r="O122">
        <v>3.3054605885148698</v>
      </c>
      <c r="P122">
        <v>1.5</v>
      </c>
      <c r="Q122" t="s">
        <v>417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2.3250000000000002</v>
      </c>
      <c r="AR122">
        <v>3.2959999999999998</v>
      </c>
      <c r="AS122" t="s">
        <v>427</v>
      </c>
      <c r="AT122">
        <v>0</v>
      </c>
      <c r="AU122">
        <v>0</v>
      </c>
      <c r="AV122" t="s">
        <v>431</v>
      </c>
      <c r="AW122">
        <v>0</v>
      </c>
      <c r="AX122">
        <v>0</v>
      </c>
      <c r="AY122">
        <v>0</v>
      </c>
      <c r="CC122">
        <v>2.8105000000000002</v>
      </c>
      <c r="CE122" t="s">
        <v>448</v>
      </c>
      <c r="CG122">
        <v>3.3054605885148698</v>
      </c>
      <c r="CH122">
        <v>1.5</v>
      </c>
      <c r="CI122">
        <v>2.4027302942574349</v>
      </c>
      <c r="CJ122">
        <v>-0.24</v>
      </c>
      <c r="CK122">
        <v>2.1627302942574351</v>
      </c>
      <c r="CL122">
        <v>3010</v>
      </c>
    </row>
    <row r="123" spans="1:90" x14ac:dyDescent="0.25">
      <c r="A123">
        <v>338</v>
      </c>
      <c r="B123" t="s">
        <v>130</v>
      </c>
      <c r="C123" t="s">
        <v>230</v>
      </c>
      <c r="D123" t="s">
        <v>330</v>
      </c>
      <c r="E123" t="s">
        <v>392</v>
      </c>
      <c r="F123">
        <v>3025902350</v>
      </c>
      <c r="G123">
        <v>15.64</v>
      </c>
      <c r="H123" t="s">
        <v>407</v>
      </c>
      <c r="I123">
        <v>47325112754</v>
      </c>
      <c r="J123" t="s">
        <v>413</v>
      </c>
      <c r="K123">
        <v>92791251.722857103</v>
      </c>
      <c r="L123">
        <v>0.3</v>
      </c>
      <c r="M123">
        <v>30101010</v>
      </c>
      <c r="N123">
        <v>3010</v>
      </c>
      <c r="O123">
        <v>3.2733333333333299</v>
      </c>
      <c r="P123">
        <v>1.5</v>
      </c>
      <c r="Q123" t="s">
        <v>417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2.1840000000000002</v>
      </c>
      <c r="AR123">
        <v>2.8410000000000002</v>
      </c>
      <c r="AS123" t="s">
        <v>427</v>
      </c>
      <c r="AT123">
        <v>0</v>
      </c>
      <c r="AU123">
        <v>0</v>
      </c>
      <c r="AV123" t="s">
        <v>431</v>
      </c>
      <c r="AW123">
        <v>0</v>
      </c>
      <c r="AX123">
        <v>0</v>
      </c>
      <c r="AY123">
        <v>0</v>
      </c>
      <c r="CC123">
        <v>2.5125000000000002</v>
      </c>
      <c r="CE123" t="s">
        <v>448</v>
      </c>
      <c r="CG123">
        <v>3.2733333333333299</v>
      </c>
      <c r="CH123">
        <v>1.5</v>
      </c>
      <c r="CI123">
        <v>2.3866666666666649</v>
      </c>
      <c r="CJ123">
        <v>-0.24</v>
      </c>
      <c r="CK123">
        <v>2.1466666666666652</v>
      </c>
      <c r="CL123">
        <v>3010</v>
      </c>
    </row>
    <row r="124" spans="1:90" x14ac:dyDescent="0.25">
      <c r="A124">
        <v>179</v>
      </c>
      <c r="B124" t="s">
        <v>482</v>
      </c>
      <c r="C124" t="s">
        <v>698</v>
      </c>
      <c r="D124" t="s">
        <v>914</v>
      </c>
      <c r="E124" t="s">
        <v>399</v>
      </c>
      <c r="F124">
        <v>5763285600</v>
      </c>
      <c r="G124">
        <v>12.29</v>
      </c>
      <c r="H124" t="s">
        <v>407</v>
      </c>
      <c r="I124">
        <v>70830780024</v>
      </c>
      <c r="J124" t="s">
        <v>413</v>
      </c>
      <c r="K124">
        <v>93971375.653579399</v>
      </c>
      <c r="L124">
        <v>1</v>
      </c>
      <c r="M124">
        <v>30101010</v>
      </c>
      <c r="N124">
        <v>3010</v>
      </c>
      <c r="O124">
        <v>3.4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2.3730000000000002</v>
      </c>
      <c r="AR124">
        <v>3.2530000000000001</v>
      </c>
      <c r="AS124" t="s">
        <v>427</v>
      </c>
      <c r="AT124">
        <v>0</v>
      </c>
      <c r="AU124">
        <v>0</v>
      </c>
      <c r="AV124" t="s">
        <v>438</v>
      </c>
      <c r="AW124">
        <v>0</v>
      </c>
      <c r="AX124">
        <v>0</v>
      </c>
      <c r="AY124">
        <v>0</v>
      </c>
      <c r="CC124">
        <v>2.8130000000000002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  <c r="CL124">
        <v>3010</v>
      </c>
    </row>
    <row r="125" spans="1:90" x14ac:dyDescent="0.25">
      <c r="A125">
        <v>259</v>
      </c>
      <c r="B125" t="s">
        <v>499</v>
      </c>
      <c r="C125" t="s">
        <v>715</v>
      </c>
      <c r="D125" t="s">
        <v>931</v>
      </c>
      <c r="E125" t="s">
        <v>404</v>
      </c>
      <c r="F125">
        <v>30000000</v>
      </c>
      <c r="G125">
        <v>100.0022</v>
      </c>
      <c r="H125" t="s">
        <v>412</v>
      </c>
      <c r="I125">
        <v>3000066000</v>
      </c>
      <c r="J125" t="s">
        <v>414</v>
      </c>
      <c r="K125">
        <v>6899526.1283943802</v>
      </c>
      <c r="L125">
        <v>1</v>
      </c>
      <c r="M125">
        <v>30101010</v>
      </c>
      <c r="N125">
        <v>3010</v>
      </c>
      <c r="Q125" t="s">
        <v>422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2.125</v>
      </c>
      <c r="AR125">
        <v>3.0369999999999999</v>
      </c>
      <c r="AS125" t="s">
        <v>427</v>
      </c>
      <c r="AT125">
        <v>0</v>
      </c>
      <c r="AU125">
        <v>0</v>
      </c>
      <c r="AV125" t="s">
        <v>443</v>
      </c>
      <c r="AW125">
        <v>0</v>
      </c>
      <c r="AX125">
        <v>0</v>
      </c>
      <c r="AY125">
        <v>0</v>
      </c>
      <c r="CC125">
        <v>2.581</v>
      </c>
      <c r="CE125" t="s">
        <v>448</v>
      </c>
      <c r="CG125">
        <v>3.4</v>
      </c>
      <c r="CH125">
        <v>3.4</v>
      </c>
      <c r="CI125">
        <v>3.4</v>
      </c>
      <c r="CJ125">
        <v>0.3</v>
      </c>
      <c r="CK125">
        <v>3.7</v>
      </c>
      <c r="CL125">
        <v>3010</v>
      </c>
    </row>
    <row r="126" spans="1:90" x14ac:dyDescent="0.25">
      <c r="A126">
        <v>619</v>
      </c>
      <c r="B126" t="s">
        <v>547</v>
      </c>
      <c r="C126" t="s">
        <v>763</v>
      </c>
      <c r="D126" t="s">
        <v>979</v>
      </c>
      <c r="E126" t="s">
        <v>401</v>
      </c>
      <c r="F126">
        <v>17822174000</v>
      </c>
      <c r="G126">
        <v>10.708819999999999</v>
      </c>
      <c r="H126" t="s">
        <v>411</v>
      </c>
      <c r="I126">
        <v>190854453374.67999</v>
      </c>
      <c r="J126" t="s">
        <v>414</v>
      </c>
      <c r="K126">
        <v>160045769.54936501</v>
      </c>
      <c r="L126">
        <v>0.9</v>
      </c>
      <c r="M126">
        <v>30101010</v>
      </c>
      <c r="N126">
        <v>3010</v>
      </c>
      <c r="O126">
        <v>3.2733333333333299</v>
      </c>
      <c r="P126">
        <v>1.5</v>
      </c>
      <c r="Q126" t="s">
        <v>1097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2.2669999999999999</v>
      </c>
      <c r="AR126">
        <v>2.6749999999999998</v>
      </c>
      <c r="AS126" t="s">
        <v>427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2.4710000000000001</v>
      </c>
      <c r="CE126" t="s">
        <v>448</v>
      </c>
      <c r="CG126">
        <v>3.2733333333333299</v>
      </c>
      <c r="CH126">
        <v>1.5</v>
      </c>
      <c r="CI126">
        <v>2.3866666666666649</v>
      </c>
      <c r="CJ126">
        <v>0.3</v>
      </c>
      <c r="CK126">
        <v>2.6866666666666652</v>
      </c>
      <c r="CL126">
        <v>3010</v>
      </c>
    </row>
    <row r="127" spans="1:90" x14ac:dyDescent="0.25">
      <c r="A127">
        <v>665</v>
      </c>
      <c r="B127" t="s">
        <v>141</v>
      </c>
      <c r="C127" t="s">
        <v>241</v>
      </c>
      <c r="D127" t="s">
        <v>341</v>
      </c>
      <c r="E127" t="s">
        <v>402</v>
      </c>
      <c r="F127">
        <v>17803670501</v>
      </c>
      <c r="G127">
        <v>4.5205000000000002</v>
      </c>
      <c r="H127" t="s">
        <v>407</v>
      </c>
      <c r="I127">
        <v>80481492499.770508</v>
      </c>
      <c r="J127" t="s">
        <v>413</v>
      </c>
      <c r="K127">
        <v>260212884.25246701</v>
      </c>
      <c r="L127">
        <v>0.9</v>
      </c>
      <c r="M127">
        <v>30101010</v>
      </c>
      <c r="N127">
        <v>3010</v>
      </c>
      <c r="O127">
        <v>1.99846386909479</v>
      </c>
      <c r="P127">
        <v>2.39</v>
      </c>
      <c r="Q127" t="s">
        <v>415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2.444</v>
      </c>
      <c r="AR127">
        <v>3.077</v>
      </c>
      <c r="AS127" t="s">
        <v>427</v>
      </c>
      <c r="AT127">
        <v>0</v>
      </c>
      <c r="AU127">
        <v>0</v>
      </c>
      <c r="AV127" t="s">
        <v>441</v>
      </c>
      <c r="AW127">
        <v>0</v>
      </c>
      <c r="AX127">
        <v>0</v>
      </c>
      <c r="AY127">
        <v>0</v>
      </c>
      <c r="CC127">
        <v>2.7605</v>
      </c>
      <c r="CE127" t="s">
        <v>448</v>
      </c>
      <c r="CG127">
        <v>1.99846386909479</v>
      </c>
      <c r="CH127">
        <v>2.39</v>
      </c>
      <c r="CI127">
        <v>2.1942319345473948</v>
      </c>
      <c r="CJ127">
        <v>-0.3</v>
      </c>
      <c r="CK127">
        <v>1.894231934547395</v>
      </c>
      <c r="CL127">
        <v>3010</v>
      </c>
    </row>
    <row r="128" spans="1:90" x14ac:dyDescent="0.25">
      <c r="A128">
        <v>723</v>
      </c>
      <c r="B128" t="s">
        <v>140</v>
      </c>
      <c r="C128" t="s">
        <v>240</v>
      </c>
      <c r="D128" t="s">
        <v>340</v>
      </c>
      <c r="E128" t="s">
        <v>405</v>
      </c>
      <c r="F128">
        <v>417544151</v>
      </c>
      <c r="G128">
        <v>81.3</v>
      </c>
      <c r="H128" t="s">
        <v>407</v>
      </c>
      <c r="I128">
        <v>33946339476.299999</v>
      </c>
      <c r="J128" t="s">
        <v>413</v>
      </c>
      <c r="K128">
        <v>34500356.415872999</v>
      </c>
      <c r="L128">
        <v>0.55000000000000004</v>
      </c>
      <c r="M128">
        <v>30101010</v>
      </c>
      <c r="N128">
        <v>3010</v>
      </c>
      <c r="O128">
        <v>2.89333333333333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2.3780000000000001</v>
      </c>
      <c r="AR128">
        <v>2.879</v>
      </c>
      <c r="AS128" t="s">
        <v>427</v>
      </c>
      <c r="AT128">
        <v>0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2.6284999999999998</v>
      </c>
      <c r="CE128" t="s">
        <v>448</v>
      </c>
      <c r="CG128">
        <v>2.89333333333333</v>
      </c>
      <c r="CH128">
        <v>1.5</v>
      </c>
      <c r="CI128">
        <v>2.196666666666665</v>
      </c>
      <c r="CJ128">
        <v>-0.3</v>
      </c>
      <c r="CK128">
        <v>1.8966666666666649</v>
      </c>
      <c r="CL128">
        <v>3010</v>
      </c>
    </row>
    <row r="129" spans="1:90" x14ac:dyDescent="0.25">
      <c r="A129">
        <v>175</v>
      </c>
      <c r="B129" t="s">
        <v>480</v>
      </c>
      <c r="C129" t="s">
        <v>696</v>
      </c>
      <c r="D129" t="s">
        <v>912</v>
      </c>
      <c r="E129" t="s">
        <v>403</v>
      </c>
      <c r="F129">
        <v>78600000</v>
      </c>
      <c r="G129">
        <v>93</v>
      </c>
      <c r="H129" t="s">
        <v>407</v>
      </c>
      <c r="I129">
        <v>7309800000</v>
      </c>
      <c r="J129" t="s">
        <v>413</v>
      </c>
      <c r="K129">
        <v>9725314.9336065501</v>
      </c>
      <c r="L129">
        <v>1</v>
      </c>
      <c r="M129">
        <v>30101010</v>
      </c>
      <c r="N129">
        <v>3010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2.157</v>
      </c>
      <c r="AR129">
        <v>2.3650000000000002</v>
      </c>
      <c r="AS129" t="s">
        <v>427</v>
      </c>
      <c r="AT129">
        <v>0</v>
      </c>
      <c r="AU129">
        <v>0</v>
      </c>
      <c r="AV129" t="s">
        <v>442</v>
      </c>
      <c r="AW129">
        <v>0</v>
      </c>
      <c r="AX129">
        <v>0</v>
      </c>
      <c r="AY129">
        <v>0</v>
      </c>
      <c r="CC129">
        <v>2.2610000000000001</v>
      </c>
      <c r="CE129" t="s">
        <v>448</v>
      </c>
      <c r="CG129">
        <v>3.4</v>
      </c>
      <c r="CH129">
        <v>3.4</v>
      </c>
      <c r="CI129">
        <v>3.4</v>
      </c>
      <c r="CJ129">
        <v>0</v>
      </c>
      <c r="CK129">
        <v>3.4</v>
      </c>
      <c r="CL129">
        <v>3010</v>
      </c>
    </row>
    <row r="130" spans="1:90" x14ac:dyDescent="0.25">
      <c r="A130">
        <v>670</v>
      </c>
      <c r="B130" t="s">
        <v>556</v>
      </c>
      <c r="C130" t="s">
        <v>772</v>
      </c>
      <c r="D130" t="s">
        <v>988</v>
      </c>
      <c r="E130" t="s">
        <v>401</v>
      </c>
      <c r="F130">
        <v>645162300</v>
      </c>
      <c r="G130">
        <v>6.4678449999999996</v>
      </c>
      <c r="H130" t="s">
        <v>411</v>
      </c>
      <c r="I130">
        <v>4172809756.2435002</v>
      </c>
      <c r="J130" t="s">
        <v>414</v>
      </c>
      <c r="K130">
        <v>4694759.4826976797</v>
      </c>
      <c r="L130">
        <v>1</v>
      </c>
      <c r="M130">
        <v>30101010</v>
      </c>
      <c r="N130">
        <v>3010</v>
      </c>
      <c r="O130">
        <v>3.28762148775427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2.0049999999999999</v>
      </c>
      <c r="AR130">
        <v>2.8820000000000001</v>
      </c>
      <c r="AS130" t="s">
        <v>427</v>
      </c>
      <c r="AT130">
        <v>0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2.4434999999999998</v>
      </c>
      <c r="CE130" t="s">
        <v>448</v>
      </c>
      <c r="CG130">
        <v>3.28762148775427</v>
      </c>
      <c r="CH130">
        <v>3.4</v>
      </c>
      <c r="CI130">
        <v>3.3438107438771349</v>
      </c>
      <c r="CJ130">
        <v>-0.18</v>
      </c>
      <c r="CK130">
        <v>3.1638107438771348</v>
      </c>
      <c r="CL130">
        <v>3010</v>
      </c>
    </row>
    <row r="131" spans="1:90" x14ac:dyDescent="0.25">
      <c r="A131">
        <v>967</v>
      </c>
      <c r="B131" t="s">
        <v>587</v>
      </c>
      <c r="C131" t="s">
        <v>803</v>
      </c>
      <c r="D131" t="s">
        <v>1019</v>
      </c>
      <c r="E131" t="s">
        <v>397</v>
      </c>
      <c r="F131">
        <v>3497790300</v>
      </c>
      <c r="G131">
        <v>12.395</v>
      </c>
      <c r="H131" t="s">
        <v>407</v>
      </c>
      <c r="I131">
        <v>43355110768.5</v>
      </c>
      <c r="J131" t="s">
        <v>413</v>
      </c>
      <c r="K131">
        <v>68723588.773898304</v>
      </c>
      <c r="L131">
        <v>1</v>
      </c>
      <c r="M131">
        <v>30101010</v>
      </c>
      <c r="N131">
        <v>3010</v>
      </c>
      <c r="O131">
        <v>2.89333333333333</v>
      </c>
      <c r="Q131" t="s">
        <v>418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2.2229999999999999</v>
      </c>
      <c r="AR131">
        <v>2.851</v>
      </c>
      <c r="AS131" t="s">
        <v>427</v>
      </c>
      <c r="AT131">
        <v>0</v>
      </c>
      <c r="AU131">
        <v>0</v>
      </c>
      <c r="AV131" t="s">
        <v>436</v>
      </c>
      <c r="AW131">
        <v>0</v>
      </c>
      <c r="AX131">
        <v>0</v>
      </c>
      <c r="AY131">
        <v>0</v>
      </c>
      <c r="CC131">
        <v>2.5369999999999999</v>
      </c>
      <c r="CE131" t="s">
        <v>448</v>
      </c>
      <c r="CG131">
        <v>2.89333333333333</v>
      </c>
      <c r="CH131">
        <v>3.4</v>
      </c>
      <c r="CI131">
        <v>3.1466666666666652</v>
      </c>
      <c r="CJ131">
        <v>0</v>
      </c>
      <c r="CK131">
        <v>3.1466666666666652</v>
      </c>
      <c r="CL131">
        <v>3010</v>
      </c>
    </row>
    <row r="132" spans="1:90" x14ac:dyDescent="0.25">
      <c r="A132">
        <v>1078</v>
      </c>
      <c r="B132" t="s">
        <v>601</v>
      </c>
      <c r="C132" t="s">
        <v>817</v>
      </c>
      <c r="D132" t="s">
        <v>1033</v>
      </c>
      <c r="E132" t="s">
        <v>403</v>
      </c>
      <c r="F132">
        <v>328939640</v>
      </c>
      <c r="G132">
        <v>24.38</v>
      </c>
      <c r="H132" t="s">
        <v>407</v>
      </c>
      <c r="I132">
        <v>8019548423.1999998</v>
      </c>
      <c r="J132" t="s">
        <v>413</v>
      </c>
      <c r="K132">
        <v>8444128.4898360595</v>
      </c>
      <c r="L132">
        <v>0.4</v>
      </c>
      <c r="M132">
        <v>30101010</v>
      </c>
      <c r="N132">
        <v>3010</v>
      </c>
      <c r="O132">
        <v>3.4</v>
      </c>
      <c r="P132">
        <v>3.1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2.4630000000000001</v>
      </c>
      <c r="AR132">
        <v>3.1339999999999999</v>
      </c>
      <c r="AS132" t="s">
        <v>427</v>
      </c>
      <c r="AT132">
        <v>0</v>
      </c>
      <c r="AU132">
        <v>0</v>
      </c>
      <c r="AV132" t="s">
        <v>442</v>
      </c>
      <c r="AW132">
        <v>0</v>
      </c>
      <c r="AX132">
        <v>0</v>
      </c>
      <c r="AY132">
        <v>0</v>
      </c>
      <c r="CC132">
        <v>2.7985000000000002</v>
      </c>
      <c r="CE132" t="s">
        <v>448</v>
      </c>
      <c r="CG132">
        <v>3.4</v>
      </c>
      <c r="CH132">
        <v>3.1</v>
      </c>
      <c r="CI132">
        <v>3.25</v>
      </c>
      <c r="CJ132">
        <v>-0.18</v>
      </c>
      <c r="CK132">
        <v>3.07</v>
      </c>
      <c r="CL132">
        <v>3010</v>
      </c>
    </row>
    <row r="133" spans="1:90" x14ac:dyDescent="0.25">
      <c r="A133">
        <v>1112</v>
      </c>
      <c r="B133" t="s">
        <v>607</v>
      </c>
      <c r="C133" t="s">
        <v>823</v>
      </c>
      <c r="D133" t="s">
        <v>1039</v>
      </c>
      <c r="E133" t="s">
        <v>400</v>
      </c>
      <c r="F133">
        <v>26706740</v>
      </c>
      <c r="G133">
        <v>157.3681</v>
      </c>
      <c r="H133" t="s">
        <v>410</v>
      </c>
      <c r="I133">
        <v>4202788930.994</v>
      </c>
      <c r="J133" t="s">
        <v>414</v>
      </c>
      <c r="K133">
        <v>4716246.3048326103</v>
      </c>
      <c r="L133">
        <v>0.9</v>
      </c>
      <c r="M133">
        <v>30101010</v>
      </c>
      <c r="N133">
        <v>3010</v>
      </c>
      <c r="Q133" t="s">
        <v>418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1.9850000000000001</v>
      </c>
      <c r="AR133">
        <v>3.0590000000000002</v>
      </c>
      <c r="AS133" t="s">
        <v>427</v>
      </c>
      <c r="AT133">
        <v>0</v>
      </c>
      <c r="AU133">
        <v>0</v>
      </c>
      <c r="AV133" t="s">
        <v>439</v>
      </c>
      <c r="AW133">
        <v>0</v>
      </c>
      <c r="AX133">
        <v>0</v>
      </c>
      <c r="AY133">
        <v>0</v>
      </c>
      <c r="CC133">
        <v>2.5219999999999998</v>
      </c>
      <c r="CE133" t="s">
        <v>448</v>
      </c>
      <c r="CG133">
        <v>3.4</v>
      </c>
      <c r="CH133">
        <v>3.4</v>
      </c>
      <c r="CI133">
        <v>3.4</v>
      </c>
      <c r="CJ133">
        <v>0</v>
      </c>
      <c r="CK133">
        <v>3.4</v>
      </c>
      <c r="CL133">
        <v>3010</v>
      </c>
    </row>
    <row r="134" spans="1:90" x14ac:dyDescent="0.25">
      <c r="A134">
        <v>1226</v>
      </c>
      <c r="B134" t="s">
        <v>626</v>
      </c>
      <c r="C134" t="s">
        <v>842</v>
      </c>
      <c r="D134" t="s">
        <v>1058</v>
      </c>
      <c r="E134" t="s">
        <v>393</v>
      </c>
      <c r="F134">
        <v>2115831000</v>
      </c>
      <c r="G134">
        <v>15.232390000000001</v>
      </c>
      <c r="H134" t="s">
        <v>408</v>
      </c>
      <c r="I134">
        <v>32229162966.09</v>
      </c>
      <c r="J134" t="s">
        <v>414</v>
      </c>
      <c r="K134">
        <v>45246872.796090297</v>
      </c>
      <c r="L134">
        <v>0.8</v>
      </c>
      <c r="M134">
        <v>30101010</v>
      </c>
      <c r="N134">
        <v>3010</v>
      </c>
      <c r="O134">
        <v>3.4</v>
      </c>
      <c r="Q134" t="s">
        <v>418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2.1139999999999999</v>
      </c>
      <c r="AR134">
        <v>2.665</v>
      </c>
      <c r="AS134" t="s">
        <v>427</v>
      </c>
      <c r="AT134">
        <v>0</v>
      </c>
      <c r="AU134">
        <v>0</v>
      </c>
      <c r="AV134" t="s">
        <v>432</v>
      </c>
      <c r="AW134">
        <v>0</v>
      </c>
      <c r="AX134">
        <v>0</v>
      </c>
      <c r="AY134">
        <v>0</v>
      </c>
      <c r="CC134">
        <v>2.3895</v>
      </c>
      <c r="CE134" t="s">
        <v>448</v>
      </c>
      <c r="CG134">
        <v>3.4</v>
      </c>
      <c r="CH134">
        <v>3.4</v>
      </c>
      <c r="CI134">
        <v>3.4</v>
      </c>
      <c r="CJ134">
        <v>0</v>
      </c>
      <c r="CK134">
        <v>3.4</v>
      </c>
      <c r="CL134">
        <v>3010</v>
      </c>
    </row>
    <row r="135" spans="1:90" x14ac:dyDescent="0.25">
      <c r="A135">
        <v>1239</v>
      </c>
      <c r="B135" t="s">
        <v>136</v>
      </c>
      <c r="C135" t="s">
        <v>236</v>
      </c>
      <c r="D135" t="s">
        <v>336</v>
      </c>
      <c r="E135" t="s">
        <v>392</v>
      </c>
      <c r="F135">
        <v>800316777</v>
      </c>
      <c r="G135">
        <v>37.835000000000001</v>
      </c>
      <c r="H135" t="s">
        <v>407</v>
      </c>
      <c r="I135">
        <v>30279985257.794998</v>
      </c>
      <c r="J135" t="s">
        <v>413</v>
      </c>
      <c r="K135">
        <v>97163081.891071394</v>
      </c>
      <c r="L135">
        <v>0.9</v>
      </c>
      <c r="M135">
        <v>30101010</v>
      </c>
      <c r="N135">
        <v>3010</v>
      </c>
      <c r="O135">
        <v>2.89333333333333</v>
      </c>
      <c r="P135">
        <v>1.5</v>
      </c>
      <c r="Q135" t="s">
        <v>417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2.452</v>
      </c>
      <c r="AR135">
        <v>3.1869999999999998</v>
      </c>
      <c r="AS135" t="s">
        <v>427</v>
      </c>
      <c r="AT135">
        <v>0</v>
      </c>
      <c r="AU135">
        <v>0</v>
      </c>
      <c r="AV135" t="s">
        <v>431</v>
      </c>
      <c r="AW135">
        <v>0</v>
      </c>
      <c r="AX135">
        <v>0</v>
      </c>
      <c r="AY135">
        <v>0</v>
      </c>
      <c r="CC135">
        <v>2.8195000000000001</v>
      </c>
      <c r="CE135" t="s">
        <v>448</v>
      </c>
      <c r="CG135">
        <v>2.89333333333333</v>
      </c>
      <c r="CH135">
        <v>1.5</v>
      </c>
      <c r="CI135">
        <v>2.196666666666665</v>
      </c>
      <c r="CJ135">
        <v>-0.24</v>
      </c>
      <c r="CK135">
        <v>1.956666666666665</v>
      </c>
      <c r="CL135">
        <v>3010</v>
      </c>
    </row>
    <row r="136" spans="1:90" x14ac:dyDescent="0.25">
      <c r="A136">
        <v>1255</v>
      </c>
      <c r="B136" t="s">
        <v>629</v>
      </c>
      <c r="C136" t="s">
        <v>845</v>
      </c>
      <c r="D136" t="s">
        <v>1061</v>
      </c>
      <c r="E136" t="s">
        <v>398</v>
      </c>
      <c r="F136">
        <v>375456307</v>
      </c>
      <c r="G136">
        <v>13.587339999999999</v>
      </c>
      <c r="H136" t="s">
        <v>409</v>
      </c>
      <c r="I136">
        <v>5101452498.3533802</v>
      </c>
      <c r="J136" t="s">
        <v>414</v>
      </c>
      <c r="K136">
        <v>3367248.5429913201</v>
      </c>
      <c r="L136">
        <v>0.65</v>
      </c>
      <c r="M136">
        <v>30101010</v>
      </c>
      <c r="N136">
        <v>3010</v>
      </c>
      <c r="Q136" t="s">
        <v>422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2.21</v>
      </c>
      <c r="AR136">
        <v>3.0910000000000002</v>
      </c>
      <c r="AS136" t="s">
        <v>427</v>
      </c>
      <c r="AT136">
        <v>0</v>
      </c>
      <c r="AU136">
        <v>0</v>
      </c>
      <c r="AV136" t="s">
        <v>437</v>
      </c>
      <c r="AW136">
        <v>0</v>
      </c>
      <c r="AX136">
        <v>0</v>
      </c>
      <c r="AY136">
        <v>0</v>
      </c>
      <c r="CC136">
        <v>2.6505000000000001</v>
      </c>
      <c r="CE136" t="s">
        <v>448</v>
      </c>
      <c r="CG136">
        <v>3.4</v>
      </c>
      <c r="CH136">
        <v>3.4</v>
      </c>
      <c r="CI136">
        <v>3.4</v>
      </c>
      <c r="CJ136">
        <v>0.3</v>
      </c>
      <c r="CK136">
        <v>3.7</v>
      </c>
      <c r="CL136">
        <v>3010</v>
      </c>
    </row>
    <row r="137" spans="1:90" x14ac:dyDescent="0.25">
      <c r="A137">
        <v>1266</v>
      </c>
      <c r="B137" t="s">
        <v>106</v>
      </c>
      <c r="C137" t="s">
        <v>206</v>
      </c>
      <c r="D137" t="s">
        <v>306</v>
      </c>
      <c r="E137" t="s">
        <v>401</v>
      </c>
      <c r="F137">
        <v>2414227500</v>
      </c>
      <c r="G137">
        <v>14.3018</v>
      </c>
      <c r="H137" t="s">
        <v>411</v>
      </c>
      <c r="I137">
        <v>34527798859.5</v>
      </c>
      <c r="J137" t="s">
        <v>414</v>
      </c>
      <c r="K137">
        <v>49461386.726039</v>
      </c>
      <c r="L137">
        <v>0.8</v>
      </c>
      <c r="M137">
        <v>30101010</v>
      </c>
      <c r="N137">
        <v>3010</v>
      </c>
      <c r="O137">
        <v>3.4</v>
      </c>
      <c r="P137">
        <v>1.77</v>
      </c>
      <c r="Q137" t="s">
        <v>418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2.1509999999999998</v>
      </c>
      <c r="AR137">
        <v>3.052</v>
      </c>
      <c r="AS137" t="s">
        <v>427</v>
      </c>
      <c r="AT137">
        <v>0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2.6015000000000001</v>
      </c>
      <c r="CE137" t="s">
        <v>448</v>
      </c>
      <c r="CG137">
        <v>3.4</v>
      </c>
      <c r="CH137">
        <v>1.77</v>
      </c>
      <c r="CI137">
        <v>2.585</v>
      </c>
      <c r="CJ137">
        <v>0</v>
      </c>
      <c r="CK137">
        <v>2.585</v>
      </c>
      <c r="CL137">
        <v>3010</v>
      </c>
    </row>
    <row r="138" spans="1:90" x14ac:dyDescent="0.25">
      <c r="A138">
        <v>1303</v>
      </c>
      <c r="B138" t="s">
        <v>635</v>
      </c>
      <c r="C138" t="s">
        <v>851</v>
      </c>
      <c r="D138" t="s">
        <v>1067</v>
      </c>
      <c r="E138" t="s">
        <v>393</v>
      </c>
      <c r="F138">
        <v>1944777200</v>
      </c>
      <c r="G138">
        <v>12.089700000000001</v>
      </c>
      <c r="H138" t="s">
        <v>408</v>
      </c>
      <c r="I138">
        <v>23511772914.84</v>
      </c>
      <c r="J138" t="s">
        <v>414</v>
      </c>
      <c r="K138">
        <v>56749422.021813497</v>
      </c>
      <c r="L138">
        <v>0.8</v>
      </c>
      <c r="M138">
        <v>30101010</v>
      </c>
      <c r="N138">
        <v>3010</v>
      </c>
      <c r="O138">
        <v>3.4</v>
      </c>
      <c r="Q138" t="s">
        <v>418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2.12</v>
      </c>
      <c r="AR138">
        <v>2.879</v>
      </c>
      <c r="AS138" t="s">
        <v>427</v>
      </c>
      <c r="AT138">
        <v>0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2.4994999999999998</v>
      </c>
      <c r="CE138" t="s">
        <v>448</v>
      </c>
      <c r="CG138">
        <v>3.4</v>
      </c>
      <c r="CH138">
        <v>3.4</v>
      </c>
      <c r="CI138">
        <v>3.4</v>
      </c>
      <c r="CJ138">
        <v>0</v>
      </c>
      <c r="CK138">
        <v>3.4</v>
      </c>
      <c r="CL138">
        <v>3010</v>
      </c>
    </row>
    <row r="139" spans="1:90" x14ac:dyDescent="0.25">
      <c r="A139">
        <v>1306</v>
      </c>
      <c r="B139" t="s">
        <v>636</v>
      </c>
      <c r="C139" t="s">
        <v>852</v>
      </c>
      <c r="D139" t="s">
        <v>1068</v>
      </c>
      <c r="E139" t="s">
        <v>393</v>
      </c>
      <c r="F139">
        <v>1132005700</v>
      </c>
      <c r="G139">
        <v>22.911539999999999</v>
      </c>
      <c r="H139" t="s">
        <v>408</v>
      </c>
      <c r="I139">
        <v>25935993875.778</v>
      </c>
      <c r="J139" t="s">
        <v>414</v>
      </c>
      <c r="K139">
        <v>52696496.869358599</v>
      </c>
      <c r="L139">
        <v>0.9</v>
      </c>
      <c r="M139">
        <v>30101010</v>
      </c>
      <c r="N139">
        <v>3010</v>
      </c>
      <c r="O139">
        <v>2.7038476194512802</v>
      </c>
      <c r="P139">
        <v>3.1</v>
      </c>
      <c r="Q139" t="s">
        <v>418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2.3650000000000002</v>
      </c>
      <c r="AR139">
        <v>3.2189999999999999</v>
      </c>
      <c r="AS139" t="s">
        <v>427</v>
      </c>
      <c r="AT139">
        <v>0</v>
      </c>
      <c r="AU139">
        <v>0</v>
      </c>
      <c r="AV139" t="s">
        <v>432</v>
      </c>
      <c r="AW139">
        <v>0</v>
      </c>
      <c r="AX139">
        <v>0</v>
      </c>
      <c r="AY139">
        <v>0</v>
      </c>
      <c r="CC139">
        <v>2.7919999999999998</v>
      </c>
      <c r="CE139" t="s">
        <v>448</v>
      </c>
      <c r="CG139">
        <v>2.7038476194512802</v>
      </c>
      <c r="CH139">
        <v>3.1</v>
      </c>
      <c r="CI139">
        <v>2.9019238097256399</v>
      </c>
      <c r="CJ139">
        <v>0</v>
      </c>
      <c r="CK139">
        <v>2.9019238097256399</v>
      </c>
      <c r="CL139">
        <v>3010</v>
      </c>
    </row>
    <row r="140" spans="1:90" x14ac:dyDescent="0.25">
      <c r="A140">
        <v>1314</v>
      </c>
      <c r="B140" t="s">
        <v>642</v>
      </c>
      <c r="C140" t="s">
        <v>858</v>
      </c>
      <c r="D140" t="s">
        <v>1074</v>
      </c>
      <c r="E140" t="s">
        <v>400</v>
      </c>
      <c r="F140">
        <v>54588420</v>
      </c>
      <c r="G140">
        <v>55.816070000000003</v>
      </c>
      <c r="H140" t="s">
        <v>410</v>
      </c>
      <c r="I140">
        <v>3046911071.9094</v>
      </c>
      <c r="J140" t="s">
        <v>414</v>
      </c>
      <c r="K140">
        <v>6528818.7574102096</v>
      </c>
      <c r="L140">
        <v>0.95</v>
      </c>
      <c r="M140">
        <v>30101010</v>
      </c>
      <c r="N140">
        <v>3010</v>
      </c>
      <c r="Q140" t="s">
        <v>422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1.806</v>
      </c>
      <c r="AR140">
        <v>2.6840000000000002</v>
      </c>
      <c r="AS140" t="s">
        <v>427</v>
      </c>
      <c r="AT140">
        <v>0</v>
      </c>
      <c r="AU140">
        <v>0</v>
      </c>
      <c r="AV140" t="s">
        <v>439</v>
      </c>
      <c r="AW140">
        <v>0</v>
      </c>
      <c r="AX140">
        <v>0</v>
      </c>
      <c r="AY140">
        <v>0</v>
      </c>
      <c r="CC140">
        <v>2.2450000000000001</v>
      </c>
      <c r="CE140" t="s">
        <v>448</v>
      </c>
      <c r="CG140">
        <v>3.4</v>
      </c>
      <c r="CH140">
        <v>3.4</v>
      </c>
      <c r="CI140">
        <v>3.4</v>
      </c>
      <c r="CJ140">
        <v>0.3</v>
      </c>
      <c r="CK140">
        <v>3.7</v>
      </c>
      <c r="CL140">
        <v>3010</v>
      </c>
    </row>
    <row r="141" spans="1:90" x14ac:dyDescent="0.25">
      <c r="A141">
        <v>1431</v>
      </c>
      <c r="B141" t="s">
        <v>120</v>
      </c>
      <c r="C141" t="s">
        <v>220</v>
      </c>
      <c r="D141" t="s">
        <v>320</v>
      </c>
      <c r="E141" t="s">
        <v>402</v>
      </c>
      <c r="F141">
        <v>1557675176</v>
      </c>
      <c r="G141">
        <v>47.784999999999997</v>
      </c>
      <c r="H141" t="s">
        <v>407</v>
      </c>
      <c r="I141">
        <v>74433508285.159988</v>
      </c>
      <c r="J141" t="s">
        <v>413</v>
      </c>
      <c r="K141">
        <v>328954382.36553299</v>
      </c>
      <c r="L141">
        <v>1</v>
      </c>
      <c r="M141">
        <v>30101010</v>
      </c>
      <c r="N141">
        <v>3010</v>
      </c>
      <c r="O141">
        <v>3.4</v>
      </c>
      <c r="P141">
        <v>1.5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2.355</v>
      </c>
      <c r="AR141">
        <v>3.0659999999999998</v>
      </c>
      <c r="AS141" t="s">
        <v>427</v>
      </c>
      <c r="AT141">
        <v>0</v>
      </c>
      <c r="AU141">
        <v>0</v>
      </c>
      <c r="AV141" t="s">
        <v>441</v>
      </c>
      <c r="AW141">
        <v>0</v>
      </c>
      <c r="AX141">
        <v>0</v>
      </c>
      <c r="AY141">
        <v>0</v>
      </c>
      <c r="CC141">
        <v>2.7105000000000001</v>
      </c>
      <c r="CE141" t="s">
        <v>448</v>
      </c>
      <c r="CG141">
        <v>3.4</v>
      </c>
      <c r="CH141">
        <v>1.5</v>
      </c>
      <c r="CI141">
        <v>2.4500000000000002</v>
      </c>
      <c r="CJ141">
        <v>-0.18</v>
      </c>
      <c r="CK141">
        <v>2.27</v>
      </c>
      <c r="CL141">
        <v>3010</v>
      </c>
    </row>
    <row r="142" spans="1:90" x14ac:dyDescent="0.25">
      <c r="A142">
        <v>470</v>
      </c>
      <c r="B142" t="s">
        <v>117</v>
      </c>
      <c r="C142" t="s">
        <v>217</v>
      </c>
      <c r="D142" t="s">
        <v>317</v>
      </c>
      <c r="E142" t="s">
        <v>392</v>
      </c>
      <c r="F142">
        <v>104235507</v>
      </c>
      <c r="G142">
        <v>119</v>
      </c>
      <c r="H142" t="s">
        <v>407</v>
      </c>
      <c r="I142">
        <v>12404025333</v>
      </c>
      <c r="J142" t="s">
        <v>413</v>
      </c>
      <c r="K142">
        <v>23304182.974603198</v>
      </c>
      <c r="L142">
        <v>0.75</v>
      </c>
      <c r="M142">
        <v>30202015</v>
      </c>
      <c r="N142">
        <v>3020</v>
      </c>
      <c r="O142">
        <v>1.97838083490229</v>
      </c>
      <c r="P142">
        <v>3.1</v>
      </c>
      <c r="Q142" t="s">
        <v>416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2.37</v>
      </c>
      <c r="AR142">
        <v>3.1080000000000001</v>
      </c>
      <c r="AS142" t="s">
        <v>427</v>
      </c>
      <c r="AT142">
        <v>0</v>
      </c>
      <c r="AU142">
        <v>0</v>
      </c>
      <c r="AV142" t="s">
        <v>444</v>
      </c>
      <c r="AW142">
        <v>0</v>
      </c>
      <c r="AX142">
        <v>0</v>
      </c>
      <c r="AY142">
        <v>0</v>
      </c>
      <c r="CC142">
        <v>2.7389999999999999</v>
      </c>
      <c r="CE142" t="s">
        <v>448</v>
      </c>
      <c r="CG142">
        <v>1.97838083490229</v>
      </c>
      <c r="CH142">
        <v>3.1</v>
      </c>
      <c r="CI142">
        <v>2.5391904174511448</v>
      </c>
      <c r="CJ142">
        <v>-0.18</v>
      </c>
      <c r="CK142">
        <v>2.3591904174511451</v>
      </c>
      <c r="CL142">
        <v>3020</v>
      </c>
    </row>
    <row r="143" spans="1:90" x14ac:dyDescent="0.25">
      <c r="A143">
        <v>157</v>
      </c>
      <c r="B143" t="s">
        <v>473</v>
      </c>
      <c r="C143" t="s">
        <v>689</v>
      </c>
      <c r="D143" t="s">
        <v>905</v>
      </c>
      <c r="E143" t="s">
        <v>402</v>
      </c>
      <c r="F143">
        <v>745343391</v>
      </c>
      <c r="G143">
        <v>13.54</v>
      </c>
      <c r="H143" t="s">
        <v>407</v>
      </c>
      <c r="I143">
        <v>10091949514.139999</v>
      </c>
      <c r="J143" t="s">
        <v>413</v>
      </c>
      <c r="K143">
        <v>13825196.131885201</v>
      </c>
      <c r="L143">
        <v>0.3</v>
      </c>
      <c r="M143">
        <v>30202000</v>
      </c>
      <c r="N143">
        <v>3020</v>
      </c>
      <c r="Q143" t="s">
        <v>418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</v>
      </c>
      <c r="AR143">
        <v>2.9359999999999999</v>
      </c>
      <c r="AS143" t="s">
        <v>427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2.5830000000000002</v>
      </c>
      <c r="CE143" t="s">
        <v>448</v>
      </c>
      <c r="CG143">
        <v>3.4</v>
      </c>
      <c r="CH143">
        <v>3.4</v>
      </c>
      <c r="CI143">
        <v>3.4</v>
      </c>
      <c r="CJ143">
        <v>0</v>
      </c>
      <c r="CK143">
        <v>3.4</v>
      </c>
      <c r="CL143">
        <v>3020</v>
      </c>
    </row>
    <row r="144" spans="1:90" x14ac:dyDescent="0.25">
      <c r="A144">
        <v>455</v>
      </c>
      <c r="B144" t="s">
        <v>520</v>
      </c>
      <c r="C144" t="s">
        <v>736</v>
      </c>
      <c r="D144" t="s">
        <v>952</v>
      </c>
      <c r="E144" t="s">
        <v>393</v>
      </c>
      <c r="F144">
        <v>1241125400</v>
      </c>
      <c r="G144">
        <v>31.462900000000001</v>
      </c>
      <c r="H144" t="s">
        <v>408</v>
      </c>
      <c r="I144">
        <v>39049404347.660004</v>
      </c>
      <c r="J144" t="s">
        <v>414</v>
      </c>
      <c r="K144">
        <v>31946725.174529798</v>
      </c>
      <c r="L144">
        <v>0.65</v>
      </c>
      <c r="M144">
        <v>30202010</v>
      </c>
      <c r="N144">
        <v>3020</v>
      </c>
      <c r="O144">
        <v>1.9422809457579899</v>
      </c>
      <c r="Q144" t="s">
        <v>422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2.0419999999999998</v>
      </c>
      <c r="AR144">
        <v>3.4140000000000001</v>
      </c>
      <c r="AS144" t="s">
        <v>427</v>
      </c>
      <c r="AT144">
        <v>0</v>
      </c>
      <c r="AU144">
        <v>0</v>
      </c>
      <c r="AV144" t="s">
        <v>432</v>
      </c>
      <c r="AW144">
        <v>0</v>
      </c>
      <c r="AX144">
        <v>0</v>
      </c>
      <c r="AY144">
        <v>0</v>
      </c>
      <c r="CC144">
        <v>2.7280000000000002</v>
      </c>
      <c r="CE144" t="s">
        <v>448</v>
      </c>
      <c r="CG144">
        <v>1.9422809457579899</v>
      </c>
      <c r="CH144">
        <v>3.4</v>
      </c>
      <c r="CI144">
        <v>2.6711404728789949</v>
      </c>
      <c r="CJ144">
        <v>0.3</v>
      </c>
      <c r="CK144">
        <v>2.9711404728789952</v>
      </c>
      <c r="CL144">
        <v>3020</v>
      </c>
    </row>
    <row r="145" spans="1:90" x14ac:dyDescent="0.25">
      <c r="A145">
        <v>806</v>
      </c>
      <c r="B145" t="s">
        <v>111</v>
      </c>
      <c r="C145" t="s">
        <v>211</v>
      </c>
      <c r="D145" t="s">
        <v>311</v>
      </c>
      <c r="E145" t="s">
        <v>401</v>
      </c>
      <c r="F145">
        <v>531451840</v>
      </c>
      <c r="G145">
        <v>140.05609999999999</v>
      </c>
      <c r="H145" t="s">
        <v>411</v>
      </c>
      <c r="I145">
        <v>74433072048.223999</v>
      </c>
      <c r="J145" t="s">
        <v>414</v>
      </c>
      <c r="K145">
        <v>76651155.451063305</v>
      </c>
      <c r="L145">
        <v>0.95</v>
      </c>
      <c r="M145">
        <v>30201030</v>
      </c>
      <c r="N145">
        <v>3020</v>
      </c>
      <c r="O145">
        <v>1.9964408278924499</v>
      </c>
      <c r="Q145" t="s">
        <v>417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2.3010000000000002</v>
      </c>
      <c r="AR145">
        <v>3.03</v>
      </c>
      <c r="AS145" t="s">
        <v>427</v>
      </c>
      <c r="AT145">
        <v>0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2.6655000000000002</v>
      </c>
      <c r="CE145" t="s">
        <v>448</v>
      </c>
      <c r="CG145">
        <v>1.9964408278924499</v>
      </c>
      <c r="CH145">
        <v>3.4</v>
      </c>
      <c r="CI145">
        <v>2.6982204139462249</v>
      </c>
      <c r="CJ145">
        <v>-0.24</v>
      </c>
      <c r="CK145">
        <v>2.4582204139462251</v>
      </c>
      <c r="CL145">
        <v>3020</v>
      </c>
    </row>
    <row r="146" spans="1:90" x14ac:dyDescent="0.25">
      <c r="A146">
        <v>712</v>
      </c>
      <c r="B146" t="s">
        <v>127</v>
      </c>
      <c r="C146" t="s">
        <v>227</v>
      </c>
      <c r="D146" t="s">
        <v>327</v>
      </c>
      <c r="E146" t="s">
        <v>404</v>
      </c>
      <c r="F146">
        <v>206001790</v>
      </c>
      <c r="G146">
        <v>62.627630000000003</v>
      </c>
      <c r="H146" t="s">
        <v>412</v>
      </c>
      <c r="I146">
        <v>12901403883.457701</v>
      </c>
      <c r="J146" t="s">
        <v>414</v>
      </c>
      <c r="K146">
        <v>34741508.719351202</v>
      </c>
      <c r="L146">
        <v>1</v>
      </c>
      <c r="M146">
        <v>30202010</v>
      </c>
      <c r="N146">
        <v>3020</v>
      </c>
      <c r="O146">
        <v>1.9981674720073901</v>
      </c>
      <c r="P146">
        <v>2.7</v>
      </c>
      <c r="Q146" t="s">
        <v>416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2.1840000000000002</v>
      </c>
      <c r="AR146">
        <v>2.6669999999999998</v>
      </c>
      <c r="AS146" t="s">
        <v>427</v>
      </c>
      <c r="AT146">
        <v>0</v>
      </c>
      <c r="AU146">
        <v>0</v>
      </c>
      <c r="AV146" t="s">
        <v>443</v>
      </c>
      <c r="AW146">
        <v>0</v>
      </c>
      <c r="AX146">
        <v>0</v>
      </c>
      <c r="AY146">
        <v>0</v>
      </c>
      <c r="CC146">
        <v>2.4255</v>
      </c>
      <c r="CE146" t="s">
        <v>448</v>
      </c>
      <c r="CG146">
        <v>1.9981674720073901</v>
      </c>
      <c r="CH146">
        <v>2.7</v>
      </c>
      <c r="CI146">
        <v>2.3490837360036951</v>
      </c>
      <c r="CJ146">
        <v>-0.18</v>
      </c>
      <c r="CK146">
        <v>2.169083736003695</v>
      </c>
      <c r="CL146">
        <v>3020</v>
      </c>
    </row>
    <row r="147" spans="1:90" x14ac:dyDescent="0.25">
      <c r="A147">
        <v>87</v>
      </c>
      <c r="B147" t="s">
        <v>463</v>
      </c>
      <c r="C147" t="s">
        <v>679</v>
      </c>
      <c r="D147" t="s">
        <v>895</v>
      </c>
      <c r="E147" t="s">
        <v>392</v>
      </c>
      <c r="F147">
        <v>205419262</v>
      </c>
      <c r="G147">
        <v>68.8</v>
      </c>
      <c r="H147" t="s">
        <v>407</v>
      </c>
      <c r="I147">
        <v>14132845225.6</v>
      </c>
      <c r="J147" t="s">
        <v>413</v>
      </c>
      <c r="K147">
        <v>10120375.6555556</v>
      </c>
      <c r="L147">
        <v>0.3</v>
      </c>
      <c r="M147">
        <v>30202010</v>
      </c>
      <c r="N147">
        <v>3020</v>
      </c>
      <c r="Q147" t="s">
        <v>417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2.2250000000000001</v>
      </c>
      <c r="AR147">
        <v>2.4649999999999999</v>
      </c>
      <c r="AS147" t="s">
        <v>427</v>
      </c>
      <c r="AT147">
        <v>0</v>
      </c>
      <c r="AU147">
        <v>0</v>
      </c>
      <c r="AV147" t="s">
        <v>431</v>
      </c>
      <c r="AW147">
        <v>0</v>
      </c>
      <c r="AX147">
        <v>0</v>
      </c>
      <c r="AY147">
        <v>0</v>
      </c>
      <c r="CC147">
        <v>2.3450000000000002</v>
      </c>
      <c r="CE147" t="s">
        <v>448</v>
      </c>
      <c r="CG147">
        <v>3.4</v>
      </c>
      <c r="CH147">
        <v>3.4</v>
      </c>
      <c r="CI147">
        <v>3.4</v>
      </c>
      <c r="CJ147">
        <v>-0.24</v>
      </c>
      <c r="CK147">
        <v>3.16</v>
      </c>
      <c r="CL147">
        <v>3020</v>
      </c>
    </row>
    <row r="148" spans="1:90" x14ac:dyDescent="0.25">
      <c r="A148">
        <v>384</v>
      </c>
      <c r="B148" t="s">
        <v>115</v>
      </c>
      <c r="C148" t="s">
        <v>215</v>
      </c>
      <c r="D148" t="s">
        <v>315</v>
      </c>
      <c r="E148" t="s">
        <v>396</v>
      </c>
      <c r="F148">
        <v>188300000</v>
      </c>
      <c r="G148">
        <v>246.4</v>
      </c>
      <c r="H148" t="s">
        <v>407</v>
      </c>
      <c r="I148">
        <v>46397120000</v>
      </c>
      <c r="J148" t="s">
        <v>413</v>
      </c>
      <c r="K148">
        <v>64953417.481147498</v>
      </c>
      <c r="L148">
        <v>1</v>
      </c>
      <c r="M148">
        <v>30202015</v>
      </c>
      <c r="N148">
        <v>3020</v>
      </c>
      <c r="O148">
        <v>1.73908167025175</v>
      </c>
      <c r="Q148" t="s">
        <v>416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2.3820000000000001</v>
      </c>
      <c r="AR148">
        <v>3.2309999999999999</v>
      </c>
      <c r="AS148" t="s">
        <v>427</v>
      </c>
      <c r="AT148">
        <v>0</v>
      </c>
      <c r="AU148">
        <v>0</v>
      </c>
      <c r="AV148" t="s">
        <v>435</v>
      </c>
      <c r="AW148">
        <v>0</v>
      </c>
      <c r="AX148">
        <v>0</v>
      </c>
      <c r="AY148">
        <v>0</v>
      </c>
      <c r="CC148">
        <v>2.8065000000000002</v>
      </c>
      <c r="CE148" t="s">
        <v>448</v>
      </c>
      <c r="CG148">
        <v>1.73908167025175</v>
      </c>
      <c r="CH148">
        <v>3.4</v>
      </c>
      <c r="CI148">
        <v>2.5695408351258751</v>
      </c>
      <c r="CJ148">
        <v>-0.18</v>
      </c>
      <c r="CK148">
        <v>2.3895408351258749</v>
      </c>
      <c r="CL148">
        <v>3020</v>
      </c>
    </row>
    <row r="149" spans="1:90" x14ac:dyDescent="0.25">
      <c r="A149">
        <v>828</v>
      </c>
      <c r="B149" t="s">
        <v>575</v>
      </c>
      <c r="C149" t="s">
        <v>791</v>
      </c>
      <c r="D149" t="s">
        <v>1007</v>
      </c>
      <c r="E149" t="s">
        <v>401</v>
      </c>
      <c r="F149">
        <v>1189933100</v>
      </c>
      <c r="G149">
        <v>2.5653769999999998</v>
      </c>
      <c r="H149" t="s">
        <v>411</v>
      </c>
      <c r="I149">
        <v>3052627006.2786999</v>
      </c>
      <c r="J149" t="s">
        <v>414</v>
      </c>
      <c r="K149">
        <v>4088365.4284532</v>
      </c>
      <c r="L149">
        <v>0.95</v>
      </c>
      <c r="M149">
        <v>30202010</v>
      </c>
      <c r="N149">
        <v>3020</v>
      </c>
      <c r="O149">
        <v>3.2941496538854098</v>
      </c>
      <c r="Q149" t="s">
        <v>418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1.9179999999999999</v>
      </c>
      <c r="AR149">
        <v>2.6829999999999998</v>
      </c>
      <c r="AS149" t="s">
        <v>427</v>
      </c>
      <c r="AT149">
        <v>0</v>
      </c>
      <c r="AU149">
        <v>0</v>
      </c>
      <c r="AV149" t="s">
        <v>446</v>
      </c>
      <c r="AW149">
        <v>0</v>
      </c>
      <c r="AX149">
        <v>0</v>
      </c>
      <c r="AY149">
        <v>0</v>
      </c>
      <c r="CC149">
        <v>2.3005</v>
      </c>
      <c r="CE149" t="s">
        <v>448</v>
      </c>
      <c r="CG149">
        <v>3.2941496538854098</v>
      </c>
      <c r="CH149">
        <v>3.4</v>
      </c>
      <c r="CI149">
        <v>3.3470748269427051</v>
      </c>
      <c r="CJ149">
        <v>0</v>
      </c>
      <c r="CK149">
        <v>3.3470748269427051</v>
      </c>
      <c r="CL149">
        <v>3020</v>
      </c>
    </row>
    <row r="150" spans="1:90" x14ac:dyDescent="0.25">
      <c r="A150">
        <v>15</v>
      </c>
      <c r="B150" t="s">
        <v>451</v>
      </c>
      <c r="C150" t="s">
        <v>667</v>
      </c>
      <c r="D150" t="s">
        <v>883</v>
      </c>
      <c r="E150" t="s">
        <v>401</v>
      </c>
      <c r="F150">
        <v>1840742800</v>
      </c>
      <c r="G150">
        <v>1.908317</v>
      </c>
      <c r="H150" t="s">
        <v>411</v>
      </c>
      <c r="I150">
        <v>3512720777.8676</v>
      </c>
      <c r="J150" t="s">
        <v>414</v>
      </c>
      <c r="K150">
        <v>5431165.0947838696</v>
      </c>
      <c r="L150">
        <v>1</v>
      </c>
      <c r="M150">
        <v>30202010</v>
      </c>
      <c r="N150">
        <v>3020</v>
      </c>
      <c r="O150">
        <v>3.0199999999999898</v>
      </c>
      <c r="Q150" t="s">
        <v>418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3.161</v>
      </c>
      <c r="AS150" t="s">
        <v>427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2.65</v>
      </c>
      <c r="CE150" t="s">
        <v>448</v>
      </c>
      <c r="CG150">
        <v>3.0199999999999898</v>
      </c>
      <c r="CH150">
        <v>3.4</v>
      </c>
      <c r="CI150">
        <v>3.2099999999999951</v>
      </c>
      <c r="CJ150">
        <v>0</v>
      </c>
      <c r="CK150">
        <v>3.2099999999999951</v>
      </c>
      <c r="CL150">
        <v>3020</v>
      </c>
    </row>
    <row r="151" spans="1:90" x14ac:dyDescent="0.25">
      <c r="A151">
        <v>660</v>
      </c>
      <c r="B151" t="s">
        <v>110</v>
      </c>
      <c r="C151" t="s">
        <v>210</v>
      </c>
      <c r="D151" t="s">
        <v>310</v>
      </c>
      <c r="E151" t="s">
        <v>401</v>
      </c>
      <c r="F151">
        <v>290636470</v>
      </c>
      <c r="G151">
        <v>28.9421</v>
      </c>
      <c r="H151" t="s">
        <v>411</v>
      </c>
      <c r="I151">
        <v>8411629778.3870001</v>
      </c>
      <c r="J151" t="s">
        <v>414</v>
      </c>
      <c r="K151">
        <v>15022768.651234301</v>
      </c>
      <c r="L151">
        <v>1</v>
      </c>
      <c r="M151">
        <v>30202010</v>
      </c>
      <c r="N151">
        <v>3020</v>
      </c>
      <c r="O151">
        <v>1.9965141737727501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2.117</v>
      </c>
      <c r="AR151">
        <v>2.9159999999999999</v>
      </c>
      <c r="AS151" t="s">
        <v>427</v>
      </c>
      <c r="AT151">
        <v>0</v>
      </c>
      <c r="AU151">
        <v>0</v>
      </c>
      <c r="AV151" t="s">
        <v>440</v>
      </c>
      <c r="AW151">
        <v>0</v>
      </c>
      <c r="AX151">
        <v>0</v>
      </c>
      <c r="AY151">
        <v>0</v>
      </c>
      <c r="CC151">
        <v>2.5165000000000002</v>
      </c>
      <c r="CE151" t="s">
        <v>448</v>
      </c>
      <c r="CG151">
        <v>1.9965141737727501</v>
      </c>
      <c r="CH151">
        <v>3.4</v>
      </c>
      <c r="CI151">
        <v>2.6982570868863749</v>
      </c>
      <c r="CJ151">
        <v>-0.24</v>
      </c>
      <c r="CK151">
        <v>2.4582570868863751</v>
      </c>
      <c r="CL151">
        <v>3020</v>
      </c>
    </row>
    <row r="152" spans="1:90" x14ac:dyDescent="0.25">
      <c r="A152">
        <v>348</v>
      </c>
      <c r="B152" t="s">
        <v>505</v>
      </c>
      <c r="C152" t="s">
        <v>721</v>
      </c>
      <c r="D152" t="s">
        <v>937</v>
      </c>
      <c r="E152" t="s">
        <v>394</v>
      </c>
      <c r="F152">
        <v>1062984492</v>
      </c>
      <c r="G152">
        <v>23.24</v>
      </c>
      <c r="H152" t="s">
        <v>407</v>
      </c>
      <c r="I152">
        <v>24703759594.080002</v>
      </c>
      <c r="J152" t="s">
        <v>413</v>
      </c>
      <c r="K152">
        <v>18722175.1288095</v>
      </c>
      <c r="L152">
        <v>0.25</v>
      </c>
      <c r="M152">
        <v>30202010</v>
      </c>
      <c r="N152">
        <v>3020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 t="s">
        <v>1100</v>
      </c>
      <c r="AR152" t="s">
        <v>1100</v>
      </c>
      <c r="AS152" t="s">
        <v>427</v>
      </c>
      <c r="AT152">
        <v>0</v>
      </c>
      <c r="AU152">
        <v>0</v>
      </c>
      <c r="AV152" t="s">
        <v>446</v>
      </c>
      <c r="AW152">
        <v>0</v>
      </c>
      <c r="AX152">
        <v>0</v>
      </c>
      <c r="AY152">
        <v>0</v>
      </c>
      <c r="CE152" t="s">
        <v>448</v>
      </c>
      <c r="CG152">
        <v>3.4</v>
      </c>
      <c r="CH152">
        <v>3.4</v>
      </c>
      <c r="CI152">
        <v>3.4</v>
      </c>
      <c r="CJ152">
        <v>0.3</v>
      </c>
      <c r="CK152">
        <v>3.7</v>
      </c>
      <c r="CL152">
        <v>3020</v>
      </c>
    </row>
    <row r="153" spans="1:90" x14ac:dyDescent="0.25">
      <c r="A153">
        <v>851</v>
      </c>
      <c r="B153" t="s">
        <v>577</v>
      </c>
      <c r="C153" t="s">
        <v>793</v>
      </c>
      <c r="D153" t="s">
        <v>1009</v>
      </c>
      <c r="E153" t="s">
        <v>402</v>
      </c>
      <c r="F153">
        <v>833279689</v>
      </c>
      <c r="G153">
        <v>16.495000000000001</v>
      </c>
      <c r="H153" t="s">
        <v>407</v>
      </c>
      <c r="I153">
        <v>13744948470.055</v>
      </c>
      <c r="J153" t="s">
        <v>413</v>
      </c>
      <c r="K153">
        <v>48748636.0441394</v>
      </c>
      <c r="L153">
        <v>0.60000000000000009</v>
      </c>
      <c r="M153">
        <v>30202000</v>
      </c>
      <c r="N153">
        <v>3020</v>
      </c>
      <c r="O153">
        <v>3.4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2.3079999999999998</v>
      </c>
      <c r="AR153">
        <v>2.8940000000000001</v>
      </c>
      <c r="AS153" t="s">
        <v>427</v>
      </c>
      <c r="AT153">
        <v>0</v>
      </c>
      <c r="AU153">
        <v>0</v>
      </c>
      <c r="AV153" t="s">
        <v>441</v>
      </c>
      <c r="AW153">
        <v>0</v>
      </c>
      <c r="AX153">
        <v>0</v>
      </c>
      <c r="AY153">
        <v>0</v>
      </c>
      <c r="CC153">
        <v>2.601</v>
      </c>
      <c r="CE153" t="s">
        <v>448</v>
      </c>
      <c r="CG153">
        <v>3.4</v>
      </c>
      <c r="CH153">
        <v>3.4</v>
      </c>
      <c r="CI153">
        <v>3.4</v>
      </c>
      <c r="CJ153">
        <v>-0.18</v>
      </c>
      <c r="CK153">
        <v>3.22</v>
      </c>
      <c r="CL153">
        <v>3020</v>
      </c>
    </row>
    <row r="154" spans="1:90" x14ac:dyDescent="0.25">
      <c r="A154">
        <v>822</v>
      </c>
      <c r="B154" t="s">
        <v>574</v>
      </c>
      <c r="C154" t="s">
        <v>790</v>
      </c>
      <c r="D154" t="s">
        <v>1006</v>
      </c>
      <c r="E154" t="s">
        <v>401</v>
      </c>
      <c r="F154">
        <v>2403869600</v>
      </c>
      <c r="G154">
        <v>2.5291090000000001</v>
      </c>
      <c r="H154" t="s">
        <v>411</v>
      </c>
      <c r="I154">
        <v>6079648240.1864004</v>
      </c>
      <c r="J154" t="s">
        <v>414</v>
      </c>
      <c r="K154">
        <v>10687567.7809605</v>
      </c>
      <c r="L154">
        <v>0.9</v>
      </c>
      <c r="M154">
        <v>30202010</v>
      </c>
      <c r="N154">
        <v>3020</v>
      </c>
      <c r="Q154" t="s">
        <v>418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2.1560000000000001</v>
      </c>
      <c r="AR154">
        <v>2.7130000000000001</v>
      </c>
      <c r="AS154" t="s">
        <v>427</v>
      </c>
      <c r="AT154">
        <v>0</v>
      </c>
      <c r="AU154">
        <v>0</v>
      </c>
      <c r="AV154" t="s">
        <v>440</v>
      </c>
      <c r="AW154">
        <v>0</v>
      </c>
      <c r="AX154">
        <v>0</v>
      </c>
      <c r="AY154">
        <v>0</v>
      </c>
      <c r="CC154">
        <v>2.4344999999999999</v>
      </c>
      <c r="CE154" t="s">
        <v>448</v>
      </c>
      <c r="CG154">
        <v>3.4</v>
      </c>
      <c r="CH154">
        <v>3.4</v>
      </c>
      <c r="CI154">
        <v>3.4</v>
      </c>
      <c r="CJ154">
        <v>0</v>
      </c>
      <c r="CK154">
        <v>3.4</v>
      </c>
      <c r="CL154">
        <v>3020</v>
      </c>
    </row>
    <row r="155" spans="1:90" x14ac:dyDescent="0.25">
      <c r="A155">
        <v>468</v>
      </c>
      <c r="B155" t="s">
        <v>524</v>
      </c>
      <c r="C155" t="s">
        <v>740</v>
      </c>
      <c r="D155" t="s">
        <v>956</v>
      </c>
      <c r="E155" t="s">
        <v>392</v>
      </c>
      <c r="F155">
        <v>73085760</v>
      </c>
      <c r="G155">
        <v>80.05</v>
      </c>
      <c r="H155" t="s">
        <v>407</v>
      </c>
      <c r="I155">
        <v>5850515088</v>
      </c>
      <c r="J155" t="s">
        <v>413</v>
      </c>
      <c r="K155">
        <v>7072689.4869047599</v>
      </c>
      <c r="L155">
        <v>0.70000000000000007</v>
      </c>
      <c r="M155">
        <v>30202010</v>
      </c>
      <c r="N155">
        <v>3020</v>
      </c>
      <c r="Q155" t="s">
        <v>416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2.5299999999999998</v>
      </c>
      <c r="AR155">
        <v>2.6669999999999998</v>
      </c>
      <c r="AS155" t="s">
        <v>427</v>
      </c>
      <c r="AT155">
        <v>0</v>
      </c>
      <c r="AU155">
        <v>0</v>
      </c>
      <c r="AV155" t="s">
        <v>431</v>
      </c>
      <c r="AW155">
        <v>0</v>
      </c>
      <c r="AX155">
        <v>0</v>
      </c>
      <c r="AY155">
        <v>0</v>
      </c>
      <c r="CC155">
        <v>2.5985</v>
      </c>
      <c r="CE155" t="s">
        <v>448</v>
      </c>
      <c r="CG155">
        <v>3.4</v>
      </c>
      <c r="CH155">
        <v>3.4</v>
      </c>
      <c r="CI155">
        <v>3.4</v>
      </c>
      <c r="CJ155">
        <v>-0.18</v>
      </c>
      <c r="CK155">
        <v>3.22</v>
      </c>
      <c r="CL155">
        <v>3020</v>
      </c>
    </row>
    <row r="156" spans="1:90" x14ac:dyDescent="0.25">
      <c r="A156">
        <v>533</v>
      </c>
      <c r="B156" t="s">
        <v>119</v>
      </c>
      <c r="C156" t="s">
        <v>219</v>
      </c>
      <c r="D156" t="s">
        <v>319</v>
      </c>
      <c r="E156" t="s">
        <v>405</v>
      </c>
      <c r="F156">
        <v>138400000</v>
      </c>
      <c r="G156">
        <v>68.55</v>
      </c>
      <c r="H156" t="s">
        <v>407</v>
      </c>
      <c r="I156">
        <v>9487320000</v>
      </c>
      <c r="J156" t="s">
        <v>413</v>
      </c>
      <c r="K156">
        <v>6900889.3166666701</v>
      </c>
      <c r="L156">
        <v>0.55000000000000004</v>
      </c>
      <c r="M156">
        <v>30202000</v>
      </c>
      <c r="N156">
        <v>3020</v>
      </c>
      <c r="O156">
        <v>1.8920544675342099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2.2050000000000001</v>
      </c>
      <c r="AR156">
        <v>2.8639999999999999</v>
      </c>
      <c r="AS156" t="s">
        <v>427</v>
      </c>
      <c r="AT156">
        <v>0</v>
      </c>
      <c r="AU156">
        <v>0</v>
      </c>
      <c r="AV156" t="s">
        <v>445</v>
      </c>
      <c r="AW156">
        <v>0</v>
      </c>
      <c r="AX156">
        <v>0</v>
      </c>
      <c r="AY156">
        <v>0</v>
      </c>
      <c r="CC156">
        <v>2.5345</v>
      </c>
      <c r="CE156" t="s">
        <v>448</v>
      </c>
      <c r="CG156">
        <v>1.8920544675342099</v>
      </c>
      <c r="CH156">
        <v>3.4</v>
      </c>
      <c r="CI156">
        <v>2.6460272337671049</v>
      </c>
      <c r="CJ156">
        <v>-0.3</v>
      </c>
      <c r="CK156">
        <v>2.3460272337671051</v>
      </c>
      <c r="CL156">
        <v>3020</v>
      </c>
    </row>
    <row r="157" spans="1:90" x14ac:dyDescent="0.25">
      <c r="A157">
        <v>231</v>
      </c>
      <c r="B157" t="s">
        <v>494</v>
      </c>
      <c r="C157" t="s">
        <v>710</v>
      </c>
      <c r="D157" t="s">
        <v>926</v>
      </c>
      <c r="E157" t="s">
        <v>401</v>
      </c>
      <c r="F157">
        <v>219421900</v>
      </c>
      <c r="G157">
        <v>14.77328</v>
      </c>
      <c r="H157" t="s">
        <v>411</v>
      </c>
      <c r="I157">
        <v>3241581166.8319998</v>
      </c>
      <c r="J157" t="s">
        <v>414</v>
      </c>
      <c r="K157">
        <v>1613213.2464775599</v>
      </c>
      <c r="L157">
        <v>0.9</v>
      </c>
      <c r="M157">
        <v>30202010</v>
      </c>
      <c r="N157">
        <v>3020</v>
      </c>
      <c r="Q157" t="s">
        <v>422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 t="s">
        <v>1100</v>
      </c>
      <c r="AR157" t="s">
        <v>1100</v>
      </c>
      <c r="AS157" t="s">
        <v>427</v>
      </c>
      <c r="AT157">
        <v>0</v>
      </c>
      <c r="AU157">
        <v>0</v>
      </c>
      <c r="AV157" t="s">
        <v>1105</v>
      </c>
      <c r="AW157">
        <v>0</v>
      </c>
      <c r="AX157">
        <v>0</v>
      </c>
      <c r="AY157">
        <v>0</v>
      </c>
      <c r="CE157" t="s">
        <v>448</v>
      </c>
      <c r="CG157">
        <v>3.4</v>
      </c>
      <c r="CH157">
        <v>3.4</v>
      </c>
      <c r="CI157">
        <v>3.4</v>
      </c>
      <c r="CJ157">
        <v>0.3</v>
      </c>
      <c r="CK157">
        <v>3.7</v>
      </c>
      <c r="CL157">
        <v>3020</v>
      </c>
    </row>
    <row r="158" spans="1:90" x14ac:dyDescent="0.25">
      <c r="A158">
        <v>671</v>
      </c>
      <c r="B158" t="s">
        <v>557</v>
      </c>
      <c r="C158" t="s">
        <v>773</v>
      </c>
      <c r="D158" t="s">
        <v>989</v>
      </c>
      <c r="E158" t="s">
        <v>393</v>
      </c>
      <c r="F158">
        <v>1821936800</v>
      </c>
      <c r="G158">
        <v>28.96313</v>
      </c>
      <c r="H158" t="s">
        <v>408</v>
      </c>
      <c r="I158">
        <v>52768992390.183998</v>
      </c>
      <c r="J158" t="s">
        <v>414</v>
      </c>
      <c r="K158">
        <v>71973486.503936604</v>
      </c>
      <c r="L158">
        <v>1</v>
      </c>
      <c r="M158">
        <v>30202000</v>
      </c>
      <c r="N158">
        <v>3020</v>
      </c>
      <c r="O158">
        <v>3.4</v>
      </c>
      <c r="Q158" t="s">
        <v>418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2.5049999999999999</v>
      </c>
      <c r="AR158">
        <v>2.6040000000000001</v>
      </c>
      <c r="AS158" t="s">
        <v>427</v>
      </c>
      <c r="AT158">
        <v>0</v>
      </c>
      <c r="AU158">
        <v>0</v>
      </c>
      <c r="AV158" t="s">
        <v>432</v>
      </c>
      <c r="AW158">
        <v>0</v>
      </c>
      <c r="AX158">
        <v>0</v>
      </c>
      <c r="AY158">
        <v>0</v>
      </c>
      <c r="CC158">
        <v>2.5545</v>
      </c>
      <c r="CE158" t="s">
        <v>448</v>
      </c>
      <c r="CG158">
        <v>3.4</v>
      </c>
      <c r="CH158">
        <v>3.4</v>
      </c>
      <c r="CI158">
        <v>3.4</v>
      </c>
      <c r="CJ158">
        <v>0</v>
      </c>
      <c r="CK158">
        <v>3.4</v>
      </c>
      <c r="CL158">
        <v>3020</v>
      </c>
    </row>
    <row r="159" spans="1:90" x14ac:dyDescent="0.25">
      <c r="A159">
        <v>968</v>
      </c>
      <c r="B159" t="s">
        <v>588</v>
      </c>
      <c r="C159" t="s">
        <v>804</v>
      </c>
      <c r="D159" t="s">
        <v>1020</v>
      </c>
      <c r="E159" t="s">
        <v>393</v>
      </c>
      <c r="F159">
        <v>251876570</v>
      </c>
      <c r="G159">
        <v>22.264109999999999</v>
      </c>
      <c r="H159" t="s">
        <v>408</v>
      </c>
      <c r="I159">
        <v>5607807660.9026995</v>
      </c>
      <c r="J159" t="s">
        <v>414</v>
      </c>
      <c r="K159">
        <v>7228970.6876485599</v>
      </c>
      <c r="L159">
        <v>0.7</v>
      </c>
      <c r="M159">
        <v>30202015</v>
      </c>
      <c r="N159">
        <v>3020</v>
      </c>
      <c r="Q159" t="s">
        <v>1097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1.7849999999999999</v>
      </c>
      <c r="AR159">
        <v>2.6659999999999999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2.2254999999999998</v>
      </c>
      <c r="CE159" t="s">
        <v>448</v>
      </c>
      <c r="CG159">
        <v>3.4</v>
      </c>
      <c r="CH159">
        <v>3.4</v>
      </c>
      <c r="CI159">
        <v>3.4</v>
      </c>
      <c r="CJ159">
        <v>0.3</v>
      </c>
      <c r="CK159">
        <v>3.7</v>
      </c>
      <c r="CL159">
        <v>3020</v>
      </c>
    </row>
    <row r="160" spans="1:90" x14ac:dyDescent="0.25">
      <c r="A160">
        <v>1047</v>
      </c>
      <c r="B160" t="s">
        <v>596</v>
      </c>
      <c r="C160" t="s">
        <v>812</v>
      </c>
      <c r="D160" t="s">
        <v>1028</v>
      </c>
      <c r="E160" t="s">
        <v>402</v>
      </c>
      <c r="F160">
        <v>1306110000</v>
      </c>
      <c r="G160">
        <v>14.945</v>
      </c>
      <c r="H160" t="s">
        <v>407</v>
      </c>
      <c r="I160">
        <v>19519813950</v>
      </c>
      <c r="J160" t="s">
        <v>413</v>
      </c>
      <c r="K160">
        <v>24805157.2843033</v>
      </c>
      <c r="L160">
        <v>0.35</v>
      </c>
      <c r="M160">
        <v>30202000</v>
      </c>
      <c r="N160">
        <v>3020</v>
      </c>
      <c r="O160">
        <v>3.01360162391952</v>
      </c>
      <c r="Q160" t="s">
        <v>418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2.262</v>
      </c>
      <c r="AR160">
        <v>3.0430000000000001</v>
      </c>
      <c r="AS160" t="s">
        <v>425</v>
      </c>
      <c r="AT160">
        <v>1</v>
      </c>
      <c r="AU160">
        <v>0</v>
      </c>
      <c r="AV160" t="s">
        <v>441</v>
      </c>
      <c r="AW160">
        <v>0</v>
      </c>
      <c r="AX160">
        <v>0</v>
      </c>
      <c r="AY160">
        <v>0</v>
      </c>
      <c r="CC160">
        <v>2.6524999999999999</v>
      </c>
      <c r="CE160" t="s">
        <v>448</v>
      </c>
      <c r="CG160">
        <v>3.01360162391952</v>
      </c>
      <c r="CH160">
        <v>3.4</v>
      </c>
      <c r="CI160">
        <v>3.2068008119597602</v>
      </c>
      <c r="CJ160">
        <v>0</v>
      </c>
      <c r="CK160">
        <v>3.2068008119597602</v>
      </c>
      <c r="CL160">
        <v>3020</v>
      </c>
    </row>
    <row r="161" spans="1:90" x14ac:dyDescent="0.25">
      <c r="A161">
        <v>1242</v>
      </c>
      <c r="B161" t="s">
        <v>628</v>
      </c>
      <c r="C161" t="s">
        <v>844</v>
      </c>
      <c r="D161" t="s">
        <v>1060</v>
      </c>
      <c r="E161" t="s">
        <v>405</v>
      </c>
      <c r="F161">
        <v>34250000</v>
      </c>
      <c r="G161">
        <v>237.4</v>
      </c>
      <c r="H161" t="s">
        <v>407</v>
      </c>
      <c r="I161">
        <v>8130950000</v>
      </c>
      <c r="J161" t="s">
        <v>413</v>
      </c>
      <c r="K161">
        <v>4215309.9031745996</v>
      </c>
      <c r="L161">
        <v>0.4</v>
      </c>
      <c r="M161">
        <v>30202010</v>
      </c>
      <c r="N161">
        <v>3020</v>
      </c>
      <c r="O161">
        <v>2</v>
      </c>
      <c r="Q161" t="s">
        <v>422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2.3879999999999999</v>
      </c>
      <c r="AS161" t="s">
        <v>427</v>
      </c>
      <c r="AT161">
        <v>0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2.194</v>
      </c>
      <c r="CE161" t="s">
        <v>448</v>
      </c>
      <c r="CG161">
        <v>2</v>
      </c>
      <c r="CH161">
        <v>3.4</v>
      </c>
      <c r="CI161">
        <v>2.7</v>
      </c>
      <c r="CJ161">
        <v>0.3</v>
      </c>
      <c r="CK161">
        <v>3</v>
      </c>
      <c r="CL161">
        <v>3020</v>
      </c>
    </row>
    <row r="162" spans="1:90" x14ac:dyDescent="0.25">
      <c r="A162">
        <v>1265</v>
      </c>
      <c r="B162" t="s">
        <v>631</v>
      </c>
      <c r="C162" t="s">
        <v>847</v>
      </c>
      <c r="D162" t="s">
        <v>1063</v>
      </c>
      <c r="E162" t="s">
        <v>401</v>
      </c>
      <c r="F162">
        <v>544014700</v>
      </c>
      <c r="G162">
        <v>13.419269999999999</v>
      </c>
      <c r="H162" t="s">
        <v>411</v>
      </c>
      <c r="I162">
        <v>7300280143.2689991</v>
      </c>
      <c r="J162" t="s">
        <v>414</v>
      </c>
      <c r="K162">
        <v>15801062.6867617</v>
      </c>
      <c r="L162">
        <v>1</v>
      </c>
      <c r="M162">
        <v>30202010</v>
      </c>
      <c r="N162">
        <v>3020</v>
      </c>
      <c r="O162">
        <v>3.0199999999999898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1.746</v>
      </c>
      <c r="AR162">
        <v>2.8820000000000001</v>
      </c>
      <c r="AS162" t="s">
        <v>427</v>
      </c>
      <c r="AT162">
        <v>0</v>
      </c>
      <c r="AU162">
        <v>0</v>
      </c>
      <c r="AV162" t="s">
        <v>440</v>
      </c>
      <c r="AW162">
        <v>0</v>
      </c>
      <c r="AX162">
        <v>0</v>
      </c>
      <c r="AY162">
        <v>0</v>
      </c>
      <c r="CC162">
        <v>2.3140000000000001</v>
      </c>
      <c r="CE162" t="s">
        <v>448</v>
      </c>
      <c r="CG162">
        <v>3.0199999999999898</v>
      </c>
      <c r="CH162">
        <v>3.4</v>
      </c>
      <c r="CI162">
        <v>3.2099999999999951</v>
      </c>
      <c r="CJ162">
        <v>-0.18</v>
      </c>
      <c r="CK162">
        <v>3.029999999999994</v>
      </c>
      <c r="CL162">
        <v>3020</v>
      </c>
    </row>
    <row r="163" spans="1:90" x14ac:dyDescent="0.25">
      <c r="A163">
        <v>1425</v>
      </c>
      <c r="B163" t="s">
        <v>652</v>
      </c>
      <c r="C163" t="s">
        <v>868</v>
      </c>
      <c r="D163" t="s">
        <v>1084</v>
      </c>
      <c r="E163" t="s">
        <v>404</v>
      </c>
      <c r="F163">
        <v>3462087600</v>
      </c>
      <c r="G163">
        <v>32.238869999999999</v>
      </c>
      <c r="H163" t="s">
        <v>412</v>
      </c>
      <c r="I163">
        <v>111613792065.01199</v>
      </c>
      <c r="J163" t="s">
        <v>414</v>
      </c>
      <c r="K163">
        <v>190335590.75150201</v>
      </c>
      <c r="L163">
        <v>0.85</v>
      </c>
      <c r="M163">
        <v>30202010</v>
      </c>
      <c r="N163">
        <v>3020</v>
      </c>
      <c r="O163">
        <v>3.4</v>
      </c>
      <c r="Q163" t="s">
        <v>417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2.2610000000000001</v>
      </c>
      <c r="AR163">
        <v>2.4910000000000001</v>
      </c>
      <c r="AS163" t="s">
        <v>427</v>
      </c>
      <c r="AT163">
        <v>0</v>
      </c>
      <c r="AU163">
        <v>0</v>
      </c>
      <c r="AV163" t="s">
        <v>443</v>
      </c>
      <c r="AW163">
        <v>0</v>
      </c>
      <c r="AX163">
        <v>0</v>
      </c>
      <c r="AY163">
        <v>0</v>
      </c>
      <c r="CC163">
        <v>2.3759999999999999</v>
      </c>
      <c r="CE163" t="s">
        <v>448</v>
      </c>
      <c r="CG163">
        <v>3.4</v>
      </c>
      <c r="CH163">
        <v>3.4</v>
      </c>
      <c r="CI163">
        <v>3.4</v>
      </c>
      <c r="CJ163">
        <v>-0.24</v>
      </c>
      <c r="CK163">
        <v>3.16</v>
      </c>
      <c r="CL163">
        <v>3020</v>
      </c>
    </row>
    <row r="164" spans="1:90" x14ac:dyDescent="0.25">
      <c r="A164">
        <v>25</v>
      </c>
      <c r="B164" t="s">
        <v>118</v>
      </c>
      <c r="C164" t="s">
        <v>218</v>
      </c>
      <c r="D164" t="s">
        <v>318</v>
      </c>
      <c r="E164" t="s">
        <v>401</v>
      </c>
      <c r="F164">
        <v>306304700</v>
      </c>
      <c r="G164">
        <v>33.850409999999997</v>
      </c>
      <c r="H164" t="s">
        <v>411</v>
      </c>
      <c r="I164">
        <v>10368539679.927</v>
      </c>
      <c r="J164" t="s">
        <v>414</v>
      </c>
      <c r="K164">
        <v>10015139.725619299</v>
      </c>
      <c r="L164">
        <v>0.7</v>
      </c>
      <c r="M164">
        <v>30302025</v>
      </c>
      <c r="N164">
        <v>3030</v>
      </c>
      <c r="O164">
        <v>1.99880903325661</v>
      </c>
      <c r="P164">
        <v>2.7</v>
      </c>
      <c r="Q164" t="s">
        <v>418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1.88</v>
      </c>
      <c r="AR164">
        <v>2.7</v>
      </c>
      <c r="AS164" t="s">
        <v>427</v>
      </c>
      <c r="AT164">
        <v>0</v>
      </c>
      <c r="AU164">
        <v>0</v>
      </c>
      <c r="AV164" t="s">
        <v>440</v>
      </c>
      <c r="AW164">
        <v>0</v>
      </c>
      <c r="AX164">
        <v>0</v>
      </c>
      <c r="AY164">
        <v>0</v>
      </c>
      <c r="CC164">
        <v>2.29</v>
      </c>
      <c r="CE164" t="s">
        <v>448</v>
      </c>
      <c r="CG164">
        <v>1.99880903325661</v>
      </c>
      <c r="CH164">
        <v>2.7</v>
      </c>
      <c r="CI164">
        <v>2.3494045166283049</v>
      </c>
      <c r="CJ164">
        <v>0</v>
      </c>
      <c r="CK164">
        <v>2.3494045166283049</v>
      </c>
      <c r="CL164">
        <v>3030</v>
      </c>
    </row>
    <row r="165" spans="1:90" x14ac:dyDescent="0.25">
      <c r="A165">
        <v>39</v>
      </c>
      <c r="B165" t="s">
        <v>458</v>
      </c>
      <c r="C165" t="s">
        <v>674</v>
      </c>
      <c r="D165" t="s">
        <v>890</v>
      </c>
      <c r="E165" t="s">
        <v>405</v>
      </c>
      <c r="F165">
        <v>187971187</v>
      </c>
      <c r="G165">
        <v>51</v>
      </c>
      <c r="H165" t="s">
        <v>407</v>
      </c>
      <c r="I165">
        <v>9586530537</v>
      </c>
      <c r="J165" t="s">
        <v>413</v>
      </c>
      <c r="K165">
        <v>17348499.9225397</v>
      </c>
      <c r="L165">
        <v>0.8</v>
      </c>
      <c r="M165">
        <v>30301010</v>
      </c>
      <c r="N165">
        <v>3030</v>
      </c>
      <c r="O165">
        <v>3.4</v>
      </c>
      <c r="P165">
        <v>2.39</v>
      </c>
      <c r="Q165" t="s">
        <v>416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2.0579999999999998</v>
      </c>
      <c r="AR165">
        <v>3.0910000000000002</v>
      </c>
      <c r="AS165" t="s">
        <v>427</v>
      </c>
      <c r="AT165">
        <v>0</v>
      </c>
      <c r="AU165">
        <v>0</v>
      </c>
      <c r="AV165" t="s">
        <v>445</v>
      </c>
      <c r="AW165">
        <v>0</v>
      </c>
      <c r="AX165">
        <v>0</v>
      </c>
      <c r="AY165">
        <v>0</v>
      </c>
      <c r="CC165">
        <v>2.5745</v>
      </c>
      <c r="CE165" t="s">
        <v>448</v>
      </c>
      <c r="CG165">
        <v>3.4</v>
      </c>
      <c r="CH165">
        <v>2.39</v>
      </c>
      <c r="CI165">
        <v>2.895</v>
      </c>
      <c r="CJ165">
        <v>-0.18</v>
      </c>
      <c r="CK165">
        <v>2.7149999999999999</v>
      </c>
      <c r="CL165">
        <v>3030</v>
      </c>
    </row>
    <row r="166" spans="1:90" x14ac:dyDescent="0.25">
      <c r="A166">
        <v>145</v>
      </c>
      <c r="B166" t="s">
        <v>116</v>
      </c>
      <c r="C166" t="s">
        <v>216</v>
      </c>
      <c r="D166" t="s">
        <v>316</v>
      </c>
      <c r="E166" t="s">
        <v>392</v>
      </c>
      <c r="F166">
        <v>2214797873</v>
      </c>
      <c r="G166">
        <v>36.979999999999997</v>
      </c>
      <c r="H166" t="s">
        <v>407</v>
      </c>
      <c r="I166">
        <v>81903225343.539993</v>
      </c>
      <c r="J166" t="s">
        <v>413</v>
      </c>
      <c r="K166">
        <v>141293081.09468201</v>
      </c>
      <c r="L166">
        <v>0.85000000000000009</v>
      </c>
      <c r="M166">
        <v>30302010</v>
      </c>
      <c r="N166">
        <v>3030</v>
      </c>
      <c r="O166">
        <v>3.2733333333333299</v>
      </c>
      <c r="P166">
        <v>1.5</v>
      </c>
      <c r="Q166" t="s">
        <v>418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2.3420000000000001</v>
      </c>
      <c r="AR166">
        <v>2.6240000000000001</v>
      </c>
      <c r="AS166" t="s">
        <v>427</v>
      </c>
      <c r="AT166">
        <v>0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2.4830000000000001</v>
      </c>
      <c r="CE166" t="s">
        <v>448</v>
      </c>
      <c r="CG166">
        <v>3.2733333333333299</v>
      </c>
      <c r="CH166">
        <v>1.5</v>
      </c>
      <c r="CI166">
        <v>2.3866666666666649</v>
      </c>
      <c r="CJ166">
        <v>0</v>
      </c>
      <c r="CK166">
        <v>2.3866666666666649</v>
      </c>
      <c r="CL166">
        <v>3030</v>
      </c>
    </row>
    <row r="167" spans="1:90" x14ac:dyDescent="0.25">
      <c r="A167">
        <v>554</v>
      </c>
      <c r="B167" t="s">
        <v>538</v>
      </c>
      <c r="C167" t="s">
        <v>754</v>
      </c>
      <c r="D167" t="s">
        <v>970</v>
      </c>
      <c r="E167" t="s">
        <v>398</v>
      </c>
      <c r="F167">
        <v>500000000</v>
      </c>
      <c r="G167">
        <v>19.31466</v>
      </c>
      <c r="H167" t="s">
        <v>409</v>
      </c>
      <c r="I167">
        <v>9657330000</v>
      </c>
      <c r="J167" t="s">
        <v>414</v>
      </c>
      <c r="K167">
        <v>6367465.42884677</v>
      </c>
      <c r="L167">
        <v>0.4</v>
      </c>
      <c r="M167">
        <v>30302010</v>
      </c>
      <c r="N167">
        <v>3030</v>
      </c>
      <c r="O167">
        <v>3.1466666666666598</v>
      </c>
      <c r="Q167" t="s">
        <v>416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2.1640000000000001</v>
      </c>
      <c r="AR167">
        <v>2.61</v>
      </c>
      <c r="AS167" t="s">
        <v>427</v>
      </c>
      <c r="AT167">
        <v>0</v>
      </c>
      <c r="AU167">
        <v>0</v>
      </c>
      <c r="AV167" t="s">
        <v>437</v>
      </c>
      <c r="AW167">
        <v>0</v>
      </c>
      <c r="AX167">
        <v>0</v>
      </c>
      <c r="AY167">
        <v>0</v>
      </c>
      <c r="CC167">
        <v>2.387</v>
      </c>
      <c r="CE167" t="s">
        <v>448</v>
      </c>
      <c r="CG167">
        <v>3.1466666666666598</v>
      </c>
      <c r="CH167">
        <v>3.4</v>
      </c>
      <c r="CI167">
        <v>3.2733333333333299</v>
      </c>
      <c r="CJ167">
        <v>-0.18</v>
      </c>
      <c r="CK167">
        <v>3.0933333333333302</v>
      </c>
      <c r="CL167">
        <v>3030</v>
      </c>
    </row>
    <row r="168" spans="1:90" x14ac:dyDescent="0.25">
      <c r="A168">
        <v>60</v>
      </c>
      <c r="B168" t="s">
        <v>460</v>
      </c>
      <c r="C168" t="s">
        <v>676</v>
      </c>
      <c r="D168" t="s">
        <v>892</v>
      </c>
      <c r="E168" t="s">
        <v>396</v>
      </c>
      <c r="F168">
        <v>386166700</v>
      </c>
      <c r="G168">
        <v>320.2</v>
      </c>
      <c r="H168" t="s">
        <v>407</v>
      </c>
      <c r="I168">
        <v>123650577340</v>
      </c>
      <c r="J168" t="s">
        <v>413</v>
      </c>
      <c r="K168">
        <v>192557349.24016401</v>
      </c>
      <c r="L168">
        <v>1</v>
      </c>
      <c r="M168">
        <v>30302010</v>
      </c>
      <c r="N168">
        <v>3030</v>
      </c>
      <c r="Q168" t="s">
        <v>1097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2.419</v>
      </c>
      <c r="AR168">
        <v>2.8119999999999998</v>
      </c>
      <c r="AS168" t="s">
        <v>427</v>
      </c>
      <c r="AT168">
        <v>0</v>
      </c>
      <c r="AU168">
        <v>0</v>
      </c>
      <c r="AV168" t="s">
        <v>435</v>
      </c>
      <c r="AW168">
        <v>0</v>
      </c>
      <c r="AX168">
        <v>0</v>
      </c>
      <c r="AY168">
        <v>0</v>
      </c>
      <c r="CC168">
        <v>2.6154999999999999</v>
      </c>
      <c r="CE168" t="s">
        <v>448</v>
      </c>
      <c r="CG168">
        <v>3.4</v>
      </c>
      <c r="CH168">
        <v>3.4</v>
      </c>
      <c r="CI168">
        <v>3.4</v>
      </c>
      <c r="CJ168">
        <v>0.3</v>
      </c>
      <c r="CK168">
        <v>3.7</v>
      </c>
      <c r="CL168">
        <v>3030</v>
      </c>
    </row>
    <row r="169" spans="1:90" x14ac:dyDescent="0.25">
      <c r="A169">
        <v>397</v>
      </c>
      <c r="B169" t="s">
        <v>512</v>
      </c>
      <c r="C169" t="s">
        <v>728</v>
      </c>
      <c r="D169" t="s">
        <v>944</v>
      </c>
      <c r="E169" t="s">
        <v>401</v>
      </c>
      <c r="F169">
        <v>1311388200</v>
      </c>
      <c r="G169">
        <v>3.1891919999999998</v>
      </c>
      <c r="H169" t="s">
        <v>411</v>
      </c>
      <c r="I169">
        <v>4182268756.3344002</v>
      </c>
      <c r="J169" t="s">
        <v>414</v>
      </c>
      <c r="K169">
        <v>12673712.369872499</v>
      </c>
      <c r="L169">
        <v>1</v>
      </c>
      <c r="M169">
        <v>30302025</v>
      </c>
      <c r="N169">
        <v>3030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1.8839999999999999</v>
      </c>
      <c r="AR169">
        <v>2.6429999999999998</v>
      </c>
      <c r="AS169" t="s">
        <v>427</v>
      </c>
      <c r="AT169">
        <v>0</v>
      </c>
      <c r="AU169">
        <v>0</v>
      </c>
      <c r="AV169" t="s">
        <v>440</v>
      </c>
      <c r="AW169">
        <v>0</v>
      </c>
      <c r="AX169">
        <v>0</v>
      </c>
      <c r="AY169">
        <v>0</v>
      </c>
      <c r="CC169">
        <v>2.2635000000000001</v>
      </c>
      <c r="CE169" t="s">
        <v>448</v>
      </c>
      <c r="CG169">
        <v>3.4</v>
      </c>
      <c r="CH169">
        <v>3.4</v>
      </c>
      <c r="CI169">
        <v>3.4</v>
      </c>
      <c r="CJ169">
        <v>-0.18</v>
      </c>
      <c r="CK169">
        <v>3.22</v>
      </c>
      <c r="CL169">
        <v>3030</v>
      </c>
    </row>
    <row r="170" spans="1:90" x14ac:dyDescent="0.25">
      <c r="A170">
        <v>786</v>
      </c>
      <c r="B170" t="s">
        <v>166</v>
      </c>
      <c r="C170" t="s">
        <v>266</v>
      </c>
      <c r="D170" t="s">
        <v>366</v>
      </c>
      <c r="E170" t="s">
        <v>401</v>
      </c>
      <c r="F170">
        <v>5893244000</v>
      </c>
      <c r="G170">
        <v>2.8784939999999999</v>
      </c>
      <c r="H170" t="s">
        <v>411</v>
      </c>
      <c r="I170">
        <v>16963667494.535999</v>
      </c>
      <c r="J170" t="s">
        <v>414</v>
      </c>
      <c r="K170">
        <v>32798433.932136402</v>
      </c>
      <c r="L170">
        <v>1</v>
      </c>
      <c r="M170">
        <v>30301010</v>
      </c>
      <c r="N170">
        <v>3030</v>
      </c>
      <c r="O170">
        <v>1.98835042585939</v>
      </c>
      <c r="P170">
        <v>1.5</v>
      </c>
      <c r="Q170" t="s">
        <v>415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2.2440000000000002</v>
      </c>
      <c r="AR170">
        <v>2.6379999999999999</v>
      </c>
      <c r="AS170" t="s">
        <v>427</v>
      </c>
      <c r="AT170">
        <v>0</v>
      </c>
      <c r="AU170">
        <v>0</v>
      </c>
      <c r="AV170" t="s">
        <v>440</v>
      </c>
      <c r="AW170">
        <v>0</v>
      </c>
      <c r="AX170">
        <v>0</v>
      </c>
      <c r="AY170">
        <v>0</v>
      </c>
      <c r="CC170">
        <v>2.4409999999999998</v>
      </c>
      <c r="CE170" t="s">
        <v>448</v>
      </c>
      <c r="CG170">
        <v>1.98835042585939</v>
      </c>
      <c r="CH170">
        <v>1.5</v>
      </c>
      <c r="CI170">
        <v>1.744175212929695</v>
      </c>
      <c r="CJ170">
        <v>-0.3</v>
      </c>
      <c r="CK170">
        <v>1.444175212929695</v>
      </c>
      <c r="CL170">
        <v>3030</v>
      </c>
    </row>
    <row r="171" spans="1:90" x14ac:dyDescent="0.25">
      <c r="A171">
        <v>543</v>
      </c>
      <c r="B171" t="s">
        <v>132</v>
      </c>
      <c r="C171" t="s">
        <v>232</v>
      </c>
      <c r="D171" t="s">
        <v>332</v>
      </c>
      <c r="E171" t="s">
        <v>402</v>
      </c>
      <c r="F171">
        <v>1569420004</v>
      </c>
      <c r="G171">
        <v>31.33</v>
      </c>
      <c r="H171" t="s">
        <v>407</v>
      </c>
      <c r="I171">
        <v>49169928725.32</v>
      </c>
      <c r="J171" t="s">
        <v>413</v>
      </c>
      <c r="K171">
        <v>104407090.472541</v>
      </c>
      <c r="L171">
        <v>0.70000000000000007</v>
      </c>
      <c r="M171">
        <v>30302010</v>
      </c>
      <c r="N171">
        <v>3030</v>
      </c>
      <c r="O171">
        <v>2.9259268183552698</v>
      </c>
      <c r="P171">
        <v>1.5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2.379</v>
      </c>
      <c r="AR171">
        <v>3.2090000000000001</v>
      </c>
      <c r="AS171" t="s">
        <v>427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2.794</v>
      </c>
      <c r="CE171" t="s">
        <v>448</v>
      </c>
      <c r="CG171">
        <v>2.9259268183552698</v>
      </c>
      <c r="CH171">
        <v>1.5</v>
      </c>
      <c r="CI171">
        <v>2.2129634091776351</v>
      </c>
      <c r="CJ171">
        <v>-0.18</v>
      </c>
      <c r="CK171">
        <v>2.032963409177635</v>
      </c>
      <c r="CL171">
        <v>3030</v>
      </c>
    </row>
    <row r="172" spans="1:90" x14ac:dyDescent="0.25">
      <c r="A172">
        <v>578</v>
      </c>
      <c r="B172" t="s">
        <v>540</v>
      </c>
      <c r="C172" t="s">
        <v>756</v>
      </c>
      <c r="D172" t="s">
        <v>972</v>
      </c>
      <c r="E172" t="s">
        <v>396</v>
      </c>
      <c r="F172">
        <v>120597140</v>
      </c>
      <c r="G172">
        <v>246.3</v>
      </c>
      <c r="H172" t="s">
        <v>407</v>
      </c>
      <c r="I172">
        <v>29703075582</v>
      </c>
      <c r="J172" t="s">
        <v>413</v>
      </c>
      <c r="K172">
        <v>25277333.998360701</v>
      </c>
      <c r="L172">
        <v>0.5</v>
      </c>
      <c r="M172">
        <v>30302020</v>
      </c>
      <c r="N172">
        <v>3030</v>
      </c>
      <c r="O172">
        <v>3.4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2.4889999999999999</v>
      </c>
      <c r="AR172">
        <v>2.8650000000000002</v>
      </c>
      <c r="AS172" t="s">
        <v>427</v>
      </c>
      <c r="AT172">
        <v>0</v>
      </c>
      <c r="AU172">
        <v>0</v>
      </c>
      <c r="AV172" t="s">
        <v>435</v>
      </c>
      <c r="AW172">
        <v>0</v>
      </c>
      <c r="AX172">
        <v>0</v>
      </c>
      <c r="AY172">
        <v>0</v>
      </c>
      <c r="CC172">
        <v>2.677</v>
      </c>
      <c r="CE172" t="s">
        <v>448</v>
      </c>
      <c r="CG172">
        <v>3.4</v>
      </c>
      <c r="CH172">
        <v>3.4</v>
      </c>
      <c r="CI172">
        <v>3.4</v>
      </c>
      <c r="CJ172">
        <v>-0.18</v>
      </c>
      <c r="CK172">
        <v>3.22</v>
      </c>
      <c r="CL172">
        <v>3030</v>
      </c>
    </row>
    <row r="173" spans="1:90" x14ac:dyDescent="0.25">
      <c r="A173">
        <v>143</v>
      </c>
      <c r="B173" t="s">
        <v>470</v>
      </c>
      <c r="C173" t="s">
        <v>686</v>
      </c>
      <c r="D173" t="s">
        <v>902</v>
      </c>
      <c r="E173" t="s">
        <v>401</v>
      </c>
      <c r="F173">
        <v>2677649400</v>
      </c>
      <c r="G173">
        <v>6.0277909999999997</v>
      </c>
      <c r="H173" t="s">
        <v>411</v>
      </c>
      <c r="I173">
        <v>16140310954.475401</v>
      </c>
      <c r="J173" t="s">
        <v>414</v>
      </c>
      <c r="K173">
        <v>29758651.104662601</v>
      </c>
      <c r="L173">
        <v>1</v>
      </c>
      <c r="M173">
        <v>30301010</v>
      </c>
      <c r="N173">
        <v>3030</v>
      </c>
      <c r="O173">
        <v>1.9994209635284099</v>
      </c>
      <c r="Q173" t="s">
        <v>416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2.2200000000000002</v>
      </c>
      <c r="AR173">
        <v>3.3250000000000002</v>
      </c>
      <c r="AS173" t="s">
        <v>427</v>
      </c>
      <c r="AT173">
        <v>0</v>
      </c>
      <c r="AU173">
        <v>0</v>
      </c>
      <c r="AV173" t="s">
        <v>440</v>
      </c>
      <c r="AW173">
        <v>0</v>
      </c>
      <c r="AX173">
        <v>0</v>
      </c>
      <c r="AY173">
        <v>0</v>
      </c>
      <c r="CC173">
        <v>2.7725</v>
      </c>
      <c r="CE173" t="s">
        <v>448</v>
      </c>
      <c r="CG173">
        <v>1.9994209635284099</v>
      </c>
      <c r="CH173">
        <v>3.4</v>
      </c>
      <c r="CI173">
        <v>2.699710481764205</v>
      </c>
      <c r="CJ173">
        <v>-0.18</v>
      </c>
      <c r="CK173">
        <v>2.5197104817642049</v>
      </c>
      <c r="CL173">
        <v>3030</v>
      </c>
    </row>
    <row r="174" spans="1:90" x14ac:dyDescent="0.25">
      <c r="A174">
        <v>155</v>
      </c>
      <c r="B174" t="s">
        <v>472</v>
      </c>
      <c r="C174" t="s">
        <v>688</v>
      </c>
      <c r="D174" t="s">
        <v>904</v>
      </c>
      <c r="E174" t="s">
        <v>404</v>
      </c>
      <c r="F174">
        <v>45800000</v>
      </c>
      <c r="G174">
        <v>178.20699999999999</v>
      </c>
      <c r="H174" t="s">
        <v>412</v>
      </c>
      <c r="I174">
        <v>8161880600</v>
      </c>
      <c r="J174" t="s">
        <v>414</v>
      </c>
      <c r="K174">
        <v>12889251.209706601</v>
      </c>
      <c r="L174">
        <v>0.95</v>
      </c>
      <c r="M174">
        <v>30302010</v>
      </c>
      <c r="N174">
        <v>3030</v>
      </c>
      <c r="O174">
        <v>3.4</v>
      </c>
      <c r="Q174" t="s">
        <v>418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1.931</v>
      </c>
      <c r="AR174">
        <v>2.6989999999999998</v>
      </c>
      <c r="AS174" t="s">
        <v>427</v>
      </c>
      <c r="AT174">
        <v>0</v>
      </c>
      <c r="AU174">
        <v>0</v>
      </c>
      <c r="AV174" t="s">
        <v>443</v>
      </c>
      <c r="AW174">
        <v>0</v>
      </c>
      <c r="AX174">
        <v>0</v>
      </c>
      <c r="AY174">
        <v>0</v>
      </c>
      <c r="CC174">
        <v>2.3149999999999999</v>
      </c>
      <c r="CE174" t="s">
        <v>448</v>
      </c>
      <c r="CG174">
        <v>3.4</v>
      </c>
      <c r="CH174">
        <v>3.4</v>
      </c>
      <c r="CI174">
        <v>3.4</v>
      </c>
      <c r="CJ174">
        <v>0</v>
      </c>
      <c r="CK174">
        <v>3.4</v>
      </c>
      <c r="CL174">
        <v>3030</v>
      </c>
    </row>
    <row r="175" spans="1:90" x14ac:dyDescent="0.25">
      <c r="A175">
        <v>909</v>
      </c>
      <c r="B175" t="s">
        <v>582</v>
      </c>
      <c r="C175" t="s">
        <v>798</v>
      </c>
      <c r="D175" t="s">
        <v>1014</v>
      </c>
      <c r="E175" t="s">
        <v>396</v>
      </c>
      <c r="F175">
        <v>133760280</v>
      </c>
      <c r="G175">
        <v>515</v>
      </c>
      <c r="H175" t="s">
        <v>407</v>
      </c>
      <c r="I175">
        <v>68886544200</v>
      </c>
      <c r="J175" t="s">
        <v>413</v>
      </c>
      <c r="K175">
        <v>128545422.752459</v>
      </c>
      <c r="L175">
        <v>1</v>
      </c>
      <c r="M175">
        <v>30302020</v>
      </c>
      <c r="N175">
        <v>3030</v>
      </c>
      <c r="O175">
        <v>3.4</v>
      </c>
      <c r="Q175" t="s">
        <v>422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2.44</v>
      </c>
      <c r="AR175">
        <v>3.379</v>
      </c>
      <c r="AS175" t="s">
        <v>427</v>
      </c>
      <c r="AT175">
        <v>0</v>
      </c>
      <c r="AU175">
        <v>0</v>
      </c>
      <c r="AV175" t="s">
        <v>435</v>
      </c>
      <c r="AW175">
        <v>0</v>
      </c>
      <c r="AX175">
        <v>0</v>
      </c>
      <c r="AY175">
        <v>0</v>
      </c>
      <c r="CC175">
        <v>2.9095</v>
      </c>
      <c r="CE175" t="s">
        <v>448</v>
      </c>
      <c r="CG175">
        <v>3.4</v>
      </c>
      <c r="CH175">
        <v>3.4</v>
      </c>
      <c r="CI175">
        <v>3.4</v>
      </c>
      <c r="CJ175">
        <v>0.3</v>
      </c>
      <c r="CK175">
        <v>3.7</v>
      </c>
      <c r="CL175">
        <v>3030</v>
      </c>
    </row>
    <row r="176" spans="1:90" x14ac:dyDescent="0.25">
      <c r="A176">
        <v>122</v>
      </c>
      <c r="B176" t="s">
        <v>467</v>
      </c>
      <c r="C176" t="s">
        <v>683</v>
      </c>
      <c r="D176" t="s">
        <v>899</v>
      </c>
      <c r="E176" t="s">
        <v>394</v>
      </c>
      <c r="F176">
        <v>211326978</v>
      </c>
      <c r="G176">
        <v>48.4</v>
      </c>
      <c r="H176" t="s">
        <v>407</v>
      </c>
      <c r="I176">
        <v>10228225735.200001</v>
      </c>
      <c r="J176" t="s">
        <v>413</v>
      </c>
      <c r="K176">
        <v>18152462.072539698</v>
      </c>
      <c r="L176">
        <v>0.65</v>
      </c>
      <c r="M176">
        <v>30302010</v>
      </c>
      <c r="N176">
        <v>3030</v>
      </c>
      <c r="O176">
        <v>3.4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2.133</v>
      </c>
      <c r="AR176">
        <v>3.2040000000000002</v>
      </c>
      <c r="AS176" t="s">
        <v>427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2.6684999999999999</v>
      </c>
      <c r="CE176" t="s">
        <v>448</v>
      </c>
      <c r="CG176">
        <v>3.4</v>
      </c>
      <c r="CH176">
        <v>3.4</v>
      </c>
      <c r="CI176">
        <v>3.4</v>
      </c>
      <c r="CJ176">
        <v>-0.18</v>
      </c>
      <c r="CK176">
        <v>3.22</v>
      </c>
      <c r="CL176">
        <v>3030</v>
      </c>
    </row>
    <row r="177" spans="1:90" x14ac:dyDescent="0.25">
      <c r="A177">
        <v>33</v>
      </c>
      <c r="B177" t="s">
        <v>456</v>
      </c>
      <c r="C177" t="s">
        <v>672</v>
      </c>
      <c r="D177" t="s">
        <v>888</v>
      </c>
      <c r="E177" t="s">
        <v>394</v>
      </c>
      <c r="F177">
        <v>1652797432</v>
      </c>
      <c r="G177">
        <v>5.8319999999999999</v>
      </c>
      <c r="H177" t="s">
        <v>407</v>
      </c>
      <c r="I177">
        <v>9639114623.4239998</v>
      </c>
      <c r="J177" t="s">
        <v>413</v>
      </c>
      <c r="K177">
        <v>27259477.492222201</v>
      </c>
      <c r="L177">
        <v>0.8</v>
      </c>
      <c r="M177">
        <v>30301010</v>
      </c>
      <c r="N177">
        <v>3030</v>
      </c>
      <c r="O177">
        <v>3.4</v>
      </c>
      <c r="Q177" t="s">
        <v>419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2.1419999999999999</v>
      </c>
      <c r="AR177">
        <v>3.1560000000000001</v>
      </c>
      <c r="AS177" t="s">
        <v>427</v>
      </c>
      <c r="AT177">
        <v>0</v>
      </c>
      <c r="AU177">
        <v>0</v>
      </c>
      <c r="AV177" t="s">
        <v>1104</v>
      </c>
      <c r="AW177">
        <v>0</v>
      </c>
      <c r="AX177">
        <v>0</v>
      </c>
      <c r="AY177">
        <v>0</v>
      </c>
      <c r="CC177">
        <v>2.649</v>
      </c>
      <c r="CE177" t="s">
        <v>448</v>
      </c>
      <c r="CG177">
        <v>3.4</v>
      </c>
      <c r="CH177">
        <v>3.4</v>
      </c>
      <c r="CI177">
        <v>3.4</v>
      </c>
      <c r="CJ177">
        <v>0.18</v>
      </c>
      <c r="CK177">
        <v>3.58</v>
      </c>
      <c r="CL177">
        <v>3030</v>
      </c>
    </row>
    <row r="178" spans="1:90" x14ac:dyDescent="0.25">
      <c r="A178">
        <v>960</v>
      </c>
      <c r="B178" t="s">
        <v>585</v>
      </c>
      <c r="C178" t="s">
        <v>801</v>
      </c>
      <c r="D178" t="s">
        <v>1017</v>
      </c>
      <c r="E178" t="s">
        <v>394</v>
      </c>
      <c r="F178">
        <v>269000000</v>
      </c>
      <c r="G178">
        <v>46.41</v>
      </c>
      <c r="H178" t="s">
        <v>407</v>
      </c>
      <c r="I178">
        <v>12484290000</v>
      </c>
      <c r="J178" t="s">
        <v>413</v>
      </c>
      <c r="K178">
        <v>38384229.348571397</v>
      </c>
      <c r="L178">
        <v>0.95000000000000007</v>
      </c>
      <c r="M178">
        <v>30301010</v>
      </c>
      <c r="N178">
        <v>3030</v>
      </c>
      <c r="O178">
        <v>3.2733333333333299</v>
      </c>
      <c r="P178">
        <v>2.7</v>
      </c>
      <c r="Q178" t="s">
        <v>1097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2.1779999999999999</v>
      </c>
      <c r="AR178">
        <v>2.99</v>
      </c>
      <c r="AS178" t="s">
        <v>427</v>
      </c>
      <c r="AT178">
        <v>0</v>
      </c>
      <c r="AU178">
        <v>0</v>
      </c>
      <c r="AV178" t="s">
        <v>444</v>
      </c>
      <c r="AW178">
        <v>0</v>
      </c>
      <c r="AX178">
        <v>0</v>
      </c>
      <c r="AY178">
        <v>0</v>
      </c>
      <c r="CC178">
        <v>2.5840000000000001</v>
      </c>
      <c r="CE178" t="s">
        <v>448</v>
      </c>
      <c r="CG178">
        <v>3.2733333333333299</v>
      </c>
      <c r="CH178">
        <v>2.7</v>
      </c>
      <c r="CI178">
        <v>2.986666666666665</v>
      </c>
      <c r="CJ178">
        <v>0.3</v>
      </c>
      <c r="CK178">
        <v>3.2866666666666648</v>
      </c>
      <c r="CL178">
        <v>3030</v>
      </c>
    </row>
    <row r="179" spans="1:90" x14ac:dyDescent="0.25">
      <c r="A179">
        <v>1040</v>
      </c>
      <c r="B179" t="s">
        <v>594</v>
      </c>
      <c r="C179" t="s">
        <v>810</v>
      </c>
      <c r="D179" t="s">
        <v>1026</v>
      </c>
      <c r="E179" t="s">
        <v>401</v>
      </c>
      <c r="F179">
        <v>1003123170</v>
      </c>
      <c r="G179">
        <v>6.1172519999999997</v>
      </c>
      <c r="H179" t="s">
        <v>411</v>
      </c>
      <c r="I179">
        <v>6136357217.9288397</v>
      </c>
      <c r="J179" t="s">
        <v>414</v>
      </c>
      <c r="K179">
        <v>10155347.8790746</v>
      </c>
      <c r="L179">
        <v>0.85</v>
      </c>
      <c r="M179">
        <v>30301010</v>
      </c>
      <c r="N179">
        <v>3030</v>
      </c>
      <c r="O179">
        <v>3.2733333333333299</v>
      </c>
      <c r="Q179" t="s">
        <v>417</v>
      </c>
      <c r="R179" t="s">
        <v>420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2.367</v>
      </c>
      <c r="AR179">
        <v>3.11</v>
      </c>
      <c r="AS179" t="s">
        <v>427</v>
      </c>
      <c r="AT179">
        <v>0</v>
      </c>
      <c r="AU179">
        <v>0</v>
      </c>
      <c r="AV179" t="s">
        <v>440</v>
      </c>
      <c r="AW179">
        <v>0</v>
      </c>
      <c r="AX179">
        <v>0</v>
      </c>
      <c r="AY179">
        <v>0</v>
      </c>
      <c r="CC179">
        <v>2.7385000000000002</v>
      </c>
      <c r="CE179" t="s">
        <v>448</v>
      </c>
      <c r="CG179">
        <v>3.2733333333333299</v>
      </c>
      <c r="CH179">
        <v>3.4</v>
      </c>
      <c r="CI179">
        <v>3.3366666666666651</v>
      </c>
      <c r="CJ179">
        <v>-0.24</v>
      </c>
      <c r="CK179">
        <v>3.0966666666666649</v>
      </c>
      <c r="CL179">
        <v>3030</v>
      </c>
    </row>
    <row r="180" spans="1:90" x14ac:dyDescent="0.25">
      <c r="A180">
        <v>1060</v>
      </c>
      <c r="B180" t="s">
        <v>112</v>
      </c>
      <c r="C180" t="s">
        <v>212</v>
      </c>
      <c r="D180" t="s">
        <v>312</v>
      </c>
      <c r="E180" t="s">
        <v>401</v>
      </c>
      <c r="F180">
        <v>2635357200</v>
      </c>
      <c r="G180">
        <v>8.6487789999999993</v>
      </c>
      <c r="H180" t="s">
        <v>411</v>
      </c>
      <c r="I180">
        <v>22792622008.858799</v>
      </c>
      <c r="J180" t="s">
        <v>414</v>
      </c>
      <c r="K180">
        <v>39917806.110014297</v>
      </c>
      <c r="L180">
        <v>0.95</v>
      </c>
      <c r="M180">
        <v>30301010</v>
      </c>
      <c r="N180">
        <v>3030</v>
      </c>
      <c r="O180">
        <v>3.4</v>
      </c>
      <c r="P180">
        <v>1.5</v>
      </c>
      <c r="Q180" t="s">
        <v>418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2.137</v>
      </c>
      <c r="AR180">
        <v>3.0670000000000002</v>
      </c>
      <c r="AS180" t="s">
        <v>427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2.6019999999999999</v>
      </c>
      <c r="CE180" t="s">
        <v>448</v>
      </c>
      <c r="CG180">
        <v>3.4</v>
      </c>
      <c r="CH180">
        <v>1.5</v>
      </c>
      <c r="CI180">
        <v>2.4500000000000002</v>
      </c>
      <c r="CJ180">
        <v>0</v>
      </c>
      <c r="CK180">
        <v>2.4500000000000002</v>
      </c>
      <c r="CL180">
        <v>3030</v>
      </c>
    </row>
    <row r="181" spans="1:90" x14ac:dyDescent="0.25">
      <c r="A181">
        <v>1144</v>
      </c>
      <c r="B181" t="s">
        <v>611</v>
      </c>
      <c r="C181" t="s">
        <v>827</v>
      </c>
      <c r="D181" t="s">
        <v>1043</v>
      </c>
      <c r="E181" t="s">
        <v>397</v>
      </c>
      <c r="F181">
        <v>2690238800</v>
      </c>
      <c r="G181">
        <v>8.06</v>
      </c>
      <c r="H181" t="s">
        <v>407</v>
      </c>
      <c r="I181">
        <v>21683324728</v>
      </c>
      <c r="J181" t="s">
        <v>413</v>
      </c>
      <c r="K181">
        <v>27363741.577966101</v>
      </c>
      <c r="L181">
        <v>0.95</v>
      </c>
      <c r="M181">
        <v>30302025</v>
      </c>
      <c r="N181">
        <v>3030</v>
      </c>
      <c r="O181">
        <v>1.91247625079164</v>
      </c>
      <c r="Q181" t="s">
        <v>418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2.6970000000000001</v>
      </c>
      <c r="AR181">
        <v>3.0529999999999999</v>
      </c>
      <c r="AS181" t="s">
        <v>427</v>
      </c>
      <c r="AT181">
        <v>0</v>
      </c>
      <c r="AU181">
        <v>0</v>
      </c>
      <c r="AV181" t="s">
        <v>436</v>
      </c>
      <c r="AW181">
        <v>0</v>
      </c>
      <c r="AX181">
        <v>0</v>
      </c>
      <c r="AY181">
        <v>0</v>
      </c>
      <c r="CC181">
        <v>2.875</v>
      </c>
      <c r="CE181" t="s">
        <v>448</v>
      </c>
      <c r="CG181">
        <v>1.91247625079164</v>
      </c>
      <c r="CH181">
        <v>3.4</v>
      </c>
      <c r="CI181">
        <v>2.65623812539582</v>
      </c>
      <c r="CJ181">
        <v>0</v>
      </c>
      <c r="CK181">
        <v>2.65623812539582</v>
      </c>
      <c r="CL181">
        <v>3030</v>
      </c>
    </row>
    <row r="182" spans="1:90" x14ac:dyDescent="0.25">
      <c r="A182">
        <v>1170</v>
      </c>
      <c r="B182" t="s">
        <v>617</v>
      </c>
      <c r="C182" t="s">
        <v>833</v>
      </c>
      <c r="D182" t="s">
        <v>1049</v>
      </c>
      <c r="E182" t="s">
        <v>392</v>
      </c>
      <c r="F182">
        <v>179362195</v>
      </c>
      <c r="G182">
        <v>25.66</v>
      </c>
      <c r="H182" t="s">
        <v>407</v>
      </c>
      <c r="I182">
        <v>4602433923.6999998</v>
      </c>
      <c r="J182" t="s">
        <v>413</v>
      </c>
      <c r="K182">
        <v>11100962.8446032</v>
      </c>
      <c r="L182">
        <v>0.85000000000000009</v>
      </c>
      <c r="M182">
        <v>30302020</v>
      </c>
      <c r="N182">
        <v>3030</v>
      </c>
      <c r="O182">
        <v>3.4</v>
      </c>
      <c r="P182">
        <v>1.77</v>
      </c>
      <c r="Q182" t="s">
        <v>418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2.177</v>
      </c>
      <c r="AR182">
        <v>3.2829999999999999</v>
      </c>
      <c r="AS182" t="s">
        <v>427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2.73</v>
      </c>
      <c r="CE182" t="s">
        <v>448</v>
      </c>
      <c r="CG182">
        <v>3.4</v>
      </c>
      <c r="CH182">
        <v>1.77</v>
      </c>
      <c r="CI182">
        <v>2.585</v>
      </c>
      <c r="CJ182">
        <v>0</v>
      </c>
      <c r="CK182">
        <v>2.585</v>
      </c>
      <c r="CL182">
        <v>3030</v>
      </c>
    </row>
    <row r="183" spans="1:90" x14ac:dyDescent="0.25">
      <c r="A183">
        <v>1277</v>
      </c>
      <c r="B183" t="s">
        <v>108</v>
      </c>
      <c r="C183" t="s">
        <v>208</v>
      </c>
      <c r="D183" t="s">
        <v>308</v>
      </c>
      <c r="E183" t="s">
        <v>398</v>
      </c>
      <c r="F183">
        <v>447972681</v>
      </c>
      <c r="G183">
        <v>10.611890000000001</v>
      </c>
      <c r="H183" t="s">
        <v>409</v>
      </c>
      <c r="I183">
        <v>4753836813.7770901</v>
      </c>
      <c r="J183" t="s">
        <v>414</v>
      </c>
      <c r="K183">
        <v>7342922.1966118803</v>
      </c>
      <c r="L183">
        <v>1</v>
      </c>
      <c r="M183">
        <v>30301010</v>
      </c>
      <c r="N183">
        <v>3030</v>
      </c>
      <c r="O183">
        <v>1.9999941425684999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2.2010000000000001</v>
      </c>
      <c r="AR183">
        <v>3.4180000000000001</v>
      </c>
      <c r="AS183" t="s">
        <v>427</v>
      </c>
      <c r="AT183">
        <v>0</v>
      </c>
      <c r="AU183">
        <v>0</v>
      </c>
      <c r="AV183" t="s">
        <v>437</v>
      </c>
      <c r="AW183">
        <v>0</v>
      </c>
      <c r="AX183">
        <v>0</v>
      </c>
      <c r="AY183">
        <v>0</v>
      </c>
      <c r="CC183">
        <v>2.8094999999999999</v>
      </c>
      <c r="CE183" t="s">
        <v>448</v>
      </c>
      <c r="CG183">
        <v>1.9999941425684999</v>
      </c>
      <c r="CH183">
        <v>3.4</v>
      </c>
      <c r="CI183">
        <v>2.6999970712842498</v>
      </c>
      <c r="CJ183">
        <v>-0.24</v>
      </c>
      <c r="CK183">
        <v>2.45999707128425</v>
      </c>
      <c r="CL183">
        <v>3030</v>
      </c>
    </row>
    <row r="184" spans="1:90" x14ac:dyDescent="0.25">
      <c r="A184">
        <v>1309</v>
      </c>
      <c r="B184" t="s">
        <v>638</v>
      </c>
      <c r="C184" t="s">
        <v>854</v>
      </c>
      <c r="D184" t="s">
        <v>1070</v>
      </c>
      <c r="E184" t="s">
        <v>404</v>
      </c>
      <c r="F184">
        <v>28727518</v>
      </c>
      <c r="G184">
        <v>812.77689999999996</v>
      </c>
      <c r="H184" t="s">
        <v>412</v>
      </c>
      <c r="I184">
        <v>23349063024.7342</v>
      </c>
      <c r="J184" t="s">
        <v>414</v>
      </c>
      <c r="K184">
        <v>52686100.382191204</v>
      </c>
      <c r="L184">
        <v>1</v>
      </c>
      <c r="M184">
        <v>30301010</v>
      </c>
      <c r="N184">
        <v>3030</v>
      </c>
      <c r="O184">
        <v>3.4</v>
      </c>
      <c r="P184">
        <v>2.08</v>
      </c>
      <c r="Q184" t="s">
        <v>419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2.0960000000000001</v>
      </c>
      <c r="AR184">
        <v>2.4180000000000001</v>
      </c>
      <c r="AS184" t="s">
        <v>427</v>
      </c>
      <c r="AT184">
        <v>0</v>
      </c>
      <c r="AU184">
        <v>0</v>
      </c>
      <c r="AV184" t="s">
        <v>443</v>
      </c>
      <c r="AW184">
        <v>0</v>
      </c>
      <c r="AX184">
        <v>0</v>
      </c>
      <c r="AY184">
        <v>0</v>
      </c>
      <c r="CC184">
        <v>2.2570000000000001</v>
      </c>
      <c r="CE184" t="s">
        <v>448</v>
      </c>
      <c r="CG184">
        <v>3.4</v>
      </c>
      <c r="CH184">
        <v>2.08</v>
      </c>
      <c r="CI184">
        <v>2.74</v>
      </c>
      <c r="CJ184">
        <v>0.18</v>
      </c>
      <c r="CK184">
        <v>2.92</v>
      </c>
      <c r="CL184">
        <v>3030</v>
      </c>
    </row>
    <row r="185" spans="1:90" x14ac:dyDescent="0.25">
      <c r="A185">
        <v>1311</v>
      </c>
      <c r="B185" t="s">
        <v>640</v>
      </c>
      <c r="C185" t="s">
        <v>856</v>
      </c>
      <c r="D185" t="s">
        <v>1072</v>
      </c>
      <c r="E185" t="s">
        <v>404</v>
      </c>
      <c r="F185">
        <v>317497300</v>
      </c>
      <c r="G185">
        <v>147.05260000000001</v>
      </c>
      <c r="H185" t="s">
        <v>412</v>
      </c>
      <c r="I185">
        <v>46688803457.980003</v>
      </c>
      <c r="J185" t="s">
        <v>414</v>
      </c>
      <c r="K185">
        <v>109881687.206549</v>
      </c>
      <c r="L185">
        <v>0.9</v>
      </c>
      <c r="M185">
        <v>30302020</v>
      </c>
      <c r="N185">
        <v>3030</v>
      </c>
      <c r="O185">
        <v>3.4</v>
      </c>
      <c r="Q185" t="s">
        <v>416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2.278</v>
      </c>
      <c r="AR185">
        <v>3.2930000000000001</v>
      </c>
      <c r="AS185" t="s">
        <v>427</v>
      </c>
      <c r="AT185">
        <v>0</v>
      </c>
      <c r="AU185">
        <v>0</v>
      </c>
      <c r="AV185" t="s">
        <v>443</v>
      </c>
      <c r="AW185">
        <v>0</v>
      </c>
      <c r="AX185">
        <v>0</v>
      </c>
      <c r="AY185">
        <v>0</v>
      </c>
      <c r="CC185">
        <v>2.7854999999999999</v>
      </c>
      <c r="CE185" t="s">
        <v>448</v>
      </c>
      <c r="CG185">
        <v>3.4</v>
      </c>
      <c r="CH185">
        <v>3.4</v>
      </c>
      <c r="CI185">
        <v>3.4</v>
      </c>
      <c r="CJ185">
        <v>-0.18</v>
      </c>
      <c r="CK185">
        <v>3.22</v>
      </c>
      <c r="CL185">
        <v>3030</v>
      </c>
    </row>
    <row r="186" spans="1:90" x14ac:dyDescent="0.25">
      <c r="A186">
        <v>1332</v>
      </c>
      <c r="B186" t="s">
        <v>643</v>
      </c>
      <c r="C186" t="s">
        <v>859</v>
      </c>
      <c r="D186" t="s">
        <v>1075</v>
      </c>
      <c r="E186" t="s">
        <v>396</v>
      </c>
      <c r="F186">
        <v>258229000</v>
      </c>
      <c r="G186">
        <v>83.6</v>
      </c>
      <c r="H186" t="s">
        <v>407</v>
      </c>
      <c r="I186">
        <v>21587944400</v>
      </c>
      <c r="J186" t="s">
        <v>413</v>
      </c>
      <c r="K186">
        <v>8563219.3114754092</v>
      </c>
      <c r="L186">
        <v>0.25</v>
      </c>
      <c r="M186">
        <v>30302020</v>
      </c>
      <c r="N186">
        <v>3030</v>
      </c>
      <c r="O186">
        <v>3.4</v>
      </c>
      <c r="P186">
        <v>3.1</v>
      </c>
      <c r="Q186" t="s">
        <v>416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2.2959999999999998</v>
      </c>
      <c r="AR186">
        <v>2.4860000000000002</v>
      </c>
      <c r="AS186" t="s">
        <v>427</v>
      </c>
      <c r="AT186">
        <v>0</v>
      </c>
      <c r="AU186">
        <v>0</v>
      </c>
      <c r="AV186" t="s">
        <v>435</v>
      </c>
      <c r="AW186">
        <v>0</v>
      </c>
      <c r="AX186">
        <v>0</v>
      </c>
      <c r="AY186">
        <v>0</v>
      </c>
      <c r="CC186">
        <v>2.391</v>
      </c>
      <c r="CE186" t="s">
        <v>448</v>
      </c>
      <c r="CG186">
        <v>3.4</v>
      </c>
      <c r="CH186">
        <v>3.1</v>
      </c>
      <c r="CI186">
        <v>3.25</v>
      </c>
      <c r="CJ186">
        <v>-0.18</v>
      </c>
      <c r="CK186">
        <v>3.07</v>
      </c>
      <c r="CL186">
        <v>3030</v>
      </c>
    </row>
    <row r="187" spans="1:90" x14ac:dyDescent="0.25">
      <c r="A187">
        <v>1416</v>
      </c>
      <c r="B187" t="s">
        <v>651</v>
      </c>
      <c r="C187" t="s">
        <v>867</v>
      </c>
      <c r="D187" t="s">
        <v>1083</v>
      </c>
      <c r="E187" t="s">
        <v>400</v>
      </c>
      <c r="F187">
        <v>616392100</v>
      </c>
      <c r="G187">
        <v>20.120059999999999</v>
      </c>
      <c r="H187" t="s">
        <v>410</v>
      </c>
      <c r="I187">
        <v>12401846035.525999</v>
      </c>
      <c r="J187" t="s">
        <v>414</v>
      </c>
      <c r="K187">
        <v>16625526.2193272</v>
      </c>
      <c r="L187">
        <v>0.5</v>
      </c>
      <c r="M187">
        <v>30302010</v>
      </c>
      <c r="N187">
        <v>3030</v>
      </c>
      <c r="O187">
        <v>3.1466666666666598</v>
      </c>
      <c r="P187">
        <v>2.08</v>
      </c>
      <c r="Q187" t="s">
        <v>1097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2.1019999999999999</v>
      </c>
      <c r="AR187">
        <v>3.028</v>
      </c>
      <c r="AS187" t="s">
        <v>427</v>
      </c>
      <c r="AT187">
        <v>0</v>
      </c>
      <c r="AU187">
        <v>0</v>
      </c>
      <c r="AV187" t="s">
        <v>439</v>
      </c>
      <c r="AW187">
        <v>0</v>
      </c>
      <c r="AX187">
        <v>0</v>
      </c>
      <c r="AY187">
        <v>0</v>
      </c>
      <c r="CC187">
        <v>2.5649999999999999</v>
      </c>
      <c r="CE187" t="s">
        <v>448</v>
      </c>
      <c r="CG187">
        <v>3.1466666666666598</v>
      </c>
      <c r="CH187">
        <v>2.08</v>
      </c>
      <c r="CI187">
        <v>2.6133333333333302</v>
      </c>
      <c r="CJ187">
        <v>0.3</v>
      </c>
      <c r="CK187">
        <v>2.91333333333333</v>
      </c>
      <c r="CL187">
        <v>3030</v>
      </c>
    </row>
    <row r="188" spans="1:90" x14ac:dyDescent="0.25">
      <c r="A188">
        <v>1434</v>
      </c>
      <c r="B188" t="s">
        <v>655</v>
      </c>
      <c r="C188" t="s">
        <v>871</v>
      </c>
      <c r="D188" t="s">
        <v>1087</v>
      </c>
      <c r="E188" t="s">
        <v>402</v>
      </c>
      <c r="F188">
        <v>717473508</v>
      </c>
      <c r="G188">
        <v>13.81</v>
      </c>
      <c r="H188" t="s">
        <v>407</v>
      </c>
      <c r="I188">
        <v>9908309145.4799995</v>
      </c>
      <c r="J188" t="s">
        <v>413</v>
      </c>
      <c r="K188">
        <v>33150047.318852499</v>
      </c>
      <c r="L188">
        <v>0.55000000000000004</v>
      </c>
      <c r="M188">
        <v>30302010</v>
      </c>
      <c r="N188">
        <v>3030</v>
      </c>
      <c r="O188">
        <v>3.4</v>
      </c>
      <c r="P188">
        <v>3.1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2.2250000000000001</v>
      </c>
      <c r="AR188">
        <v>2.2309999999999999</v>
      </c>
      <c r="AS188" t="s">
        <v>427</v>
      </c>
      <c r="AT188">
        <v>0</v>
      </c>
      <c r="AU188">
        <v>0</v>
      </c>
      <c r="AV188" t="s">
        <v>441</v>
      </c>
      <c r="AW188">
        <v>0</v>
      </c>
      <c r="AX188">
        <v>0</v>
      </c>
      <c r="AY188">
        <v>0</v>
      </c>
      <c r="CC188">
        <v>2.2280000000000002</v>
      </c>
      <c r="CE188" t="s">
        <v>448</v>
      </c>
      <c r="CG188">
        <v>3.4</v>
      </c>
      <c r="CH188">
        <v>3.1</v>
      </c>
      <c r="CI188">
        <v>3.25</v>
      </c>
      <c r="CJ188">
        <v>-0.18</v>
      </c>
      <c r="CK188">
        <v>3.07</v>
      </c>
      <c r="CL188">
        <v>3030</v>
      </c>
    </row>
    <row r="189" spans="1:90" x14ac:dyDescent="0.25">
      <c r="A189">
        <v>1546</v>
      </c>
      <c r="B189" t="s">
        <v>113</v>
      </c>
      <c r="C189" t="s">
        <v>213</v>
      </c>
      <c r="D189" t="s">
        <v>313</v>
      </c>
      <c r="E189" t="s">
        <v>404</v>
      </c>
      <c r="F189">
        <v>146355760</v>
      </c>
      <c r="G189">
        <v>614.58010000000002</v>
      </c>
      <c r="H189" t="s">
        <v>412</v>
      </c>
      <c r="I189">
        <v>89947337616.376007</v>
      </c>
      <c r="J189" t="s">
        <v>414</v>
      </c>
      <c r="K189">
        <v>167672036.70820701</v>
      </c>
      <c r="L189">
        <v>1</v>
      </c>
      <c r="M189">
        <v>30302010</v>
      </c>
      <c r="N189">
        <v>3030</v>
      </c>
      <c r="O189">
        <v>2.7666666666666599</v>
      </c>
      <c r="P189">
        <v>2.39</v>
      </c>
      <c r="Q189" t="s">
        <v>416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2.1850000000000001</v>
      </c>
      <c r="AR189">
        <v>3.117</v>
      </c>
      <c r="AS189" t="s">
        <v>427</v>
      </c>
      <c r="AT189">
        <v>0</v>
      </c>
      <c r="AU189">
        <v>0</v>
      </c>
      <c r="AV189" t="s">
        <v>443</v>
      </c>
      <c r="AW189">
        <v>0</v>
      </c>
      <c r="AX189">
        <v>0</v>
      </c>
      <c r="AY189">
        <v>0</v>
      </c>
      <c r="CC189">
        <v>2.6509999999999998</v>
      </c>
      <c r="CE189" t="s">
        <v>448</v>
      </c>
      <c r="CG189">
        <v>2.7666666666666599</v>
      </c>
      <c r="CH189">
        <v>2.39</v>
      </c>
      <c r="CI189">
        <v>2.57833333333333</v>
      </c>
      <c r="CJ189">
        <v>-0.18</v>
      </c>
      <c r="CK189">
        <v>2.3983333333333299</v>
      </c>
      <c r="CL189">
        <v>3030</v>
      </c>
    </row>
    <row r="190" spans="1:90" x14ac:dyDescent="0.25">
      <c r="A190">
        <v>785</v>
      </c>
      <c r="B190" t="s">
        <v>568</v>
      </c>
      <c r="C190" t="s">
        <v>784</v>
      </c>
      <c r="D190" t="s">
        <v>1000</v>
      </c>
      <c r="E190" t="s">
        <v>396</v>
      </c>
      <c r="F190">
        <v>74469666</v>
      </c>
      <c r="G190">
        <v>75.72</v>
      </c>
      <c r="H190" t="s">
        <v>407</v>
      </c>
      <c r="I190">
        <v>5638843109.5200005</v>
      </c>
      <c r="J190" t="s">
        <v>413</v>
      </c>
      <c r="K190">
        <v>13732521.497377099</v>
      </c>
      <c r="L190">
        <v>1</v>
      </c>
      <c r="M190">
        <v>35101010</v>
      </c>
      <c r="N190">
        <v>3510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2.4620000000000002</v>
      </c>
      <c r="AR190">
        <v>3.1539999999999999</v>
      </c>
      <c r="AS190" t="s">
        <v>423</v>
      </c>
      <c r="AT190">
        <v>1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2.8079999999999998</v>
      </c>
      <c r="CE190" t="s">
        <v>448</v>
      </c>
      <c r="CG190">
        <v>3.4</v>
      </c>
      <c r="CH190">
        <v>3.4</v>
      </c>
      <c r="CI190">
        <v>3.4</v>
      </c>
      <c r="CJ190">
        <v>-0.18</v>
      </c>
      <c r="CK190">
        <v>3.22</v>
      </c>
      <c r="CL190">
        <v>3510</v>
      </c>
    </row>
    <row r="191" spans="1:90" x14ac:dyDescent="0.25">
      <c r="A191">
        <v>219</v>
      </c>
      <c r="B191" t="s">
        <v>490</v>
      </c>
      <c r="C191" t="s">
        <v>706</v>
      </c>
      <c r="D191" t="s">
        <v>922</v>
      </c>
      <c r="E191" t="s">
        <v>401</v>
      </c>
      <c r="F191">
        <v>999154240</v>
      </c>
      <c r="G191">
        <v>4.3884629999999998</v>
      </c>
      <c r="H191" t="s">
        <v>411</v>
      </c>
      <c r="I191">
        <v>4384751413.5331202</v>
      </c>
      <c r="J191" t="s">
        <v>414</v>
      </c>
      <c r="K191">
        <v>12488362.472988101</v>
      </c>
      <c r="L191">
        <v>1</v>
      </c>
      <c r="M191">
        <v>35102000</v>
      </c>
      <c r="N191">
        <v>3510</v>
      </c>
      <c r="O191">
        <v>1.9949620053206301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2.6419999999999999</v>
      </c>
      <c r="AR191">
        <v>2.9609999999999999</v>
      </c>
      <c r="AS191" t="s">
        <v>423</v>
      </c>
      <c r="AT191">
        <v>1</v>
      </c>
      <c r="AU191">
        <v>0</v>
      </c>
      <c r="AV191" t="s">
        <v>440</v>
      </c>
      <c r="AW191">
        <v>0</v>
      </c>
      <c r="AX191">
        <v>0</v>
      </c>
      <c r="AY191">
        <v>0</v>
      </c>
      <c r="CC191">
        <v>2.8014999999999999</v>
      </c>
      <c r="CE191" t="s">
        <v>448</v>
      </c>
      <c r="CG191">
        <v>1.9949620053206301</v>
      </c>
      <c r="CH191">
        <v>3.4</v>
      </c>
      <c r="CI191">
        <v>2.6974810026603149</v>
      </c>
      <c r="CJ191">
        <v>-0.18</v>
      </c>
      <c r="CK191">
        <v>2.5174810026603152</v>
      </c>
      <c r="CL191">
        <v>3510</v>
      </c>
    </row>
    <row r="192" spans="1:90" x14ac:dyDescent="0.25">
      <c r="A192">
        <v>539</v>
      </c>
      <c r="B192" t="s">
        <v>135</v>
      </c>
      <c r="C192" t="s">
        <v>235</v>
      </c>
      <c r="D192" t="s">
        <v>335</v>
      </c>
      <c r="E192" t="s">
        <v>392</v>
      </c>
      <c r="F192">
        <v>76738691</v>
      </c>
      <c r="G192">
        <v>91.9</v>
      </c>
      <c r="H192" t="s">
        <v>407</v>
      </c>
      <c r="I192">
        <v>7052285702.9000006</v>
      </c>
      <c r="J192" t="s">
        <v>413</v>
      </c>
      <c r="K192">
        <v>10616904.702777799</v>
      </c>
      <c r="L192">
        <v>0.60000000000000009</v>
      </c>
      <c r="M192">
        <v>35102030</v>
      </c>
      <c r="N192">
        <v>3510</v>
      </c>
      <c r="O192">
        <v>2.2375872094998699</v>
      </c>
      <c r="P192">
        <v>2.08</v>
      </c>
      <c r="Q192" t="s">
        <v>416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2.1800000000000002</v>
      </c>
      <c r="AR192">
        <v>3.1019999999999999</v>
      </c>
      <c r="AS192" t="s">
        <v>423</v>
      </c>
      <c r="AT192">
        <v>1</v>
      </c>
      <c r="AU192">
        <v>0</v>
      </c>
      <c r="AV192" t="s">
        <v>431</v>
      </c>
      <c r="AW192">
        <v>0</v>
      </c>
      <c r="AX192">
        <v>0</v>
      </c>
      <c r="AY192">
        <v>0</v>
      </c>
      <c r="CC192">
        <v>2.641</v>
      </c>
      <c r="CE192" t="s">
        <v>448</v>
      </c>
      <c r="CG192">
        <v>2.2375872094998699</v>
      </c>
      <c r="CH192">
        <v>2.08</v>
      </c>
      <c r="CI192">
        <v>2.1587936047499352</v>
      </c>
      <c r="CJ192">
        <v>-0.18</v>
      </c>
      <c r="CK192">
        <v>1.978793604749935</v>
      </c>
      <c r="CL192">
        <v>3510</v>
      </c>
    </row>
    <row r="193" spans="1:90" x14ac:dyDescent="0.25">
      <c r="A193">
        <v>32</v>
      </c>
      <c r="B193" t="s">
        <v>455</v>
      </c>
      <c r="C193" t="s">
        <v>671</v>
      </c>
      <c r="D193" t="s">
        <v>887</v>
      </c>
      <c r="E193" t="s">
        <v>405</v>
      </c>
      <c r="F193">
        <v>47550119</v>
      </c>
      <c r="G193">
        <v>61.3</v>
      </c>
      <c r="H193" t="s">
        <v>407</v>
      </c>
      <c r="I193">
        <v>2914822294.6999998</v>
      </c>
      <c r="J193" t="s">
        <v>413</v>
      </c>
      <c r="K193">
        <v>3337881.6650793599</v>
      </c>
      <c r="L193">
        <v>1</v>
      </c>
      <c r="M193">
        <v>35102010</v>
      </c>
      <c r="N193">
        <v>3510</v>
      </c>
      <c r="O193">
        <v>2.9403972222394801</v>
      </c>
      <c r="Q193" t="s">
        <v>419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2.1819999999999999</v>
      </c>
      <c r="AR193">
        <v>2.1989999999999998</v>
      </c>
      <c r="AS193" t="s">
        <v>423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2.1905000000000001</v>
      </c>
      <c r="CE193" t="s">
        <v>448</v>
      </c>
      <c r="CG193">
        <v>2.9403972222394801</v>
      </c>
      <c r="CH193">
        <v>3.4</v>
      </c>
      <c r="CI193">
        <v>3.1701986111197402</v>
      </c>
      <c r="CJ193">
        <v>0.18</v>
      </c>
      <c r="CK193">
        <v>3.3501986111197399</v>
      </c>
      <c r="CL193">
        <v>3510</v>
      </c>
    </row>
    <row r="194" spans="1:90" x14ac:dyDescent="0.25">
      <c r="A194">
        <v>61</v>
      </c>
      <c r="B194" t="s">
        <v>461</v>
      </c>
      <c r="C194" t="s">
        <v>677</v>
      </c>
      <c r="D194" t="s">
        <v>893</v>
      </c>
      <c r="E194" t="s">
        <v>404</v>
      </c>
      <c r="F194">
        <v>16592821</v>
      </c>
      <c r="G194">
        <v>184.16139999999999</v>
      </c>
      <c r="H194" t="s">
        <v>412</v>
      </c>
      <c r="I194">
        <v>3055757145.3094001</v>
      </c>
      <c r="J194" t="s">
        <v>414</v>
      </c>
      <c r="K194">
        <v>5547061.9211534001</v>
      </c>
      <c r="L194">
        <v>0.95</v>
      </c>
      <c r="M194">
        <v>35101010</v>
      </c>
      <c r="N194">
        <v>3510</v>
      </c>
      <c r="Q194" t="s">
        <v>416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1.81</v>
      </c>
      <c r="AR194">
        <v>2.5760000000000001</v>
      </c>
      <c r="AS194" t="s">
        <v>423</v>
      </c>
      <c r="AT194">
        <v>1</v>
      </c>
      <c r="AU194">
        <v>0</v>
      </c>
      <c r="AV194" t="s">
        <v>443</v>
      </c>
      <c r="AW194">
        <v>0</v>
      </c>
      <c r="AX194">
        <v>0</v>
      </c>
      <c r="AY194">
        <v>0</v>
      </c>
      <c r="CC194">
        <v>2.1930000000000001</v>
      </c>
      <c r="CE194" t="s">
        <v>448</v>
      </c>
      <c r="CG194">
        <v>3.4</v>
      </c>
      <c r="CH194">
        <v>3.4</v>
      </c>
      <c r="CI194">
        <v>3.4</v>
      </c>
      <c r="CJ194">
        <v>-0.18</v>
      </c>
      <c r="CK194">
        <v>3.22</v>
      </c>
      <c r="CL194">
        <v>3510</v>
      </c>
    </row>
    <row r="195" spans="1:90" x14ac:dyDescent="0.25">
      <c r="A195">
        <v>754</v>
      </c>
      <c r="B195" t="s">
        <v>566</v>
      </c>
      <c r="C195" t="s">
        <v>782</v>
      </c>
      <c r="D195" t="s">
        <v>998</v>
      </c>
      <c r="E195" t="s">
        <v>392</v>
      </c>
      <c r="F195">
        <v>286861172</v>
      </c>
      <c r="G195">
        <v>30.28</v>
      </c>
      <c r="H195" t="s">
        <v>407</v>
      </c>
      <c r="I195">
        <v>8686156288.1599998</v>
      </c>
      <c r="J195" t="s">
        <v>413</v>
      </c>
      <c r="K195">
        <v>17079656.9850794</v>
      </c>
      <c r="L195">
        <v>0.75</v>
      </c>
      <c r="M195">
        <v>35102045</v>
      </c>
      <c r="N195">
        <v>3510</v>
      </c>
      <c r="O195">
        <v>1.99471520451756</v>
      </c>
      <c r="Q195" t="s">
        <v>415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2.2109999999999999</v>
      </c>
      <c r="AR195">
        <v>2.3570000000000002</v>
      </c>
      <c r="AS195" t="s">
        <v>423</v>
      </c>
      <c r="AT195">
        <v>1</v>
      </c>
      <c r="AU195">
        <v>0</v>
      </c>
      <c r="AV195" t="s">
        <v>431</v>
      </c>
      <c r="AW195">
        <v>0</v>
      </c>
      <c r="AX195">
        <v>0</v>
      </c>
      <c r="AY195">
        <v>0</v>
      </c>
      <c r="CC195">
        <v>2.2839999999999998</v>
      </c>
      <c r="CE195" t="s">
        <v>448</v>
      </c>
      <c r="CG195">
        <v>1.99471520451756</v>
      </c>
      <c r="CH195">
        <v>3.4</v>
      </c>
      <c r="CI195">
        <v>2.69735760225878</v>
      </c>
      <c r="CJ195">
        <v>-0.3</v>
      </c>
      <c r="CK195">
        <v>2.3973576022587801</v>
      </c>
      <c r="CL195">
        <v>3510</v>
      </c>
    </row>
    <row r="196" spans="1:90" x14ac:dyDescent="0.25">
      <c r="A196">
        <v>862</v>
      </c>
      <c r="B196" t="s">
        <v>114</v>
      </c>
      <c r="C196" t="s">
        <v>214</v>
      </c>
      <c r="D196" t="s">
        <v>314</v>
      </c>
      <c r="E196" t="s">
        <v>399</v>
      </c>
      <c r="F196">
        <v>563724900</v>
      </c>
      <c r="G196">
        <v>10.87</v>
      </c>
      <c r="H196" t="s">
        <v>407</v>
      </c>
      <c r="I196">
        <v>6127689663</v>
      </c>
      <c r="J196" t="s">
        <v>413</v>
      </c>
      <c r="K196">
        <v>8755069.4216968194</v>
      </c>
      <c r="L196">
        <v>0.65</v>
      </c>
      <c r="M196">
        <v>35102000</v>
      </c>
      <c r="N196">
        <v>3510</v>
      </c>
      <c r="O196">
        <v>1.7450067698613001</v>
      </c>
      <c r="Q196" t="s">
        <v>416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2.177</v>
      </c>
      <c r="AR196">
        <v>2.6259999999999999</v>
      </c>
      <c r="AS196" t="s">
        <v>423</v>
      </c>
      <c r="AT196">
        <v>1</v>
      </c>
      <c r="AU196">
        <v>0</v>
      </c>
      <c r="AV196" t="s">
        <v>438</v>
      </c>
      <c r="AW196">
        <v>0</v>
      </c>
      <c r="AX196">
        <v>0</v>
      </c>
      <c r="AY196">
        <v>0</v>
      </c>
      <c r="CC196">
        <v>2.4015</v>
      </c>
      <c r="CE196" t="s">
        <v>448</v>
      </c>
      <c r="CG196">
        <v>1.7450067698613001</v>
      </c>
      <c r="CH196">
        <v>3.4</v>
      </c>
      <c r="CI196">
        <v>2.5725033849306498</v>
      </c>
      <c r="CJ196">
        <v>-0.18</v>
      </c>
      <c r="CK196">
        <v>2.3925033849306501</v>
      </c>
      <c r="CL196">
        <v>3510</v>
      </c>
    </row>
    <row r="197" spans="1:90" x14ac:dyDescent="0.25">
      <c r="A197">
        <v>781</v>
      </c>
      <c r="B197" t="s">
        <v>183</v>
      </c>
      <c r="C197" t="s">
        <v>283</v>
      </c>
      <c r="D197" t="s">
        <v>383</v>
      </c>
      <c r="E197" t="s">
        <v>401</v>
      </c>
      <c r="F197">
        <v>744937900</v>
      </c>
      <c r="G197">
        <v>6.8970200000000004</v>
      </c>
      <c r="H197" t="s">
        <v>411</v>
      </c>
      <c r="I197">
        <v>5137851595.0580006</v>
      </c>
      <c r="J197" t="s">
        <v>414</v>
      </c>
      <c r="K197">
        <v>14821728.319426199</v>
      </c>
      <c r="L197">
        <v>1</v>
      </c>
      <c r="M197">
        <v>35102000</v>
      </c>
      <c r="N197">
        <v>3510</v>
      </c>
      <c r="O197">
        <v>1.7395630247731899</v>
      </c>
      <c r="P197">
        <v>1.5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2.242</v>
      </c>
      <c r="AR197">
        <v>2.879</v>
      </c>
      <c r="AS197" t="s">
        <v>423</v>
      </c>
      <c r="AT197">
        <v>1</v>
      </c>
      <c r="AU197">
        <v>0</v>
      </c>
      <c r="AV197" t="s">
        <v>440</v>
      </c>
      <c r="AW197">
        <v>0</v>
      </c>
      <c r="AX197">
        <v>0</v>
      </c>
      <c r="AY197">
        <v>0</v>
      </c>
      <c r="CC197">
        <v>2.5605000000000002</v>
      </c>
      <c r="CE197" t="s">
        <v>448</v>
      </c>
      <c r="CG197">
        <v>1.7395630247731899</v>
      </c>
      <c r="CH197">
        <v>1.5</v>
      </c>
      <c r="CI197">
        <v>1.6197815123865951</v>
      </c>
      <c r="CJ197">
        <v>-0.3</v>
      </c>
      <c r="CK197">
        <v>1.319781512386595</v>
      </c>
      <c r="CL197">
        <v>3510</v>
      </c>
    </row>
    <row r="198" spans="1:90" x14ac:dyDescent="0.25">
      <c r="A198">
        <v>254</v>
      </c>
      <c r="B198" t="s">
        <v>93</v>
      </c>
      <c r="C198" t="s">
        <v>193</v>
      </c>
      <c r="D198" t="s">
        <v>293</v>
      </c>
      <c r="E198" t="s">
        <v>393</v>
      </c>
      <c r="F198">
        <v>492601440</v>
      </c>
      <c r="G198">
        <v>10.556570000000001</v>
      </c>
      <c r="H198" t="s">
        <v>408</v>
      </c>
      <c r="I198">
        <v>5200181583.4608002</v>
      </c>
      <c r="J198" t="s">
        <v>414</v>
      </c>
      <c r="K198">
        <v>15217501.354249701</v>
      </c>
      <c r="L198">
        <v>0.9</v>
      </c>
      <c r="M198">
        <v>35101010</v>
      </c>
      <c r="N198">
        <v>3510</v>
      </c>
      <c r="O198">
        <v>1.9835888454470301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2.359</v>
      </c>
      <c r="AR198">
        <v>2.6629999999999998</v>
      </c>
      <c r="AS198" t="s">
        <v>423</v>
      </c>
      <c r="AT198">
        <v>1</v>
      </c>
      <c r="AU198">
        <v>1</v>
      </c>
      <c r="AV198" t="s">
        <v>432</v>
      </c>
      <c r="AW198">
        <v>0</v>
      </c>
      <c r="AX198">
        <v>0</v>
      </c>
      <c r="AY198">
        <v>0</v>
      </c>
      <c r="CC198">
        <v>2.5110000000000001</v>
      </c>
      <c r="CE198" t="s">
        <v>448</v>
      </c>
      <c r="CG198">
        <v>1.9835888454470301</v>
      </c>
      <c r="CH198">
        <v>3.4</v>
      </c>
      <c r="CI198">
        <v>2.6917944227235151</v>
      </c>
      <c r="CJ198">
        <v>-0.3</v>
      </c>
      <c r="CK198">
        <v>2.3917944227235148</v>
      </c>
      <c r="CL198">
        <v>3510</v>
      </c>
    </row>
    <row r="199" spans="1:90" x14ac:dyDescent="0.25">
      <c r="A199">
        <v>1111</v>
      </c>
      <c r="B199" t="s">
        <v>606</v>
      </c>
      <c r="C199" t="s">
        <v>822</v>
      </c>
      <c r="D199" t="s">
        <v>1038</v>
      </c>
      <c r="E199" t="s">
        <v>401</v>
      </c>
      <c r="F199">
        <v>783508360</v>
      </c>
      <c r="G199">
        <v>7.8943979999999998</v>
      </c>
      <c r="H199" t="s">
        <v>411</v>
      </c>
      <c r="I199">
        <v>6185326830.1672802</v>
      </c>
      <c r="J199" t="s">
        <v>414</v>
      </c>
      <c r="K199">
        <v>9850003.0018964</v>
      </c>
      <c r="L199">
        <v>1</v>
      </c>
      <c r="M199">
        <v>35101015</v>
      </c>
      <c r="N199">
        <v>3510</v>
      </c>
      <c r="O199">
        <v>1.7117210497947599</v>
      </c>
      <c r="Q199" t="s">
        <v>422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2.13</v>
      </c>
      <c r="AR199">
        <v>2.8439999999999999</v>
      </c>
      <c r="AS199" t="s">
        <v>424</v>
      </c>
      <c r="AT199">
        <v>0</v>
      </c>
      <c r="AU199">
        <v>0</v>
      </c>
      <c r="AV199" t="s">
        <v>440</v>
      </c>
      <c r="AW199">
        <v>0</v>
      </c>
      <c r="AX199">
        <v>0</v>
      </c>
      <c r="AY199">
        <v>0</v>
      </c>
      <c r="CC199">
        <v>2.4870000000000001</v>
      </c>
      <c r="CE199" t="s">
        <v>448</v>
      </c>
      <c r="CG199">
        <v>1.7117210497947599</v>
      </c>
      <c r="CH199">
        <v>3.4</v>
      </c>
      <c r="CI199">
        <v>2.5558605248973798</v>
      </c>
      <c r="CJ199">
        <v>0.3</v>
      </c>
      <c r="CK199">
        <v>2.8558605248973801</v>
      </c>
      <c r="CL199">
        <v>3510</v>
      </c>
    </row>
    <row r="200" spans="1:90" x14ac:dyDescent="0.25">
      <c r="A200">
        <v>1181</v>
      </c>
      <c r="B200" t="s">
        <v>621</v>
      </c>
      <c r="C200" t="s">
        <v>837</v>
      </c>
      <c r="D200" t="s">
        <v>1053</v>
      </c>
      <c r="E200" t="s">
        <v>401</v>
      </c>
      <c r="F200">
        <v>1352862500</v>
      </c>
      <c r="G200">
        <v>8.5883319999999994</v>
      </c>
      <c r="H200" t="s">
        <v>411</v>
      </c>
      <c r="I200">
        <v>11618832300.35</v>
      </c>
      <c r="J200" t="s">
        <v>414</v>
      </c>
      <c r="K200">
        <v>20340262.9003166</v>
      </c>
      <c r="L200">
        <v>0.9</v>
      </c>
      <c r="M200">
        <v>35102020</v>
      </c>
      <c r="N200">
        <v>3510</v>
      </c>
      <c r="O200">
        <v>2.6430599755841402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2.214</v>
      </c>
      <c r="AR200">
        <v>3.1850000000000001</v>
      </c>
      <c r="AS200" t="s">
        <v>423</v>
      </c>
      <c r="AT200">
        <v>1</v>
      </c>
      <c r="AU200">
        <v>0</v>
      </c>
      <c r="AV200" t="s">
        <v>440</v>
      </c>
      <c r="AW200">
        <v>0</v>
      </c>
      <c r="AX200">
        <v>0</v>
      </c>
      <c r="AY200">
        <v>0</v>
      </c>
      <c r="CC200">
        <v>2.6995</v>
      </c>
      <c r="CE200" t="s">
        <v>448</v>
      </c>
      <c r="CG200">
        <v>2.6430599755841402</v>
      </c>
      <c r="CH200">
        <v>3.4</v>
      </c>
      <c r="CI200">
        <v>3.02152998779207</v>
      </c>
      <c r="CJ200">
        <v>-0.3</v>
      </c>
      <c r="CK200">
        <v>2.7215299877920698</v>
      </c>
      <c r="CL200">
        <v>3510</v>
      </c>
    </row>
    <row r="201" spans="1:90" x14ac:dyDescent="0.25">
      <c r="A201">
        <v>1310</v>
      </c>
      <c r="B201" t="s">
        <v>639</v>
      </c>
      <c r="C201" t="s">
        <v>855</v>
      </c>
      <c r="D201" t="s">
        <v>1071</v>
      </c>
      <c r="E201" t="s">
        <v>404</v>
      </c>
      <c r="F201">
        <v>77307550</v>
      </c>
      <c r="G201">
        <v>115.36669999999999</v>
      </c>
      <c r="H201" t="s">
        <v>412</v>
      </c>
      <c r="I201">
        <v>8918716928.5849991</v>
      </c>
      <c r="J201" t="s">
        <v>414</v>
      </c>
      <c r="K201">
        <v>14630639.937562499</v>
      </c>
      <c r="L201">
        <v>1</v>
      </c>
      <c r="M201">
        <v>35101010</v>
      </c>
      <c r="N201">
        <v>3510</v>
      </c>
      <c r="O201">
        <v>3.4</v>
      </c>
      <c r="Q201" t="s">
        <v>422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1.9770000000000001</v>
      </c>
      <c r="AR201">
        <v>2.9020000000000001</v>
      </c>
      <c r="AS201" t="s">
        <v>423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2.4394999999999998</v>
      </c>
      <c r="CE201" t="s">
        <v>448</v>
      </c>
      <c r="CG201">
        <v>3.4</v>
      </c>
      <c r="CH201">
        <v>3.4</v>
      </c>
      <c r="CI201">
        <v>3.4</v>
      </c>
      <c r="CJ201">
        <v>0.3</v>
      </c>
      <c r="CK201">
        <v>3.7</v>
      </c>
      <c r="CL201">
        <v>3510</v>
      </c>
    </row>
    <row r="202" spans="1:90" x14ac:dyDescent="0.25">
      <c r="A202">
        <v>1414</v>
      </c>
      <c r="B202" t="s">
        <v>650</v>
      </c>
      <c r="C202" t="s">
        <v>866</v>
      </c>
      <c r="D202" t="s">
        <v>1082</v>
      </c>
      <c r="E202" t="s">
        <v>401</v>
      </c>
      <c r="F202">
        <v>2480677500</v>
      </c>
      <c r="G202">
        <v>1.7698929999999999</v>
      </c>
      <c r="H202" t="s">
        <v>411</v>
      </c>
      <c r="I202">
        <v>4390533742.5074997</v>
      </c>
      <c r="J202" t="s">
        <v>414</v>
      </c>
      <c r="K202">
        <v>7722815.8409963399</v>
      </c>
      <c r="L202">
        <v>0.9</v>
      </c>
      <c r="M202">
        <v>35102070</v>
      </c>
      <c r="N202">
        <v>3510</v>
      </c>
      <c r="O202">
        <v>2.4391719121134199</v>
      </c>
      <c r="Q202" t="s">
        <v>416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2.1179999999999999</v>
      </c>
      <c r="AR202">
        <v>2.5339999999999998</v>
      </c>
      <c r="AS202" t="s">
        <v>423</v>
      </c>
      <c r="AT202">
        <v>1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2.3260000000000001</v>
      </c>
      <c r="CE202" t="s">
        <v>448</v>
      </c>
      <c r="CG202">
        <v>2.4391719121134199</v>
      </c>
      <c r="CH202">
        <v>3.4</v>
      </c>
      <c r="CI202">
        <v>2.9195859560567099</v>
      </c>
      <c r="CJ202">
        <v>-0.18</v>
      </c>
      <c r="CK202">
        <v>2.7395859560567102</v>
      </c>
      <c r="CL202">
        <v>3510</v>
      </c>
    </row>
    <row r="203" spans="1:90" x14ac:dyDescent="0.25">
      <c r="A203">
        <v>1429</v>
      </c>
      <c r="B203" t="s">
        <v>138</v>
      </c>
      <c r="C203" t="s">
        <v>238</v>
      </c>
      <c r="D203" t="s">
        <v>338</v>
      </c>
      <c r="E203" t="s">
        <v>392</v>
      </c>
      <c r="F203">
        <v>142625428</v>
      </c>
      <c r="G203">
        <v>82.02</v>
      </c>
      <c r="H203" t="s">
        <v>407</v>
      </c>
      <c r="I203">
        <v>11698137604.559999</v>
      </c>
      <c r="J203" t="s">
        <v>413</v>
      </c>
      <c r="K203">
        <v>24417917.903809499</v>
      </c>
      <c r="L203">
        <v>0.85000000000000009</v>
      </c>
      <c r="M203">
        <v>35102045</v>
      </c>
      <c r="N203">
        <v>3510</v>
      </c>
      <c r="O203">
        <v>1.7463750143176899</v>
      </c>
      <c r="P203">
        <v>2.7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2.6110000000000002</v>
      </c>
      <c r="AR203">
        <v>3.1669999999999998</v>
      </c>
      <c r="AS203" t="s">
        <v>423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2.8889999999999998</v>
      </c>
      <c r="CE203" t="s">
        <v>448</v>
      </c>
      <c r="CG203">
        <v>1.7463750143176899</v>
      </c>
      <c r="CH203">
        <v>2.7</v>
      </c>
      <c r="CI203">
        <v>2.2231875071588449</v>
      </c>
      <c r="CJ203">
        <v>-0.3</v>
      </c>
      <c r="CK203">
        <v>1.9231875071588449</v>
      </c>
      <c r="CL203">
        <v>3510</v>
      </c>
    </row>
    <row r="204" spans="1:90" x14ac:dyDescent="0.25">
      <c r="A204">
        <v>1436</v>
      </c>
      <c r="B204" t="s">
        <v>656</v>
      </c>
      <c r="C204" t="s">
        <v>872</v>
      </c>
      <c r="D204" t="s">
        <v>1088</v>
      </c>
      <c r="E204" t="s">
        <v>401</v>
      </c>
      <c r="F204">
        <v>488792080</v>
      </c>
      <c r="G204">
        <v>10.40296</v>
      </c>
      <c r="H204" t="s">
        <v>411</v>
      </c>
      <c r="I204">
        <v>5084884456.5567999</v>
      </c>
      <c r="J204" t="s">
        <v>414</v>
      </c>
      <c r="K204">
        <v>7898997.63288505</v>
      </c>
      <c r="L204">
        <v>0.9</v>
      </c>
      <c r="M204">
        <v>35102040</v>
      </c>
      <c r="N204">
        <v>3510</v>
      </c>
      <c r="O204">
        <v>1.94404522330952</v>
      </c>
      <c r="Q204" t="s">
        <v>419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2.089</v>
      </c>
      <c r="AR204">
        <v>2.8769999999999998</v>
      </c>
      <c r="AS204" t="s">
        <v>423</v>
      </c>
      <c r="AT204">
        <v>1</v>
      </c>
      <c r="AU204">
        <v>0</v>
      </c>
      <c r="AV204" t="s">
        <v>440</v>
      </c>
      <c r="AW204">
        <v>0</v>
      </c>
      <c r="AX204">
        <v>0</v>
      </c>
      <c r="AY204">
        <v>0</v>
      </c>
      <c r="CC204">
        <v>2.4830000000000001</v>
      </c>
      <c r="CE204" t="s">
        <v>448</v>
      </c>
      <c r="CG204">
        <v>1.94404522330952</v>
      </c>
      <c r="CH204">
        <v>3.4</v>
      </c>
      <c r="CI204">
        <v>2.6720226116547598</v>
      </c>
      <c r="CJ204">
        <v>0.18</v>
      </c>
      <c r="CK204">
        <v>2.85202261165476</v>
      </c>
      <c r="CL204">
        <v>3510</v>
      </c>
    </row>
    <row r="205" spans="1:90" x14ac:dyDescent="0.25">
      <c r="A205">
        <v>1475</v>
      </c>
      <c r="B205" t="s">
        <v>659</v>
      </c>
      <c r="C205" t="s">
        <v>875</v>
      </c>
      <c r="D205" t="s">
        <v>1091</v>
      </c>
      <c r="E205" t="s">
        <v>396</v>
      </c>
      <c r="F205">
        <v>822852900</v>
      </c>
      <c r="G205">
        <v>28.49</v>
      </c>
      <c r="H205" t="s">
        <v>407</v>
      </c>
      <c r="I205">
        <v>23443079121</v>
      </c>
      <c r="J205" t="s">
        <v>413</v>
      </c>
      <c r="K205">
        <v>58053347.874098398</v>
      </c>
      <c r="L205">
        <v>0.85</v>
      </c>
      <c r="M205">
        <v>35101010</v>
      </c>
      <c r="N205">
        <v>3510</v>
      </c>
      <c r="O205">
        <v>1.8469209156492401</v>
      </c>
      <c r="Q205" t="s">
        <v>416</v>
      </c>
      <c r="R205" t="s">
        <v>420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2.3359999999999999</v>
      </c>
      <c r="AR205">
        <v>2.91</v>
      </c>
      <c r="AS205" t="s">
        <v>423</v>
      </c>
      <c r="AT205">
        <v>1</v>
      </c>
      <c r="AU205">
        <v>0</v>
      </c>
      <c r="AV205" t="s">
        <v>435</v>
      </c>
      <c r="AW205">
        <v>0</v>
      </c>
      <c r="AX205">
        <v>0</v>
      </c>
      <c r="AY205">
        <v>0</v>
      </c>
      <c r="CC205">
        <v>2.6230000000000002</v>
      </c>
      <c r="CE205" t="s">
        <v>448</v>
      </c>
      <c r="CG205">
        <v>1.8469209156492401</v>
      </c>
      <c r="CH205">
        <v>3.4</v>
      </c>
      <c r="CI205">
        <v>2.6234604578246201</v>
      </c>
      <c r="CJ205">
        <v>-0.18</v>
      </c>
      <c r="CK205">
        <v>2.44346045782462</v>
      </c>
      <c r="CL205">
        <v>3510</v>
      </c>
    </row>
    <row r="206" spans="1:90" x14ac:dyDescent="0.25">
      <c r="A206">
        <v>1488</v>
      </c>
      <c r="B206" t="s">
        <v>660</v>
      </c>
      <c r="C206" t="s">
        <v>876</v>
      </c>
      <c r="D206" t="s">
        <v>1092</v>
      </c>
      <c r="E206" t="s">
        <v>405</v>
      </c>
      <c r="F206">
        <v>225845971</v>
      </c>
      <c r="G206">
        <v>20.96</v>
      </c>
      <c r="H206" t="s">
        <v>407</v>
      </c>
      <c r="I206">
        <v>4733731552.1599998</v>
      </c>
      <c r="J206" t="s">
        <v>413</v>
      </c>
      <c r="K206">
        <v>8979727.3103968203</v>
      </c>
      <c r="L206">
        <v>0.8</v>
      </c>
      <c r="M206">
        <v>35102020</v>
      </c>
      <c r="N206">
        <v>3510</v>
      </c>
      <c r="O206">
        <v>3.3551264172679298</v>
      </c>
      <c r="Q206" t="s">
        <v>416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2.13</v>
      </c>
      <c r="AR206">
        <v>2.68</v>
      </c>
      <c r="AS206" t="s">
        <v>423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2.4049999999999998</v>
      </c>
      <c r="CE206" t="s">
        <v>448</v>
      </c>
      <c r="CG206">
        <v>3.3551264172679298</v>
      </c>
      <c r="CH206">
        <v>3.4</v>
      </c>
      <c r="CI206">
        <v>3.3775632086339651</v>
      </c>
      <c r="CJ206">
        <v>-0.18</v>
      </c>
      <c r="CK206">
        <v>3.197563208633964</v>
      </c>
      <c r="CL206">
        <v>3510</v>
      </c>
    </row>
    <row r="207" spans="1:90" x14ac:dyDescent="0.25">
      <c r="A207">
        <v>202</v>
      </c>
      <c r="B207" t="s">
        <v>170</v>
      </c>
      <c r="C207" t="s">
        <v>270</v>
      </c>
      <c r="D207" t="s">
        <v>370</v>
      </c>
      <c r="E207" t="s">
        <v>396</v>
      </c>
      <c r="F207">
        <v>579795650</v>
      </c>
      <c r="G207">
        <v>82.58</v>
      </c>
      <c r="H207" t="s">
        <v>407</v>
      </c>
      <c r="I207">
        <v>47879524777</v>
      </c>
      <c r="J207" t="s">
        <v>413</v>
      </c>
      <c r="K207">
        <v>97231108.921311393</v>
      </c>
      <c r="L207">
        <v>0.5</v>
      </c>
      <c r="M207">
        <v>40101020</v>
      </c>
      <c r="N207">
        <v>4010</v>
      </c>
      <c r="O207">
        <v>1.7483805263697001</v>
      </c>
      <c r="P207">
        <v>1.5</v>
      </c>
      <c r="Q207" t="s">
        <v>417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2.3959999999999999</v>
      </c>
      <c r="AR207">
        <v>2.3119999999999998</v>
      </c>
      <c r="AS207" t="s">
        <v>418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2.3540000000000001</v>
      </c>
      <c r="CE207" t="s">
        <v>448</v>
      </c>
      <c r="CG207">
        <v>1.7483805263697001</v>
      </c>
      <c r="CH207">
        <v>1.5</v>
      </c>
      <c r="CI207">
        <v>1.6241902631848499</v>
      </c>
      <c r="CJ207">
        <v>-0.24</v>
      </c>
      <c r="CK207">
        <v>1.3841902631848499</v>
      </c>
      <c r="CL207">
        <v>4010</v>
      </c>
    </row>
    <row r="208" spans="1:90" x14ac:dyDescent="0.25">
      <c r="A208">
        <v>857</v>
      </c>
      <c r="B208" t="s">
        <v>578</v>
      </c>
      <c r="C208" t="s">
        <v>794</v>
      </c>
      <c r="D208" t="s">
        <v>1010</v>
      </c>
      <c r="E208" t="s">
        <v>396</v>
      </c>
      <c r="F208">
        <v>962903700</v>
      </c>
      <c r="G208">
        <v>58.8</v>
      </c>
      <c r="H208" t="s">
        <v>407</v>
      </c>
      <c r="I208">
        <v>56618737560</v>
      </c>
      <c r="J208" t="s">
        <v>413</v>
      </c>
      <c r="K208">
        <v>145505164.78811499</v>
      </c>
      <c r="L208">
        <v>0.7</v>
      </c>
      <c r="M208">
        <v>40101020</v>
      </c>
      <c r="N208">
        <v>4010</v>
      </c>
      <c r="O208">
        <v>1.7486763088456401</v>
      </c>
      <c r="Q208" t="s">
        <v>416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2.3380000000000001</v>
      </c>
      <c r="AR208">
        <v>2.165</v>
      </c>
      <c r="AS208" t="s">
        <v>418</v>
      </c>
      <c r="AT208">
        <v>1</v>
      </c>
      <c r="AU208">
        <v>0</v>
      </c>
      <c r="AV208" t="s">
        <v>435</v>
      </c>
      <c r="AW208">
        <v>0</v>
      </c>
      <c r="AX208">
        <v>0</v>
      </c>
      <c r="AY208">
        <v>0</v>
      </c>
      <c r="CC208">
        <v>2.2515000000000001</v>
      </c>
      <c r="CE208" t="s">
        <v>448</v>
      </c>
      <c r="CG208">
        <v>1.7486763088456401</v>
      </c>
      <c r="CH208">
        <v>3.4</v>
      </c>
      <c r="CI208">
        <v>2.5743381544228199</v>
      </c>
      <c r="CJ208">
        <v>-0.18</v>
      </c>
      <c r="CK208">
        <v>2.3943381544228202</v>
      </c>
      <c r="CL208">
        <v>4010</v>
      </c>
    </row>
    <row r="209" spans="1:90" x14ac:dyDescent="0.25">
      <c r="A209">
        <v>321</v>
      </c>
      <c r="B209" t="s">
        <v>161</v>
      </c>
      <c r="C209" t="s">
        <v>261</v>
      </c>
      <c r="D209" t="s">
        <v>361</v>
      </c>
      <c r="E209" t="s">
        <v>396</v>
      </c>
      <c r="F209">
        <v>200005980</v>
      </c>
      <c r="G209">
        <v>69</v>
      </c>
      <c r="H209" t="s">
        <v>407</v>
      </c>
      <c r="I209">
        <v>13800412620</v>
      </c>
      <c r="J209" t="s">
        <v>413</v>
      </c>
      <c r="K209">
        <v>24556942.140819699</v>
      </c>
      <c r="L209">
        <v>0.55000000000000004</v>
      </c>
      <c r="M209">
        <v>40101025</v>
      </c>
      <c r="N209">
        <v>4010</v>
      </c>
      <c r="O209">
        <v>1.99537761888822</v>
      </c>
      <c r="P209">
        <v>1.5</v>
      </c>
      <c r="Q209" t="s">
        <v>417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2.4060000000000001</v>
      </c>
      <c r="AR209">
        <v>2.6320000000000001</v>
      </c>
      <c r="AS209" t="s">
        <v>418</v>
      </c>
      <c r="AT209">
        <v>1</v>
      </c>
      <c r="AU209">
        <v>0</v>
      </c>
      <c r="AV209" t="s">
        <v>435</v>
      </c>
      <c r="AW209">
        <v>0</v>
      </c>
      <c r="AX209">
        <v>0</v>
      </c>
      <c r="AY209">
        <v>0</v>
      </c>
      <c r="CC209">
        <v>2.5190000000000001</v>
      </c>
      <c r="CE209" t="s">
        <v>448</v>
      </c>
      <c r="CG209">
        <v>1.99537761888822</v>
      </c>
      <c r="CH209">
        <v>1.5</v>
      </c>
      <c r="CI209">
        <v>1.7476888094441101</v>
      </c>
      <c r="CJ209">
        <v>-0.24</v>
      </c>
      <c r="CK209">
        <v>1.5076888094441101</v>
      </c>
      <c r="CL209">
        <v>4010</v>
      </c>
    </row>
    <row r="210" spans="1:90" x14ac:dyDescent="0.25">
      <c r="A210">
        <v>494</v>
      </c>
      <c r="B210" t="s">
        <v>528</v>
      </c>
      <c r="C210" t="s">
        <v>744</v>
      </c>
      <c r="D210" t="s">
        <v>960</v>
      </c>
      <c r="E210" t="s">
        <v>402</v>
      </c>
      <c r="F210">
        <v>193923499</v>
      </c>
      <c r="G210">
        <v>482.1</v>
      </c>
      <c r="H210" t="s">
        <v>407</v>
      </c>
      <c r="I210">
        <v>93490518867.900009</v>
      </c>
      <c r="J210" t="s">
        <v>413</v>
      </c>
      <c r="K210">
        <v>134327130.69590199</v>
      </c>
      <c r="L210">
        <v>0.60000000000000009</v>
      </c>
      <c r="M210">
        <v>40101020</v>
      </c>
      <c r="N210">
        <v>4010</v>
      </c>
      <c r="O210">
        <v>2.66679533579538</v>
      </c>
      <c r="P210">
        <v>2.39</v>
      </c>
      <c r="Q210" t="s">
        <v>417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2.202</v>
      </c>
      <c r="AR210">
        <v>2.746</v>
      </c>
      <c r="AS210" t="s">
        <v>418</v>
      </c>
      <c r="AT210">
        <v>1</v>
      </c>
      <c r="AU210">
        <v>0</v>
      </c>
      <c r="AV210" t="s">
        <v>444</v>
      </c>
      <c r="AW210">
        <v>0</v>
      </c>
      <c r="AX210">
        <v>0</v>
      </c>
      <c r="AY210">
        <v>0</v>
      </c>
      <c r="CC210">
        <v>2.4740000000000002</v>
      </c>
      <c r="CE210" t="s">
        <v>448</v>
      </c>
      <c r="CG210">
        <v>2.66679533579538</v>
      </c>
      <c r="CH210">
        <v>2.39</v>
      </c>
      <c r="CI210">
        <v>2.52839766789769</v>
      </c>
      <c r="CJ210">
        <v>-0.24</v>
      </c>
      <c r="CK210">
        <v>2.2883976678976898</v>
      </c>
      <c r="CL210">
        <v>4010</v>
      </c>
    </row>
    <row r="211" spans="1:90" x14ac:dyDescent="0.25">
      <c r="A211">
        <v>1045</v>
      </c>
      <c r="B211" t="s">
        <v>595</v>
      </c>
      <c r="C211" t="s">
        <v>811</v>
      </c>
      <c r="D211" t="s">
        <v>1027</v>
      </c>
      <c r="E211" t="s">
        <v>396</v>
      </c>
      <c r="F211">
        <v>455500000</v>
      </c>
      <c r="G211">
        <v>57.72</v>
      </c>
      <c r="H211" t="s">
        <v>407</v>
      </c>
      <c r="I211">
        <v>26291460000</v>
      </c>
      <c r="J211" t="s">
        <v>413</v>
      </c>
      <c r="K211">
        <v>40298300.537049197</v>
      </c>
      <c r="L211">
        <v>0.25</v>
      </c>
      <c r="M211">
        <v>40101020</v>
      </c>
      <c r="N211">
        <v>4010</v>
      </c>
      <c r="O211">
        <v>2.6728527693572599</v>
      </c>
      <c r="Q211" t="s">
        <v>417</v>
      </c>
      <c r="R211" t="s">
        <v>421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2.6230000000000002</v>
      </c>
      <c r="AR211">
        <v>2.0830000000000002</v>
      </c>
      <c r="AS211" t="s">
        <v>418</v>
      </c>
      <c r="AT211">
        <v>1</v>
      </c>
      <c r="AU211">
        <v>0</v>
      </c>
      <c r="AV211" t="s">
        <v>435</v>
      </c>
      <c r="AW211">
        <v>0</v>
      </c>
      <c r="AX211">
        <v>0</v>
      </c>
      <c r="AY211">
        <v>0</v>
      </c>
      <c r="CC211">
        <v>2.3530000000000002</v>
      </c>
      <c r="CE211" t="s">
        <v>448</v>
      </c>
      <c r="CG211">
        <v>2.6728527693572599</v>
      </c>
      <c r="CH211">
        <v>3.4</v>
      </c>
      <c r="CI211">
        <v>3.0364263846786299</v>
      </c>
      <c r="CJ211">
        <v>-0.24</v>
      </c>
      <c r="CK211">
        <v>2.7964263846786301</v>
      </c>
      <c r="CL211">
        <v>4010</v>
      </c>
    </row>
    <row r="212" spans="1:90" x14ac:dyDescent="0.25">
      <c r="A212">
        <v>1272</v>
      </c>
      <c r="B212" t="s">
        <v>632</v>
      </c>
      <c r="C212" t="s">
        <v>848</v>
      </c>
      <c r="D212" t="s">
        <v>1064</v>
      </c>
      <c r="E212" t="s">
        <v>402</v>
      </c>
      <c r="F212">
        <v>2896073567</v>
      </c>
      <c r="G212">
        <v>13.488</v>
      </c>
      <c r="H212" t="s">
        <v>407</v>
      </c>
      <c r="I212">
        <v>39062240271.695999</v>
      </c>
      <c r="J212" t="s">
        <v>413</v>
      </c>
      <c r="K212">
        <v>198824448.27852499</v>
      </c>
      <c r="L212">
        <v>0.70000000000000007</v>
      </c>
      <c r="M212">
        <v>40101020</v>
      </c>
      <c r="N212">
        <v>4010</v>
      </c>
      <c r="O212">
        <v>3.4</v>
      </c>
      <c r="Q212" t="s">
        <v>422</v>
      </c>
      <c r="R212" t="s">
        <v>421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2.7130000000000001</v>
      </c>
      <c r="AR212">
        <v>2.1349999999999998</v>
      </c>
      <c r="AS212" t="s">
        <v>418</v>
      </c>
      <c r="AT212">
        <v>1</v>
      </c>
      <c r="AU212">
        <v>0</v>
      </c>
      <c r="AV212" t="s">
        <v>444</v>
      </c>
      <c r="AW212">
        <v>0</v>
      </c>
      <c r="AX212">
        <v>0</v>
      </c>
      <c r="AY212">
        <v>0</v>
      </c>
      <c r="CC212">
        <v>2.4239999999999999</v>
      </c>
      <c r="CE212" t="s">
        <v>448</v>
      </c>
      <c r="CG212">
        <v>3.4</v>
      </c>
      <c r="CH212">
        <v>3.4</v>
      </c>
      <c r="CI212">
        <v>3.4</v>
      </c>
      <c r="CJ212">
        <v>0.3</v>
      </c>
      <c r="CK212">
        <v>3.7</v>
      </c>
      <c r="CL212">
        <v>4010</v>
      </c>
    </row>
    <row r="213" spans="1:90" x14ac:dyDescent="0.25">
      <c r="A213">
        <v>809</v>
      </c>
      <c r="B213" t="s">
        <v>177</v>
      </c>
      <c r="C213" t="s">
        <v>277</v>
      </c>
      <c r="D213" t="s">
        <v>377</v>
      </c>
      <c r="E213" t="s">
        <v>392</v>
      </c>
      <c r="F213">
        <v>534311946</v>
      </c>
      <c r="G213">
        <v>346.1</v>
      </c>
      <c r="H213" t="s">
        <v>407</v>
      </c>
      <c r="I213">
        <v>184925364510.60001</v>
      </c>
      <c r="J213" t="s">
        <v>413</v>
      </c>
      <c r="K213">
        <v>150007719.04285699</v>
      </c>
      <c r="L213">
        <v>0.45</v>
      </c>
      <c r="M213">
        <v>40204035</v>
      </c>
      <c r="N213">
        <v>4020</v>
      </c>
      <c r="O213">
        <v>1.74938320831028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2.4470000000000001</v>
      </c>
      <c r="AR213">
        <v>2.8420000000000001</v>
      </c>
      <c r="AS213" t="s">
        <v>418</v>
      </c>
      <c r="AT213">
        <v>1</v>
      </c>
      <c r="AU213">
        <v>0</v>
      </c>
      <c r="AV213" t="s">
        <v>431</v>
      </c>
      <c r="AW213">
        <v>0</v>
      </c>
      <c r="AX213">
        <v>0</v>
      </c>
      <c r="AY213">
        <v>0</v>
      </c>
      <c r="CC213">
        <v>2.6444999999999999</v>
      </c>
      <c r="CE213" t="s">
        <v>448</v>
      </c>
      <c r="CG213">
        <v>1.74938320831028</v>
      </c>
      <c r="CH213">
        <v>1.5</v>
      </c>
      <c r="CI213">
        <v>1.62469160415514</v>
      </c>
      <c r="CJ213">
        <v>-0.3</v>
      </c>
      <c r="CK213">
        <v>1.32469160415514</v>
      </c>
      <c r="CL213">
        <v>4020</v>
      </c>
    </row>
    <row r="214" spans="1:90" x14ac:dyDescent="0.25">
      <c r="A214">
        <v>191</v>
      </c>
      <c r="B214" t="s">
        <v>486</v>
      </c>
      <c r="C214" t="s">
        <v>702</v>
      </c>
      <c r="D214" t="s">
        <v>918</v>
      </c>
      <c r="E214" t="s">
        <v>401</v>
      </c>
      <c r="F214">
        <v>100455185</v>
      </c>
      <c r="G214">
        <v>45.141939999999998</v>
      </c>
      <c r="H214" t="s">
        <v>411</v>
      </c>
      <c r="I214">
        <v>4534741933.9588985</v>
      </c>
      <c r="J214" t="s">
        <v>414</v>
      </c>
      <c r="K214">
        <v>14477487.1262723</v>
      </c>
      <c r="L214">
        <v>1</v>
      </c>
      <c r="M214">
        <v>40202010</v>
      </c>
      <c r="N214">
        <v>4020</v>
      </c>
      <c r="O214">
        <v>1.99918974859489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2.3650000000000002</v>
      </c>
      <c r="AR214">
        <v>2.5289999999999999</v>
      </c>
      <c r="AS214" t="s">
        <v>422</v>
      </c>
      <c r="AT214">
        <v>1</v>
      </c>
      <c r="AU214">
        <v>0</v>
      </c>
      <c r="AV214" t="s">
        <v>440</v>
      </c>
      <c r="AW214">
        <v>0</v>
      </c>
      <c r="AX214">
        <v>0</v>
      </c>
      <c r="AY214">
        <v>0</v>
      </c>
      <c r="CC214">
        <v>2.4470000000000001</v>
      </c>
      <c r="CE214" t="s">
        <v>448</v>
      </c>
      <c r="CG214">
        <v>1.99918974859489</v>
      </c>
      <c r="CH214">
        <v>3.4</v>
      </c>
      <c r="CI214">
        <v>2.6995948742974449</v>
      </c>
      <c r="CJ214">
        <v>-0.18</v>
      </c>
      <c r="CK214">
        <v>2.5195948742974452</v>
      </c>
      <c r="CL214">
        <v>4020</v>
      </c>
    </row>
    <row r="215" spans="1:90" x14ac:dyDescent="0.25">
      <c r="A215">
        <v>591</v>
      </c>
      <c r="B215" t="s">
        <v>544</v>
      </c>
      <c r="C215" t="s">
        <v>760</v>
      </c>
      <c r="D215" t="s">
        <v>976</v>
      </c>
      <c r="E215" t="s">
        <v>392</v>
      </c>
      <c r="F215">
        <v>105569412</v>
      </c>
      <c r="G215">
        <v>2749</v>
      </c>
      <c r="H215" t="s">
        <v>407</v>
      </c>
      <c r="I215">
        <v>290210313588</v>
      </c>
      <c r="J215" t="s">
        <v>413</v>
      </c>
      <c r="K215">
        <v>142042277.444444</v>
      </c>
      <c r="L215">
        <v>0.3</v>
      </c>
      <c r="M215">
        <v>40204020</v>
      </c>
      <c r="N215">
        <v>4020</v>
      </c>
      <c r="O215">
        <v>1.97424154493162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2.5659999999999998</v>
      </c>
      <c r="AR215">
        <v>3.1030000000000002</v>
      </c>
      <c r="AS215" t="s">
        <v>418</v>
      </c>
      <c r="AT215">
        <v>1</v>
      </c>
      <c r="AU215">
        <v>0</v>
      </c>
      <c r="AV215" t="s">
        <v>431</v>
      </c>
      <c r="AW215">
        <v>0</v>
      </c>
      <c r="AX215">
        <v>0</v>
      </c>
      <c r="AY215">
        <v>0</v>
      </c>
      <c r="CC215">
        <v>2.8344999999999998</v>
      </c>
      <c r="CE215" t="s">
        <v>448</v>
      </c>
      <c r="CG215">
        <v>1.97424154493162</v>
      </c>
      <c r="CH215">
        <v>3.4</v>
      </c>
      <c r="CI215">
        <v>2.6871207724658102</v>
      </c>
      <c r="CJ215">
        <v>-0.3</v>
      </c>
      <c r="CK215">
        <v>2.3871207724658099</v>
      </c>
      <c r="CL215">
        <v>4020</v>
      </c>
    </row>
    <row r="216" spans="1:90" x14ac:dyDescent="0.25">
      <c r="A216">
        <v>229</v>
      </c>
      <c r="B216" t="s">
        <v>493</v>
      </c>
      <c r="C216" t="s">
        <v>709</v>
      </c>
      <c r="D216" t="s">
        <v>925</v>
      </c>
      <c r="E216" t="s">
        <v>401</v>
      </c>
      <c r="F216">
        <v>358583600</v>
      </c>
      <c r="G216">
        <v>12.85107</v>
      </c>
      <c r="H216" t="s">
        <v>411</v>
      </c>
      <c r="I216">
        <v>4608182944.4519997</v>
      </c>
      <c r="J216" t="s">
        <v>414</v>
      </c>
      <c r="K216">
        <v>15235019.3876136</v>
      </c>
      <c r="L216">
        <v>1</v>
      </c>
      <c r="M216">
        <v>40204020</v>
      </c>
      <c r="N216">
        <v>4020</v>
      </c>
      <c r="O216">
        <v>1.73983973665924</v>
      </c>
      <c r="Q216" t="s">
        <v>417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2.5539999999999998</v>
      </c>
      <c r="AR216">
        <v>3.0510000000000002</v>
      </c>
      <c r="AS216" t="s">
        <v>418</v>
      </c>
      <c r="AT216">
        <v>1</v>
      </c>
      <c r="AU216">
        <v>0</v>
      </c>
      <c r="AV216" t="s">
        <v>440</v>
      </c>
      <c r="AW216">
        <v>0</v>
      </c>
      <c r="AX216">
        <v>0</v>
      </c>
      <c r="AY216">
        <v>0</v>
      </c>
      <c r="CC216">
        <v>2.8025000000000002</v>
      </c>
      <c r="CE216" t="s">
        <v>448</v>
      </c>
      <c r="CG216">
        <v>1.73983973665924</v>
      </c>
      <c r="CH216">
        <v>3.4</v>
      </c>
      <c r="CI216">
        <v>2.5699198683296198</v>
      </c>
      <c r="CJ216">
        <v>-0.24</v>
      </c>
      <c r="CK216">
        <v>2.3299198683296201</v>
      </c>
      <c r="CL216">
        <v>4020</v>
      </c>
    </row>
    <row r="217" spans="1:90" x14ac:dyDescent="0.25">
      <c r="A217">
        <v>735</v>
      </c>
      <c r="B217" t="s">
        <v>563</v>
      </c>
      <c r="C217" t="s">
        <v>779</v>
      </c>
      <c r="D217" t="s">
        <v>995</v>
      </c>
      <c r="E217" t="s">
        <v>392</v>
      </c>
      <c r="F217">
        <v>123420778</v>
      </c>
      <c r="G217">
        <v>277</v>
      </c>
      <c r="H217" t="s">
        <v>407</v>
      </c>
      <c r="I217">
        <v>34187555506</v>
      </c>
      <c r="J217" t="s">
        <v>413</v>
      </c>
      <c r="K217">
        <v>85092435.447222307</v>
      </c>
      <c r="L217">
        <v>0.60000000000000009</v>
      </c>
      <c r="M217">
        <v>40204020</v>
      </c>
      <c r="N217">
        <v>4020</v>
      </c>
      <c r="O217">
        <v>1.60764714650494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2.6339999999999999</v>
      </c>
      <c r="AR217">
        <v>2.996</v>
      </c>
      <c r="AS217" t="s">
        <v>418</v>
      </c>
      <c r="AT217">
        <v>1</v>
      </c>
      <c r="AU217">
        <v>0</v>
      </c>
      <c r="AV217" t="s">
        <v>431</v>
      </c>
      <c r="AW217">
        <v>0</v>
      </c>
      <c r="AX217">
        <v>0</v>
      </c>
      <c r="AY217">
        <v>0</v>
      </c>
      <c r="CC217">
        <v>2.8149999999999999</v>
      </c>
      <c r="CE217" t="s">
        <v>448</v>
      </c>
      <c r="CG217">
        <v>1.60764714650494</v>
      </c>
      <c r="CH217">
        <v>3.4</v>
      </c>
      <c r="CI217">
        <v>2.5038235732524701</v>
      </c>
      <c r="CJ217">
        <v>-0.3</v>
      </c>
      <c r="CK217">
        <v>2.2038235732524698</v>
      </c>
      <c r="CL217">
        <v>4020</v>
      </c>
    </row>
    <row r="218" spans="1:90" x14ac:dyDescent="0.25">
      <c r="A218">
        <v>587</v>
      </c>
      <c r="B218" t="s">
        <v>542</v>
      </c>
      <c r="C218" t="s">
        <v>758</v>
      </c>
      <c r="D218" t="s">
        <v>974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448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  <c r="CL218">
        <v>4020</v>
      </c>
    </row>
    <row r="219" spans="1:90" x14ac:dyDescent="0.25">
      <c r="A219">
        <v>818</v>
      </c>
      <c r="B219" t="s">
        <v>573</v>
      </c>
      <c r="C219" t="s">
        <v>789</v>
      </c>
      <c r="D219" t="s">
        <v>1005</v>
      </c>
      <c r="E219" t="s">
        <v>392</v>
      </c>
      <c r="F219">
        <v>500141700</v>
      </c>
      <c r="G219">
        <v>702.4</v>
      </c>
      <c r="H219" t="s">
        <v>407</v>
      </c>
      <c r="I219">
        <v>351299530080</v>
      </c>
      <c r="J219" t="s">
        <v>413</v>
      </c>
      <c r="K219">
        <v>311385691.51904702</v>
      </c>
      <c r="L219">
        <v>0.5</v>
      </c>
      <c r="M219">
        <v>40204020</v>
      </c>
      <c r="N219">
        <v>4020</v>
      </c>
      <c r="O219">
        <v>1.9755697139416</v>
      </c>
      <c r="Q219" t="s">
        <v>415</v>
      </c>
      <c r="R219" t="s">
        <v>420</v>
      </c>
      <c r="S219">
        <v>0</v>
      </c>
      <c r="T219">
        <v>0.01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2.1840000000000002</v>
      </c>
      <c r="AR219">
        <v>2.9220000000000002</v>
      </c>
      <c r="AS219" t="s">
        <v>418</v>
      </c>
      <c r="AT219">
        <v>1</v>
      </c>
      <c r="AU219">
        <v>0</v>
      </c>
      <c r="AV219" t="s">
        <v>431</v>
      </c>
      <c r="AW219">
        <v>0</v>
      </c>
      <c r="AX219">
        <v>0</v>
      </c>
      <c r="AY219">
        <v>0</v>
      </c>
      <c r="CC219">
        <v>2.5529999999999999</v>
      </c>
      <c r="CE219" t="s">
        <v>448</v>
      </c>
      <c r="CG219">
        <v>1.9755697139416</v>
      </c>
      <c r="CH219">
        <v>3.4</v>
      </c>
      <c r="CI219">
        <v>2.6877848569707998</v>
      </c>
      <c r="CJ219">
        <v>-0.3</v>
      </c>
      <c r="CK219">
        <v>2.3877848569708</v>
      </c>
      <c r="CL219">
        <v>4020</v>
      </c>
    </row>
    <row r="220" spans="1:90" x14ac:dyDescent="0.25">
      <c r="A220">
        <v>226</v>
      </c>
      <c r="B220" t="s">
        <v>491</v>
      </c>
      <c r="C220" t="s">
        <v>707</v>
      </c>
      <c r="D220" t="s">
        <v>923</v>
      </c>
      <c r="E220" t="s">
        <v>402</v>
      </c>
      <c r="F220">
        <v>68000000</v>
      </c>
      <c r="G220">
        <v>126.6</v>
      </c>
      <c r="H220" t="s">
        <v>407</v>
      </c>
      <c r="I220">
        <v>8608800000</v>
      </c>
      <c r="J220" t="s">
        <v>413</v>
      </c>
      <c r="K220">
        <v>21164567.774590202</v>
      </c>
      <c r="L220">
        <v>0.5</v>
      </c>
      <c r="M220">
        <v>40204020</v>
      </c>
      <c r="N220">
        <v>4020</v>
      </c>
      <c r="O220">
        <v>1.7390900627903201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1.8169999999999999</v>
      </c>
      <c r="AR220">
        <v>2.6819999999999999</v>
      </c>
      <c r="AS220" t="s">
        <v>429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CC220">
        <v>2.2494999999999998</v>
      </c>
      <c r="CE220" t="s">
        <v>448</v>
      </c>
      <c r="CG220">
        <v>1.7390900627903201</v>
      </c>
      <c r="CH220">
        <v>3.4</v>
      </c>
      <c r="CI220">
        <v>2.56954503139516</v>
      </c>
      <c r="CJ220">
        <v>-0.18</v>
      </c>
      <c r="CK220">
        <v>2.3895450313951598</v>
      </c>
      <c r="CL220">
        <v>4020</v>
      </c>
    </row>
    <row r="221" spans="1:90" x14ac:dyDescent="0.25">
      <c r="A221">
        <v>24</v>
      </c>
      <c r="B221" t="s">
        <v>453</v>
      </c>
      <c r="C221" t="s">
        <v>669</v>
      </c>
      <c r="D221" t="s">
        <v>885</v>
      </c>
      <c r="E221" t="s">
        <v>396</v>
      </c>
      <c r="F221">
        <v>180000000</v>
      </c>
      <c r="G221">
        <v>245.9</v>
      </c>
      <c r="H221" t="s">
        <v>407</v>
      </c>
      <c r="I221">
        <v>44262000000</v>
      </c>
      <c r="J221" t="s">
        <v>413</v>
      </c>
      <c r="K221">
        <v>95465480.766393393</v>
      </c>
      <c r="L221">
        <v>1</v>
      </c>
      <c r="M221">
        <v>40204025</v>
      </c>
      <c r="N221">
        <v>4020</v>
      </c>
      <c r="O221">
        <v>1.74447151669083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2.3519999999999999</v>
      </c>
      <c r="AR221">
        <v>2.7490000000000001</v>
      </c>
      <c r="AS221" t="s">
        <v>418</v>
      </c>
      <c r="AT221">
        <v>1</v>
      </c>
      <c r="AU221">
        <v>0</v>
      </c>
      <c r="AV221" t="s">
        <v>435</v>
      </c>
      <c r="AW221">
        <v>0</v>
      </c>
      <c r="AX221">
        <v>0</v>
      </c>
      <c r="AY221">
        <v>0</v>
      </c>
      <c r="CC221">
        <v>2.5505</v>
      </c>
      <c r="CE221" t="s">
        <v>448</v>
      </c>
      <c r="CG221">
        <v>1.74447151669083</v>
      </c>
      <c r="CH221">
        <v>3.4</v>
      </c>
      <c r="CI221">
        <v>2.572235758345415</v>
      </c>
      <c r="CJ221">
        <v>-0.3</v>
      </c>
      <c r="CK221">
        <v>2.2722357583454151</v>
      </c>
      <c r="CL221">
        <v>4020</v>
      </c>
    </row>
    <row r="222" spans="1:90" x14ac:dyDescent="0.25">
      <c r="A222">
        <v>189</v>
      </c>
      <c r="B222" t="s">
        <v>145</v>
      </c>
      <c r="C222" t="s">
        <v>245</v>
      </c>
      <c r="D222" t="s">
        <v>345</v>
      </c>
      <c r="E222" t="s">
        <v>401</v>
      </c>
      <c r="F222">
        <v>118657364</v>
      </c>
      <c r="G222">
        <v>28.04748</v>
      </c>
      <c r="H222" t="s">
        <v>411</v>
      </c>
      <c r="I222">
        <v>3328040043.6427202</v>
      </c>
      <c r="J222" t="s">
        <v>414</v>
      </c>
      <c r="K222">
        <v>10092470.100475</v>
      </c>
      <c r="L222">
        <v>1</v>
      </c>
      <c r="M222">
        <v>40202010</v>
      </c>
      <c r="N222">
        <v>4020</v>
      </c>
      <c r="O222">
        <v>1.9966860020732899</v>
      </c>
      <c r="P222">
        <v>2.08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1.786</v>
      </c>
      <c r="AR222">
        <v>2.78</v>
      </c>
      <c r="AS222" t="s">
        <v>422</v>
      </c>
      <c r="AT222">
        <v>1</v>
      </c>
      <c r="AU222">
        <v>0</v>
      </c>
      <c r="AV222" t="s">
        <v>440</v>
      </c>
      <c r="AW222">
        <v>0</v>
      </c>
      <c r="AX222">
        <v>0</v>
      </c>
      <c r="AY222">
        <v>0</v>
      </c>
      <c r="CC222">
        <v>2.2829999999999999</v>
      </c>
      <c r="CE222" t="s">
        <v>448</v>
      </c>
      <c r="CG222">
        <v>1.9966860020732899</v>
      </c>
      <c r="CH222">
        <v>2.08</v>
      </c>
      <c r="CI222">
        <v>2.0383430010366448</v>
      </c>
      <c r="CJ222">
        <v>-0.18</v>
      </c>
      <c r="CK222">
        <v>1.8583430010366451</v>
      </c>
      <c r="CL222">
        <v>4020</v>
      </c>
    </row>
    <row r="223" spans="1:90" x14ac:dyDescent="0.25">
      <c r="A223">
        <v>893</v>
      </c>
      <c r="B223" t="s">
        <v>580</v>
      </c>
      <c r="C223" t="s">
        <v>796</v>
      </c>
      <c r="D223" t="s">
        <v>1012</v>
      </c>
      <c r="E223" t="s">
        <v>402</v>
      </c>
      <c r="F223">
        <v>274805954</v>
      </c>
      <c r="G223">
        <v>67.86</v>
      </c>
      <c r="H223" t="s">
        <v>407</v>
      </c>
      <c r="I223">
        <v>18648332038.439999</v>
      </c>
      <c r="J223" t="s">
        <v>413</v>
      </c>
      <c r="K223">
        <v>66477931.922458999</v>
      </c>
      <c r="L223">
        <v>0.85000000000000009</v>
      </c>
      <c r="M223">
        <v>40204020</v>
      </c>
      <c r="N223">
        <v>4020</v>
      </c>
      <c r="O223">
        <v>1.74695639043615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2.5569999999999999</v>
      </c>
      <c r="AR223">
        <v>3.0339999999999998</v>
      </c>
      <c r="AS223" t="s">
        <v>429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2.7955000000000001</v>
      </c>
      <c r="CE223" t="s">
        <v>448</v>
      </c>
      <c r="CG223">
        <v>1.74695639043615</v>
      </c>
      <c r="CH223">
        <v>3.4</v>
      </c>
      <c r="CI223">
        <v>2.5734781952180752</v>
      </c>
      <c r="CJ223">
        <v>-0.3</v>
      </c>
      <c r="CK223">
        <v>2.2734781952180749</v>
      </c>
      <c r="CL223">
        <v>4020</v>
      </c>
    </row>
    <row r="224" spans="1:90" x14ac:dyDescent="0.25">
      <c r="A224">
        <v>171</v>
      </c>
      <c r="B224" t="s">
        <v>164</v>
      </c>
      <c r="C224" t="s">
        <v>264</v>
      </c>
      <c r="D224" t="s">
        <v>364</v>
      </c>
      <c r="E224" t="s">
        <v>401</v>
      </c>
      <c r="F224">
        <v>1450318700</v>
      </c>
      <c r="G224">
        <v>5.1331730000000002</v>
      </c>
      <c r="H224" t="s">
        <v>411</v>
      </c>
      <c r="I224">
        <v>7444736792.2351007</v>
      </c>
      <c r="J224" t="s">
        <v>414</v>
      </c>
      <c r="K224">
        <v>20081175.638739999</v>
      </c>
      <c r="L224">
        <v>1</v>
      </c>
      <c r="M224">
        <v>40202010</v>
      </c>
      <c r="N224">
        <v>4020</v>
      </c>
      <c r="O224">
        <v>1.7482663894438499</v>
      </c>
      <c r="P224">
        <v>1.77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2.4900000000000002</v>
      </c>
      <c r="AR224">
        <v>3.2989999999999999</v>
      </c>
      <c r="AS224" t="s">
        <v>422</v>
      </c>
      <c r="AT224">
        <v>1</v>
      </c>
      <c r="AU224">
        <v>0</v>
      </c>
      <c r="AV224" t="s">
        <v>440</v>
      </c>
      <c r="AW224">
        <v>0</v>
      </c>
      <c r="AX224">
        <v>0</v>
      </c>
      <c r="AY224">
        <v>0</v>
      </c>
      <c r="CC224">
        <v>2.8944999999999999</v>
      </c>
      <c r="CE224" t="s">
        <v>448</v>
      </c>
      <c r="CG224">
        <v>1.7482663894438499</v>
      </c>
      <c r="CH224">
        <v>1.77</v>
      </c>
      <c r="CI224">
        <v>1.7591331947219251</v>
      </c>
      <c r="CJ224">
        <v>-0.3</v>
      </c>
      <c r="CK224">
        <v>1.459133194721925</v>
      </c>
      <c r="CL224">
        <v>4020</v>
      </c>
    </row>
    <row r="225" spans="1:90" x14ac:dyDescent="0.25">
      <c r="A225">
        <v>311</v>
      </c>
      <c r="B225" t="s">
        <v>501</v>
      </c>
      <c r="C225" t="s">
        <v>717</v>
      </c>
      <c r="D225" t="s">
        <v>933</v>
      </c>
      <c r="E225" t="s">
        <v>401</v>
      </c>
      <c r="F225">
        <v>1697430200</v>
      </c>
      <c r="G225">
        <v>33.77787</v>
      </c>
      <c r="H225" t="s">
        <v>411</v>
      </c>
      <c r="I225">
        <v>57335576629.674004</v>
      </c>
      <c r="J225" t="s">
        <v>414</v>
      </c>
      <c r="K225">
        <v>64523516.076364703</v>
      </c>
      <c r="L225">
        <v>1</v>
      </c>
      <c r="M225">
        <v>40201060</v>
      </c>
      <c r="N225">
        <v>4020</v>
      </c>
      <c r="O225">
        <v>1.99376491722917</v>
      </c>
      <c r="P225">
        <v>3.1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1.742</v>
      </c>
      <c r="AR225">
        <v>2.7650000000000001</v>
      </c>
      <c r="AS225" t="s">
        <v>1101</v>
      </c>
      <c r="AT225">
        <v>0</v>
      </c>
      <c r="AU225">
        <v>0</v>
      </c>
      <c r="AV225" t="s">
        <v>440</v>
      </c>
      <c r="AW225">
        <v>0</v>
      </c>
      <c r="AX225">
        <v>0</v>
      </c>
      <c r="AY225">
        <v>0</v>
      </c>
      <c r="CC225">
        <v>2.2534999999999998</v>
      </c>
      <c r="CE225" t="s">
        <v>448</v>
      </c>
      <c r="CG225">
        <v>1.99376491722917</v>
      </c>
      <c r="CH225">
        <v>3.1</v>
      </c>
      <c r="CI225">
        <v>2.5468824586145851</v>
      </c>
      <c r="CJ225">
        <v>-0.18</v>
      </c>
      <c r="CK225">
        <v>2.3668824586145849</v>
      </c>
      <c r="CL225">
        <v>4020</v>
      </c>
    </row>
    <row r="226" spans="1:90" x14ac:dyDescent="0.25">
      <c r="A226">
        <v>1022</v>
      </c>
      <c r="B226" t="s">
        <v>590</v>
      </c>
      <c r="C226" t="s">
        <v>806</v>
      </c>
      <c r="D226" t="s">
        <v>1022</v>
      </c>
      <c r="E226" t="s">
        <v>400</v>
      </c>
      <c r="F226">
        <v>82000000</v>
      </c>
      <c r="G226">
        <v>171.24170000000001</v>
      </c>
      <c r="H226" t="s">
        <v>410</v>
      </c>
      <c r="I226">
        <v>14041819400</v>
      </c>
      <c r="J226" t="s">
        <v>414</v>
      </c>
      <c r="K226">
        <v>33854319.101091303</v>
      </c>
      <c r="L226">
        <v>0.95</v>
      </c>
      <c r="M226">
        <v>40204030</v>
      </c>
      <c r="N226">
        <v>4020</v>
      </c>
      <c r="O226">
        <v>1.72895150351199</v>
      </c>
      <c r="Q226" t="s">
        <v>417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2.1589999999999998</v>
      </c>
      <c r="AR226">
        <v>3.0190000000000001</v>
      </c>
      <c r="AS226" t="s">
        <v>429</v>
      </c>
      <c r="AT226">
        <v>1</v>
      </c>
      <c r="AU226">
        <v>0</v>
      </c>
      <c r="AV226" t="s">
        <v>439</v>
      </c>
      <c r="AW226">
        <v>0</v>
      </c>
      <c r="AX226">
        <v>0</v>
      </c>
      <c r="AY226">
        <v>0</v>
      </c>
      <c r="CC226">
        <v>2.589</v>
      </c>
      <c r="CE226" t="s">
        <v>448</v>
      </c>
      <c r="CG226">
        <v>1.72895150351199</v>
      </c>
      <c r="CH226">
        <v>3.4</v>
      </c>
      <c r="CI226">
        <v>2.5644757517559951</v>
      </c>
      <c r="CJ226">
        <v>-0.24</v>
      </c>
      <c r="CK226">
        <v>2.3244757517559949</v>
      </c>
      <c r="CL226">
        <v>4020</v>
      </c>
    </row>
    <row r="227" spans="1:90" x14ac:dyDescent="0.25">
      <c r="A227">
        <v>1033</v>
      </c>
      <c r="B227" t="s">
        <v>160</v>
      </c>
      <c r="C227" t="s">
        <v>260</v>
      </c>
      <c r="D227" t="s">
        <v>360</v>
      </c>
      <c r="E227" t="s">
        <v>401</v>
      </c>
      <c r="F227">
        <v>319915900</v>
      </c>
      <c r="G227">
        <v>14.61008</v>
      </c>
      <c r="H227" t="s">
        <v>411</v>
      </c>
      <c r="I227">
        <v>4673996892.2720003</v>
      </c>
      <c r="J227" t="s">
        <v>414</v>
      </c>
      <c r="K227">
        <v>15670413.556200899</v>
      </c>
      <c r="L227">
        <v>1</v>
      </c>
      <c r="M227">
        <v>40202010</v>
      </c>
      <c r="N227">
        <v>4020</v>
      </c>
      <c r="O227">
        <v>1.9955323498800199</v>
      </c>
      <c r="P227">
        <v>1.5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2.157</v>
      </c>
      <c r="AR227">
        <v>2.8759999999999999</v>
      </c>
      <c r="AS227" t="s">
        <v>422</v>
      </c>
      <c r="AT227">
        <v>1</v>
      </c>
      <c r="AU227">
        <v>0</v>
      </c>
      <c r="AV227" t="s">
        <v>440</v>
      </c>
      <c r="AW227">
        <v>0</v>
      </c>
      <c r="AX227">
        <v>0</v>
      </c>
      <c r="AY227">
        <v>0</v>
      </c>
      <c r="CC227">
        <v>2.5165000000000002</v>
      </c>
      <c r="CE227" t="s">
        <v>448</v>
      </c>
      <c r="CG227">
        <v>1.9955323498800199</v>
      </c>
      <c r="CH227">
        <v>1.5</v>
      </c>
      <c r="CI227">
        <v>1.74776617494001</v>
      </c>
      <c r="CJ227">
        <v>-0.24</v>
      </c>
      <c r="CK227">
        <v>1.50776617494001</v>
      </c>
      <c r="CL227">
        <v>4020</v>
      </c>
    </row>
    <row r="228" spans="1:90" x14ac:dyDescent="0.25">
      <c r="A228">
        <v>1069</v>
      </c>
      <c r="B228" t="s">
        <v>599</v>
      </c>
      <c r="C228" t="s">
        <v>815</v>
      </c>
      <c r="D228" t="s">
        <v>1031</v>
      </c>
      <c r="E228" t="s">
        <v>396</v>
      </c>
      <c r="F228">
        <v>149698200</v>
      </c>
      <c r="G228">
        <v>28.51</v>
      </c>
      <c r="H228" t="s">
        <v>407</v>
      </c>
      <c r="I228">
        <v>4267895682</v>
      </c>
      <c r="J228" t="s">
        <v>413</v>
      </c>
      <c r="K228">
        <v>28451691.4966393</v>
      </c>
      <c r="L228">
        <v>0.7</v>
      </c>
      <c r="M228">
        <v>40204025</v>
      </c>
      <c r="N228">
        <v>4020</v>
      </c>
      <c r="O228">
        <v>1.99847039343651</v>
      </c>
      <c r="Q228" t="s">
        <v>415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2.6309999999999998</v>
      </c>
      <c r="AR228">
        <v>2.7149999999999999</v>
      </c>
      <c r="AS228" t="s">
        <v>418</v>
      </c>
      <c r="AT228">
        <v>1</v>
      </c>
      <c r="AU228">
        <v>0</v>
      </c>
      <c r="AV228" t="s">
        <v>435</v>
      </c>
      <c r="AW228">
        <v>0</v>
      </c>
      <c r="AX228">
        <v>0</v>
      </c>
      <c r="AY228">
        <v>0</v>
      </c>
      <c r="CC228">
        <v>2.673</v>
      </c>
      <c r="CE228" t="s">
        <v>448</v>
      </c>
      <c r="CG228">
        <v>1.99847039343651</v>
      </c>
      <c r="CH228">
        <v>3.4</v>
      </c>
      <c r="CI228">
        <v>2.6992351967182548</v>
      </c>
      <c r="CJ228">
        <v>-0.3</v>
      </c>
      <c r="CK228">
        <v>2.399235196718255</v>
      </c>
      <c r="CL228">
        <v>4020</v>
      </c>
    </row>
    <row r="229" spans="1:90" x14ac:dyDescent="0.25">
      <c r="A229">
        <v>1336</v>
      </c>
      <c r="B229" t="s">
        <v>171</v>
      </c>
      <c r="C229" t="s">
        <v>271</v>
      </c>
      <c r="D229" t="s">
        <v>371</v>
      </c>
      <c r="E229" t="s">
        <v>401</v>
      </c>
      <c r="F229">
        <v>3540041300</v>
      </c>
      <c r="G229">
        <v>1.3824259999999999</v>
      </c>
      <c r="H229" t="s">
        <v>411</v>
      </c>
      <c r="I229">
        <v>4893845134.1938</v>
      </c>
      <c r="J229" t="s">
        <v>414</v>
      </c>
      <c r="K229">
        <v>19580322.357266299</v>
      </c>
      <c r="L229">
        <v>1</v>
      </c>
      <c r="M229">
        <v>40202010</v>
      </c>
      <c r="N229">
        <v>4020</v>
      </c>
      <c r="O229">
        <v>1.7480510479370199</v>
      </c>
      <c r="P229">
        <v>1.5</v>
      </c>
      <c r="Q229" t="s">
        <v>417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2.4900000000000002</v>
      </c>
      <c r="AR229">
        <v>2.7679999999999998</v>
      </c>
      <c r="AS229" t="s">
        <v>422</v>
      </c>
      <c r="AT229">
        <v>1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2.629</v>
      </c>
      <c r="CE229" t="s">
        <v>448</v>
      </c>
      <c r="CG229">
        <v>1.7480510479370199</v>
      </c>
      <c r="CH229">
        <v>1.5</v>
      </c>
      <c r="CI229">
        <v>1.62402552396851</v>
      </c>
      <c r="CJ229">
        <v>-0.24</v>
      </c>
      <c r="CK229">
        <v>1.38402552396851</v>
      </c>
      <c r="CL229">
        <v>4020</v>
      </c>
    </row>
    <row r="230" spans="1:90" x14ac:dyDescent="0.25">
      <c r="A230">
        <v>1371</v>
      </c>
      <c r="B230" t="s">
        <v>649</v>
      </c>
      <c r="C230" t="s">
        <v>865</v>
      </c>
      <c r="D230" t="s">
        <v>1081</v>
      </c>
      <c r="E230" t="s">
        <v>393</v>
      </c>
      <c r="F230">
        <v>107838165</v>
      </c>
      <c r="G230">
        <v>32.281170000000003</v>
      </c>
      <c r="H230" t="s">
        <v>408</v>
      </c>
      <c r="I230">
        <v>3481142136.8530502</v>
      </c>
      <c r="J230" t="s">
        <v>414</v>
      </c>
      <c r="K230">
        <v>5319607.1481512701</v>
      </c>
      <c r="L230">
        <v>1</v>
      </c>
      <c r="M230">
        <v>40203050</v>
      </c>
      <c r="N230">
        <v>4020</v>
      </c>
      <c r="Q230" t="s">
        <v>418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2.5659999999999998</v>
      </c>
      <c r="AR230">
        <v>3.2280000000000002</v>
      </c>
      <c r="AS230" t="s">
        <v>418</v>
      </c>
      <c r="AT230">
        <v>1</v>
      </c>
      <c r="AU230">
        <v>0</v>
      </c>
      <c r="AV230" t="s">
        <v>432</v>
      </c>
      <c r="AW230">
        <v>0</v>
      </c>
      <c r="AX230">
        <v>0</v>
      </c>
      <c r="AY230">
        <v>0</v>
      </c>
      <c r="CC230">
        <v>2.8969999999999998</v>
      </c>
      <c r="CE230" t="s">
        <v>448</v>
      </c>
      <c r="CG230">
        <v>3.4</v>
      </c>
      <c r="CH230">
        <v>3.4</v>
      </c>
      <c r="CI230">
        <v>3.4</v>
      </c>
      <c r="CJ230">
        <v>0</v>
      </c>
      <c r="CK230">
        <v>3.4</v>
      </c>
      <c r="CL230">
        <v>4020</v>
      </c>
    </row>
    <row r="231" spans="1:90" x14ac:dyDescent="0.25">
      <c r="A231">
        <v>646</v>
      </c>
      <c r="B231" t="s">
        <v>552</v>
      </c>
      <c r="C231" t="s">
        <v>768</v>
      </c>
      <c r="D231" t="s">
        <v>984</v>
      </c>
      <c r="E231" t="s">
        <v>401</v>
      </c>
      <c r="F231">
        <v>1330244800</v>
      </c>
      <c r="G231">
        <v>10.67013</v>
      </c>
      <c r="H231" t="s">
        <v>411</v>
      </c>
      <c r="I231">
        <v>14193884947.823999</v>
      </c>
      <c r="J231" t="s">
        <v>414</v>
      </c>
      <c r="K231">
        <v>18648977.796000201</v>
      </c>
      <c r="L231">
        <v>1</v>
      </c>
      <c r="M231">
        <v>40301020</v>
      </c>
      <c r="N231">
        <v>4030</v>
      </c>
      <c r="O231">
        <v>1.99729251308287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2.601</v>
      </c>
      <c r="AR231">
        <v>3.3039999999999998</v>
      </c>
      <c r="AS231" t="s">
        <v>424</v>
      </c>
      <c r="AT231">
        <v>0</v>
      </c>
      <c r="AU231">
        <v>0</v>
      </c>
      <c r="AV231" t="s">
        <v>440</v>
      </c>
      <c r="AW231">
        <v>0</v>
      </c>
      <c r="AX231">
        <v>0</v>
      </c>
      <c r="AY231">
        <v>0</v>
      </c>
      <c r="CC231">
        <v>2.9525000000000001</v>
      </c>
      <c r="CE231" t="s">
        <v>448</v>
      </c>
      <c r="CG231">
        <v>1.99729251308287</v>
      </c>
      <c r="CH231">
        <v>3.4</v>
      </c>
      <c r="CI231">
        <v>2.6986462565414349</v>
      </c>
      <c r="CJ231">
        <v>-0.24</v>
      </c>
      <c r="CK231">
        <v>2.4586462565414351</v>
      </c>
      <c r="CL231">
        <v>4030</v>
      </c>
    </row>
    <row r="232" spans="1:90" x14ac:dyDescent="0.25">
      <c r="A232">
        <v>683</v>
      </c>
      <c r="B232" t="s">
        <v>561</v>
      </c>
      <c r="C232" t="s">
        <v>777</v>
      </c>
      <c r="D232" t="s">
        <v>993</v>
      </c>
      <c r="E232" t="s">
        <v>401</v>
      </c>
      <c r="F232">
        <v>3753739700</v>
      </c>
      <c r="G232">
        <v>0.90852080000000002</v>
      </c>
      <c r="H232" t="s">
        <v>411</v>
      </c>
      <c r="I232">
        <v>3410350595.2357602</v>
      </c>
      <c r="J232" t="s">
        <v>414</v>
      </c>
      <c r="K232">
        <v>6305475.5199635001</v>
      </c>
      <c r="L232">
        <v>0.85</v>
      </c>
      <c r="M232">
        <v>40301035</v>
      </c>
      <c r="N232">
        <v>4030</v>
      </c>
      <c r="O232">
        <v>1.7477723086694099</v>
      </c>
      <c r="Q232" t="s">
        <v>415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2.2410000000000001</v>
      </c>
      <c r="AR232">
        <v>3.4380000000000002</v>
      </c>
      <c r="AS232" t="s">
        <v>424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2.8395000000000001</v>
      </c>
      <c r="CE232" t="s">
        <v>448</v>
      </c>
      <c r="CG232">
        <v>1.7477723086694099</v>
      </c>
      <c r="CH232">
        <v>3.4</v>
      </c>
      <c r="CI232">
        <v>2.5738861543347049</v>
      </c>
      <c r="CJ232">
        <v>-0.3</v>
      </c>
      <c r="CK232">
        <v>2.2738861543347051</v>
      </c>
      <c r="CL232">
        <v>4030</v>
      </c>
    </row>
    <row r="233" spans="1:90" x14ac:dyDescent="0.25">
      <c r="A233">
        <v>1028</v>
      </c>
      <c r="B233" t="s">
        <v>591</v>
      </c>
      <c r="C233" t="s">
        <v>807</v>
      </c>
      <c r="D233" t="s">
        <v>1023</v>
      </c>
      <c r="E233" t="s">
        <v>401</v>
      </c>
      <c r="F233">
        <v>666554440</v>
      </c>
      <c r="G233">
        <v>16.417449999999999</v>
      </c>
      <c r="H233" t="s">
        <v>411</v>
      </c>
      <c r="I233">
        <v>10943124190.978001</v>
      </c>
      <c r="J233" t="s">
        <v>414</v>
      </c>
      <c r="K233">
        <v>16007521.430969199</v>
      </c>
      <c r="L233">
        <v>0.8</v>
      </c>
      <c r="M233">
        <v>40301030</v>
      </c>
      <c r="N233">
        <v>4030</v>
      </c>
      <c r="O233">
        <v>1.74567696372393</v>
      </c>
      <c r="Q233" t="s">
        <v>417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2.8010000000000002</v>
      </c>
      <c r="AR233">
        <v>3.226</v>
      </c>
      <c r="AS233" t="s">
        <v>424</v>
      </c>
      <c r="AT233">
        <v>0</v>
      </c>
      <c r="AU233">
        <v>0</v>
      </c>
      <c r="AV233" t="s">
        <v>440</v>
      </c>
      <c r="AW233">
        <v>0</v>
      </c>
      <c r="AX233">
        <v>0</v>
      </c>
      <c r="AY233">
        <v>0</v>
      </c>
      <c r="CC233">
        <v>3.0135000000000001</v>
      </c>
      <c r="CE233" t="s">
        <v>448</v>
      </c>
      <c r="CG233">
        <v>1.74567696372393</v>
      </c>
      <c r="CH233">
        <v>3.4</v>
      </c>
      <c r="CI233">
        <v>2.572838481861965</v>
      </c>
      <c r="CJ233">
        <v>-0.24</v>
      </c>
      <c r="CK233">
        <v>2.3328384818619652</v>
      </c>
      <c r="CL233">
        <v>4030</v>
      </c>
    </row>
    <row r="234" spans="1:90" x14ac:dyDescent="0.25">
      <c r="A234">
        <v>1066</v>
      </c>
      <c r="B234" t="s">
        <v>598</v>
      </c>
      <c r="C234" t="s">
        <v>814</v>
      </c>
      <c r="D234" t="s">
        <v>1030</v>
      </c>
      <c r="E234" t="s">
        <v>392</v>
      </c>
      <c r="F234">
        <v>254311860</v>
      </c>
      <c r="G234">
        <v>102.7</v>
      </c>
      <c r="H234" t="s">
        <v>407</v>
      </c>
      <c r="I234">
        <v>26117828022</v>
      </c>
      <c r="J234" t="s">
        <v>413</v>
      </c>
      <c r="K234">
        <v>46495372.159761898</v>
      </c>
      <c r="L234">
        <v>0.9</v>
      </c>
      <c r="M234">
        <v>40301020</v>
      </c>
      <c r="N234">
        <v>4030</v>
      </c>
      <c r="O234">
        <v>1.7185118858069499</v>
      </c>
      <c r="P234">
        <v>1.5</v>
      </c>
      <c r="Q234" t="s">
        <v>418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2.7160000000000002</v>
      </c>
      <c r="AR234">
        <v>3.1230000000000002</v>
      </c>
      <c r="AS234" t="s">
        <v>430</v>
      </c>
      <c r="AT234">
        <v>0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2.9195000000000002</v>
      </c>
      <c r="CE234" t="s">
        <v>448</v>
      </c>
      <c r="CG234">
        <v>1.7185118858069499</v>
      </c>
      <c r="CH234">
        <v>1.5</v>
      </c>
      <c r="CI234">
        <v>1.609255942903475</v>
      </c>
      <c r="CJ234">
        <v>0</v>
      </c>
      <c r="CK234">
        <v>1.609255942903475</v>
      </c>
      <c r="CL234">
        <v>4030</v>
      </c>
    </row>
    <row r="235" spans="1:90" x14ac:dyDescent="0.25">
      <c r="A235">
        <v>1098</v>
      </c>
      <c r="B235" t="s">
        <v>154</v>
      </c>
      <c r="C235" t="s">
        <v>254</v>
      </c>
      <c r="D235" t="s">
        <v>354</v>
      </c>
      <c r="E235" t="s">
        <v>394</v>
      </c>
      <c r="F235">
        <v>1907070957</v>
      </c>
      <c r="G235">
        <v>47.26</v>
      </c>
      <c r="H235" t="s">
        <v>407</v>
      </c>
      <c r="I235">
        <v>90128173427.819992</v>
      </c>
      <c r="J235" t="s">
        <v>413</v>
      </c>
      <c r="K235">
        <v>34161920.378412701</v>
      </c>
      <c r="L235">
        <v>1</v>
      </c>
      <c r="M235">
        <v>40301030</v>
      </c>
      <c r="N235">
        <v>4030</v>
      </c>
      <c r="O235">
        <v>1.9831746989669301</v>
      </c>
      <c r="P235">
        <v>1.5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2.4740000000000002</v>
      </c>
      <c r="AR235">
        <v>3.2949999999999999</v>
      </c>
      <c r="AS235" t="s">
        <v>430</v>
      </c>
      <c r="AT235">
        <v>0</v>
      </c>
      <c r="AU235">
        <v>0</v>
      </c>
      <c r="AV235" t="s">
        <v>440</v>
      </c>
      <c r="AW235">
        <v>0</v>
      </c>
      <c r="AX235">
        <v>0</v>
      </c>
      <c r="AY235">
        <v>0</v>
      </c>
      <c r="CC235">
        <v>2.8845000000000001</v>
      </c>
      <c r="CE235" t="s">
        <v>448</v>
      </c>
      <c r="CG235">
        <v>1.9831746989669301</v>
      </c>
      <c r="CH235">
        <v>1.5</v>
      </c>
      <c r="CI235">
        <v>1.7415873494834651</v>
      </c>
      <c r="CJ235">
        <v>-0.18</v>
      </c>
      <c r="CK235">
        <v>1.5615873494834649</v>
      </c>
      <c r="CL235">
        <v>4030</v>
      </c>
    </row>
    <row r="236" spans="1:90" x14ac:dyDescent="0.25">
      <c r="A236">
        <v>1428</v>
      </c>
      <c r="B236" t="s">
        <v>653</v>
      </c>
      <c r="C236" t="s">
        <v>869</v>
      </c>
      <c r="D236" t="s">
        <v>1085</v>
      </c>
      <c r="E236" t="s">
        <v>394</v>
      </c>
      <c r="F236">
        <v>1829281171</v>
      </c>
      <c r="G236">
        <v>28.02</v>
      </c>
      <c r="H236" t="s">
        <v>407</v>
      </c>
      <c r="I236">
        <v>51256458411.419998</v>
      </c>
      <c r="J236" t="s">
        <v>413</v>
      </c>
      <c r="K236">
        <v>33560177.086428598</v>
      </c>
      <c r="L236">
        <v>0.45</v>
      </c>
      <c r="M236">
        <v>40301035</v>
      </c>
      <c r="N236">
        <v>4030</v>
      </c>
      <c r="O236">
        <v>1.98736553146424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1.905</v>
      </c>
      <c r="AR236">
        <v>3.3580000000000001</v>
      </c>
      <c r="AS236" t="s">
        <v>424</v>
      </c>
      <c r="AT236">
        <v>0</v>
      </c>
      <c r="AU236">
        <v>0</v>
      </c>
      <c r="AV236" t="s">
        <v>444</v>
      </c>
      <c r="AW236">
        <v>0</v>
      </c>
      <c r="AX236">
        <v>0</v>
      </c>
      <c r="AY236">
        <v>0</v>
      </c>
      <c r="CC236">
        <v>2.6315</v>
      </c>
      <c r="CE236" t="s">
        <v>448</v>
      </c>
      <c r="CG236">
        <v>1.98736553146424</v>
      </c>
      <c r="CH236">
        <v>3.4</v>
      </c>
      <c r="CI236">
        <v>2.6936827657321198</v>
      </c>
      <c r="CJ236">
        <v>-0.18</v>
      </c>
      <c r="CK236">
        <v>2.5136827657321201</v>
      </c>
      <c r="CL236">
        <v>4030</v>
      </c>
    </row>
    <row r="237" spans="1:90" x14ac:dyDescent="0.25">
      <c r="A237">
        <v>1512</v>
      </c>
      <c r="B237" t="s">
        <v>175</v>
      </c>
      <c r="C237" t="s">
        <v>275</v>
      </c>
      <c r="D237" t="s">
        <v>375</v>
      </c>
      <c r="E237" t="s">
        <v>394</v>
      </c>
      <c r="F237">
        <v>238516153</v>
      </c>
      <c r="G237">
        <v>172.6</v>
      </c>
      <c r="H237" t="s">
        <v>407</v>
      </c>
      <c r="I237">
        <v>41167888007.800003</v>
      </c>
      <c r="J237" t="s">
        <v>413</v>
      </c>
      <c r="K237">
        <v>74863714.427777797</v>
      </c>
      <c r="L237">
        <v>1</v>
      </c>
      <c r="M237">
        <v>40301030</v>
      </c>
      <c r="N237">
        <v>4030</v>
      </c>
      <c r="O237">
        <v>1.5670644957319</v>
      </c>
      <c r="P237">
        <v>1.5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2.13</v>
      </c>
      <c r="AR237">
        <v>3.66</v>
      </c>
      <c r="AS237" t="s">
        <v>430</v>
      </c>
      <c r="AT237">
        <v>0</v>
      </c>
      <c r="AU237">
        <v>0</v>
      </c>
      <c r="AV237" t="s">
        <v>444</v>
      </c>
      <c r="AW237">
        <v>0</v>
      </c>
      <c r="AX237">
        <v>0</v>
      </c>
      <c r="AY237">
        <v>0</v>
      </c>
      <c r="CC237">
        <v>2.895</v>
      </c>
      <c r="CE237" t="s">
        <v>448</v>
      </c>
      <c r="CG237">
        <v>1.5670644957319</v>
      </c>
      <c r="CH237">
        <v>1.5</v>
      </c>
      <c r="CI237">
        <v>1.5335322478659501</v>
      </c>
      <c r="CJ237">
        <v>-0.18</v>
      </c>
      <c r="CK237">
        <v>1.3535322478659499</v>
      </c>
      <c r="CL237">
        <v>4030</v>
      </c>
    </row>
    <row r="238" spans="1:90" x14ac:dyDescent="0.25">
      <c r="A238">
        <v>1517</v>
      </c>
      <c r="B238" t="s">
        <v>152</v>
      </c>
      <c r="C238" t="s">
        <v>252</v>
      </c>
      <c r="D238" t="s">
        <v>352</v>
      </c>
      <c r="E238" t="s">
        <v>401</v>
      </c>
      <c r="F238">
        <v>1078802400</v>
      </c>
      <c r="G238">
        <v>9.1105959999999993</v>
      </c>
      <c r="H238" t="s">
        <v>411</v>
      </c>
      <c r="I238">
        <v>9828532830.2304001</v>
      </c>
      <c r="J238" t="s">
        <v>414</v>
      </c>
      <c r="K238">
        <v>20881891.102371901</v>
      </c>
      <c r="L238">
        <v>0.95</v>
      </c>
      <c r="M238">
        <v>40301020</v>
      </c>
      <c r="N238">
        <v>4030</v>
      </c>
      <c r="O238">
        <v>1.9934117984292601</v>
      </c>
      <c r="P238">
        <v>1.5</v>
      </c>
      <c r="Q238" t="s">
        <v>416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2.2429999999999999</v>
      </c>
      <c r="AR238">
        <v>3.0659999999999998</v>
      </c>
      <c r="AS238" t="s">
        <v>430</v>
      </c>
      <c r="AT238">
        <v>0</v>
      </c>
      <c r="AU238">
        <v>0</v>
      </c>
      <c r="AV238" t="s">
        <v>446</v>
      </c>
      <c r="AW238">
        <v>0</v>
      </c>
      <c r="AX238">
        <v>0</v>
      </c>
      <c r="AY238">
        <v>0</v>
      </c>
      <c r="CC238">
        <v>2.6545000000000001</v>
      </c>
      <c r="CE238" t="s">
        <v>448</v>
      </c>
      <c r="CG238">
        <v>1.9934117984292601</v>
      </c>
      <c r="CH238">
        <v>1.5</v>
      </c>
      <c r="CI238">
        <v>1.74670589921463</v>
      </c>
      <c r="CJ238">
        <v>-0.18</v>
      </c>
      <c r="CK238">
        <v>1.5667058992146301</v>
      </c>
      <c r="CL238">
        <v>4030</v>
      </c>
    </row>
    <row r="239" spans="1:90" x14ac:dyDescent="0.25">
      <c r="A239">
        <v>747</v>
      </c>
      <c r="B239" t="s">
        <v>159</v>
      </c>
      <c r="C239" t="s">
        <v>259</v>
      </c>
      <c r="D239" t="s">
        <v>359</v>
      </c>
      <c r="E239" t="s">
        <v>401</v>
      </c>
      <c r="F239">
        <v>1788668100</v>
      </c>
      <c r="G239">
        <v>2.9667460000000001</v>
      </c>
      <c r="H239" t="s">
        <v>411</v>
      </c>
      <c r="I239">
        <v>5306523931.0025997</v>
      </c>
      <c r="J239" t="s">
        <v>414</v>
      </c>
      <c r="K239">
        <v>14671962.5543341</v>
      </c>
      <c r="L239">
        <v>0.85</v>
      </c>
      <c r="M239">
        <v>40401025</v>
      </c>
      <c r="N239">
        <v>4040</v>
      </c>
      <c r="O239">
        <v>1.99679915892727</v>
      </c>
      <c r="P239">
        <v>1.5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2.3319999999999999</v>
      </c>
      <c r="AR239">
        <v>3.3580000000000001</v>
      </c>
      <c r="AS239" t="s">
        <v>429</v>
      </c>
      <c r="AT239">
        <v>1</v>
      </c>
      <c r="AU239">
        <v>0</v>
      </c>
      <c r="AV239" t="s">
        <v>440</v>
      </c>
      <c r="AW239">
        <v>0</v>
      </c>
      <c r="AX239">
        <v>0</v>
      </c>
      <c r="AY239">
        <v>0</v>
      </c>
      <c r="CC239">
        <v>2.8450000000000002</v>
      </c>
      <c r="CE239" t="s">
        <v>448</v>
      </c>
      <c r="CG239">
        <v>1.99679915892727</v>
      </c>
      <c r="CH239">
        <v>1.5</v>
      </c>
      <c r="CI239">
        <v>1.7483995794636349</v>
      </c>
      <c r="CJ239">
        <v>-0.24</v>
      </c>
      <c r="CK239">
        <v>1.5083995794636349</v>
      </c>
      <c r="CL239">
        <v>4040</v>
      </c>
    </row>
    <row r="240" spans="1:90" x14ac:dyDescent="0.25">
      <c r="A240">
        <v>931</v>
      </c>
      <c r="B240" t="s">
        <v>153</v>
      </c>
      <c r="C240" t="s">
        <v>253</v>
      </c>
      <c r="D240" t="s">
        <v>353</v>
      </c>
      <c r="E240" t="s">
        <v>401</v>
      </c>
      <c r="F240">
        <v>123443540</v>
      </c>
      <c r="G240">
        <v>121.0757</v>
      </c>
      <c r="H240" t="s">
        <v>411</v>
      </c>
      <c r="I240">
        <v>14946013015.978001</v>
      </c>
      <c r="J240" t="s">
        <v>414</v>
      </c>
      <c r="K240">
        <v>22701103.9734562</v>
      </c>
      <c r="L240">
        <v>0.9</v>
      </c>
      <c r="M240">
        <v>40401010</v>
      </c>
      <c r="N240">
        <v>4040</v>
      </c>
      <c r="O240">
        <v>1.98869886550994</v>
      </c>
      <c r="P240">
        <v>1.5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2.3570000000000002</v>
      </c>
      <c r="AR240">
        <v>2.1</v>
      </c>
      <c r="AS240" t="s">
        <v>429</v>
      </c>
      <c r="AT240">
        <v>1</v>
      </c>
      <c r="AU240">
        <v>0</v>
      </c>
      <c r="AV240" t="s">
        <v>440</v>
      </c>
      <c r="AW240">
        <v>0</v>
      </c>
      <c r="AX240">
        <v>0</v>
      </c>
      <c r="AY240">
        <v>0</v>
      </c>
      <c r="CC240">
        <v>2.2284999999999999</v>
      </c>
      <c r="CE240" t="s">
        <v>448</v>
      </c>
      <c r="CG240">
        <v>1.98869886550994</v>
      </c>
      <c r="CH240">
        <v>1.5</v>
      </c>
      <c r="CI240">
        <v>1.74434943275497</v>
      </c>
      <c r="CJ240">
        <v>-0.18</v>
      </c>
      <c r="CK240">
        <v>1.5643494327549701</v>
      </c>
      <c r="CL240">
        <v>4040</v>
      </c>
    </row>
    <row r="241" spans="1:90" x14ac:dyDescent="0.25">
      <c r="A241">
        <v>588</v>
      </c>
      <c r="B241" t="s">
        <v>543</v>
      </c>
      <c r="C241" t="s">
        <v>759</v>
      </c>
      <c r="D241" t="s">
        <v>975</v>
      </c>
      <c r="E241" t="s">
        <v>393</v>
      </c>
      <c r="F241">
        <v>1416142200</v>
      </c>
      <c r="G241">
        <v>12.719139999999999</v>
      </c>
      <c r="H241" t="s">
        <v>408</v>
      </c>
      <c r="I241">
        <v>18012110901.708</v>
      </c>
      <c r="J241" t="s">
        <v>414</v>
      </c>
      <c r="K241">
        <v>36949208.726181597</v>
      </c>
      <c r="L241">
        <v>0.35</v>
      </c>
      <c r="M241">
        <v>40401020</v>
      </c>
      <c r="N241">
        <v>4040</v>
      </c>
      <c r="O241">
        <v>1.7477500098233101</v>
      </c>
      <c r="P241">
        <v>2.08</v>
      </c>
      <c r="Q241" t="s">
        <v>415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2.411</v>
      </c>
      <c r="AR241">
        <v>3.0760000000000001</v>
      </c>
      <c r="AS241" t="s">
        <v>429</v>
      </c>
      <c r="AT241">
        <v>1</v>
      </c>
      <c r="AU241">
        <v>0</v>
      </c>
      <c r="AV241" t="s">
        <v>432</v>
      </c>
      <c r="AW241">
        <v>0</v>
      </c>
      <c r="AX241">
        <v>0</v>
      </c>
      <c r="AY241">
        <v>0</v>
      </c>
      <c r="CC241">
        <v>2.7435</v>
      </c>
      <c r="CE241" t="s">
        <v>448</v>
      </c>
      <c r="CG241">
        <v>1.7477500098233101</v>
      </c>
      <c r="CH241">
        <v>2.08</v>
      </c>
      <c r="CI241">
        <v>1.9138750049116551</v>
      </c>
      <c r="CJ241">
        <v>-0.3</v>
      </c>
      <c r="CK241">
        <v>1.613875004911655</v>
      </c>
      <c r="CL241">
        <v>4040</v>
      </c>
    </row>
    <row r="242" spans="1:90" x14ac:dyDescent="0.25">
      <c r="A242">
        <v>642</v>
      </c>
      <c r="B242" t="s">
        <v>549</v>
      </c>
      <c r="C242" t="s">
        <v>765</v>
      </c>
      <c r="D242" t="s">
        <v>981</v>
      </c>
      <c r="E242" t="s">
        <v>399</v>
      </c>
      <c r="F242">
        <v>3116652000</v>
      </c>
      <c r="G242">
        <v>52.44</v>
      </c>
      <c r="H242" t="s">
        <v>407</v>
      </c>
      <c r="I242">
        <v>163437230880</v>
      </c>
      <c r="J242" t="s">
        <v>413</v>
      </c>
      <c r="K242">
        <v>95493793.569292098</v>
      </c>
      <c r="L242">
        <v>0.4</v>
      </c>
      <c r="M242">
        <v>40401020</v>
      </c>
      <c r="N242">
        <v>4040</v>
      </c>
      <c r="O242">
        <v>1.74372801575046</v>
      </c>
      <c r="Q242" t="s">
        <v>416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2.5920000000000001</v>
      </c>
      <c r="AR242">
        <v>3.2410000000000001</v>
      </c>
      <c r="AS242" t="s">
        <v>429</v>
      </c>
      <c r="AT242">
        <v>1</v>
      </c>
      <c r="AU242">
        <v>0</v>
      </c>
      <c r="AV242" t="s">
        <v>438</v>
      </c>
      <c r="AW242">
        <v>0</v>
      </c>
      <c r="AX242">
        <v>0</v>
      </c>
      <c r="AY242">
        <v>0</v>
      </c>
      <c r="CC242">
        <v>2.9165000000000001</v>
      </c>
      <c r="CE242" t="s">
        <v>448</v>
      </c>
      <c r="CG242">
        <v>1.74372801575046</v>
      </c>
      <c r="CH242">
        <v>3.4</v>
      </c>
      <c r="CI242">
        <v>2.57186400787523</v>
      </c>
      <c r="CJ242">
        <v>-0.18</v>
      </c>
      <c r="CK242">
        <v>2.3918640078752298</v>
      </c>
      <c r="CL242">
        <v>4040</v>
      </c>
    </row>
    <row r="243" spans="1:90" x14ac:dyDescent="0.25">
      <c r="A243">
        <v>1537</v>
      </c>
      <c r="B243" t="s">
        <v>663</v>
      </c>
      <c r="C243" t="s">
        <v>879</v>
      </c>
      <c r="D243" t="s">
        <v>1095</v>
      </c>
      <c r="E243" t="s">
        <v>396</v>
      </c>
      <c r="F243">
        <v>263982060</v>
      </c>
      <c r="G243">
        <v>36.979999999999997</v>
      </c>
      <c r="H243" t="s">
        <v>407</v>
      </c>
      <c r="I243">
        <v>9762056578.7999992</v>
      </c>
      <c r="J243" t="s">
        <v>413</v>
      </c>
      <c r="K243">
        <v>33253485.885327902</v>
      </c>
      <c r="L243">
        <v>0.9</v>
      </c>
      <c r="M243">
        <v>40401020</v>
      </c>
      <c r="N243">
        <v>4040</v>
      </c>
      <c r="O243">
        <v>1.99948141228607</v>
      </c>
      <c r="Q243" t="s">
        <v>416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2.6619999999999999</v>
      </c>
      <c r="AR243">
        <v>3.024</v>
      </c>
      <c r="AS243" t="s">
        <v>429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2.843</v>
      </c>
      <c r="CE243" t="s">
        <v>448</v>
      </c>
      <c r="CG243">
        <v>1.99948141228607</v>
      </c>
      <c r="CH243">
        <v>3.4</v>
      </c>
      <c r="CI243">
        <v>2.699740706143035</v>
      </c>
      <c r="CJ243">
        <v>-0.18</v>
      </c>
      <c r="CK243">
        <v>2.5197407061430348</v>
      </c>
      <c r="CL243">
        <v>4040</v>
      </c>
    </row>
    <row r="244" spans="1:90" x14ac:dyDescent="0.25">
      <c r="A244">
        <v>472</v>
      </c>
      <c r="B244" t="s">
        <v>526</v>
      </c>
      <c r="C244" t="s">
        <v>742</v>
      </c>
      <c r="D244" t="s">
        <v>958</v>
      </c>
      <c r="E244" t="s">
        <v>393</v>
      </c>
      <c r="F244">
        <v>211833200</v>
      </c>
      <c r="G244">
        <v>73.967929999999996</v>
      </c>
      <c r="H244" t="s">
        <v>408</v>
      </c>
      <c r="I244">
        <v>15668863309.275999</v>
      </c>
      <c r="J244" t="s">
        <v>414</v>
      </c>
      <c r="K244">
        <v>62142347.337688804</v>
      </c>
      <c r="L244">
        <v>0.8</v>
      </c>
      <c r="M244">
        <v>40501020</v>
      </c>
      <c r="N244">
        <v>4050</v>
      </c>
      <c r="O244">
        <v>3.4</v>
      </c>
      <c r="Q244" t="s">
        <v>422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2.1739999999999999</v>
      </c>
      <c r="AR244">
        <v>2.633</v>
      </c>
      <c r="AS244" t="s">
        <v>1102</v>
      </c>
      <c r="AT244">
        <v>0</v>
      </c>
      <c r="AU244">
        <v>0</v>
      </c>
      <c r="AV244" t="s">
        <v>432</v>
      </c>
      <c r="AW244">
        <v>0</v>
      </c>
      <c r="AX244">
        <v>0</v>
      </c>
      <c r="AY244">
        <v>0</v>
      </c>
      <c r="CC244">
        <v>2.4035000000000002</v>
      </c>
      <c r="CE244" t="s">
        <v>448</v>
      </c>
      <c r="CG244">
        <v>3.4</v>
      </c>
      <c r="CH244">
        <v>3.4</v>
      </c>
      <c r="CI244">
        <v>3.4</v>
      </c>
      <c r="CJ244">
        <v>0.3</v>
      </c>
      <c r="CK244">
        <v>3.7</v>
      </c>
      <c r="CL244">
        <v>4050</v>
      </c>
    </row>
    <row r="245" spans="1:90" x14ac:dyDescent="0.25">
      <c r="A245">
        <v>491</v>
      </c>
      <c r="B245" t="s">
        <v>527</v>
      </c>
      <c r="C245" t="s">
        <v>743</v>
      </c>
      <c r="D245" t="s">
        <v>959</v>
      </c>
      <c r="E245" t="s">
        <v>392</v>
      </c>
      <c r="F245">
        <v>185270000</v>
      </c>
      <c r="G245">
        <v>36.54</v>
      </c>
      <c r="H245" t="s">
        <v>407</v>
      </c>
      <c r="I245">
        <v>6769765800</v>
      </c>
      <c r="J245" t="s">
        <v>413</v>
      </c>
      <c r="K245">
        <v>7329954.8633333398</v>
      </c>
      <c r="L245">
        <v>0.65</v>
      </c>
      <c r="M245">
        <v>40501020</v>
      </c>
      <c r="N245">
        <v>4050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2.4209999999999998</v>
      </c>
      <c r="AR245">
        <v>3.0840000000000001</v>
      </c>
      <c r="AS245" t="s">
        <v>1102</v>
      </c>
      <c r="AT245">
        <v>0</v>
      </c>
      <c r="AU245">
        <v>0</v>
      </c>
      <c r="AV245" t="s">
        <v>431</v>
      </c>
      <c r="AW245">
        <v>0</v>
      </c>
      <c r="AX245">
        <v>0</v>
      </c>
      <c r="AY245">
        <v>0</v>
      </c>
      <c r="CC245">
        <v>2.7524999999999999</v>
      </c>
      <c r="CE245" t="s">
        <v>448</v>
      </c>
      <c r="CG245">
        <v>3.4</v>
      </c>
      <c r="CH245">
        <v>3.4</v>
      </c>
      <c r="CI245">
        <v>3.4</v>
      </c>
      <c r="CJ245">
        <v>-0.18</v>
      </c>
      <c r="CK245">
        <v>3.22</v>
      </c>
      <c r="CL245">
        <v>4050</v>
      </c>
    </row>
    <row r="246" spans="1:90" x14ac:dyDescent="0.25">
      <c r="A246">
        <v>19</v>
      </c>
      <c r="B246" t="s">
        <v>452</v>
      </c>
      <c r="C246" t="s">
        <v>668</v>
      </c>
      <c r="D246" t="s">
        <v>884</v>
      </c>
      <c r="E246" t="s">
        <v>392</v>
      </c>
      <c r="F246">
        <v>243667720</v>
      </c>
      <c r="G246">
        <v>46.43</v>
      </c>
      <c r="H246" t="s">
        <v>407</v>
      </c>
      <c r="I246">
        <v>11313492239.6</v>
      </c>
      <c r="J246" t="s">
        <v>413</v>
      </c>
      <c r="K246">
        <v>26555203.167381</v>
      </c>
      <c r="L246">
        <v>0.85000000000000009</v>
      </c>
      <c r="M246">
        <v>40501025</v>
      </c>
      <c r="N246">
        <v>4050</v>
      </c>
      <c r="O246">
        <v>1.7728124388961899</v>
      </c>
      <c r="P246">
        <v>3.01</v>
      </c>
      <c r="Q246" t="s">
        <v>418</v>
      </c>
      <c r="R246" t="s">
        <v>420</v>
      </c>
      <c r="S246">
        <v>0</v>
      </c>
      <c r="T246">
        <v>0.01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2.754</v>
      </c>
      <c r="AR246">
        <v>3.0169999999999999</v>
      </c>
      <c r="AS246" t="s">
        <v>1101</v>
      </c>
      <c r="AT246">
        <v>0</v>
      </c>
      <c r="AU246">
        <v>0</v>
      </c>
      <c r="AV246" t="s">
        <v>431</v>
      </c>
      <c r="AW246">
        <v>0</v>
      </c>
      <c r="AX246">
        <v>0</v>
      </c>
      <c r="AY246">
        <v>0</v>
      </c>
      <c r="CC246">
        <v>2.8855</v>
      </c>
      <c r="CE246" t="s">
        <v>448</v>
      </c>
      <c r="CG246">
        <v>1.7728124388961899</v>
      </c>
      <c r="CH246">
        <v>3.01</v>
      </c>
      <c r="CI246">
        <v>2.3914062194480952</v>
      </c>
      <c r="CJ246">
        <v>0</v>
      </c>
      <c r="CK246">
        <v>2.3914062194480952</v>
      </c>
      <c r="CL246">
        <v>4050</v>
      </c>
    </row>
    <row r="247" spans="1:90" x14ac:dyDescent="0.25">
      <c r="A247">
        <v>666</v>
      </c>
      <c r="B247" t="s">
        <v>555</v>
      </c>
      <c r="C247" t="s">
        <v>771</v>
      </c>
      <c r="D247" t="s">
        <v>987</v>
      </c>
      <c r="E247" t="s">
        <v>401</v>
      </c>
      <c r="F247">
        <v>4812778300</v>
      </c>
      <c r="G247">
        <v>3.941154</v>
      </c>
      <c r="H247" t="s">
        <v>411</v>
      </c>
      <c r="I247">
        <v>18967900448.158199</v>
      </c>
      <c r="J247" t="s">
        <v>414</v>
      </c>
      <c r="K247">
        <v>65258978.541418999</v>
      </c>
      <c r="L247">
        <v>0.75</v>
      </c>
      <c r="M247">
        <v>40501010</v>
      </c>
      <c r="N247">
        <v>4050</v>
      </c>
      <c r="O247">
        <v>2.65990042857758</v>
      </c>
      <c r="P247">
        <v>1.5</v>
      </c>
      <c r="Q247" t="s">
        <v>1097</v>
      </c>
      <c r="R247" t="s">
        <v>420</v>
      </c>
      <c r="S247">
        <v>0</v>
      </c>
      <c r="T247">
        <v>0.01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2.169</v>
      </c>
      <c r="AR247">
        <v>2.4769999999999999</v>
      </c>
      <c r="AS247" t="s">
        <v>425</v>
      </c>
      <c r="AT247">
        <v>1</v>
      </c>
      <c r="AU247">
        <v>0</v>
      </c>
      <c r="AV247" t="s">
        <v>438</v>
      </c>
      <c r="AW247">
        <v>0</v>
      </c>
      <c r="AX247">
        <v>0</v>
      </c>
      <c r="AY247">
        <v>0</v>
      </c>
      <c r="CC247">
        <v>2.323</v>
      </c>
      <c r="CE247" t="s">
        <v>448</v>
      </c>
      <c r="CG247">
        <v>2.65990042857758</v>
      </c>
      <c r="CH247">
        <v>1.5</v>
      </c>
      <c r="CI247">
        <v>2.07995021428879</v>
      </c>
      <c r="CJ247">
        <v>0.3</v>
      </c>
      <c r="CK247">
        <v>2.3799502142887898</v>
      </c>
      <c r="CL247">
        <v>4050</v>
      </c>
    </row>
    <row r="248" spans="1:90" x14ac:dyDescent="0.25">
      <c r="A248">
        <v>815</v>
      </c>
      <c r="B248" t="s">
        <v>163</v>
      </c>
      <c r="C248" t="s">
        <v>263</v>
      </c>
      <c r="D248" t="s">
        <v>363</v>
      </c>
      <c r="E248" t="s">
        <v>396</v>
      </c>
      <c r="F248">
        <v>1200015000</v>
      </c>
      <c r="G248">
        <v>6.3940000000000001</v>
      </c>
      <c r="H248" t="s">
        <v>407</v>
      </c>
      <c r="I248">
        <v>7672895910</v>
      </c>
      <c r="J248" t="s">
        <v>413</v>
      </c>
      <c r="K248">
        <v>40455426.200245902</v>
      </c>
      <c r="L248">
        <v>0.85</v>
      </c>
      <c r="M248">
        <v>40501010</v>
      </c>
      <c r="N248">
        <v>4050</v>
      </c>
      <c r="O248">
        <v>1.83638692207139</v>
      </c>
      <c r="P248">
        <v>1.5</v>
      </c>
      <c r="Q248" t="s">
        <v>416</v>
      </c>
      <c r="R248" t="s">
        <v>420</v>
      </c>
      <c r="S248">
        <v>0</v>
      </c>
      <c r="T248">
        <v>0.01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2.17</v>
      </c>
      <c r="AR248">
        <v>2.78</v>
      </c>
      <c r="AS248" t="s">
        <v>425</v>
      </c>
      <c r="AT248">
        <v>1</v>
      </c>
      <c r="AU248">
        <v>0</v>
      </c>
      <c r="AV248" t="s">
        <v>435</v>
      </c>
      <c r="AW248">
        <v>0</v>
      </c>
      <c r="AX248">
        <v>0</v>
      </c>
      <c r="AY248">
        <v>0</v>
      </c>
      <c r="CC248">
        <v>2.4750000000000001</v>
      </c>
      <c r="CE248" t="s">
        <v>448</v>
      </c>
      <c r="CG248">
        <v>1.83638692207139</v>
      </c>
      <c r="CH248">
        <v>1.5</v>
      </c>
      <c r="CI248">
        <v>1.668193461035695</v>
      </c>
      <c r="CJ248">
        <v>-0.18</v>
      </c>
      <c r="CK248">
        <v>1.4881934610356951</v>
      </c>
      <c r="CL248">
        <v>4050</v>
      </c>
    </row>
    <row r="249" spans="1:90" x14ac:dyDescent="0.25">
      <c r="A249">
        <v>418</v>
      </c>
      <c r="B249" t="s">
        <v>516</v>
      </c>
      <c r="C249" t="s">
        <v>732</v>
      </c>
      <c r="D249" t="s">
        <v>948</v>
      </c>
      <c r="E249" t="s">
        <v>401</v>
      </c>
      <c r="F249">
        <v>758010000</v>
      </c>
      <c r="G249">
        <v>5.955254</v>
      </c>
      <c r="H249" t="s">
        <v>411</v>
      </c>
      <c r="I249">
        <v>4514142084.54</v>
      </c>
      <c r="J249" t="s">
        <v>414</v>
      </c>
      <c r="K249">
        <v>23260381.7895534</v>
      </c>
      <c r="L249">
        <v>1</v>
      </c>
      <c r="M249">
        <v>40501010</v>
      </c>
      <c r="N249">
        <v>4050</v>
      </c>
      <c r="O249">
        <v>1.8218730736953901</v>
      </c>
      <c r="P249">
        <v>2.7</v>
      </c>
      <c r="Q249" t="s">
        <v>416</v>
      </c>
      <c r="R249" t="s">
        <v>420</v>
      </c>
      <c r="S249">
        <v>0</v>
      </c>
      <c r="T249">
        <v>0.05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2.2069999999999999</v>
      </c>
      <c r="AR249">
        <v>2.6</v>
      </c>
      <c r="AS249" t="s">
        <v>425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2.4035000000000002</v>
      </c>
      <c r="CE249" t="s">
        <v>448</v>
      </c>
      <c r="CG249">
        <v>1.8218730736953901</v>
      </c>
      <c r="CH249">
        <v>2.7</v>
      </c>
      <c r="CI249">
        <v>2.2609365368476948</v>
      </c>
      <c r="CJ249">
        <v>-0.18</v>
      </c>
      <c r="CK249">
        <v>2.0809365368476951</v>
      </c>
      <c r="CL249">
        <v>4050</v>
      </c>
    </row>
    <row r="250" spans="1:90" x14ac:dyDescent="0.25">
      <c r="A250">
        <v>450</v>
      </c>
      <c r="B250" t="s">
        <v>519</v>
      </c>
      <c r="C250" t="s">
        <v>735</v>
      </c>
      <c r="D250" t="s">
        <v>951</v>
      </c>
      <c r="E250" t="s">
        <v>401</v>
      </c>
      <c r="F250">
        <v>639307000</v>
      </c>
      <c r="G250">
        <v>8.9220009999999998</v>
      </c>
      <c r="H250" t="s">
        <v>411</v>
      </c>
      <c r="I250">
        <v>5703897693.3070002</v>
      </c>
      <c r="J250" t="s">
        <v>414</v>
      </c>
      <c r="K250">
        <v>12703501.6579103</v>
      </c>
      <c r="L250">
        <v>0.95</v>
      </c>
      <c r="M250">
        <v>40501020</v>
      </c>
      <c r="N250">
        <v>4050</v>
      </c>
      <c r="Q250" t="s">
        <v>1097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2.1880000000000002</v>
      </c>
      <c r="AR250">
        <v>3.08</v>
      </c>
      <c r="AS250" t="s">
        <v>1102</v>
      </c>
      <c r="AT250">
        <v>0</v>
      </c>
      <c r="AU250">
        <v>0</v>
      </c>
      <c r="AV250" t="s">
        <v>1106</v>
      </c>
      <c r="AW250">
        <v>0</v>
      </c>
      <c r="AX250">
        <v>0</v>
      </c>
      <c r="AY250">
        <v>0</v>
      </c>
      <c r="CC250">
        <v>2.6339999999999999</v>
      </c>
      <c r="CE250" t="s">
        <v>448</v>
      </c>
      <c r="CG250">
        <v>3.4</v>
      </c>
      <c r="CH250">
        <v>3.4</v>
      </c>
      <c r="CI250">
        <v>3.4</v>
      </c>
      <c r="CJ250">
        <v>0.3</v>
      </c>
      <c r="CK250">
        <v>3.7</v>
      </c>
      <c r="CL250">
        <v>4050</v>
      </c>
    </row>
    <row r="251" spans="1:90" x14ac:dyDescent="0.25">
      <c r="A251">
        <v>659</v>
      </c>
      <c r="B251" t="s">
        <v>554</v>
      </c>
      <c r="C251" t="s">
        <v>770</v>
      </c>
      <c r="D251" t="s">
        <v>986</v>
      </c>
      <c r="E251" t="s">
        <v>401</v>
      </c>
      <c r="F251">
        <v>158172500</v>
      </c>
      <c r="G251">
        <v>119.6854</v>
      </c>
      <c r="H251" t="s">
        <v>411</v>
      </c>
      <c r="I251">
        <v>18930938931.5</v>
      </c>
      <c r="J251" t="s">
        <v>414</v>
      </c>
      <c r="K251">
        <v>32247793.982799198</v>
      </c>
      <c r="L251">
        <v>0.95</v>
      </c>
      <c r="M251">
        <v>40501025</v>
      </c>
      <c r="N251">
        <v>4050</v>
      </c>
      <c r="O251">
        <v>1.84275880396175</v>
      </c>
      <c r="P251">
        <v>2.08</v>
      </c>
      <c r="Q251" t="s">
        <v>418</v>
      </c>
      <c r="R251" t="s">
        <v>420</v>
      </c>
      <c r="S251">
        <v>0</v>
      </c>
      <c r="T251">
        <v>0.01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2.2839999999999998</v>
      </c>
      <c r="AR251">
        <v>2.9609999999999999</v>
      </c>
      <c r="AS251" t="s">
        <v>1101</v>
      </c>
      <c r="AT251">
        <v>0</v>
      </c>
      <c r="AU251">
        <v>0</v>
      </c>
      <c r="AV251" t="s">
        <v>440</v>
      </c>
      <c r="AW251">
        <v>0</v>
      </c>
      <c r="AX251">
        <v>0</v>
      </c>
      <c r="AY251">
        <v>0</v>
      </c>
      <c r="CC251">
        <v>2.6225000000000001</v>
      </c>
      <c r="CE251" t="s">
        <v>448</v>
      </c>
      <c r="CG251">
        <v>1.84275880396175</v>
      </c>
      <c r="CH251">
        <v>2.08</v>
      </c>
      <c r="CI251">
        <v>1.961379401980875</v>
      </c>
      <c r="CJ251">
        <v>0</v>
      </c>
      <c r="CK251">
        <v>1.961379401980875</v>
      </c>
      <c r="CL251">
        <v>4050</v>
      </c>
    </row>
    <row r="252" spans="1:90" x14ac:dyDescent="0.25">
      <c r="A252">
        <v>1133</v>
      </c>
      <c r="B252" t="s">
        <v>139</v>
      </c>
      <c r="C252" t="s">
        <v>239</v>
      </c>
      <c r="D252" t="s">
        <v>339</v>
      </c>
      <c r="E252" t="s">
        <v>395</v>
      </c>
      <c r="F252">
        <v>1074613824</v>
      </c>
      <c r="G252">
        <v>20.260000000000002</v>
      </c>
      <c r="H252" t="s">
        <v>407</v>
      </c>
      <c r="I252">
        <v>21771676074.240002</v>
      </c>
      <c r="J252" t="s">
        <v>413</v>
      </c>
      <c r="K252">
        <v>37482966.910301603</v>
      </c>
      <c r="L252">
        <v>1</v>
      </c>
      <c r="M252">
        <v>40501010</v>
      </c>
      <c r="N252">
        <v>4050</v>
      </c>
      <c r="O252">
        <v>1.6201795191173001</v>
      </c>
      <c r="P252">
        <v>2.7</v>
      </c>
      <c r="Q252" t="s">
        <v>417</v>
      </c>
      <c r="R252" t="s">
        <v>421</v>
      </c>
      <c r="S252">
        <v>0</v>
      </c>
      <c r="T252">
        <v>0.01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1.82</v>
      </c>
      <c r="AR252">
        <v>3.0049999999999999</v>
      </c>
      <c r="AS252" t="s">
        <v>425</v>
      </c>
      <c r="AT252">
        <v>1</v>
      </c>
      <c r="AU252">
        <v>0</v>
      </c>
      <c r="AV252" t="s">
        <v>434</v>
      </c>
      <c r="AW252">
        <v>0</v>
      </c>
      <c r="AX252">
        <v>0</v>
      </c>
      <c r="AY252">
        <v>0</v>
      </c>
      <c r="CC252">
        <v>2.4125000000000001</v>
      </c>
      <c r="CE252" t="s">
        <v>448</v>
      </c>
      <c r="CG252">
        <v>1.6201795191173001</v>
      </c>
      <c r="CH252">
        <v>2.7</v>
      </c>
      <c r="CI252">
        <v>2.1600897595586499</v>
      </c>
      <c r="CJ252">
        <v>-0.24</v>
      </c>
      <c r="CK252">
        <v>1.9200897595586499</v>
      </c>
      <c r="CL252">
        <v>4050</v>
      </c>
    </row>
    <row r="253" spans="1:90" x14ac:dyDescent="0.25">
      <c r="A253">
        <v>1419</v>
      </c>
      <c r="B253" t="s">
        <v>176</v>
      </c>
      <c r="C253" t="s">
        <v>276</v>
      </c>
      <c r="D253" t="s">
        <v>376</v>
      </c>
      <c r="E253" t="s">
        <v>396</v>
      </c>
      <c r="F253">
        <v>507431030</v>
      </c>
      <c r="G253">
        <v>6.5759999999999996</v>
      </c>
      <c r="H253" t="s">
        <v>407</v>
      </c>
      <c r="I253">
        <v>3336866453.2800002</v>
      </c>
      <c r="J253" t="s">
        <v>413</v>
      </c>
      <c r="K253">
        <v>30812669.2248688</v>
      </c>
      <c r="L253">
        <v>0.9</v>
      </c>
      <c r="M253">
        <v>40501015</v>
      </c>
      <c r="N253">
        <v>4050</v>
      </c>
      <c r="O253">
        <v>1.76815424438663</v>
      </c>
      <c r="P253">
        <v>1.5</v>
      </c>
      <c r="Q253" t="s">
        <v>415</v>
      </c>
      <c r="R253" t="s">
        <v>420</v>
      </c>
      <c r="S253">
        <v>0</v>
      </c>
      <c r="T253">
        <v>0.01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2.5910000000000002</v>
      </c>
      <c r="AR253">
        <v>2.93</v>
      </c>
      <c r="AS253" t="s">
        <v>428</v>
      </c>
      <c r="AT253">
        <v>0</v>
      </c>
      <c r="AU253">
        <v>0</v>
      </c>
      <c r="AV253" t="s">
        <v>435</v>
      </c>
      <c r="AW253">
        <v>0</v>
      </c>
      <c r="AX253">
        <v>0</v>
      </c>
      <c r="AY253">
        <v>0</v>
      </c>
      <c r="CC253">
        <v>2.7605</v>
      </c>
      <c r="CE253" t="s">
        <v>448</v>
      </c>
      <c r="CG253">
        <v>1.76815424438663</v>
      </c>
      <c r="CH253">
        <v>1.5</v>
      </c>
      <c r="CI253">
        <v>1.634077122193315</v>
      </c>
      <c r="CJ253">
        <v>-0.3</v>
      </c>
      <c r="CK253">
        <v>1.334077122193315</v>
      </c>
      <c r="CL253">
        <v>4050</v>
      </c>
    </row>
    <row r="254" spans="1:90" x14ac:dyDescent="0.25">
      <c r="A254">
        <v>1503</v>
      </c>
      <c r="B254" t="s">
        <v>661</v>
      </c>
      <c r="C254" t="s">
        <v>877</v>
      </c>
      <c r="D254" t="s">
        <v>1093</v>
      </c>
      <c r="E254" t="s">
        <v>401</v>
      </c>
      <c r="F254">
        <v>176424010</v>
      </c>
      <c r="G254">
        <v>32.012810000000002</v>
      </c>
      <c r="H254" t="s">
        <v>411</v>
      </c>
      <c r="I254">
        <v>5647828311.5681</v>
      </c>
      <c r="J254" t="s">
        <v>414</v>
      </c>
      <c r="K254">
        <v>15630698.560913401</v>
      </c>
      <c r="L254">
        <v>1</v>
      </c>
      <c r="M254">
        <v>40501025</v>
      </c>
      <c r="N254">
        <v>4050</v>
      </c>
      <c r="Q254" t="s">
        <v>416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2.67</v>
      </c>
      <c r="AR254">
        <v>3.17</v>
      </c>
      <c r="AS254" t="s">
        <v>1101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2.92</v>
      </c>
      <c r="CE254" t="s">
        <v>448</v>
      </c>
      <c r="CG254">
        <v>3.4</v>
      </c>
      <c r="CH254">
        <v>3.4</v>
      </c>
      <c r="CI254">
        <v>3.4</v>
      </c>
      <c r="CJ254">
        <v>-0.18</v>
      </c>
      <c r="CK254">
        <v>3.22</v>
      </c>
      <c r="CL254">
        <v>4050</v>
      </c>
    </row>
    <row r="255" spans="1:90" x14ac:dyDescent="0.25">
      <c r="A255">
        <v>410</v>
      </c>
      <c r="B255" t="s">
        <v>514</v>
      </c>
      <c r="C255" t="s">
        <v>730</v>
      </c>
      <c r="D255" t="s">
        <v>946</v>
      </c>
      <c r="E255" t="s">
        <v>394</v>
      </c>
      <c r="F255">
        <v>265676388</v>
      </c>
      <c r="G255">
        <v>101.1</v>
      </c>
      <c r="H255" t="s">
        <v>407</v>
      </c>
      <c r="I255">
        <v>26859882826.799999</v>
      </c>
      <c r="J255" t="s">
        <v>413</v>
      </c>
      <c r="K255">
        <v>44080142.052063502</v>
      </c>
      <c r="L255">
        <v>0.8</v>
      </c>
      <c r="M255">
        <v>45102020</v>
      </c>
      <c r="N255">
        <v>4510</v>
      </c>
      <c r="O255">
        <v>1.75</v>
      </c>
      <c r="Q255" t="s">
        <v>1098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2.3959999999999999</v>
      </c>
      <c r="AR255">
        <v>3.2669999999999999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2.8315000000000001</v>
      </c>
      <c r="CE255" t="s">
        <v>448</v>
      </c>
      <c r="CG255">
        <v>1.75</v>
      </c>
      <c r="CH255">
        <v>3.4</v>
      </c>
      <c r="CI255">
        <v>2.5750000000000002</v>
      </c>
      <c r="CJ255">
        <v>0.3</v>
      </c>
      <c r="CK255">
        <v>2.875</v>
      </c>
      <c r="CL255">
        <v>4510</v>
      </c>
    </row>
    <row r="256" spans="1:90" x14ac:dyDescent="0.25">
      <c r="A256">
        <v>797</v>
      </c>
      <c r="B256" t="s">
        <v>570</v>
      </c>
      <c r="C256" t="s">
        <v>786</v>
      </c>
      <c r="D256" t="s">
        <v>1002</v>
      </c>
      <c r="E256" t="s">
        <v>404</v>
      </c>
      <c r="F256">
        <v>989547</v>
      </c>
      <c r="G256">
        <v>11802.49</v>
      </c>
      <c r="H256" t="s">
        <v>412</v>
      </c>
      <c r="I256">
        <v>11679118572.030001</v>
      </c>
      <c r="J256" t="s">
        <v>414</v>
      </c>
      <c r="K256">
        <v>26640981.149140999</v>
      </c>
      <c r="L256">
        <v>1</v>
      </c>
      <c r="M256">
        <v>45102020</v>
      </c>
      <c r="N256">
        <v>4510</v>
      </c>
      <c r="O256">
        <v>1.74529070886593</v>
      </c>
      <c r="P256">
        <v>3.1</v>
      </c>
      <c r="Q256" t="s">
        <v>416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2.161</v>
      </c>
      <c r="AR256">
        <v>2.5169999999999999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2.339</v>
      </c>
      <c r="CE256" t="s">
        <v>448</v>
      </c>
      <c r="CG256">
        <v>1.74529070886593</v>
      </c>
      <c r="CH256">
        <v>3.1</v>
      </c>
      <c r="CI256">
        <v>2.4226453544329649</v>
      </c>
      <c r="CJ256">
        <v>-0.18</v>
      </c>
      <c r="CK256">
        <v>2.2426453544329652</v>
      </c>
      <c r="CL256">
        <v>4510</v>
      </c>
    </row>
    <row r="257" spans="1:90" x14ac:dyDescent="0.25">
      <c r="A257">
        <v>903</v>
      </c>
      <c r="B257" t="s">
        <v>581</v>
      </c>
      <c r="C257" t="s">
        <v>797</v>
      </c>
      <c r="D257" t="s">
        <v>1013</v>
      </c>
      <c r="E257" t="s">
        <v>398</v>
      </c>
      <c r="F257">
        <v>517111091</v>
      </c>
      <c r="G257">
        <v>18.514900000000001</v>
      </c>
      <c r="H257" t="s">
        <v>409</v>
      </c>
      <c r="I257">
        <v>9574260138.7559013</v>
      </c>
      <c r="J257" t="s">
        <v>414</v>
      </c>
      <c r="K257">
        <v>16584719.4508359</v>
      </c>
      <c r="L257">
        <v>0.85000000000000009</v>
      </c>
      <c r="M257">
        <v>45102010</v>
      </c>
      <c r="N257">
        <v>4510</v>
      </c>
      <c r="O257">
        <v>1.9431220592962599</v>
      </c>
      <c r="P257">
        <v>3.1</v>
      </c>
      <c r="Q257" t="s">
        <v>415</v>
      </c>
      <c r="R257" t="s">
        <v>420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2.4129999999999998</v>
      </c>
      <c r="AR257">
        <v>2.5670000000000002</v>
      </c>
      <c r="AS257" t="s">
        <v>418</v>
      </c>
      <c r="AT257">
        <v>1</v>
      </c>
      <c r="AU257">
        <v>0</v>
      </c>
      <c r="AV257" t="s">
        <v>437</v>
      </c>
      <c r="AW257">
        <v>0</v>
      </c>
      <c r="AX257">
        <v>0</v>
      </c>
      <c r="AY257">
        <v>0</v>
      </c>
      <c r="CC257">
        <v>2.4900000000000002</v>
      </c>
      <c r="CE257" t="s">
        <v>448</v>
      </c>
      <c r="CG257">
        <v>1.9431220592962599</v>
      </c>
      <c r="CH257">
        <v>3.1</v>
      </c>
      <c r="CI257">
        <v>2.5215610296481299</v>
      </c>
      <c r="CJ257">
        <v>-0.3</v>
      </c>
      <c r="CK257">
        <v>2.2215610296481301</v>
      </c>
      <c r="CL257">
        <v>4510</v>
      </c>
    </row>
    <row r="258" spans="1:90" x14ac:dyDescent="0.25">
      <c r="A258">
        <v>249</v>
      </c>
      <c r="B258" t="s">
        <v>497</v>
      </c>
      <c r="C258" t="s">
        <v>713</v>
      </c>
      <c r="D258" t="s">
        <v>929</v>
      </c>
      <c r="E258" t="s">
        <v>400</v>
      </c>
      <c r="F258">
        <v>100557556</v>
      </c>
      <c r="G258">
        <v>117.959</v>
      </c>
      <c r="H258" t="s">
        <v>410</v>
      </c>
      <c r="I258">
        <v>11861668748.204</v>
      </c>
      <c r="J258" t="s">
        <v>414</v>
      </c>
      <c r="K258">
        <v>25662798.684428599</v>
      </c>
      <c r="L258">
        <v>0.95</v>
      </c>
      <c r="M258">
        <v>45101010</v>
      </c>
      <c r="N258">
        <v>4510</v>
      </c>
      <c r="O258">
        <v>2.72535870450786</v>
      </c>
      <c r="P258">
        <v>1.5</v>
      </c>
      <c r="Q258" t="s">
        <v>416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1.9850000000000001</v>
      </c>
      <c r="AR258">
        <v>3.2629999999999999</v>
      </c>
      <c r="AS258" t="s">
        <v>418</v>
      </c>
      <c r="AT258">
        <v>1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2.6240000000000001</v>
      </c>
      <c r="CE258" t="s">
        <v>448</v>
      </c>
      <c r="CG258">
        <v>2.72535870450786</v>
      </c>
      <c r="CH258">
        <v>1.5</v>
      </c>
      <c r="CI258">
        <v>2.11267935225393</v>
      </c>
      <c r="CJ258">
        <v>-0.18</v>
      </c>
      <c r="CK258">
        <v>1.9326793522539301</v>
      </c>
      <c r="CL258">
        <v>4510</v>
      </c>
    </row>
    <row r="259" spans="1:90" x14ac:dyDescent="0.25">
      <c r="A259">
        <v>364</v>
      </c>
      <c r="B259" t="s">
        <v>184</v>
      </c>
      <c r="C259" t="s">
        <v>284</v>
      </c>
      <c r="D259" t="s">
        <v>384</v>
      </c>
      <c r="E259" t="s">
        <v>392</v>
      </c>
      <c r="F259">
        <v>679553991</v>
      </c>
      <c r="G259">
        <v>68.48</v>
      </c>
      <c r="H259" t="s">
        <v>407</v>
      </c>
      <c r="I259">
        <v>46535857303.68</v>
      </c>
      <c r="J259" t="s">
        <v>413</v>
      </c>
      <c r="K259">
        <v>73768688.648571402</v>
      </c>
      <c r="L259">
        <v>0.95000000000000007</v>
      </c>
      <c r="M259">
        <v>45102020</v>
      </c>
      <c r="N259">
        <v>4510</v>
      </c>
      <c r="O259">
        <v>1.7387876622748</v>
      </c>
      <c r="P259">
        <v>1.5</v>
      </c>
      <c r="Q259" t="s">
        <v>415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2.4980000000000002</v>
      </c>
      <c r="AR259">
        <v>2.8370000000000002</v>
      </c>
      <c r="AS259" t="s">
        <v>418</v>
      </c>
      <c r="AT259">
        <v>1</v>
      </c>
      <c r="AU259">
        <v>0</v>
      </c>
      <c r="AV259" t="s">
        <v>431</v>
      </c>
      <c r="AW259">
        <v>0</v>
      </c>
      <c r="AX259">
        <v>0</v>
      </c>
      <c r="AY259">
        <v>0</v>
      </c>
      <c r="CC259">
        <v>2.6675</v>
      </c>
      <c r="CE259" t="s">
        <v>448</v>
      </c>
      <c r="CG259">
        <v>1.7387876622748</v>
      </c>
      <c r="CH259">
        <v>1.5</v>
      </c>
      <c r="CI259">
        <v>1.6193938311374001</v>
      </c>
      <c r="CJ259">
        <v>-0.3</v>
      </c>
      <c r="CK259">
        <v>1.3193938311374001</v>
      </c>
      <c r="CL259">
        <v>4510</v>
      </c>
    </row>
    <row r="260" spans="1:90" x14ac:dyDescent="0.25">
      <c r="A260">
        <v>236</v>
      </c>
      <c r="B260" t="s">
        <v>496</v>
      </c>
      <c r="C260" t="s">
        <v>712</v>
      </c>
      <c r="D260" t="s">
        <v>928</v>
      </c>
      <c r="E260" t="s">
        <v>402</v>
      </c>
      <c r="F260">
        <v>1231267738</v>
      </c>
      <c r="G260">
        <v>5.7</v>
      </c>
      <c r="H260" t="s">
        <v>407</v>
      </c>
      <c r="I260">
        <v>7018226106.6000004</v>
      </c>
      <c r="J260" t="s">
        <v>413</v>
      </c>
      <c r="K260">
        <v>44776209.1487213</v>
      </c>
      <c r="L260">
        <v>0.5</v>
      </c>
      <c r="M260">
        <v>45101015</v>
      </c>
      <c r="N260">
        <v>4510</v>
      </c>
      <c r="O260">
        <v>1.60969936166303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1.9710000000000001</v>
      </c>
      <c r="AR260">
        <v>2.6190000000000002</v>
      </c>
      <c r="AS260" t="s">
        <v>418</v>
      </c>
      <c r="AT260">
        <v>1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2.2949999999999999</v>
      </c>
      <c r="CE260" t="s">
        <v>448</v>
      </c>
      <c r="CG260">
        <v>1.60969936166303</v>
      </c>
      <c r="CH260">
        <v>3.4</v>
      </c>
      <c r="CI260">
        <v>2.5048496808315148</v>
      </c>
      <c r="CJ260">
        <v>-0.18</v>
      </c>
      <c r="CK260">
        <v>2.3248496808315151</v>
      </c>
      <c r="CL260">
        <v>4510</v>
      </c>
    </row>
    <row r="261" spans="1:90" x14ac:dyDescent="0.25">
      <c r="A261">
        <v>736</v>
      </c>
      <c r="B261" t="s">
        <v>564</v>
      </c>
      <c r="C261" t="s">
        <v>780</v>
      </c>
      <c r="D261" t="s">
        <v>996</v>
      </c>
      <c r="E261" t="s">
        <v>395</v>
      </c>
      <c r="F261">
        <v>165853264</v>
      </c>
      <c r="G261">
        <v>97.6</v>
      </c>
      <c r="H261" t="s">
        <v>407</v>
      </c>
      <c r="I261">
        <v>16187278566.4</v>
      </c>
      <c r="J261" t="s">
        <v>413</v>
      </c>
      <c r="K261">
        <v>28414003.9194762</v>
      </c>
      <c r="L261">
        <v>1</v>
      </c>
      <c r="M261">
        <v>45102020</v>
      </c>
      <c r="N261">
        <v>4510</v>
      </c>
      <c r="O261">
        <v>1.9767564236756201</v>
      </c>
      <c r="P261">
        <v>2.39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2.2200000000000002</v>
      </c>
      <c r="AR261">
        <v>2.976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2.5979999999999999</v>
      </c>
      <c r="CE261" t="s">
        <v>448</v>
      </c>
      <c r="CG261">
        <v>1.9767564236756201</v>
      </c>
      <c r="CH261">
        <v>2.39</v>
      </c>
      <c r="CI261">
        <v>2.1833782118378098</v>
      </c>
      <c r="CJ261">
        <v>-0.24</v>
      </c>
      <c r="CK261">
        <v>1.94337821183781</v>
      </c>
      <c r="CL261">
        <v>4510</v>
      </c>
    </row>
    <row r="262" spans="1:90" x14ac:dyDescent="0.25">
      <c r="A262">
        <v>7</v>
      </c>
      <c r="B262" t="s">
        <v>449</v>
      </c>
      <c r="C262" t="s">
        <v>665</v>
      </c>
      <c r="D262" t="s">
        <v>881</v>
      </c>
      <c r="E262" t="s">
        <v>393</v>
      </c>
      <c r="F262">
        <v>259559200</v>
      </c>
      <c r="G262">
        <v>27.4255</v>
      </c>
      <c r="H262" t="s">
        <v>408</v>
      </c>
      <c r="I262">
        <v>7118540839.5999994</v>
      </c>
      <c r="J262" t="s">
        <v>414</v>
      </c>
      <c r="K262">
        <v>10069959.027504999</v>
      </c>
      <c r="L262">
        <v>0.7</v>
      </c>
      <c r="M262">
        <v>45102020</v>
      </c>
      <c r="N262">
        <v>4510</v>
      </c>
      <c r="O262">
        <v>1.9643056478929399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2.42</v>
      </c>
      <c r="AR262">
        <v>3.1539999999999999</v>
      </c>
      <c r="AS262" t="s">
        <v>418</v>
      </c>
      <c r="AT262">
        <v>1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2.7869999999999999</v>
      </c>
      <c r="CE262" t="s">
        <v>448</v>
      </c>
      <c r="CG262">
        <v>1.9643056478929399</v>
      </c>
      <c r="CH262">
        <v>3.4</v>
      </c>
      <c r="CI262">
        <v>2.68215282394647</v>
      </c>
      <c r="CJ262">
        <v>0</v>
      </c>
      <c r="CK262">
        <v>2.68215282394647</v>
      </c>
      <c r="CL262">
        <v>4510</v>
      </c>
    </row>
    <row r="263" spans="1:90" x14ac:dyDescent="0.25">
      <c r="A263">
        <v>391</v>
      </c>
      <c r="B263" t="s">
        <v>156</v>
      </c>
      <c r="C263" t="s">
        <v>256</v>
      </c>
      <c r="D263" t="s">
        <v>356</v>
      </c>
      <c r="E263" t="s">
        <v>401</v>
      </c>
      <c r="F263">
        <v>2225173800</v>
      </c>
      <c r="G263">
        <v>26.475850000000001</v>
      </c>
      <c r="H263" t="s">
        <v>411</v>
      </c>
      <c r="I263">
        <v>58913367752.730003</v>
      </c>
      <c r="J263" t="s">
        <v>414</v>
      </c>
      <c r="K263">
        <v>91262542.967915595</v>
      </c>
      <c r="L263">
        <v>1</v>
      </c>
      <c r="M263">
        <v>45101015</v>
      </c>
      <c r="N263">
        <v>4510</v>
      </c>
      <c r="O263">
        <v>1.96375273677233</v>
      </c>
      <c r="P263">
        <v>1.5</v>
      </c>
      <c r="Q263" t="s">
        <v>416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2.117</v>
      </c>
      <c r="AR263">
        <v>3.198</v>
      </c>
      <c r="AS263" t="s">
        <v>418</v>
      </c>
      <c r="AT263">
        <v>1</v>
      </c>
      <c r="AU263">
        <v>0</v>
      </c>
      <c r="AV263" t="s">
        <v>440</v>
      </c>
      <c r="AW263">
        <v>0</v>
      </c>
      <c r="AX263">
        <v>0</v>
      </c>
      <c r="AY263">
        <v>0</v>
      </c>
      <c r="CC263">
        <v>2.6575000000000002</v>
      </c>
      <c r="CE263" t="s">
        <v>448</v>
      </c>
      <c r="CG263">
        <v>1.96375273677233</v>
      </c>
      <c r="CH263">
        <v>1.5</v>
      </c>
      <c r="CI263">
        <v>1.7318763683861651</v>
      </c>
      <c r="CJ263">
        <v>-0.18</v>
      </c>
      <c r="CK263">
        <v>1.5518763683861649</v>
      </c>
      <c r="CL263">
        <v>4510</v>
      </c>
    </row>
    <row r="264" spans="1:90" x14ac:dyDescent="0.25">
      <c r="A264">
        <v>584</v>
      </c>
      <c r="B264" t="s">
        <v>541</v>
      </c>
      <c r="C264" t="s">
        <v>757</v>
      </c>
      <c r="D264" t="s">
        <v>973</v>
      </c>
      <c r="E264" t="s">
        <v>394</v>
      </c>
      <c r="F264">
        <v>576002613</v>
      </c>
      <c r="G264">
        <v>78.239999999999995</v>
      </c>
      <c r="H264" t="s">
        <v>407</v>
      </c>
      <c r="I264">
        <v>45066444441.120003</v>
      </c>
      <c r="J264" t="s">
        <v>413</v>
      </c>
      <c r="K264">
        <v>57643601.420317397</v>
      </c>
      <c r="L264">
        <v>0.5</v>
      </c>
      <c r="M264">
        <v>45101010</v>
      </c>
      <c r="N264">
        <v>4510</v>
      </c>
      <c r="O264">
        <v>1.73493007376888</v>
      </c>
      <c r="P264">
        <v>2.08</v>
      </c>
      <c r="Q264" t="s">
        <v>415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1.9790000000000001</v>
      </c>
      <c r="AR264">
        <v>3.0209999999999999</v>
      </c>
      <c r="AS264" t="s">
        <v>418</v>
      </c>
      <c r="AT264">
        <v>1</v>
      </c>
      <c r="AU264">
        <v>0</v>
      </c>
      <c r="AV264" t="s">
        <v>444</v>
      </c>
      <c r="AW264">
        <v>0</v>
      </c>
      <c r="AX264">
        <v>0</v>
      </c>
      <c r="AY264">
        <v>0</v>
      </c>
      <c r="CC264">
        <v>2.5</v>
      </c>
      <c r="CE264" t="s">
        <v>448</v>
      </c>
      <c r="CG264">
        <v>1.73493007376888</v>
      </c>
      <c r="CH264">
        <v>2.08</v>
      </c>
      <c r="CI264">
        <v>1.9074650368844399</v>
      </c>
      <c r="CJ264">
        <v>-0.3</v>
      </c>
      <c r="CK264">
        <v>1.6074650368844401</v>
      </c>
      <c r="CL264">
        <v>4510</v>
      </c>
    </row>
    <row r="265" spans="1:90" x14ac:dyDescent="0.25">
      <c r="A265">
        <v>299</v>
      </c>
      <c r="B265" t="s">
        <v>188</v>
      </c>
      <c r="C265" t="s">
        <v>288</v>
      </c>
      <c r="D265" t="s">
        <v>388</v>
      </c>
      <c r="E265" t="s">
        <v>401</v>
      </c>
      <c r="F265">
        <v>362188870</v>
      </c>
      <c r="G265">
        <v>39.991840000000003</v>
      </c>
      <c r="H265" t="s">
        <v>411</v>
      </c>
      <c r="I265">
        <v>14484599338.820801</v>
      </c>
      <c r="J265" t="s">
        <v>414</v>
      </c>
      <c r="K265">
        <v>14412050.783097999</v>
      </c>
      <c r="L265">
        <v>0.55000000000000004</v>
      </c>
      <c r="M265">
        <v>45101020</v>
      </c>
      <c r="N265">
        <v>4510</v>
      </c>
      <c r="O265">
        <v>1.7271705380618301</v>
      </c>
      <c r="P265">
        <v>1.5</v>
      </c>
      <c r="Q265" t="s">
        <v>415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2.3450000000000002</v>
      </c>
      <c r="AR265">
        <v>2.57</v>
      </c>
      <c r="AS265" t="s">
        <v>418</v>
      </c>
      <c r="AT265">
        <v>1</v>
      </c>
      <c r="AU265">
        <v>0</v>
      </c>
      <c r="AV265" t="s">
        <v>443</v>
      </c>
      <c r="AW265">
        <v>0</v>
      </c>
      <c r="AX265">
        <v>0</v>
      </c>
      <c r="AY265">
        <v>0</v>
      </c>
      <c r="CC265">
        <v>2.4575</v>
      </c>
      <c r="CE265" t="s">
        <v>448</v>
      </c>
      <c r="CG265">
        <v>1.7271705380618301</v>
      </c>
      <c r="CH265">
        <v>1.5</v>
      </c>
      <c r="CI265">
        <v>1.6135852690309149</v>
      </c>
      <c r="CJ265">
        <v>-0.3</v>
      </c>
      <c r="CK265">
        <v>1.3135852690309151</v>
      </c>
      <c r="CL265">
        <v>4510</v>
      </c>
    </row>
    <row r="266" spans="1:90" x14ac:dyDescent="0.25">
      <c r="A266">
        <v>337</v>
      </c>
      <c r="B266" t="s">
        <v>503</v>
      </c>
      <c r="C266" t="s">
        <v>719</v>
      </c>
      <c r="D266" t="s">
        <v>935</v>
      </c>
      <c r="E266" t="s">
        <v>401</v>
      </c>
      <c r="F266">
        <v>54295612</v>
      </c>
      <c r="G266">
        <v>59.60089</v>
      </c>
      <c r="H266" t="s">
        <v>411</v>
      </c>
      <c r="I266">
        <v>3236066798.2946801</v>
      </c>
      <c r="J266" t="s">
        <v>414</v>
      </c>
      <c r="K266">
        <v>4656583.6078323498</v>
      </c>
      <c r="L266">
        <v>1</v>
      </c>
      <c r="M266">
        <v>45102020</v>
      </c>
      <c r="N266">
        <v>4510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2.1629999999999998</v>
      </c>
      <c r="AR266">
        <v>3.1230000000000002</v>
      </c>
      <c r="AS266" t="s">
        <v>418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2.6429999999999998</v>
      </c>
      <c r="CE266" t="s">
        <v>448</v>
      </c>
      <c r="CG266">
        <v>3.4</v>
      </c>
      <c r="CH266">
        <v>3.4</v>
      </c>
      <c r="CI266">
        <v>3.4</v>
      </c>
      <c r="CJ266">
        <v>-0.18</v>
      </c>
      <c r="CK266">
        <v>3.22</v>
      </c>
      <c r="CL266">
        <v>4510</v>
      </c>
    </row>
    <row r="267" spans="1:90" x14ac:dyDescent="0.25">
      <c r="A267">
        <v>124</v>
      </c>
      <c r="B267" t="s">
        <v>468</v>
      </c>
      <c r="C267" t="s">
        <v>684</v>
      </c>
      <c r="D267" t="s">
        <v>900</v>
      </c>
      <c r="E267" t="s">
        <v>401</v>
      </c>
      <c r="F267">
        <v>728033000</v>
      </c>
      <c r="G267">
        <v>23.102900000000002</v>
      </c>
      <c r="H267" t="s">
        <v>411</v>
      </c>
      <c r="I267">
        <v>16819673595.700001</v>
      </c>
      <c r="J267" t="s">
        <v>414</v>
      </c>
      <c r="K267">
        <v>20593004.536175001</v>
      </c>
      <c r="L267">
        <v>0.4</v>
      </c>
      <c r="M267">
        <v>45102020</v>
      </c>
      <c r="N267">
        <v>4510</v>
      </c>
      <c r="O267">
        <v>2.3866666666666601</v>
      </c>
      <c r="P267">
        <v>2.08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2.008</v>
      </c>
      <c r="AR267">
        <v>2.8860000000000001</v>
      </c>
      <c r="AS267" t="s">
        <v>429</v>
      </c>
      <c r="AT267">
        <v>1</v>
      </c>
      <c r="AU267">
        <v>0</v>
      </c>
      <c r="AV267" t="s">
        <v>440</v>
      </c>
      <c r="AW267">
        <v>0</v>
      </c>
      <c r="AX267">
        <v>0</v>
      </c>
      <c r="AY267">
        <v>0</v>
      </c>
      <c r="CC267">
        <v>2.4470000000000001</v>
      </c>
      <c r="CE267" t="s">
        <v>448</v>
      </c>
      <c r="CG267">
        <v>2.3866666666666601</v>
      </c>
      <c r="CH267">
        <v>2.08</v>
      </c>
      <c r="CI267">
        <v>2.2333333333333298</v>
      </c>
      <c r="CJ267">
        <v>-0.18</v>
      </c>
      <c r="CK267">
        <v>2.0533333333333301</v>
      </c>
      <c r="CL267">
        <v>4510</v>
      </c>
    </row>
    <row r="268" spans="1:90" x14ac:dyDescent="0.25">
      <c r="A268">
        <v>923</v>
      </c>
      <c r="B268" t="s">
        <v>173</v>
      </c>
      <c r="C268" t="s">
        <v>273</v>
      </c>
      <c r="D268" t="s">
        <v>373</v>
      </c>
      <c r="E268" t="s">
        <v>404</v>
      </c>
      <c r="F268">
        <v>2620000000</v>
      </c>
      <c r="G268">
        <v>90.485759999999999</v>
      </c>
      <c r="H268" t="s">
        <v>412</v>
      </c>
      <c r="I268">
        <v>237072691200</v>
      </c>
      <c r="J268" t="s">
        <v>414</v>
      </c>
      <c r="K268">
        <v>395799404.31295902</v>
      </c>
      <c r="L268">
        <v>1</v>
      </c>
      <c r="M268">
        <v>45102020</v>
      </c>
      <c r="N268">
        <v>4510</v>
      </c>
      <c r="O268">
        <v>1.74112504395241</v>
      </c>
      <c r="P268">
        <v>1.5</v>
      </c>
      <c r="Q268" t="s">
        <v>417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2.2480000000000002</v>
      </c>
      <c r="AR268">
        <v>2.8980000000000001</v>
      </c>
      <c r="AS268" t="s">
        <v>418</v>
      </c>
      <c r="AT268">
        <v>1</v>
      </c>
      <c r="AU268">
        <v>0</v>
      </c>
      <c r="AV268" t="s">
        <v>443</v>
      </c>
      <c r="AW268">
        <v>0</v>
      </c>
      <c r="AX268">
        <v>0</v>
      </c>
      <c r="AY268">
        <v>0</v>
      </c>
      <c r="CC268">
        <v>2.573</v>
      </c>
      <c r="CE268" t="s">
        <v>448</v>
      </c>
      <c r="CG268">
        <v>1.74112504395241</v>
      </c>
      <c r="CH268">
        <v>1.5</v>
      </c>
      <c r="CI268">
        <v>1.620562521976205</v>
      </c>
      <c r="CJ268">
        <v>-0.24</v>
      </c>
      <c r="CK268">
        <v>1.380562521976205</v>
      </c>
      <c r="CL268">
        <v>4510</v>
      </c>
    </row>
    <row r="269" spans="1:90" x14ac:dyDescent="0.25">
      <c r="A269">
        <v>173</v>
      </c>
      <c r="B269" t="s">
        <v>179</v>
      </c>
      <c r="C269" t="s">
        <v>279</v>
      </c>
      <c r="D269" t="s">
        <v>379</v>
      </c>
      <c r="E269" t="s">
        <v>404</v>
      </c>
      <c r="F269">
        <v>5488858</v>
      </c>
      <c r="G269">
        <v>1126.021</v>
      </c>
      <c r="H269" t="s">
        <v>412</v>
      </c>
      <c r="I269">
        <v>6180569374.0179996</v>
      </c>
      <c r="J269" t="s">
        <v>414</v>
      </c>
      <c r="K269">
        <v>21337047.627355602</v>
      </c>
      <c r="L269">
        <v>0.7</v>
      </c>
      <c r="M269">
        <v>45102020</v>
      </c>
      <c r="N269">
        <v>4510</v>
      </c>
      <c r="O269">
        <v>1.7426036975708401</v>
      </c>
      <c r="P269">
        <v>1.5</v>
      </c>
      <c r="Q269" t="s">
        <v>415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1.829</v>
      </c>
      <c r="AR269">
        <v>2.5819999999999999</v>
      </c>
      <c r="AS269" t="s">
        <v>418</v>
      </c>
      <c r="AT269">
        <v>1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2.2054999999999998</v>
      </c>
      <c r="CE269" t="s">
        <v>448</v>
      </c>
      <c r="CG269">
        <v>1.7426036975708401</v>
      </c>
      <c r="CH269">
        <v>1.5</v>
      </c>
      <c r="CI269">
        <v>1.6213018487854201</v>
      </c>
      <c r="CJ269">
        <v>-0.3</v>
      </c>
      <c r="CK269">
        <v>1.32130184878542</v>
      </c>
      <c r="CL269">
        <v>4510</v>
      </c>
    </row>
    <row r="270" spans="1:90" x14ac:dyDescent="0.25">
      <c r="A270">
        <v>1010</v>
      </c>
      <c r="B270" t="s">
        <v>167</v>
      </c>
      <c r="C270" t="s">
        <v>267</v>
      </c>
      <c r="D270" t="s">
        <v>367</v>
      </c>
      <c r="E270" t="s">
        <v>398</v>
      </c>
      <c r="F270">
        <v>1001430970</v>
      </c>
      <c r="G270">
        <v>9.1671560000000003</v>
      </c>
      <c r="H270" t="s">
        <v>409</v>
      </c>
      <c r="I270">
        <v>9180273925.2213211</v>
      </c>
      <c r="J270" t="s">
        <v>414</v>
      </c>
      <c r="K270">
        <v>9237785.1270873696</v>
      </c>
      <c r="L270">
        <v>0.75</v>
      </c>
      <c r="M270">
        <v>45102020</v>
      </c>
      <c r="N270">
        <v>4510</v>
      </c>
      <c r="O270">
        <v>1.7387081680102601</v>
      </c>
      <c r="P270">
        <v>1.5</v>
      </c>
      <c r="Q270" t="s">
        <v>416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2.3149999999999999</v>
      </c>
      <c r="AR270">
        <v>3.2949999999999999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2.8050000000000002</v>
      </c>
      <c r="CE270" t="s">
        <v>448</v>
      </c>
      <c r="CG270">
        <v>1.7387081680102601</v>
      </c>
      <c r="CH270">
        <v>1.5</v>
      </c>
      <c r="CI270">
        <v>1.6193540840051299</v>
      </c>
      <c r="CJ270">
        <v>-0.18</v>
      </c>
      <c r="CK270">
        <v>1.43935408400513</v>
      </c>
      <c r="CL270">
        <v>4510</v>
      </c>
    </row>
    <row r="271" spans="1:90" x14ac:dyDescent="0.25">
      <c r="A271">
        <v>1031</v>
      </c>
      <c r="B271" t="s">
        <v>592</v>
      </c>
      <c r="C271" t="s">
        <v>808</v>
      </c>
      <c r="D271" t="s">
        <v>1024</v>
      </c>
      <c r="E271" t="s">
        <v>392</v>
      </c>
      <c r="F271">
        <v>252269195</v>
      </c>
      <c r="G271">
        <v>99.2</v>
      </c>
      <c r="H271" t="s">
        <v>407</v>
      </c>
      <c r="I271">
        <v>25025104144</v>
      </c>
      <c r="J271" t="s">
        <v>413</v>
      </c>
      <c r="K271">
        <v>71433481.464603201</v>
      </c>
      <c r="L271">
        <v>0.8</v>
      </c>
      <c r="M271">
        <v>45101015</v>
      </c>
      <c r="N271">
        <v>4510</v>
      </c>
      <c r="O271">
        <v>1.7343801965574801</v>
      </c>
      <c r="P271">
        <v>2.39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2.1019999999999999</v>
      </c>
      <c r="AR271">
        <v>2.8759999999999999</v>
      </c>
      <c r="AS271" t="s">
        <v>418</v>
      </c>
      <c r="AT271">
        <v>1</v>
      </c>
      <c r="AU271">
        <v>0</v>
      </c>
      <c r="AV271" t="s">
        <v>431</v>
      </c>
      <c r="AW271">
        <v>0</v>
      </c>
      <c r="AX271">
        <v>0</v>
      </c>
      <c r="AY271">
        <v>0</v>
      </c>
      <c r="CC271">
        <v>2.4889999999999999</v>
      </c>
      <c r="CE271" t="s">
        <v>448</v>
      </c>
      <c r="CG271">
        <v>1.7343801965574801</v>
      </c>
      <c r="CH271">
        <v>2.39</v>
      </c>
      <c r="CI271">
        <v>2.06219009827874</v>
      </c>
      <c r="CJ271">
        <v>-0.3</v>
      </c>
      <c r="CK271">
        <v>1.76219009827874</v>
      </c>
      <c r="CL271">
        <v>4510</v>
      </c>
    </row>
    <row r="272" spans="1:90" x14ac:dyDescent="0.25">
      <c r="A272">
        <v>1128</v>
      </c>
      <c r="B272" t="s">
        <v>609</v>
      </c>
      <c r="C272" t="s">
        <v>825</v>
      </c>
      <c r="D272" t="s">
        <v>1041</v>
      </c>
      <c r="E272" t="s">
        <v>400</v>
      </c>
      <c r="F272">
        <v>50200000</v>
      </c>
      <c r="G272">
        <v>73.523319999999998</v>
      </c>
      <c r="H272" t="s">
        <v>410</v>
      </c>
      <c r="I272">
        <v>3690870664</v>
      </c>
      <c r="J272" t="s">
        <v>414</v>
      </c>
      <c r="K272">
        <v>6001786.9137484599</v>
      </c>
      <c r="L272">
        <v>0.85</v>
      </c>
      <c r="M272">
        <v>45101010</v>
      </c>
      <c r="N272">
        <v>4510</v>
      </c>
      <c r="O272">
        <v>1.7333717938572899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1.8740000000000001</v>
      </c>
      <c r="AR272">
        <v>2.9849999999999999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CC272">
        <v>2.4295</v>
      </c>
      <c r="CE272" t="s">
        <v>448</v>
      </c>
      <c r="CG272">
        <v>1.7333717938572899</v>
      </c>
      <c r="CH272">
        <v>3.4</v>
      </c>
      <c r="CI272">
        <v>2.5666858969286448</v>
      </c>
      <c r="CJ272">
        <v>-0.18</v>
      </c>
      <c r="CK272">
        <v>2.3866858969286451</v>
      </c>
      <c r="CL272">
        <v>4510</v>
      </c>
    </row>
    <row r="273" spans="1:90" x14ac:dyDescent="0.25">
      <c r="A273">
        <v>1143</v>
      </c>
      <c r="B273" t="s">
        <v>610</v>
      </c>
      <c r="C273" t="s">
        <v>826</v>
      </c>
      <c r="D273" t="s">
        <v>1042</v>
      </c>
      <c r="E273" t="s">
        <v>398</v>
      </c>
      <c r="F273">
        <v>132038920</v>
      </c>
      <c r="G273">
        <v>49.447609999999997</v>
      </c>
      <c r="H273" t="s">
        <v>409</v>
      </c>
      <c r="I273">
        <v>6529009020.9811993</v>
      </c>
      <c r="J273" t="s">
        <v>414</v>
      </c>
      <c r="K273">
        <v>8761269.7928578407</v>
      </c>
      <c r="L273">
        <v>0.55000000000000004</v>
      </c>
      <c r="M273">
        <v>45102010</v>
      </c>
      <c r="N273">
        <v>4510</v>
      </c>
      <c r="O273">
        <v>1.9873155260473001</v>
      </c>
      <c r="P273">
        <v>2.08</v>
      </c>
      <c r="Q273" t="s">
        <v>417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2.1779999999999999</v>
      </c>
      <c r="AR273">
        <v>2.923</v>
      </c>
      <c r="AS273" t="s">
        <v>415</v>
      </c>
      <c r="AT273">
        <v>1</v>
      </c>
      <c r="AU273">
        <v>0</v>
      </c>
      <c r="AV273" t="s">
        <v>437</v>
      </c>
      <c r="AW273">
        <v>0</v>
      </c>
      <c r="AX273">
        <v>0</v>
      </c>
      <c r="AY273">
        <v>0</v>
      </c>
      <c r="CC273">
        <v>2.5505</v>
      </c>
      <c r="CE273" t="s">
        <v>448</v>
      </c>
      <c r="CG273">
        <v>1.9873155260473001</v>
      </c>
      <c r="CH273">
        <v>2.08</v>
      </c>
      <c r="CI273">
        <v>2.0336577630236499</v>
      </c>
      <c r="CJ273">
        <v>-0.24</v>
      </c>
      <c r="CK273">
        <v>1.7936577630236501</v>
      </c>
      <c r="CL273">
        <v>4510</v>
      </c>
    </row>
    <row r="274" spans="1:90" x14ac:dyDescent="0.25">
      <c r="A274">
        <v>186</v>
      </c>
      <c r="B274" t="s">
        <v>172</v>
      </c>
      <c r="C274" t="s">
        <v>272</v>
      </c>
      <c r="D274" t="s">
        <v>372</v>
      </c>
      <c r="E274" t="s">
        <v>396</v>
      </c>
      <c r="F274">
        <v>248000000</v>
      </c>
      <c r="G274">
        <v>128.15</v>
      </c>
      <c r="H274" t="s">
        <v>407</v>
      </c>
      <c r="I274">
        <v>31781200000</v>
      </c>
      <c r="J274" t="s">
        <v>413</v>
      </c>
      <c r="K274">
        <v>25987102.558196701</v>
      </c>
      <c r="L274">
        <v>0.4</v>
      </c>
      <c r="M274">
        <v>45201020</v>
      </c>
      <c r="N274">
        <v>4520</v>
      </c>
      <c r="O274">
        <v>1.7450134819631999</v>
      </c>
      <c r="P274">
        <v>1.5</v>
      </c>
      <c r="Q274" t="s">
        <v>417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2.3719999999999999</v>
      </c>
      <c r="AR274">
        <v>2.4630000000000001</v>
      </c>
      <c r="AS274" t="s">
        <v>418</v>
      </c>
      <c r="AT274">
        <v>1</v>
      </c>
      <c r="AU274">
        <v>0</v>
      </c>
      <c r="AV274" t="s">
        <v>435</v>
      </c>
      <c r="AW274">
        <v>0</v>
      </c>
      <c r="AX274">
        <v>0</v>
      </c>
      <c r="AY274">
        <v>0</v>
      </c>
      <c r="CC274">
        <v>2.4175</v>
      </c>
      <c r="CE274" t="s">
        <v>448</v>
      </c>
      <c r="CG274">
        <v>1.7450134819631999</v>
      </c>
      <c r="CH274">
        <v>1.5</v>
      </c>
      <c r="CI274">
        <v>1.6225067409816001</v>
      </c>
      <c r="CJ274">
        <v>-0.24</v>
      </c>
      <c r="CK274">
        <v>1.3825067409816001</v>
      </c>
      <c r="CL274">
        <v>4520</v>
      </c>
    </row>
    <row r="275" spans="1:90" x14ac:dyDescent="0.25">
      <c r="A275">
        <v>835</v>
      </c>
      <c r="B275" t="s">
        <v>576</v>
      </c>
      <c r="C275" t="s">
        <v>792</v>
      </c>
      <c r="D275" t="s">
        <v>1008</v>
      </c>
      <c r="E275" t="s">
        <v>401</v>
      </c>
      <c r="F275">
        <v>2051666300</v>
      </c>
      <c r="G275">
        <v>4.1841520000000001</v>
      </c>
      <c r="H275" t="s">
        <v>411</v>
      </c>
      <c r="I275">
        <v>8584483652.4776001</v>
      </c>
      <c r="J275" t="s">
        <v>414</v>
      </c>
      <c r="K275">
        <v>32668137.087276101</v>
      </c>
      <c r="L275">
        <v>1</v>
      </c>
      <c r="M275">
        <v>45201010</v>
      </c>
      <c r="N275">
        <v>4520</v>
      </c>
      <c r="O275">
        <v>1.9816534204691401</v>
      </c>
      <c r="P275">
        <v>3.1</v>
      </c>
      <c r="Q275" t="s">
        <v>416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2.4430000000000001</v>
      </c>
      <c r="AR275">
        <v>3.0529999999999999</v>
      </c>
      <c r="AS275" t="s">
        <v>429</v>
      </c>
      <c r="AT275">
        <v>1</v>
      </c>
      <c r="AU275">
        <v>0</v>
      </c>
      <c r="AV275" t="s">
        <v>440</v>
      </c>
      <c r="AW275">
        <v>0</v>
      </c>
      <c r="AX275">
        <v>0</v>
      </c>
      <c r="AY275">
        <v>0</v>
      </c>
      <c r="CC275">
        <v>2.7480000000000002</v>
      </c>
      <c r="CE275" t="s">
        <v>448</v>
      </c>
      <c r="CG275">
        <v>1.9816534204691401</v>
      </c>
      <c r="CH275">
        <v>3.1</v>
      </c>
      <c r="CI275">
        <v>2.5408267102345699</v>
      </c>
      <c r="CJ275">
        <v>-0.18</v>
      </c>
      <c r="CK275">
        <v>2.3608267102345701</v>
      </c>
      <c r="CL275">
        <v>4520</v>
      </c>
    </row>
    <row r="276" spans="1:90" x14ac:dyDescent="0.25">
      <c r="A276">
        <v>528</v>
      </c>
      <c r="B276" t="s">
        <v>533</v>
      </c>
      <c r="C276" t="s">
        <v>749</v>
      </c>
      <c r="D276" t="s">
        <v>965</v>
      </c>
      <c r="E276" t="s">
        <v>404</v>
      </c>
      <c r="F276">
        <v>50000000</v>
      </c>
      <c r="G276">
        <v>87.136399999999995</v>
      </c>
      <c r="H276" t="s">
        <v>412</v>
      </c>
      <c r="I276">
        <v>4356820000</v>
      </c>
      <c r="J276" t="s">
        <v>414</v>
      </c>
      <c r="K276">
        <v>6692625.0379184401</v>
      </c>
      <c r="L276">
        <v>1</v>
      </c>
      <c r="M276">
        <v>45201015</v>
      </c>
      <c r="N276">
        <v>4520</v>
      </c>
      <c r="O276">
        <v>3.4</v>
      </c>
      <c r="P276">
        <v>2.39</v>
      </c>
      <c r="Q276" t="s">
        <v>419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2.0059999999999998</v>
      </c>
      <c r="AR276">
        <v>3.2149999999999999</v>
      </c>
      <c r="AS276" t="s">
        <v>429</v>
      </c>
      <c r="AT276">
        <v>1</v>
      </c>
      <c r="AU276">
        <v>0</v>
      </c>
      <c r="AV276" t="s">
        <v>443</v>
      </c>
      <c r="AW276">
        <v>0</v>
      </c>
      <c r="AX276">
        <v>0</v>
      </c>
      <c r="AY276">
        <v>0</v>
      </c>
      <c r="CC276">
        <v>2.6105</v>
      </c>
      <c r="CE276" t="s">
        <v>448</v>
      </c>
      <c r="CG276">
        <v>3.4</v>
      </c>
      <c r="CH276">
        <v>2.39</v>
      </c>
      <c r="CI276">
        <v>2.895</v>
      </c>
      <c r="CJ276">
        <v>0.18</v>
      </c>
      <c r="CK276">
        <v>3.0750000000000002</v>
      </c>
      <c r="CL276">
        <v>4520</v>
      </c>
    </row>
    <row r="277" spans="1:90" x14ac:dyDescent="0.25">
      <c r="A277">
        <v>689</v>
      </c>
      <c r="B277" t="s">
        <v>181</v>
      </c>
      <c r="C277" t="s">
        <v>281</v>
      </c>
      <c r="D277" t="s">
        <v>381</v>
      </c>
      <c r="E277" t="s">
        <v>406</v>
      </c>
      <c r="F277">
        <v>629293220</v>
      </c>
      <c r="G277">
        <v>19.98</v>
      </c>
      <c r="H277" t="s">
        <v>407</v>
      </c>
      <c r="I277">
        <v>12573278535.6</v>
      </c>
      <c r="J277" t="s">
        <v>413</v>
      </c>
      <c r="K277">
        <v>10766081.2461905</v>
      </c>
      <c r="L277">
        <v>0.45</v>
      </c>
      <c r="M277">
        <v>45201010</v>
      </c>
      <c r="N277">
        <v>4520</v>
      </c>
      <c r="O277">
        <v>1.7406384718850201</v>
      </c>
      <c r="P277">
        <v>1.5</v>
      </c>
      <c r="Q277" t="s">
        <v>415</v>
      </c>
      <c r="R277" t="s">
        <v>420</v>
      </c>
      <c r="S277">
        <v>0</v>
      </c>
      <c r="T277">
        <v>0.05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2.72</v>
      </c>
      <c r="AR277">
        <v>2.5680000000000001</v>
      </c>
      <c r="AS277" t="s">
        <v>429</v>
      </c>
      <c r="AT277">
        <v>1</v>
      </c>
      <c r="AU277">
        <v>0</v>
      </c>
      <c r="AV277" t="s">
        <v>447</v>
      </c>
      <c r="AW277">
        <v>0</v>
      </c>
      <c r="AX277">
        <v>0</v>
      </c>
      <c r="AY277">
        <v>0</v>
      </c>
      <c r="CC277">
        <v>2.6440000000000001</v>
      </c>
      <c r="CE277" t="s">
        <v>448</v>
      </c>
      <c r="CG277">
        <v>1.7406384718850201</v>
      </c>
      <c r="CH277">
        <v>1.5</v>
      </c>
      <c r="CI277">
        <v>1.62031923594251</v>
      </c>
      <c r="CJ277">
        <v>-0.3</v>
      </c>
      <c r="CK277">
        <v>1.32031923594251</v>
      </c>
      <c r="CL277">
        <v>4520</v>
      </c>
    </row>
    <row r="278" spans="1:90" x14ac:dyDescent="0.25">
      <c r="A278">
        <v>737</v>
      </c>
      <c r="B278" t="s">
        <v>565</v>
      </c>
      <c r="C278" t="s">
        <v>781</v>
      </c>
      <c r="D278" t="s">
        <v>997</v>
      </c>
      <c r="E278" t="s">
        <v>397</v>
      </c>
      <c r="F278">
        <v>273130980</v>
      </c>
      <c r="G278">
        <v>18.074999999999999</v>
      </c>
      <c r="H278" t="s">
        <v>407</v>
      </c>
      <c r="I278">
        <v>4936842463.5</v>
      </c>
      <c r="J278" t="s">
        <v>413</v>
      </c>
      <c r="K278">
        <v>9540190.1735593192</v>
      </c>
      <c r="L278">
        <v>1</v>
      </c>
      <c r="M278">
        <v>45201010</v>
      </c>
      <c r="N278">
        <v>4520</v>
      </c>
      <c r="O278">
        <v>1.99651884012667</v>
      </c>
      <c r="P278">
        <v>2.39</v>
      </c>
      <c r="Q278" t="s">
        <v>416</v>
      </c>
      <c r="R278" t="s">
        <v>420</v>
      </c>
      <c r="S278">
        <v>0</v>
      </c>
      <c r="T278">
        <v>0.05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2.5169999999999999</v>
      </c>
      <c r="AR278">
        <v>3.0339999999999998</v>
      </c>
      <c r="AS278" t="s">
        <v>429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2.7755000000000001</v>
      </c>
      <c r="CE278" t="s">
        <v>448</v>
      </c>
      <c r="CG278">
        <v>1.99651884012667</v>
      </c>
      <c r="CH278">
        <v>2.39</v>
      </c>
      <c r="CI278">
        <v>2.1932594200633351</v>
      </c>
      <c r="CJ278">
        <v>-0.18</v>
      </c>
      <c r="CK278">
        <v>2.0132594200633349</v>
      </c>
      <c r="CL278">
        <v>4520</v>
      </c>
    </row>
    <row r="279" spans="1:90" x14ac:dyDescent="0.25">
      <c r="A279">
        <v>466</v>
      </c>
      <c r="B279" t="s">
        <v>168</v>
      </c>
      <c r="C279" t="s">
        <v>268</v>
      </c>
      <c r="D279" t="s">
        <v>368</v>
      </c>
      <c r="E279" t="s">
        <v>393</v>
      </c>
      <c r="F279">
        <v>643368840</v>
      </c>
      <c r="G279">
        <v>25.860900000000001</v>
      </c>
      <c r="H279" t="s">
        <v>408</v>
      </c>
      <c r="I279">
        <v>16638097234.356001</v>
      </c>
      <c r="J279" t="s">
        <v>414</v>
      </c>
      <c r="K279">
        <v>36684374.367596902</v>
      </c>
      <c r="L279">
        <v>0.9</v>
      </c>
      <c r="M279">
        <v>45201020</v>
      </c>
      <c r="N279">
        <v>4520</v>
      </c>
      <c r="O279">
        <v>1.6524943400662999</v>
      </c>
      <c r="P279">
        <v>1.77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2.3239999999999998</v>
      </c>
      <c r="AR279">
        <v>2.919</v>
      </c>
      <c r="AS279" t="s">
        <v>418</v>
      </c>
      <c r="AT279">
        <v>1</v>
      </c>
      <c r="AU279">
        <v>0</v>
      </c>
      <c r="AV279" t="s">
        <v>432</v>
      </c>
      <c r="AW279">
        <v>0</v>
      </c>
      <c r="AX279">
        <v>0</v>
      </c>
      <c r="AY279">
        <v>0</v>
      </c>
      <c r="CC279">
        <v>2.6215000000000002</v>
      </c>
      <c r="CE279" t="s">
        <v>448</v>
      </c>
      <c r="CG279">
        <v>1.6524943400662999</v>
      </c>
      <c r="CH279">
        <v>1.77</v>
      </c>
      <c r="CI279">
        <v>1.71124717003315</v>
      </c>
      <c r="CJ279">
        <v>-0.3</v>
      </c>
      <c r="CK279">
        <v>1.4112471700331499</v>
      </c>
      <c r="CL279">
        <v>4520</v>
      </c>
    </row>
    <row r="280" spans="1:90" x14ac:dyDescent="0.25">
      <c r="A280">
        <v>1088</v>
      </c>
      <c r="B280" t="s">
        <v>603</v>
      </c>
      <c r="C280" t="s">
        <v>819</v>
      </c>
      <c r="D280" t="s">
        <v>1035</v>
      </c>
      <c r="E280" t="s">
        <v>401</v>
      </c>
      <c r="F280">
        <v>684448700</v>
      </c>
      <c r="G280">
        <v>63.61459</v>
      </c>
      <c r="H280" t="s">
        <v>411</v>
      </c>
      <c r="I280">
        <v>43540923426.532997</v>
      </c>
      <c r="J280" t="s">
        <v>414</v>
      </c>
      <c r="K280">
        <v>52981753.512116902</v>
      </c>
      <c r="L280">
        <v>1</v>
      </c>
      <c r="M280">
        <v>45201030</v>
      </c>
      <c r="N280">
        <v>4520</v>
      </c>
      <c r="O280">
        <v>1.9951439291220101</v>
      </c>
      <c r="P280">
        <v>2.39</v>
      </c>
      <c r="Q280" t="s">
        <v>417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2.4089999999999998</v>
      </c>
      <c r="AR280">
        <v>3.339</v>
      </c>
      <c r="AS280" t="s">
        <v>418</v>
      </c>
      <c r="AT280">
        <v>1</v>
      </c>
      <c r="AU280">
        <v>0</v>
      </c>
      <c r="AV280" t="s">
        <v>440</v>
      </c>
      <c r="AW280">
        <v>0</v>
      </c>
      <c r="AX280">
        <v>0</v>
      </c>
      <c r="AY280">
        <v>0</v>
      </c>
      <c r="CC280">
        <v>2.8740000000000001</v>
      </c>
      <c r="CE280" t="s">
        <v>448</v>
      </c>
      <c r="CG280">
        <v>1.9951439291220101</v>
      </c>
      <c r="CH280">
        <v>2.39</v>
      </c>
      <c r="CI280">
        <v>2.1925719645610049</v>
      </c>
      <c r="CJ280">
        <v>-0.24</v>
      </c>
      <c r="CK280">
        <v>1.9525719645610049</v>
      </c>
      <c r="CL280">
        <v>4520</v>
      </c>
    </row>
    <row r="281" spans="1:90" x14ac:dyDescent="0.25">
      <c r="A281">
        <v>1432</v>
      </c>
      <c r="B281" t="s">
        <v>654</v>
      </c>
      <c r="C281" t="s">
        <v>870</v>
      </c>
      <c r="D281" t="s">
        <v>1086</v>
      </c>
      <c r="E281" t="s">
        <v>394</v>
      </c>
      <c r="F281">
        <v>2637743772</v>
      </c>
      <c r="G281">
        <v>53.3</v>
      </c>
      <c r="H281" t="s">
        <v>407</v>
      </c>
      <c r="I281">
        <v>140591743047.60001</v>
      </c>
      <c r="J281" t="s">
        <v>413</v>
      </c>
      <c r="K281">
        <v>67116423.676190495</v>
      </c>
      <c r="L281">
        <v>1</v>
      </c>
      <c r="M281">
        <v>45201020</v>
      </c>
      <c r="N281">
        <v>4520</v>
      </c>
      <c r="O281">
        <v>1.9946538426723599</v>
      </c>
      <c r="P281">
        <v>1.5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2.464</v>
      </c>
      <c r="AR281">
        <v>3</v>
      </c>
      <c r="AS281" t="s">
        <v>418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CC281">
        <v>2.7320000000000002</v>
      </c>
      <c r="CE281" t="s">
        <v>448</v>
      </c>
      <c r="CG281">
        <v>1.9946538426723599</v>
      </c>
      <c r="CH281">
        <v>1.5</v>
      </c>
      <c r="CI281">
        <v>1.74732692133618</v>
      </c>
      <c r="CJ281">
        <v>-0.18</v>
      </c>
      <c r="CK281">
        <v>1.56732692133618</v>
      </c>
      <c r="CL281">
        <v>4520</v>
      </c>
    </row>
    <row r="282" spans="1:90" x14ac:dyDescent="0.25">
      <c r="A282">
        <v>538</v>
      </c>
      <c r="B282" t="s">
        <v>535</v>
      </c>
      <c r="C282" t="s">
        <v>751</v>
      </c>
      <c r="D282" t="s">
        <v>967</v>
      </c>
      <c r="E282" t="s">
        <v>404</v>
      </c>
      <c r="F282">
        <v>35189083</v>
      </c>
      <c r="G282">
        <v>559.07650000000001</v>
      </c>
      <c r="H282" t="s">
        <v>412</v>
      </c>
      <c r="I282">
        <v>19673389361.849499</v>
      </c>
      <c r="J282" t="s">
        <v>414</v>
      </c>
      <c r="K282">
        <v>44480339.436672702</v>
      </c>
      <c r="L282">
        <v>1</v>
      </c>
      <c r="M282">
        <v>50101020</v>
      </c>
      <c r="N282">
        <v>5010</v>
      </c>
      <c r="Q282" t="s">
        <v>416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2.702</v>
      </c>
      <c r="AR282">
        <v>3.048</v>
      </c>
      <c r="AS282" t="s">
        <v>418</v>
      </c>
      <c r="AT282">
        <v>1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2.875</v>
      </c>
      <c r="CE282" t="s">
        <v>448</v>
      </c>
      <c r="CG282">
        <v>3.4</v>
      </c>
      <c r="CH282">
        <v>3.4</v>
      </c>
      <c r="CI282">
        <v>3.4</v>
      </c>
      <c r="CJ282">
        <v>-0.18</v>
      </c>
      <c r="CK282">
        <v>3.22</v>
      </c>
      <c r="CL282">
        <v>5010</v>
      </c>
    </row>
    <row r="283" spans="1:90" x14ac:dyDescent="0.25">
      <c r="A283">
        <v>123</v>
      </c>
      <c r="B283" t="s">
        <v>165</v>
      </c>
      <c r="C283" t="s">
        <v>265</v>
      </c>
      <c r="D283" t="s">
        <v>365</v>
      </c>
      <c r="E283" t="s">
        <v>393</v>
      </c>
      <c r="F283">
        <v>1055050400</v>
      </c>
      <c r="G283">
        <v>29.5566</v>
      </c>
      <c r="H283" t="s">
        <v>408</v>
      </c>
      <c r="I283">
        <v>31183702652.639999</v>
      </c>
      <c r="J283" t="s">
        <v>414</v>
      </c>
      <c r="K283">
        <v>42342444.337286301</v>
      </c>
      <c r="L283">
        <v>0.95</v>
      </c>
      <c r="M283">
        <v>50101035</v>
      </c>
      <c r="N283">
        <v>5010</v>
      </c>
      <c r="O283">
        <v>1.74887448110706</v>
      </c>
      <c r="P283">
        <v>1.5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1.956</v>
      </c>
      <c r="AR283">
        <v>3.0419999999999998</v>
      </c>
      <c r="AS283" t="s">
        <v>428</v>
      </c>
      <c r="AT283">
        <v>0</v>
      </c>
      <c r="AU283">
        <v>0</v>
      </c>
      <c r="AV283" t="s">
        <v>432</v>
      </c>
      <c r="AW283">
        <v>0</v>
      </c>
      <c r="AX283">
        <v>0</v>
      </c>
      <c r="AY283">
        <v>0</v>
      </c>
      <c r="CC283">
        <v>2.4990000000000001</v>
      </c>
      <c r="CE283" t="s">
        <v>448</v>
      </c>
      <c r="CG283">
        <v>1.74887448110706</v>
      </c>
      <c r="CH283">
        <v>1.5</v>
      </c>
      <c r="CI283">
        <v>1.6244372405535299</v>
      </c>
      <c r="CJ283">
        <v>-0.18</v>
      </c>
      <c r="CK283">
        <v>1.44443724055353</v>
      </c>
      <c r="CL283">
        <v>5010</v>
      </c>
    </row>
    <row r="284" spans="1:90" x14ac:dyDescent="0.25">
      <c r="A284">
        <v>188</v>
      </c>
      <c r="B284" t="s">
        <v>485</v>
      </c>
      <c r="C284" t="s">
        <v>701</v>
      </c>
      <c r="D284" t="s">
        <v>917</v>
      </c>
      <c r="E284" t="s">
        <v>404</v>
      </c>
      <c r="F284">
        <v>12300000</v>
      </c>
      <c r="G284">
        <v>707.08609999999999</v>
      </c>
      <c r="H284" t="s">
        <v>412</v>
      </c>
      <c r="I284">
        <v>8697159030</v>
      </c>
      <c r="J284" t="s">
        <v>414</v>
      </c>
      <c r="K284">
        <v>15549111.580239899</v>
      </c>
      <c r="L284">
        <v>0.8</v>
      </c>
      <c r="M284">
        <v>50101025</v>
      </c>
      <c r="N284">
        <v>5010</v>
      </c>
      <c r="O284">
        <v>3.4</v>
      </c>
      <c r="Q284" t="s">
        <v>422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2.1949999999999998</v>
      </c>
      <c r="AR284">
        <v>2.375</v>
      </c>
      <c r="AS284" t="s">
        <v>418</v>
      </c>
      <c r="AT284">
        <v>1</v>
      </c>
      <c r="AU284">
        <v>0</v>
      </c>
      <c r="AV284" t="s">
        <v>443</v>
      </c>
      <c r="AW284">
        <v>0</v>
      </c>
      <c r="AX284">
        <v>0</v>
      </c>
      <c r="AY284">
        <v>0</v>
      </c>
      <c r="CC284">
        <v>2.2850000000000001</v>
      </c>
      <c r="CE284" t="s">
        <v>448</v>
      </c>
      <c r="CG284">
        <v>3.4</v>
      </c>
      <c r="CH284">
        <v>3.4</v>
      </c>
      <c r="CI284">
        <v>3.4</v>
      </c>
      <c r="CJ284">
        <v>0.3</v>
      </c>
      <c r="CK284">
        <v>3.7</v>
      </c>
      <c r="CL284">
        <v>5010</v>
      </c>
    </row>
    <row r="285" spans="1:90" x14ac:dyDescent="0.25">
      <c r="A285">
        <v>748</v>
      </c>
      <c r="B285" t="s">
        <v>96</v>
      </c>
      <c r="C285" t="s">
        <v>196</v>
      </c>
      <c r="D285" t="s">
        <v>296</v>
      </c>
      <c r="E285" t="s">
        <v>395</v>
      </c>
      <c r="F285">
        <v>181964859</v>
      </c>
      <c r="G285">
        <v>75.5</v>
      </c>
      <c r="H285" t="s">
        <v>407</v>
      </c>
      <c r="I285">
        <v>13738346854.5</v>
      </c>
      <c r="J285" t="s">
        <v>413</v>
      </c>
      <c r="K285">
        <v>27712783.5906079</v>
      </c>
      <c r="L285">
        <v>0.85000000000000009</v>
      </c>
      <c r="M285">
        <v>50101035</v>
      </c>
      <c r="N285">
        <v>5010</v>
      </c>
      <c r="O285">
        <v>1.9783311772679499</v>
      </c>
      <c r="P285">
        <v>3.1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2.1080000000000001</v>
      </c>
      <c r="AR285">
        <v>2.617</v>
      </c>
      <c r="AS285" t="s">
        <v>418</v>
      </c>
      <c r="AT285">
        <v>1</v>
      </c>
      <c r="AU285">
        <v>1</v>
      </c>
      <c r="AV285" t="s">
        <v>434</v>
      </c>
      <c r="AW285">
        <v>0</v>
      </c>
      <c r="AX285">
        <v>0</v>
      </c>
      <c r="AY285">
        <v>0</v>
      </c>
      <c r="CC285">
        <v>2.3624999999999998</v>
      </c>
      <c r="CE285" t="s">
        <v>448</v>
      </c>
      <c r="CG285">
        <v>1.9783311772679499</v>
      </c>
      <c r="CH285">
        <v>3.1</v>
      </c>
      <c r="CI285">
        <v>2.539165588633975</v>
      </c>
      <c r="CJ285">
        <v>-0.3</v>
      </c>
      <c r="CK285">
        <v>2.2391655886339752</v>
      </c>
      <c r="CL285">
        <v>5010</v>
      </c>
    </row>
    <row r="286" spans="1:90" x14ac:dyDescent="0.25">
      <c r="A286">
        <v>936</v>
      </c>
      <c r="B286" t="s">
        <v>584</v>
      </c>
      <c r="C286" t="s">
        <v>800</v>
      </c>
      <c r="D286" t="s">
        <v>1016</v>
      </c>
      <c r="E286" t="s">
        <v>393</v>
      </c>
      <c r="F286">
        <v>1782936200</v>
      </c>
      <c r="G286">
        <v>3.637251</v>
      </c>
      <c r="H286" t="s">
        <v>408</v>
      </c>
      <c r="I286">
        <v>6484986476.3862</v>
      </c>
      <c r="J286" t="s">
        <v>414</v>
      </c>
      <c r="K286">
        <v>32390200.2197248</v>
      </c>
      <c r="L286">
        <v>1</v>
      </c>
      <c r="M286">
        <v>50101025</v>
      </c>
      <c r="N286">
        <v>5010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2.2309999999999999</v>
      </c>
      <c r="AR286">
        <v>2.3410000000000002</v>
      </c>
      <c r="AS286" t="s">
        <v>418</v>
      </c>
      <c r="AT286">
        <v>1</v>
      </c>
      <c r="AU286">
        <v>0</v>
      </c>
      <c r="AV286" t="s">
        <v>432</v>
      </c>
      <c r="AW286">
        <v>0</v>
      </c>
      <c r="AX286">
        <v>0</v>
      </c>
      <c r="AY286">
        <v>0</v>
      </c>
      <c r="CC286">
        <v>2.286</v>
      </c>
      <c r="CE286" t="s">
        <v>448</v>
      </c>
      <c r="CG286">
        <v>3.4</v>
      </c>
      <c r="CH286">
        <v>3.4</v>
      </c>
      <c r="CI286">
        <v>3.4</v>
      </c>
      <c r="CJ286">
        <v>-0.18</v>
      </c>
      <c r="CK286">
        <v>3.22</v>
      </c>
      <c r="CL286">
        <v>5010</v>
      </c>
    </row>
    <row r="287" spans="1:90" x14ac:dyDescent="0.25">
      <c r="A287">
        <v>1119</v>
      </c>
      <c r="B287" t="s">
        <v>101</v>
      </c>
      <c r="C287" t="s">
        <v>201</v>
      </c>
      <c r="D287" t="s">
        <v>301</v>
      </c>
      <c r="E287" t="s">
        <v>400</v>
      </c>
      <c r="F287">
        <v>11754106</v>
      </c>
      <c r="G287">
        <v>375.32420000000002</v>
      </c>
      <c r="H287" t="s">
        <v>410</v>
      </c>
      <c r="I287">
        <v>4411600431.1652002</v>
      </c>
      <c r="J287" t="s">
        <v>414</v>
      </c>
      <c r="K287">
        <v>13834313.1880618</v>
      </c>
      <c r="L287">
        <v>0.85</v>
      </c>
      <c r="M287">
        <v>50101035</v>
      </c>
      <c r="N287">
        <v>5010</v>
      </c>
      <c r="Q287" t="s">
        <v>416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2.1520000000000001</v>
      </c>
      <c r="AR287">
        <v>2.6040000000000001</v>
      </c>
      <c r="AS287" t="s">
        <v>418</v>
      </c>
      <c r="AT287">
        <v>1</v>
      </c>
      <c r="AU287">
        <v>1</v>
      </c>
      <c r="AV287" t="s">
        <v>439</v>
      </c>
      <c r="AW287">
        <v>0</v>
      </c>
      <c r="AX287">
        <v>0</v>
      </c>
      <c r="AY287">
        <v>0</v>
      </c>
      <c r="CC287">
        <v>2.3780000000000001</v>
      </c>
      <c r="CE287" t="s">
        <v>448</v>
      </c>
      <c r="CG287">
        <v>3.4</v>
      </c>
      <c r="CH287">
        <v>3.4</v>
      </c>
      <c r="CI287">
        <v>3.4</v>
      </c>
      <c r="CJ287">
        <v>-0.18</v>
      </c>
      <c r="CK287">
        <v>3.22</v>
      </c>
      <c r="CL287">
        <v>5010</v>
      </c>
    </row>
    <row r="288" spans="1:90" x14ac:dyDescent="0.25">
      <c r="A288">
        <v>1218</v>
      </c>
      <c r="B288" t="s">
        <v>107</v>
      </c>
      <c r="C288" t="s">
        <v>207</v>
      </c>
      <c r="D288" t="s">
        <v>307</v>
      </c>
      <c r="E288" t="s">
        <v>404</v>
      </c>
      <c r="F288">
        <v>160479300</v>
      </c>
      <c r="G288">
        <v>252.84970000000001</v>
      </c>
      <c r="H288" t="s">
        <v>412</v>
      </c>
      <c r="I288">
        <v>40577142861.209999</v>
      </c>
      <c r="J288" t="s">
        <v>414</v>
      </c>
      <c r="K288">
        <v>92114432.940758303</v>
      </c>
      <c r="L288">
        <v>1</v>
      </c>
      <c r="M288">
        <v>50101035</v>
      </c>
      <c r="N288">
        <v>5010</v>
      </c>
      <c r="O288">
        <v>1.74390558393971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2.6779999999999999</v>
      </c>
      <c r="AR288">
        <v>2.95</v>
      </c>
      <c r="AS288" t="s">
        <v>418</v>
      </c>
      <c r="AT288">
        <v>1</v>
      </c>
      <c r="AU288">
        <v>0</v>
      </c>
      <c r="AV288" t="s">
        <v>443</v>
      </c>
      <c r="AW288">
        <v>0</v>
      </c>
      <c r="AX288">
        <v>0</v>
      </c>
      <c r="AY288">
        <v>0</v>
      </c>
      <c r="CC288">
        <v>2.8140000000000001</v>
      </c>
      <c r="CE288" t="s">
        <v>448</v>
      </c>
      <c r="CG288">
        <v>1.74390558393971</v>
      </c>
      <c r="CH288">
        <v>3.4</v>
      </c>
      <c r="CI288">
        <v>2.571952791969855</v>
      </c>
      <c r="CJ288">
        <v>0</v>
      </c>
      <c r="CK288">
        <v>2.571952791969855</v>
      </c>
      <c r="CL288">
        <v>5010</v>
      </c>
    </row>
    <row r="289" spans="1:90" x14ac:dyDescent="0.25">
      <c r="A289">
        <v>1505</v>
      </c>
      <c r="B289" t="s">
        <v>105</v>
      </c>
      <c r="C289" t="s">
        <v>205</v>
      </c>
      <c r="D289" t="s">
        <v>305</v>
      </c>
      <c r="E289" t="s">
        <v>403</v>
      </c>
      <c r="F289">
        <v>111732346</v>
      </c>
      <c r="G289">
        <v>29.66</v>
      </c>
      <c r="H289" t="s">
        <v>407</v>
      </c>
      <c r="I289">
        <v>3313981382.3600001</v>
      </c>
      <c r="J289" t="s">
        <v>413</v>
      </c>
      <c r="K289">
        <v>6821360.8039344298</v>
      </c>
      <c r="L289">
        <v>1</v>
      </c>
      <c r="M289">
        <v>50101035</v>
      </c>
      <c r="N289">
        <v>5010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2.4409999999999998</v>
      </c>
      <c r="AR289">
        <v>3.4710000000000001</v>
      </c>
      <c r="AS289" t="s">
        <v>418</v>
      </c>
      <c r="AT289">
        <v>1</v>
      </c>
      <c r="AU289">
        <v>1</v>
      </c>
      <c r="AV289" t="s">
        <v>442</v>
      </c>
      <c r="AW289">
        <v>0</v>
      </c>
      <c r="AX289">
        <v>0</v>
      </c>
      <c r="AY289">
        <v>0</v>
      </c>
      <c r="CC289">
        <v>2.956</v>
      </c>
      <c r="CE289" t="s">
        <v>448</v>
      </c>
      <c r="CG289">
        <v>3.4</v>
      </c>
      <c r="CH289">
        <v>3.4</v>
      </c>
      <c r="CI289">
        <v>3.4</v>
      </c>
      <c r="CJ289">
        <v>-0.18</v>
      </c>
      <c r="CK289">
        <v>3.22</v>
      </c>
      <c r="CL289">
        <v>5010</v>
      </c>
    </row>
    <row r="290" spans="1:90" x14ac:dyDescent="0.25">
      <c r="A290">
        <v>358</v>
      </c>
      <c r="B290" t="s">
        <v>506</v>
      </c>
      <c r="C290" t="s">
        <v>722</v>
      </c>
      <c r="D290" t="s">
        <v>938</v>
      </c>
      <c r="E290" t="s">
        <v>396</v>
      </c>
      <c r="F290">
        <v>791868300</v>
      </c>
      <c r="G290">
        <v>41.55</v>
      </c>
      <c r="H290" t="s">
        <v>407</v>
      </c>
      <c r="I290">
        <v>32902127865</v>
      </c>
      <c r="J290" t="s">
        <v>413</v>
      </c>
      <c r="K290">
        <v>48774963.215819702</v>
      </c>
      <c r="L290">
        <v>0.6</v>
      </c>
      <c r="M290">
        <v>50206015</v>
      </c>
      <c r="N290">
        <v>5020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2.5630000000000002</v>
      </c>
      <c r="AR290">
        <v>3.1709999999999998</v>
      </c>
      <c r="AS290" t="s">
        <v>418</v>
      </c>
      <c r="AT290">
        <v>1</v>
      </c>
      <c r="AU290">
        <v>0</v>
      </c>
      <c r="AV290" t="s">
        <v>435</v>
      </c>
      <c r="AW290">
        <v>0</v>
      </c>
      <c r="AX290">
        <v>0</v>
      </c>
      <c r="AY290">
        <v>0</v>
      </c>
      <c r="CC290">
        <v>2.867</v>
      </c>
      <c r="CE290" t="s">
        <v>448</v>
      </c>
      <c r="CG290">
        <v>3.4</v>
      </c>
      <c r="CH290">
        <v>3.4</v>
      </c>
      <c r="CI290">
        <v>3.4</v>
      </c>
      <c r="CJ290">
        <v>-0.18</v>
      </c>
      <c r="CK290">
        <v>3.22</v>
      </c>
      <c r="CL290">
        <v>5020</v>
      </c>
    </row>
    <row r="291" spans="1:90" x14ac:dyDescent="0.25">
      <c r="A291">
        <v>762</v>
      </c>
      <c r="B291" t="s">
        <v>148</v>
      </c>
      <c r="C291" t="s">
        <v>248</v>
      </c>
      <c r="D291" t="s">
        <v>348</v>
      </c>
      <c r="E291" t="s">
        <v>397</v>
      </c>
      <c r="F291">
        <v>453187130</v>
      </c>
      <c r="G291">
        <v>55.22</v>
      </c>
      <c r="H291" t="s">
        <v>407</v>
      </c>
      <c r="I291">
        <v>25024993318.599998</v>
      </c>
      <c r="J291" t="s">
        <v>413</v>
      </c>
      <c r="K291">
        <v>26322525.057796601</v>
      </c>
      <c r="L291">
        <v>0.85</v>
      </c>
      <c r="M291">
        <v>50204000</v>
      </c>
      <c r="N291">
        <v>5020</v>
      </c>
      <c r="O291">
        <v>1.9953067049789499</v>
      </c>
      <c r="P291">
        <v>2.08</v>
      </c>
      <c r="Q291" t="s">
        <v>415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2.6</v>
      </c>
      <c r="AR291">
        <v>2.8839999999999999</v>
      </c>
      <c r="AS291" t="s">
        <v>418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2.742</v>
      </c>
      <c r="CE291" t="s">
        <v>448</v>
      </c>
      <c r="CG291">
        <v>1.9953067049789499</v>
      </c>
      <c r="CH291">
        <v>2.08</v>
      </c>
      <c r="CI291">
        <v>2.0376533524894751</v>
      </c>
      <c r="CJ291">
        <v>-0.3</v>
      </c>
      <c r="CK291">
        <v>1.7376533524894751</v>
      </c>
      <c r="CL291">
        <v>5020</v>
      </c>
    </row>
    <row r="292" spans="1:90" x14ac:dyDescent="0.25">
      <c r="A292">
        <v>27</v>
      </c>
      <c r="B292" t="s">
        <v>454</v>
      </c>
      <c r="C292" t="s">
        <v>670</v>
      </c>
      <c r="D292" t="s">
        <v>886</v>
      </c>
      <c r="E292" t="s">
        <v>392</v>
      </c>
      <c r="F292">
        <v>98960602</v>
      </c>
      <c r="G292">
        <v>102.7</v>
      </c>
      <c r="H292" t="s">
        <v>407</v>
      </c>
      <c r="I292">
        <v>10163253825.4</v>
      </c>
      <c r="J292" t="s">
        <v>413</v>
      </c>
      <c r="K292">
        <v>10050109.132539701</v>
      </c>
      <c r="L292">
        <v>0.3</v>
      </c>
      <c r="M292">
        <v>50206060</v>
      </c>
      <c r="N292">
        <v>5020</v>
      </c>
      <c r="O292">
        <v>1.7486174961126399</v>
      </c>
      <c r="Q292" t="s">
        <v>415</v>
      </c>
      <c r="R292" t="s">
        <v>420</v>
      </c>
      <c r="S292">
        <v>0</v>
      </c>
      <c r="T292">
        <v>0.05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2.2290000000000001</v>
      </c>
      <c r="AR292">
        <v>3.0819999999999999</v>
      </c>
      <c r="AS292" t="s">
        <v>425</v>
      </c>
      <c r="AT292">
        <v>1</v>
      </c>
      <c r="AU292">
        <v>0</v>
      </c>
      <c r="AV292" t="s">
        <v>431</v>
      </c>
      <c r="AW292">
        <v>0</v>
      </c>
      <c r="AX292">
        <v>0</v>
      </c>
      <c r="AY292">
        <v>0</v>
      </c>
      <c r="CC292">
        <v>2.6555</v>
      </c>
      <c r="CE292" t="s">
        <v>448</v>
      </c>
      <c r="CG292">
        <v>1.7486174961126399</v>
      </c>
      <c r="CH292">
        <v>3.4</v>
      </c>
      <c r="CI292">
        <v>2.5743087480563198</v>
      </c>
      <c r="CJ292">
        <v>-0.3</v>
      </c>
      <c r="CK292">
        <v>2.27430874805632</v>
      </c>
      <c r="CL292">
        <v>5020</v>
      </c>
    </row>
    <row r="293" spans="1:90" x14ac:dyDescent="0.25">
      <c r="A293">
        <v>34</v>
      </c>
      <c r="B293" t="s">
        <v>457</v>
      </c>
      <c r="C293" t="s">
        <v>673</v>
      </c>
      <c r="D293" t="s">
        <v>889</v>
      </c>
      <c r="E293" t="s">
        <v>399</v>
      </c>
      <c r="F293">
        <v>150000000</v>
      </c>
      <c r="G293">
        <v>211.4</v>
      </c>
      <c r="H293" t="s">
        <v>407</v>
      </c>
      <c r="I293">
        <v>31710000000</v>
      </c>
      <c r="J293" t="s">
        <v>413</v>
      </c>
      <c r="K293">
        <v>27930489.288095199</v>
      </c>
      <c r="L293">
        <v>0.5</v>
      </c>
      <c r="M293">
        <v>50206060</v>
      </c>
      <c r="N293">
        <v>5020</v>
      </c>
      <c r="O293">
        <v>1.74674908413494</v>
      </c>
      <c r="Q293" t="s">
        <v>417</v>
      </c>
      <c r="R293" t="s">
        <v>420</v>
      </c>
      <c r="S293">
        <v>0</v>
      </c>
      <c r="T293">
        <v>0.05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2.8759999999999999</v>
      </c>
      <c r="AR293">
        <v>3.2120000000000002</v>
      </c>
      <c r="AS293" t="s">
        <v>425</v>
      </c>
      <c r="AT293">
        <v>1</v>
      </c>
      <c r="AU293">
        <v>0</v>
      </c>
      <c r="AV293" t="s">
        <v>438</v>
      </c>
      <c r="AW293">
        <v>0</v>
      </c>
      <c r="AX293">
        <v>0</v>
      </c>
      <c r="AY293">
        <v>0</v>
      </c>
      <c r="CC293">
        <v>3.044</v>
      </c>
      <c r="CE293" t="s">
        <v>448</v>
      </c>
      <c r="CG293">
        <v>1.74674908413494</v>
      </c>
      <c r="CH293">
        <v>3.4</v>
      </c>
      <c r="CI293">
        <v>2.5733745420674699</v>
      </c>
      <c r="CJ293">
        <v>-0.24</v>
      </c>
      <c r="CK293">
        <v>2.3333745420674701</v>
      </c>
      <c r="CL293">
        <v>5020</v>
      </c>
    </row>
    <row r="294" spans="1:90" x14ac:dyDescent="0.25">
      <c r="A294">
        <v>228</v>
      </c>
      <c r="B294" t="s">
        <v>142</v>
      </c>
      <c r="C294" t="s">
        <v>242</v>
      </c>
      <c r="D294" t="s">
        <v>342</v>
      </c>
      <c r="E294" t="s">
        <v>401</v>
      </c>
      <c r="F294">
        <v>329765630</v>
      </c>
      <c r="G294">
        <v>40.693019999999997</v>
      </c>
      <c r="H294" t="s">
        <v>411</v>
      </c>
      <c r="I294">
        <v>13419159376.902599</v>
      </c>
      <c r="J294" t="s">
        <v>414</v>
      </c>
      <c r="K294">
        <v>20420662.454890098</v>
      </c>
      <c r="L294">
        <v>1</v>
      </c>
      <c r="M294">
        <v>50203000</v>
      </c>
      <c r="N294">
        <v>5020</v>
      </c>
      <c r="O294">
        <v>1.74632403309423</v>
      </c>
      <c r="P294">
        <v>2.39</v>
      </c>
      <c r="Q294" t="s">
        <v>416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2.0009999999999999</v>
      </c>
      <c r="AR294">
        <v>2.996</v>
      </c>
      <c r="AS294" t="s">
        <v>429</v>
      </c>
      <c r="AT294">
        <v>1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2.4984999999999999</v>
      </c>
      <c r="CE294" t="s">
        <v>448</v>
      </c>
      <c r="CG294">
        <v>1.74632403309423</v>
      </c>
      <c r="CH294">
        <v>2.39</v>
      </c>
      <c r="CI294">
        <v>2.0681620165471148</v>
      </c>
      <c r="CJ294">
        <v>-0.18</v>
      </c>
      <c r="CK294">
        <v>1.8881620165471149</v>
      </c>
      <c r="CL294">
        <v>5020</v>
      </c>
    </row>
    <row r="295" spans="1:90" x14ac:dyDescent="0.25">
      <c r="A295">
        <v>411</v>
      </c>
      <c r="B295" t="s">
        <v>515</v>
      </c>
      <c r="C295" t="s">
        <v>731</v>
      </c>
      <c r="D295" t="s">
        <v>947</v>
      </c>
      <c r="E295" t="s">
        <v>400</v>
      </c>
      <c r="F295">
        <v>240444520</v>
      </c>
      <c r="G295">
        <v>193.42599999999999</v>
      </c>
      <c r="H295" t="s">
        <v>410</v>
      </c>
      <c r="I295">
        <v>46508221725.519997</v>
      </c>
      <c r="J295" t="s">
        <v>414</v>
      </c>
      <c r="K295">
        <v>55041555.716175199</v>
      </c>
      <c r="L295">
        <v>0.85</v>
      </c>
      <c r="M295">
        <v>50206060</v>
      </c>
      <c r="N295">
        <v>5020</v>
      </c>
      <c r="O295">
        <v>1.9892651222634901</v>
      </c>
      <c r="Q295" t="s">
        <v>416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1.829</v>
      </c>
      <c r="AR295">
        <v>2.8250000000000002</v>
      </c>
      <c r="AS295" t="s">
        <v>425</v>
      </c>
      <c r="AT295">
        <v>1</v>
      </c>
      <c r="AU295">
        <v>0</v>
      </c>
      <c r="AV295" t="s">
        <v>439</v>
      </c>
      <c r="AW295">
        <v>0</v>
      </c>
      <c r="AX295">
        <v>0</v>
      </c>
      <c r="AY295">
        <v>0</v>
      </c>
      <c r="CC295">
        <v>2.327</v>
      </c>
      <c r="CE295" t="s">
        <v>448</v>
      </c>
      <c r="CG295">
        <v>1.9892651222634901</v>
      </c>
      <c r="CH295">
        <v>3.4</v>
      </c>
      <c r="CI295">
        <v>2.694632561131745</v>
      </c>
      <c r="CJ295">
        <v>-0.18</v>
      </c>
      <c r="CK295">
        <v>2.5146325611317448</v>
      </c>
      <c r="CL295">
        <v>5020</v>
      </c>
    </row>
    <row r="296" spans="1:90" x14ac:dyDescent="0.25">
      <c r="A296">
        <v>503</v>
      </c>
      <c r="B296" t="s">
        <v>530</v>
      </c>
      <c r="C296" t="s">
        <v>746</v>
      </c>
      <c r="D296" t="s">
        <v>962</v>
      </c>
      <c r="E296" t="s">
        <v>404</v>
      </c>
      <c r="F296">
        <v>30701876</v>
      </c>
      <c r="G296">
        <v>233.49789999999999</v>
      </c>
      <c r="H296" t="s">
        <v>412</v>
      </c>
      <c r="I296">
        <v>7168823572.0604</v>
      </c>
      <c r="J296" t="s">
        <v>414</v>
      </c>
      <c r="K296">
        <v>11390899.690463601</v>
      </c>
      <c r="L296">
        <v>0.6</v>
      </c>
      <c r="M296">
        <v>50206060</v>
      </c>
      <c r="N296">
        <v>5020</v>
      </c>
      <c r="O296">
        <v>3.4</v>
      </c>
      <c r="Q296" t="s">
        <v>422</v>
      </c>
      <c r="R296" t="s">
        <v>420</v>
      </c>
      <c r="S296">
        <v>0</v>
      </c>
      <c r="T296">
        <v>0.05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2.1669999999999998</v>
      </c>
      <c r="AR296">
        <v>2.6440000000000001</v>
      </c>
      <c r="AS296" t="s">
        <v>425</v>
      </c>
      <c r="AT296">
        <v>1</v>
      </c>
      <c r="AU296">
        <v>0</v>
      </c>
      <c r="AV296" t="s">
        <v>443</v>
      </c>
      <c r="AW296">
        <v>0</v>
      </c>
      <c r="AX296">
        <v>0</v>
      </c>
      <c r="AY296">
        <v>0</v>
      </c>
      <c r="CC296">
        <v>2.4055</v>
      </c>
      <c r="CE296" t="s">
        <v>448</v>
      </c>
      <c r="CG296">
        <v>3.4</v>
      </c>
      <c r="CH296">
        <v>3.4</v>
      </c>
      <c r="CI296">
        <v>3.4</v>
      </c>
      <c r="CJ296">
        <v>0.3</v>
      </c>
      <c r="CK296">
        <v>3.7</v>
      </c>
      <c r="CL296">
        <v>5020</v>
      </c>
    </row>
    <row r="297" spans="1:90" x14ac:dyDescent="0.25">
      <c r="A297">
        <v>644</v>
      </c>
      <c r="B297" t="s">
        <v>550</v>
      </c>
      <c r="C297" t="s">
        <v>766</v>
      </c>
      <c r="D297" t="s">
        <v>982</v>
      </c>
      <c r="E297" t="s">
        <v>393</v>
      </c>
      <c r="F297">
        <v>364323000</v>
      </c>
      <c r="G297">
        <v>28.684380000000001</v>
      </c>
      <c r="H297" t="s">
        <v>408</v>
      </c>
      <c r="I297">
        <v>10450379374.74</v>
      </c>
      <c r="J297" t="s">
        <v>414</v>
      </c>
      <c r="K297">
        <v>7406705.8083766503</v>
      </c>
      <c r="L297">
        <v>0.75</v>
      </c>
      <c r="M297">
        <v>50203000</v>
      </c>
      <c r="N297">
        <v>5020</v>
      </c>
      <c r="O297">
        <v>1.7480803378632199</v>
      </c>
      <c r="Q297" t="s">
        <v>418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1.83</v>
      </c>
      <c r="AR297">
        <v>2.7519999999999998</v>
      </c>
      <c r="AS297" t="s">
        <v>418</v>
      </c>
      <c r="AT297">
        <v>1</v>
      </c>
      <c r="AU297">
        <v>0</v>
      </c>
      <c r="AV297" t="s">
        <v>432</v>
      </c>
      <c r="AW297">
        <v>0</v>
      </c>
      <c r="AX297">
        <v>0</v>
      </c>
      <c r="AY297">
        <v>0</v>
      </c>
      <c r="CC297">
        <v>2.2909999999999999</v>
      </c>
      <c r="CE297" t="s">
        <v>448</v>
      </c>
      <c r="CG297">
        <v>1.7480803378632199</v>
      </c>
      <c r="CH297">
        <v>3.4</v>
      </c>
      <c r="CI297">
        <v>2.5740401689316101</v>
      </c>
      <c r="CJ297">
        <v>0</v>
      </c>
      <c r="CK297">
        <v>2.5740401689316101</v>
      </c>
      <c r="CL297">
        <v>5020</v>
      </c>
    </row>
    <row r="298" spans="1:90" x14ac:dyDescent="0.25">
      <c r="A298">
        <v>652</v>
      </c>
      <c r="B298" t="s">
        <v>95</v>
      </c>
      <c r="C298" t="s">
        <v>195</v>
      </c>
      <c r="D298" t="s">
        <v>295</v>
      </c>
      <c r="E298" t="s">
        <v>394</v>
      </c>
      <c r="F298">
        <v>500000000</v>
      </c>
      <c r="G298">
        <v>17.46</v>
      </c>
      <c r="H298" t="s">
        <v>407</v>
      </c>
      <c r="I298">
        <v>8730000000</v>
      </c>
      <c r="J298" t="s">
        <v>413</v>
      </c>
      <c r="K298">
        <v>7745434.1676984103</v>
      </c>
      <c r="L298">
        <v>0.4</v>
      </c>
      <c r="M298">
        <v>50206040</v>
      </c>
      <c r="N298">
        <v>5020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2.0499999999999998</v>
      </c>
      <c r="AR298">
        <v>3.117</v>
      </c>
      <c r="AS298" t="s">
        <v>425</v>
      </c>
      <c r="AT298">
        <v>1</v>
      </c>
      <c r="AU298">
        <v>1</v>
      </c>
      <c r="AV298" t="s">
        <v>433</v>
      </c>
      <c r="AW298">
        <v>0</v>
      </c>
      <c r="AX298">
        <v>0</v>
      </c>
      <c r="AY298">
        <v>0</v>
      </c>
      <c r="CC298">
        <v>2.5834999999999999</v>
      </c>
      <c r="CE298" t="s">
        <v>448</v>
      </c>
      <c r="CG298">
        <v>3.4</v>
      </c>
      <c r="CH298">
        <v>3.4</v>
      </c>
      <c r="CI298">
        <v>3.4</v>
      </c>
      <c r="CJ298">
        <v>-0.3</v>
      </c>
      <c r="CK298">
        <v>3.1</v>
      </c>
      <c r="CL298">
        <v>5020</v>
      </c>
    </row>
    <row r="299" spans="1:90" x14ac:dyDescent="0.25">
      <c r="A299">
        <v>755</v>
      </c>
      <c r="B299" t="s">
        <v>97</v>
      </c>
      <c r="C299" t="s">
        <v>197</v>
      </c>
      <c r="D299" t="s">
        <v>297</v>
      </c>
      <c r="E299" t="s">
        <v>396</v>
      </c>
      <c r="F299">
        <v>161200000</v>
      </c>
      <c r="G299">
        <v>82.2</v>
      </c>
      <c r="H299" t="s">
        <v>407</v>
      </c>
      <c r="I299">
        <v>13250640000</v>
      </c>
      <c r="J299" t="s">
        <v>413</v>
      </c>
      <c r="K299">
        <v>9423306.8155737706</v>
      </c>
      <c r="L299">
        <v>0.4</v>
      </c>
      <c r="M299">
        <v>50206025</v>
      </c>
      <c r="N299">
        <v>5020</v>
      </c>
      <c r="O299">
        <v>1.9989891691281201</v>
      </c>
      <c r="Q299" t="s">
        <v>417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2.78</v>
      </c>
      <c r="AR299">
        <v>2.8879999999999999</v>
      </c>
      <c r="AS299" t="s">
        <v>418</v>
      </c>
      <c r="AT299">
        <v>1</v>
      </c>
      <c r="AU299">
        <v>1</v>
      </c>
      <c r="AV299" t="s">
        <v>435</v>
      </c>
      <c r="AW299">
        <v>0</v>
      </c>
      <c r="AX299">
        <v>0</v>
      </c>
      <c r="AY299">
        <v>0</v>
      </c>
      <c r="CC299">
        <v>2.8340000000000001</v>
      </c>
      <c r="CE299" t="s">
        <v>448</v>
      </c>
      <c r="CG299">
        <v>1.9989891691281201</v>
      </c>
      <c r="CH299">
        <v>3.4</v>
      </c>
      <c r="CI299">
        <v>2.6994945845640599</v>
      </c>
      <c r="CJ299">
        <v>-0.24</v>
      </c>
      <c r="CK299">
        <v>2.4594945845640601</v>
      </c>
      <c r="CL299">
        <v>5020</v>
      </c>
    </row>
    <row r="300" spans="1:90" x14ac:dyDescent="0.25">
      <c r="A300">
        <v>67</v>
      </c>
      <c r="B300" t="s">
        <v>92</v>
      </c>
      <c r="C300" t="s">
        <v>192</v>
      </c>
      <c r="D300" t="s">
        <v>292</v>
      </c>
      <c r="E300" t="s">
        <v>392</v>
      </c>
      <c r="F300">
        <v>461510538</v>
      </c>
      <c r="G300">
        <v>20.09</v>
      </c>
      <c r="H300" t="s">
        <v>407</v>
      </c>
      <c r="I300">
        <v>9271746708.4200001</v>
      </c>
      <c r="J300" t="s">
        <v>413</v>
      </c>
      <c r="K300">
        <v>23095735.4445238</v>
      </c>
      <c r="L300">
        <v>0.75</v>
      </c>
      <c r="M300">
        <v>50202010</v>
      </c>
      <c r="N300">
        <v>5020</v>
      </c>
      <c r="O300">
        <v>1.99805211144036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2.7949999999999999</v>
      </c>
      <c r="AR300">
        <v>3.363</v>
      </c>
      <c r="AS300" t="s">
        <v>418</v>
      </c>
      <c r="AT300">
        <v>1</v>
      </c>
      <c r="AU300">
        <v>1</v>
      </c>
      <c r="AV300" t="s">
        <v>431</v>
      </c>
      <c r="AW300">
        <v>0</v>
      </c>
      <c r="AX300">
        <v>0</v>
      </c>
      <c r="AY300">
        <v>0</v>
      </c>
      <c r="CC300">
        <v>3.0790000000000002</v>
      </c>
      <c r="CE300" t="s">
        <v>448</v>
      </c>
      <c r="CG300">
        <v>1.99805211144036</v>
      </c>
      <c r="CH300">
        <v>3.1</v>
      </c>
      <c r="CI300">
        <v>2.54902605572018</v>
      </c>
      <c r="CJ300">
        <v>-0.3</v>
      </c>
      <c r="CK300">
        <v>2.2490260557201802</v>
      </c>
      <c r="CL300">
        <v>5020</v>
      </c>
    </row>
    <row r="301" spans="1:90" x14ac:dyDescent="0.25">
      <c r="A301">
        <v>436</v>
      </c>
      <c r="B301" t="s">
        <v>146</v>
      </c>
      <c r="C301" t="s">
        <v>246</v>
      </c>
      <c r="D301" t="s">
        <v>346</v>
      </c>
      <c r="E301" t="s">
        <v>392</v>
      </c>
      <c r="F301">
        <v>236664445</v>
      </c>
      <c r="G301">
        <v>19.149999999999999</v>
      </c>
      <c r="H301" t="s">
        <v>407</v>
      </c>
      <c r="I301">
        <v>4532124121.75</v>
      </c>
      <c r="J301" t="s">
        <v>413</v>
      </c>
      <c r="K301">
        <v>6519939.4418254001</v>
      </c>
      <c r="L301">
        <v>0.70000000000000007</v>
      </c>
      <c r="M301">
        <v>50205010</v>
      </c>
      <c r="N301">
        <v>5020</v>
      </c>
      <c r="O301">
        <v>1.8621326355854599</v>
      </c>
      <c r="P301">
        <v>2.39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2.2839999999999998</v>
      </c>
      <c r="AR301">
        <v>2.8149999999999999</v>
      </c>
      <c r="AS301" t="s">
        <v>428</v>
      </c>
      <c r="AT301">
        <v>0</v>
      </c>
      <c r="AU301">
        <v>0</v>
      </c>
      <c r="AV301" t="s">
        <v>431</v>
      </c>
      <c r="AW301">
        <v>0</v>
      </c>
      <c r="AX301">
        <v>0</v>
      </c>
      <c r="AY301">
        <v>0</v>
      </c>
      <c r="CC301">
        <v>2.5495000000000001</v>
      </c>
      <c r="CE301" t="s">
        <v>448</v>
      </c>
      <c r="CG301">
        <v>1.8621326355854599</v>
      </c>
      <c r="CH301">
        <v>2.39</v>
      </c>
      <c r="CI301">
        <v>2.1260663177927301</v>
      </c>
      <c r="CJ301">
        <v>-0.3</v>
      </c>
      <c r="CK301">
        <v>1.8260663177927301</v>
      </c>
      <c r="CL301">
        <v>5020</v>
      </c>
    </row>
    <row r="302" spans="1:90" x14ac:dyDescent="0.25">
      <c r="A302">
        <v>537</v>
      </c>
      <c r="B302" t="s">
        <v>534</v>
      </c>
      <c r="C302" t="s">
        <v>750</v>
      </c>
      <c r="D302" t="s">
        <v>966</v>
      </c>
      <c r="E302" t="s">
        <v>396</v>
      </c>
      <c r="F302">
        <v>172331070</v>
      </c>
      <c r="G302">
        <v>53.95</v>
      </c>
      <c r="H302" t="s">
        <v>407</v>
      </c>
      <c r="I302">
        <v>9297261226.5</v>
      </c>
      <c r="J302" t="s">
        <v>413</v>
      </c>
      <c r="K302">
        <v>14659276.655082</v>
      </c>
      <c r="L302">
        <v>0.85</v>
      </c>
      <c r="M302">
        <v>50204000</v>
      </c>
      <c r="N302">
        <v>5020</v>
      </c>
      <c r="O302">
        <v>1.7497751899773299</v>
      </c>
      <c r="P302">
        <v>3.1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2.7629999999999999</v>
      </c>
      <c r="AR302">
        <v>3.4460000000000002</v>
      </c>
      <c r="AS302" t="s">
        <v>418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3.1044999999999998</v>
      </c>
      <c r="CE302" t="s">
        <v>448</v>
      </c>
      <c r="CG302">
        <v>1.7497751899773299</v>
      </c>
      <c r="CH302">
        <v>3.1</v>
      </c>
      <c r="CI302">
        <v>2.424887594988665</v>
      </c>
      <c r="CJ302">
        <v>-0.3</v>
      </c>
      <c r="CK302">
        <v>2.1248875949886652</v>
      </c>
      <c r="CL302">
        <v>5020</v>
      </c>
    </row>
    <row r="303" spans="1:90" x14ac:dyDescent="0.25">
      <c r="A303">
        <v>624</v>
      </c>
      <c r="B303" t="s">
        <v>149</v>
      </c>
      <c r="C303" t="s">
        <v>249</v>
      </c>
      <c r="D303" t="s">
        <v>349</v>
      </c>
      <c r="E303" t="s">
        <v>397</v>
      </c>
      <c r="F303">
        <v>107760380</v>
      </c>
      <c r="G303">
        <v>37.44</v>
      </c>
      <c r="H303" t="s">
        <v>407</v>
      </c>
      <c r="I303">
        <v>4034548627.1999998</v>
      </c>
      <c r="J303" t="s">
        <v>413</v>
      </c>
      <c r="K303">
        <v>5079226.97288136</v>
      </c>
      <c r="L303">
        <v>0.9</v>
      </c>
      <c r="M303">
        <v>50203030</v>
      </c>
      <c r="N303">
        <v>5020</v>
      </c>
      <c r="O303">
        <v>1.9600431112566099</v>
      </c>
      <c r="P303">
        <v>1.77</v>
      </c>
      <c r="Q303" t="s">
        <v>417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2.7010000000000001</v>
      </c>
      <c r="AR303">
        <v>2.9630000000000001</v>
      </c>
      <c r="AS303" t="s">
        <v>418</v>
      </c>
      <c r="AT303">
        <v>1</v>
      </c>
      <c r="AU303">
        <v>0</v>
      </c>
      <c r="AV303" t="s">
        <v>436</v>
      </c>
      <c r="AW303">
        <v>0</v>
      </c>
      <c r="AX303">
        <v>0</v>
      </c>
      <c r="AY303">
        <v>0</v>
      </c>
      <c r="CC303">
        <v>2.8319999999999999</v>
      </c>
      <c r="CE303" t="s">
        <v>448</v>
      </c>
      <c r="CG303">
        <v>1.9600431112566099</v>
      </c>
      <c r="CH303">
        <v>1.77</v>
      </c>
      <c r="CI303">
        <v>1.865021555628305</v>
      </c>
      <c r="CJ303">
        <v>-0.24</v>
      </c>
      <c r="CK303">
        <v>1.625021555628305</v>
      </c>
      <c r="CL303">
        <v>5020</v>
      </c>
    </row>
    <row r="304" spans="1:90" x14ac:dyDescent="0.25">
      <c r="A304">
        <v>865</v>
      </c>
      <c r="B304" t="s">
        <v>98</v>
      </c>
      <c r="C304" t="s">
        <v>198</v>
      </c>
      <c r="D304" t="s">
        <v>298</v>
      </c>
      <c r="E304" t="s">
        <v>397</v>
      </c>
      <c r="F304">
        <v>828972400</v>
      </c>
      <c r="G304">
        <v>10.98</v>
      </c>
      <c r="H304" t="s">
        <v>407</v>
      </c>
      <c r="I304">
        <v>9102116952</v>
      </c>
      <c r="J304" t="s">
        <v>413</v>
      </c>
      <c r="K304">
        <v>13202645.764067801</v>
      </c>
      <c r="L304">
        <v>0.85</v>
      </c>
      <c r="M304">
        <v>50204020</v>
      </c>
      <c r="N304">
        <v>5020</v>
      </c>
      <c r="O304">
        <v>1.99354514534105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2.5590000000000002</v>
      </c>
      <c r="AR304">
        <v>2.673</v>
      </c>
      <c r="AS304" t="s">
        <v>418</v>
      </c>
      <c r="AT304">
        <v>1</v>
      </c>
      <c r="AU304">
        <v>1</v>
      </c>
      <c r="AV304" t="s">
        <v>436</v>
      </c>
      <c r="AW304">
        <v>0</v>
      </c>
      <c r="AX304">
        <v>0</v>
      </c>
      <c r="AY304">
        <v>0</v>
      </c>
      <c r="CC304">
        <v>2.6160000000000001</v>
      </c>
      <c r="CE304" t="s">
        <v>448</v>
      </c>
      <c r="CG304">
        <v>1.99354514534105</v>
      </c>
      <c r="CH304">
        <v>3.4</v>
      </c>
      <c r="CI304">
        <v>2.6967725726705249</v>
      </c>
      <c r="CJ304">
        <v>-0.18</v>
      </c>
      <c r="CK304">
        <v>2.5167725726705248</v>
      </c>
      <c r="CL304">
        <v>5020</v>
      </c>
    </row>
    <row r="305" spans="1:90" x14ac:dyDescent="0.25">
      <c r="A305">
        <v>480</v>
      </c>
      <c r="B305" t="s">
        <v>162</v>
      </c>
      <c r="C305" t="s">
        <v>262</v>
      </c>
      <c r="D305" t="s">
        <v>362</v>
      </c>
      <c r="E305" t="s">
        <v>401</v>
      </c>
      <c r="F305">
        <v>919566160</v>
      </c>
      <c r="G305">
        <v>46.387149999999998</v>
      </c>
      <c r="H305" t="s">
        <v>411</v>
      </c>
      <c r="I305">
        <v>42656053398.844002</v>
      </c>
      <c r="J305" t="s">
        <v>414</v>
      </c>
      <c r="K305">
        <v>53659580.624927901</v>
      </c>
      <c r="L305">
        <v>1</v>
      </c>
      <c r="M305">
        <v>50205020</v>
      </c>
      <c r="N305">
        <v>5020</v>
      </c>
      <c r="O305">
        <v>1.96785746746361</v>
      </c>
      <c r="P305">
        <v>1.5</v>
      </c>
      <c r="Q305" t="s">
        <v>417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2.4129999999999998</v>
      </c>
      <c r="AR305">
        <v>3.26</v>
      </c>
      <c r="AS305" t="s">
        <v>424</v>
      </c>
      <c r="AT305">
        <v>0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2.8365</v>
      </c>
      <c r="CE305" t="s">
        <v>448</v>
      </c>
      <c r="CG305">
        <v>1.96785746746361</v>
      </c>
      <c r="CH305">
        <v>1.5</v>
      </c>
      <c r="CI305">
        <v>1.733928733731805</v>
      </c>
      <c r="CJ305">
        <v>-0.24</v>
      </c>
      <c r="CK305">
        <v>1.493928733731805</v>
      </c>
      <c r="CL305">
        <v>5020</v>
      </c>
    </row>
    <row r="306" spans="1:90" x14ac:dyDescent="0.25">
      <c r="A306">
        <v>795</v>
      </c>
      <c r="B306" t="s">
        <v>569</v>
      </c>
      <c r="C306" t="s">
        <v>785</v>
      </c>
      <c r="D306" t="s">
        <v>1001</v>
      </c>
      <c r="E306" t="s">
        <v>393</v>
      </c>
      <c r="F306">
        <v>423836430</v>
      </c>
      <c r="G306">
        <v>34.439239999999998</v>
      </c>
      <c r="H306" t="s">
        <v>408</v>
      </c>
      <c r="I306">
        <v>14596604533.513201</v>
      </c>
      <c r="J306" t="s">
        <v>414</v>
      </c>
      <c r="K306">
        <v>9679789.2063518707</v>
      </c>
      <c r="L306">
        <v>0.55000000000000004</v>
      </c>
      <c r="M306">
        <v>50203000</v>
      </c>
      <c r="N306">
        <v>5020</v>
      </c>
      <c r="O306">
        <v>3.4</v>
      </c>
      <c r="Q306" t="s">
        <v>422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2.1360000000000001</v>
      </c>
      <c r="AR306">
        <v>2.423</v>
      </c>
      <c r="AS306" t="s">
        <v>418</v>
      </c>
      <c r="AT306">
        <v>1</v>
      </c>
      <c r="AU306">
        <v>0</v>
      </c>
      <c r="AV306" t="s">
        <v>432</v>
      </c>
      <c r="AW306">
        <v>0</v>
      </c>
      <c r="AX306">
        <v>0</v>
      </c>
      <c r="AY306">
        <v>0</v>
      </c>
      <c r="CC306">
        <v>2.2795000000000001</v>
      </c>
      <c r="CE306" t="s">
        <v>448</v>
      </c>
      <c r="CG306">
        <v>3.4</v>
      </c>
      <c r="CH306">
        <v>3.4</v>
      </c>
      <c r="CI306">
        <v>3.4</v>
      </c>
      <c r="CJ306">
        <v>0.3</v>
      </c>
      <c r="CK306">
        <v>3.7</v>
      </c>
      <c r="CL306">
        <v>5020</v>
      </c>
    </row>
    <row r="307" spans="1:90" x14ac:dyDescent="0.25">
      <c r="A307">
        <v>424</v>
      </c>
      <c r="B307" t="s">
        <v>517</v>
      </c>
      <c r="C307" t="s">
        <v>733</v>
      </c>
      <c r="D307" t="s">
        <v>949</v>
      </c>
      <c r="E307" t="s">
        <v>392</v>
      </c>
      <c r="F307">
        <v>241973980</v>
      </c>
      <c r="G307">
        <v>30.71</v>
      </c>
      <c r="H307" t="s">
        <v>407</v>
      </c>
      <c r="I307">
        <v>7431020925.8000002</v>
      </c>
      <c r="J307" t="s">
        <v>413</v>
      </c>
      <c r="K307">
        <v>21613060.3680159</v>
      </c>
      <c r="L307">
        <v>1</v>
      </c>
      <c r="M307">
        <v>50205015</v>
      </c>
      <c r="N307">
        <v>5020</v>
      </c>
      <c r="O307">
        <v>1.74987130219174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2.609</v>
      </c>
      <c r="AR307">
        <v>2.3250000000000002</v>
      </c>
      <c r="AS307" t="s">
        <v>427</v>
      </c>
      <c r="AT307">
        <v>0</v>
      </c>
      <c r="AU307">
        <v>0</v>
      </c>
      <c r="AV307" t="s">
        <v>431</v>
      </c>
      <c r="AW307">
        <v>0</v>
      </c>
      <c r="AX307">
        <v>0</v>
      </c>
      <c r="AY307">
        <v>0</v>
      </c>
      <c r="CC307">
        <v>2.4670000000000001</v>
      </c>
      <c r="CE307" t="s">
        <v>448</v>
      </c>
      <c r="CG307">
        <v>1.74987130219174</v>
      </c>
      <c r="CH307">
        <v>3.4</v>
      </c>
      <c r="CI307">
        <v>2.5749356510958701</v>
      </c>
      <c r="CJ307">
        <v>-0.18</v>
      </c>
      <c r="CK307">
        <v>2.3949356510958699</v>
      </c>
      <c r="CL307">
        <v>5020</v>
      </c>
    </row>
    <row r="308" spans="1:90" x14ac:dyDescent="0.25">
      <c r="A308">
        <v>385</v>
      </c>
      <c r="B308" t="s">
        <v>510</v>
      </c>
      <c r="C308" t="s">
        <v>726</v>
      </c>
      <c r="D308" t="s">
        <v>942</v>
      </c>
      <c r="E308" t="s">
        <v>396</v>
      </c>
      <c r="F308">
        <v>1200000000</v>
      </c>
      <c r="G308">
        <v>36.840000000000003</v>
      </c>
      <c r="H308" t="s">
        <v>407</v>
      </c>
      <c r="I308">
        <v>44208000000.000008</v>
      </c>
      <c r="J308" t="s">
        <v>413</v>
      </c>
      <c r="K308">
        <v>86506590.769590095</v>
      </c>
      <c r="L308">
        <v>0.85</v>
      </c>
      <c r="M308">
        <v>50206040</v>
      </c>
      <c r="N308">
        <v>5020</v>
      </c>
      <c r="O308">
        <v>1.7007509769763101</v>
      </c>
      <c r="P308">
        <v>3.1</v>
      </c>
      <c r="Q308" t="s">
        <v>416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2.085</v>
      </c>
      <c r="AR308">
        <v>2.8919999999999999</v>
      </c>
      <c r="AS308" t="s">
        <v>425</v>
      </c>
      <c r="AT308">
        <v>1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2.4885000000000002</v>
      </c>
      <c r="CE308" t="s">
        <v>448</v>
      </c>
      <c r="CG308">
        <v>1.7007509769763101</v>
      </c>
      <c r="CH308">
        <v>3.1</v>
      </c>
      <c r="CI308">
        <v>2.4003754884881552</v>
      </c>
      <c r="CJ308">
        <v>-0.18</v>
      </c>
      <c r="CK308">
        <v>2.220375488488155</v>
      </c>
      <c r="CL308">
        <v>5020</v>
      </c>
    </row>
    <row r="309" spans="1:90" x14ac:dyDescent="0.25">
      <c r="A309">
        <v>679</v>
      </c>
      <c r="B309" t="s">
        <v>560</v>
      </c>
      <c r="C309" t="s">
        <v>776</v>
      </c>
      <c r="D309" t="s">
        <v>992</v>
      </c>
      <c r="E309" t="s">
        <v>400</v>
      </c>
      <c r="F309">
        <v>185668230</v>
      </c>
      <c r="G309">
        <v>22.72052</v>
      </c>
      <c r="H309" t="s">
        <v>410</v>
      </c>
      <c r="I309">
        <v>4218478733.0795999</v>
      </c>
      <c r="J309" t="s">
        <v>414</v>
      </c>
      <c r="K309">
        <v>10254797.4187051</v>
      </c>
      <c r="L309">
        <v>0.75</v>
      </c>
      <c r="M309">
        <v>50205040</v>
      </c>
      <c r="N309">
        <v>5020</v>
      </c>
      <c r="O309">
        <v>1.9739305453825799</v>
      </c>
      <c r="P309">
        <v>1.5</v>
      </c>
      <c r="Q309" t="s">
        <v>1097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2.1389999999999998</v>
      </c>
      <c r="AR309">
        <v>3.25</v>
      </c>
      <c r="AS309" t="s">
        <v>428</v>
      </c>
      <c r="AT309">
        <v>0</v>
      </c>
      <c r="AU309">
        <v>0</v>
      </c>
      <c r="AV309" t="s">
        <v>439</v>
      </c>
      <c r="AW309">
        <v>0</v>
      </c>
      <c r="AX309">
        <v>0</v>
      </c>
      <c r="AY309">
        <v>0</v>
      </c>
      <c r="CC309">
        <v>2.6945000000000001</v>
      </c>
      <c r="CE309" t="s">
        <v>448</v>
      </c>
      <c r="CG309">
        <v>1.9739305453825799</v>
      </c>
      <c r="CH309">
        <v>1.5</v>
      </c>
      <c r="CI309">
        <v>1.7369652726912901</v>
      </c>
      <c r="CJ309">
        <v>0.3</v>
      </c>
      <c r="CK309">
        <v>2.0369652726912899</v>
      </c>
      <c r="CL309">
        <v>5020</v>
      </c>
    </row>
    <row r="310" spans="1:90" x14ac:dyDescent="0.25">
      <c r="A310">
        <v>787</v>
      </c>
      <c r="B310" t="s">
        <v>180</v>
      </c>
      <c r="C310" t="s">
        <v>280</v>
      </c>
      <c r="D310" t="s">
        <v>380</v>
      </c>
      <c r="E310" t="s">
        <v>392</v>
      </c>
      <c r="F310">
        <v>262245733</v>
      </c>
      <c r="G310">
        <v>110.3</v>
      </c>
      <c r="H310" t="s">
        <v>407</v>
      </c>
      <c r="I310">
        <v>28925704349.900002</v>
      </c>
      <c r="J310" t="s">
        <v>413</v>
      </c>
      <c r="K310">
        <v>56619307.900158703</v>
      </c>
      <c r="L310">
        <v>1</v>
      </c>
      <c r="M310">
        <v>50202010</v>
      </c>
      <c r="N310">
        <v>5020</v>
      </c>
      <c r="O310">
        <v>1.7418068415287999</v>
      </c>
      <c r="P310">
        <v>1.5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</v>
      </c>
      <c r="AD310">
        <v>0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2.5249999999999999</v>
      </c>
      <c r="AR310">
        <v>3.0049999999999999</v>
      </c>
      <c r="AS310" t="s">
        <v>418</v>
      </c>
      <c r="AT310">
        <v>1</v>
      </c>
      <c r="AU310">
        <v>0</v>
      </c>
      <c r="AV310" t="s">
        <v>431</v>
      </c>
      <c r="AW310">
        <v>0</v>
      </c>
      <c r="AX310">
        <v>0</v>
      </c>
      <c r="AY310">
        <v>0</v>
      </c>
      <c r="CC310">
        <v>2.7650000000000001</v>
      </c>
      <c r="CE310" t="s">
        <v>448</v>
      </c>
      <c r="CG310">
        <v>1.7418068415287999</v>
      </c>
      <c r="CH310">
        <v>1.5</v>
      </c>
      <c r="CI310">
        <v>1.6209034207644</v>
      </c>
      <c r="CJ310">
        <v>-0.3</v>
      </c>
      <c r="CK310">
        <v>1.3209034207643999</v>
      </c>
      <c r="CL310">
        <v>5020</v>
      </c>
    </row>
    <row r="311" spans="1:90" x14ac:dyDescent="0.25">
      <c r="A311">
        <v>895</v>
      </c>
      <c r="B311" t="s">
        <v>191</v>
      </c>
      <c r="C311" t="s">
        <v>291</v>
      </c>
      <c r="D311" t="s">
        <v>391</v>
      </c>
      <c r="E311" t="s">
        <v>401</v>
      </c>
      <c r="F311">
        <v>441412540</v>
      </c>
      <c r="G311">
        <v>14.978809999999999</v>
      </c>
      <c r="H311" t="s">
        <v>411</v>
      </c>
      <c r="I311">
        <v>6611834568.2774</v>
      </c>
      <c r="J311" t="s">
        <v>414</v>
      </c>
      <c r="K311">
        <v>15552731.930010101</v>
      </c>
      <c r="L311">
        <v>1</v>
      </c>
      <c r="M311">
        <v>50203030</v>
      </c>
      <c r="N311">
        <v>5020</v>
      </c>
      <c r="O311">
        <v>1.6338401605731001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</v>
      </c>
      <c r="AD311">
        <v>0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M311">
        <v>0</v>
      </c>
      <c r="AN311">
        <v>0</v>
      </c>
      <c r="AO311">
        <v>0</v>
      </c>
      <c r="AP311">
        <v>0</v>
      </c>
      <c r="AQ311">
        <v>2.3959999999999999</v>
      </c>
      <c r="AR311">
        <v>3.2839999999999998</v>
      </c>
      <c r="AS311" t="s">
        <v>418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CC311">
        <v>2.84</v>
      </c>
      <c r="CE311" t="s">
        <v>448</v>
      </c>
      <c r="CG311">
        <v>1.6338401605731001</v>
      </c>
      <c r="CH311">
        <v>1.5</v>
      </c>
      <c r="CI311">
        <v>1.5669200802865499</v>
      </c>
      <c r="CJ311">
        <v>-0.3</v>
      </c>
      <c r="CK311">
        <v>1.2669200802865499</v>
      </c>
      <c r="CL311">
        <v>5020</v>
      </c>
    </row>
    <row r="312" spans="1:90" x14ac:dyDescent="0.25">
      <c r="A312">
        <v>1082</v>
      </c>
      <c r="B312" t="s">
        <v>602</v>
      </c>
      <c r="C312" t="s">
        <v>818</v>
      </c>
      <c r="D312" t="s">
        <v>1034</v>
      </c>
      <c r="E312" t="s">
        <v>394</v>
      </c>
      <c r="F312">
        <v>180869312</v>
      </c>
      <c r="G312">
        <v>38.119999999999997</v>
      </c>
      <c r="H312" t="s">
        <v>407</v>
      </c>
      <c r="I312">
        <v>6894738173.4399996</v>
      </c>
      <c r="J312" t="s">
        <v>413</v>
      </c>
      <c r="K312">
        <v>14977885.9915873</v>
      </c>
      <c r="L312">
        <v>0.55000000000000004</v>
      </c>
      <c r="M312">
        <v>50205025</v>
      </c>
      <c r="N312">
        <v>5020</v>
      </c>
      <c r="O312">
        <v>2.9636874199342098</v>
      </c>
      <c r="P312">
        <v>2.39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2.4590000000000001</v>
      </c>
      <c r="AR312">
        <v>3.0110000000000001</v>
      </c>
      <c r="AS312" t="s">
        <v>430</v>
      </c>
      <c r="AT312">
        <v>0</v>
      </c>
      <c r="AU312">
        <v>0</v>
      </c>
      <c r="AV312" t="s">
        <v>444</v>
      </c>
      <c r="AW312">
        <v>0</v>
      </c>
      <c r="AX312">
        <v>0</v>
      </c>
      <c r="AY312">
        <v>0</v>
      </c>
      <c r="CC312">
        <v>2.7349999999999999</v>
      </c>
      <c r="CE312" t="s">
        <v>448</v>
      </c>
      <c r="CG312">
        <v>2.9636874199342098</v>
      </c>
      <c r="CH312">
        <v>2.39</v>
      </c>
      <c r="CI312">
        <v>2.676843709967105</v>
      </c>
      <c r="CJ312">
        <v>-0.18</v>
      </c>
      <c r="CK312">
        <v>2.4968437099671048</v>
      </c>
      <c r="CL312">
        <v>5020</v>
      </c>
    </row>
    <row r="313" spans="1:90" x14ac:dyDescent="0.25">
      <c r="A313">
        <v>1101</v>
      </c>
      <c r="B313" t="s">
        <v>605</v>
      </c>
      <c r="C313" t="s">
        <v>821</v>
      </c>
      <c r="D313" t="s">
        <v>1037</v>
      </c>
      <c r="E313" t="s">
        <v>401</v>
      </c>
      <c r="F313">
        <v>2524539800</v>
      </c>
      <c r="G313">
        <v>4.8551149999999996</v>
      </c>
      <c r="H313" t="s">
        <v>411</v>
      </c>
      <c r="I313">
        <v>12256931051.077</v>
      </c>
      <c r="J313" t="s">
        <v>414</v>
      </c>
      <c r="K313">
        <v>18277486.079740301</v>
      </c>
      <c r="L313">
        <v>0.95</v>
      </c>
      <c r="M313">
        <v>50205020</v>
      </c>
      <c r="N313">
        <v>5020</v>
      </c>
      <c r="O313">
        <v>3.3371809527846099</v>
      </c>
      <c r="P313">
        <v>2.08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2.3029999999999999</v>
      </c>
      <c r="AR313">
        <v>3.137</v>
      </c>
      <c r="AS313" t="s">
        <v>428</v>
      </c>
      <c r="AT313">
        <v>0</v>
      </c>
      <c r="AU313">
        <v>0</v>
      </c>
      <c r="AV313" t="s">
        <v>440</v>
      </c>
      <c r="AW313">
        <v>0</v>
      </c>
      <c r="AX313">
        <v>0</v>
      </c>
      <c r="AY313">
        <v>0</v>
      </c>
      <c r="CC313">
        <v>2.72</v>
      </c>
      <c r="CE313" t="s">
        <v>448</v>
      </c>
      <c r="CG313">
        <v>3.3371809527846099</v>
      </c>
      <c r="CH313">
        <v>2.08</v>
      </c>
      <c r="CI313">
        <v>2.7085904763923052</v>
      </c>
      <c r="CJ313">
        <v>0</v>
      </c>
      <c r="CK313">
        <v>2.7085904763923052</v>
      </c>
      <c r="CL313">
        <v>5020</v>
      </c>
    </row>
    <row r="314" spans="1:90" x14ac:dyDescent="0.25">
      <c r="A314">
        <v>1108</v>
      </c>
      <c r="B314" t="s">
        <v>147</v>
      </c>
      <c r="C314" t="s">
        <v>247</v>
      </c>
      <c r="D314" t="s">
        <v>347</v>
      </c>
      <c r="E314" t="s">
        <v>392</v>
      </c>
      <c r="F314">
        <v>298233069</v>
      </c>
      <c r="G314">
        <v>26.56</v>
      </c>
      <c r="H314" t="s">
        <v>407</v>
      </c>
      <c r="I314">
        <v>7921070312.6399994</v>
      </c>
      <c r="J314" t="s">
        <v>413</v>
      </c>
      <c r="K314">
        <v>13654330.0976191</v>
      </c>
      <c r="L314">
        <v>0.70000000000000007</v>
      </c>
      <c r="M314">
        <v>50202010</v>
      </c>
      <c r="N314">
        <v>5020</v>
      </c>
      <c r="O314">
        <v>1.7493489955167301</v>
      </c>
      <c r="P314">
        <v>2.39</v>
      </c>
      <c r="Q314" t="s">
        <v>415</v>
      </c>
      <c r="R314" t="s">
        <v>420</v>
      </c>
      <c r="S314">
        <v>0</v>
      </c>
      <c r="T314">
        <v>0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</v>
      </c>
      <c r="AD314">
        <v>0</v>
      </c>
      <c r="AF314">
        <v>0</v>
      </c>
      <c r="AG314" t="s">
        <v>422</v>
      </c>
      <c r="AI314" t="s">
        <v>422</v>
      </c>
      <c r="AJ314" t="s">
        <v>422</v>
      </c>
      <c r="AK314" t="s">
        <v>422</v>
      </c>
      <c r="AM314">
        <v>0</v>
      </c>
      <c r="AN314">
        <v>0</v>
      </c>
      <c r="AO314">
        <v>0</v>
      </c>
      <c r="AP314">
        <v>0</v>
      </c>
      <c r="AQ314">
        <v>2.1520000000000001</v>
      </c>
      <c r="AR314">
        <v>3.1819999999999999</v>
      </c>
      <c r="AS314" t="s">
        <v>429</v>
      </c>
      <c r="AT314">
        <v>1</v>
      </c>
      <c r="AU314">
        <v>0</v>
      </c>
      <c r="AV314" t="s">
        <v>431</v>
      </c>
      <c r="AW314">
        <v>0</v>
      </c>
      <c r="AX314">
        <v>0</v>
      </c>
      <c r="AY314">
        <v>0</v>
      </c>
      <c r="CC314">
        <v>2.6669999999999998</v>
      </c>
      <c r="CE314" t="s">
        <v>448</v>
      </c>
      <c r="CG314">
        <v>1.7493489955167301</v>
      </c>
      <c r="CH314">
        <v>2.39</v>
      </c>
      <c r="CI314">
        <v>2.0696744977583652</v>
      </c>
      <c r="CJ314">
        <v>-0.3</v>
      </c>
      <c r="CK314">
        <v>1.7696744977583649</v>
      </c>
      <c r="CL314">
        <v>5020</v>
      </c>
    </row>
    <row r="315" spans="1:90" x14ac:dyDescent="0.25">
      <c r="A315">
        <v>1166</v>
      </c>
      <c r="B315" t="s">
        <v>616</v>
      </c>
      <c r="C315" t="s">
        <v>832</v>
      </c>
      <c r="D315" t="s">
        <v>1048</v>
      </c>
      <c r="E315" t="s">
        <v>404</v>
      </c>
      <c r="F315">
        <v>40716830</v>
      </c>
      <c r="G315">
        <v>293.25459999999998</v>
      </c>
      <c r="H315" t="s">
        <v>412</v>
      </c>
      <c r="I315">
        <v>11940397694.917999</v>
      </c>
      <c r="J315" t="s">
        <v>414</v>
      </c>
      <c r="K315">
        <v>29126770.267743301</v>
      </c>
      <c r="L315">
        <v>1</v>
      </c>
      <c r="M315">
        <v>50204000</v>
      </c>
      <c r="N315">
        <v>5020</v>
      </c>
      <c r="O315">
        <v>1.7459630665127199</v>
      </c>
      <c r="P315">
        <v>2.7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2.3450000000000002</v>
      </c>
      <c r="AR315">
        <v>2.5179999999999998</v>
      </c>
      <c r="AS315" t="s">
        <v>418</v>
      </c>
      <c r="AT315">
        <v>1</v>
      </c>
      <c r="AU315">
        <v>0</v>
      </c>
      <c r="AV315" t="s">
        <v>443</v>
      </c>
      <c r="AW315">
        <v>0</v>
      </c>
      <c r="AX315">
        <v>0</v>
      </c>
      <c r="AY315">
        <v>0</v>
      </c>
      <c r="CC315">
        <v>2.4315000000000002</v>
      </c>
      <c r="CE315" t="s">
        <v>448</v>
      </c>
      <c r="CG315">
        <v>1.7459630665127199</v>
      </c>
      <c r="CH315">
        <v>2.7</v>
      </c>
      <c r="CI315">
        <v>2.2229815332563598</v>
      </c>
      <c r="CJ315">
        <v>-0.18</v>
      </c>
      <c r="CK315">
        <v>2.0429815332563601</v>
      </c>
      <c r="CL315">
        <v>5020</v>
      </c>
    </row>
    <row r="316" spans="1:90" x14ac:dyDescent="0.25">
      <c r="A316">
        <v>1178</v>
      </c>
      <c r="B316" t="s">
        <v>620</v>
      </c>
      <c r="C316" t="s">
        <v>836</v>
      </c>
      <c r="D316" t="s">
        <v>1052</v>
      </c>
      <c r="E316" t="s">
        <v>393</v>
      </c>
      <c r="F316">
        <v>546454160</v>
      </c>
      <c r="G316">
        <v>13.86561</v>
      </c>
      <c r="H316" t="s">
        <v>408</v>
      </c>
      <c r="I316">
        <v>7576920265.4376001</v>
      </c>
      <c r="J316" t="s">
        <v>414</v>
      </c>
      <c r="K316">
        <v>13962066.985252701</v>
      </c>
      <c r="L316">
        <v>0.9</v>
      </c>
      <c r="M316">
        <v>50205040</v>
      </c>
      <c r="N316">
        <v>5020</v>
      </c>
      <c r="O316">
        <v>1.9740686207401801</v>
      </c>
      <c r="P316">
        <v>3.1</v>
      </c>
      <c r="Q316" t="s">
        <v>416</v>
      </c>
      <c r="R316" t="s">
        <v>421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M316">
        <v>0</v>
      </c>
      <c r="AN316">
        <v>0</v>
      </c>
      <c r="AO316">
        <v>0</v>
      </c>
      <c r="AP316">
        <v>0</v>
      </c>
      <c r="AQ316">
        <v>2.0510000000000002</v>
      </c>
      <c r="AR316">
        <v>2.637</v>
      </c>
      <c r="AS316" t="s">
        <v>428</v>
      </c>
      <c r="AT316">
        <v>0</v>
      </c>
      <c r="AU316">
        <v>0</v>
      </c>
      <c r="AV316" t="s">
        <v>432</v>
      </c>
      <c r="AW316">
        <v>0</v>
      </c>
      <c r="AX316">
        <v>0</v>
      </c>
      <c r="AY316">
        <v>0</v>
      </c>
      <c r="CC316">
        <v>2.3439999999999999</v>
      </c>
      <c r="CE316" t="s">
        <v>448</v>
      </c>
      <c r="CG316">
        <v>1.9740686207401801</v>
      </c>
      <c r="CH316">
        <v>3.1</v>
      </c>
      <c r="CI316">
        <v>2.5370343103700899</v>
      </c>
      <c r="CJ316">
        <v>-0.18</v>
      </c>
      <c r="CK316">
        <v>2.3570343103700901</v>
      </c>
      <c r="CL316">
        <v>5020</v>
      </c>
    </row>
    <row r="317" spans="1:90" x14ac:dyDescent="0.25">
      <c r="A317">
        <v>1193</v>
      </c>
      <c r="B317" t="s">
        <v>622</v>
      </c>
      <c r="C317" t="s">
        <v>838</v>
      </c>
      <c r="D317" t="s">
        <v>1054</v>
      </c>
      <c r="E317" t="s">
        <v>404</v>
      </c>
      <c r="F317">
        <v>38900000</v>
      </c>
      <c r="G317">
        <v>124.82989999999999</v>
      </c>
      <c r="H317" t="s">
        <v>412</v>
      </c>
      <c r="I317">
        <v>4855883110</v>
      </c>
      <c r="J317" t="s">
        <v>414</v>
      </c>
      <c r="K317">
        <v>3499241.6717073601</v>
      </c>
      <c r="L317">
        <v>0.75</v>
      </c>
      <c r="M317">
        <v>50203000</v>
      </c>
      <c r="N317">
        <v>5020</v>
      </c>
      <c r="O317">
        <v>3.3878998995015599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2.073</v>
      </c>
      <c r="AR317">
        <v>2.2709999999999999</v>
      </c>
      <c r="AS317" t="s">
        <v>418</v>
      </c>
      <c r="AT317">
        <v>1</v>
      </c>
      <c r="AU317">
        <v>0</v>
      </c>
      <c r="AV317" t="s">
        <v>443</v>
      </c>
      <c r="AW317">
        <v>0</v>
      </c>
      <c r="AX317">
        <v>0</v>
      </c>
      <c r="AY317">
        <v>0</v>
      </c>
      <c r="CC317">
        <v>2.1720000000000002</v>
      </c>
      <c r="CE317" t="s">
        <v>448</v>
      </c>
      <c r="CG317">
        <v>3.3878998995015599</v>
      </c>
      <c r="CH317">
        <v>3.4</v>
      </c>
      <c r="CI317">
        <v>3.3939499497507799</v>
      </c>
      <c r="CJ317">
        <v>-0.18</v>
      </c>
      <c r="CK317">
        <v>3.2139499497507802</v>
      </c>
      <c r="CL317">
        <v>5020</v>
      </c>
    </row>
    <row r="318" spans="1:90" x14ac:dyDescent="0.25">
      <c r="A318">
        <v>1215</v>
      </c>
      <c r="B318" t="s">
        <v>625</v>
      </c>
      <c r="C318" t="s">
        <v>841</v>
      </c>
      <c r="D318" t="s">
        <v>1057</v>
      </c>
      <c r="E318" t="s">
        <v>404</v>
      </c>
      <c r="F318">
        <v>382270870</v>
      </c>
      <c r="G318">
        <v>21.90372</v>
      </c>
      <c r="H318" t="s">
        <v>412</v>
      </c>
      <c r="I318">
        <v>8373154100.6364002</v>
      </c>
      <c r="J318" t="s">
        <v>414</v>
      </c>
      <c r="K318">
        <v>13951048.151531501</v>
      </c>
      <c r="L318">
        <v>0.8</v>
      </c>
      <c r="M318">
        <v>50203030</v>
      </c>
      <c r="N318">
        <v>5020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2.7029999999999998</v>
      </c>
      <c r="AR318">
        <v>2.8279999999999998</v>
      </c>
      <c r="AS318" t="s">
        <v>418</v>
      </c>
      <c r="AT318">
        <v>1</v>
      </c>
      <c r="AU318">
        <v>0</v>
      </c>
      <c r="AV318" t="s">
        <v>443</v>
      </c>
      <c r="AW318">
        <v>0</v>
      </c>
      <c r="AX318">
        <v>0</v>
      </c>
      <c r="AY318">
        <v>0</v>
      </c>
      <c r="CC318">
        <v>2.7654999999999998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  <c r="CL318">
        <v>5020</v>
      </c>
    </row>
    <row r="319" spans="1:90" x14ac:dyDescent="0.25">
      <c r="A319">
        <v>1257</v>
      </c>
      <c r="B319" t="s">
        <v>630</v>
      </c>
      <c r="C319" t="s">
        <v>846</v>
      </c>
      <c r="D319" t="s">
        <v>1062</v>
      </c>
      <c r="E319" t="s">
        <v>401</v>
      </c>
      <c r="F319">
        <v>98905780</v>
      </c>
      <c r="G319">
        <v>35.397849999999998</v>
      </c>
      <c r="H319" t="s">
        <v>411</v>
      </c>
      <c r="I319">
        <v>3501051964.573</v>
      </c>
      <c r="J319" t="s">
        <v>414</v>
      </c>
      <c r="K319">
        <v>4976802.5069741402</v>
      </c>
      <c r="L319">
        <v>1</v>
      </c>
      <c r="M319">
        <v>50202010</v>
      </c>
      <c r="N319">
        <v>5020</v>
      </c>
      <c r="O319">
        <v>1.98890419257859</v>
      </c>
      <c r="P319">
        <v>3.01</v>
      </c>
      <c r="Q319" t="s">
        <v>417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1.9830000000000001</v>
      </c>
      <c r="AR319">
        <v>2.8879999999999999</v>
      </c>
      <c r="AS319" t="s">
        <v>418</v>
      </c>
      <c r="AT319">
        <v>1</v>
      </c>
      <c r="AU319">
        <v>0</v>
      </c>
      <c r="AV319" t="s">
        <v>440</v>
      </c>
      <c r="AW319">
        <v>0</v>
      </c>
      <c r="AX319">
        <v>0</v>
      </c>
      <c r="AY319">
        <v>0</v>
      </c>
      <c r="CC319">
        <v>2.4355000000000002</v>
      </c>
      <c r="CE319" t="s">
        <v>448</v>
      </c>
      <c r="CG319">
        <v>1.98890419257859</v>
      </c>
      <c r="CH319">
        <v>3.01</v>
      </c>
      <c r="CI319">
        <v>2.499452096289295</v>
      </c>
      <c r="CJ319">
        <v>-0.24</v>
      </c>
      <c r="CK319">
        <v>2.2594520962892952</v>
      </c>
      <c r="CL319">
        <v>5020</v>
      </c>
    </row>
    <row r="320" spans="1:90" x14ac:dyDescent="0.25">
      <c r="A320">
        <v>1351</v>
      </c>
      <c r="B320" t="s">
        <v>646</v>
      </c>
      <c r="C320" t="s">
        <v>862</v>
      </c>
      <c r="D320" t="s">
        <v>1078</v>
      </c>
      <c r="E320" t="s">
        <v>392</v>
      </c>
      <c r="F320">
        <v>59874365</v>
      </c>
      <c r="G320">
        <v>100.95</v>
      </c>
      <c r="H320" t="s">
        <v>407</v>
      </c>
      <c r="I320">
        <v>6044317146.75</v>
      </c>
      <c r="J320" t="s">
        <v>413</v>
      </c>
      <c r="K320">
        <v>19608061.763730198</v>
      </c>
      <c r="L320">
        <v>0.95000000000000007</v>
      </c>
      <c r="M320">
        <v>50205020</v>
      </c>
      <c r="N320">
        <v>5020</v>
      </c>
      <c r="O320">
        <v>1.8451450789305299</v>
      </c>
      <c r="P320">
        <v>2.7</v>
      </c>
      <c r="Q320" t="s">
        <v>416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2.3149999999999999</v>
      </c>
      <c r="AR320">
        <v>2.6640000000000001</v>
      </c>
      <c r="AS320" t="s">
        <v>424</v>
      </c>
      <c r="AT320">
        <v>0</v>
      </c>
      <c r="AU320">
        <v>0</v>
      </c>
      <c r="AV320" t="s">
        <v>431</v>
      </c>
      <c r="AW320">
        <v>0</v>
      </c>
      <c r="AX320">
        <v>0</v>
      </c>
      <c r="AY320">
        <v>0</v>
      </c>
      <c r="CC320">
        <v>2.4895</v>
      </c>
      <c r="CE320" t="s">
        <v>448</v>
      </c>
      <c r="CG320">
        <v>1.8451450789305299</v>
      </c>
      <c r="CH320">
        <v>2.7</v>
      </c>
      <c r="CI320">
        <v>2.2725725394652652</v>
      </c>
      <c r="CJ320">
        <v>-0.18</v>
      </c>
      <c r="CK320">
        <v>2.092572539465265</v>
      </c>
      <c r="CL320">
        <v>5020</v>
      </c>
    </row>
    <row r="321" spans="1:90" x14ac:dyDescent="0.25">
      <c r="A321">
        <v>1450</v>
      </c>
      <c r="B321" t="s">
        <v>657</v>
      </c>
      <c r="C321" t="s">
        <v>873</v>
      </c>
      <c r="D321" t="s">
        <v>1089</v>
      </c>
      <c r="E321" t="s">
        <v>404</v>
      </c>
      <c r="F321">
        <v>30000000</v>
      </c>
      <c r="G321">
        <v>389.80110000000002</v>
      </c>
      <c r="H321" t="s">
        <v>412</v>
      </c>
      <c r="I321">
        <v>11694033000</v>
      </c>
      <c r="J321" t="s">
        <v>414</v>
      </c>
      <c r="K321">
        <v>34521108.4792215</v>
      </c>
      <c r="L321">
        <v>0.9</v>
      </c>
      <c r="M321">
        <v>50202020</v>
      </c>
      <c r="N321">
        <v>5020</v>
      </c>
      <c r="O321">
        <v>3.4</v>
      </c>
      <c r="Q321" t="s">
        <v>419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2.3010000000000002</v>
      </c>
      <c r="AR321">
        <v>2.9359999999999999</v>
      </c>
      <c r="AS321" t="s">
        <v>418</v>
      </c>
      <c r="AT321">
        <v>1</v>
      </c>
      <c r="AU321">
        <v>0</v>
      </c>
      <c r="AV321" t="s">
        <v>443</v>
      </c>
      <c r="AW321">
        <v>0</v>
      </c>
      <c r="AX321">
        <v>0</v>
      </c>
      <c r="AY321">
        <v>0</v>
      </c>
      <c r="CC321">
        <v>2.6185</v>
      </c>
      <c r="CE321" t="s">
        <v>448</v>
      </c>
      <c r="CG321">
        <v>3.4</v>
      </c>
      <c r="CH321">
        <v>3.4</v>
      </c>
      <c r="CI321">
        <v>3.4</v>
      </c>
      <c r="CJ321">
        <v>0.18</v>
      </c>
      <c r="CK321">
        <v>3.58</v>
      </c>
      <c r="CL321">
        <v>5020</v>
      </c>
    </row>
    <row r="322" spans="1:90" x14ac:dyDescent="0.25">
      <c r="A322">
        <v>1474</v>
      </c>
      <c r="B322" t="s">
        <v>658</v>
      </c>
      <c r="C322" t="s">
        <v>874</v>
      </c>
      <c r="D322" t="s">
        <v>1090</v>
      </c>
      <c r="E322" t="s">
        <v>393</v>
      </c>
      <c r="F322">
        <v>1588467400</v>
      </c>
      <c r="G322">
        <v>29.502649999999999</v>
      </c>
      <c r="H322" t="s">
        <v>408</v>
      </c>
      <c r="I322">
        <v>46863997738.610001</v>
      </c>
      <c r="J322" t="s">
        <v>414</v>
      </c>
      <c r="K322">
        <v>77388630.084493697</v>
      </c>
      <c r="L322">
        <v>1</v>
      </c>
      <c r="M322">
        <v>50206015</v>
      </c>
      <c r="N322">
        <v>5020</v>
      </c>
      <c r="O322">
        <v>2</v>
      </c>
      <c r="Q322" t="s">
        <v>422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2.6949999999999998</v>
      </c>
      <c r="AR322">
        <v>3.036</v>
      </c>
      <c r="AS322" t="s">
        <v>418</v>
      </c>
      <c r="AT322">
        <v>1</v>
      </c>
      <c r="AU322">
        <v>0</v>
      </c>
      <c r="AV322" t="s">
        <v>432</v>
      </c>
      <c r="AW322">
        <v>0</v>
      </c>
      <c r="AX322">
        <v>0</v>
      </c>
      <c r="AY322">
        <v>0</v>
      </c>
      <c r="CC322">
        <v>2.8654999999999999</v>
      </c>
      <c r="CE322" t="s">
        <v>448</v>
      </c>
      <c r="CG322">
        <v>2</v>
      </c>
      <c r="CH322">
        <v>3.4</v>
      </c>
      <c r="CI322">
        <v>2.7</v>
      </c>
      <c r="CJ322">
        <v>0.3</v>
      </c>
      <c r="CK322">
        <v>3</v>
      </c>
      <c r="CL322">
        <v>5020</v>
      </c>
    </row>
    <row r="323" spans="1:90" x14ac:dyDescent="0.25">
      <c r="A323">
        <v>94</v>
      </c>
      <c r="B323" t="s">
        <v>464</v>
      </c>
      <c r="C323" t="s">
        <v>680</v>
      </c>
      <c r="D323" t="s">
        <v>896</v>
      </c>
      <c r="E323" t="s">
        <v>401</v>
      </c>
      <c r="F323">
        <v>985856700</v>
      </c>
      <c r="G323">
        <v>22.002770000000002</v>
      </c>
      <c r="H323" t="s">
        <v>411</v>
      </c>
      <c r="I323">
        <v>21691578223.058998</v>
      </c>
      <c r="J323" t="s">
        <v>414</v>
      </c>
      <c r="K323">
        <v>15462567.7601377</v>
      </c>
      <c r="L323">
        <v>0.4</v>
      </c>
      <c r="M323">
        <v>55102040</v>
      </c>
      <c r="N323">
        <v>5510</v>
      </c>
      <c r="O323">
        <v>2.66917264039561</v>
      </c>
      <c r="P323">
        <v>3.1</v>
      </c>
      <c r="Q323" t="s">
        <v>416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2.331</v>
      </c>
      <c r="AR323">
        <v>3.169</v>
      </c>
      <c r="AS323" t="s">
        <v>416</v>
      </c>
      <c r="AT323">
        <v>1</v>
      </c>
      <c r="AU323">
        <v>0</v>
      </c>
      <c r="AV323" t="s">
        <v>440</v>
      </c>
      <c r="AW323">
        <v>0</v>
      </c>
      <c r="AX323">
        <v>0</v>
      </c>
      <c r="AY323">
        <v>0</v>
      </c>
      <c r="CC323">
        <v>2.75</v>
      </c>
      <c r="CE323" t="s">
        <v>448</v>
      </c>
      <c r="CG323">
        <v>2.66917264039561</v>
      </c>
      <c r="CH323">
        <v>3.1</v>
      </c>
      <c r="CI323">
        <v>2.8845863201978048</v>
      </c>
      <c r="CJ323">
        <v>-0.18</v>
      </c>
      <c r="CK323">
        <v>2.7045863201978051</v>
      </c>
      <c r="CL323">
        <v>5510</v>
      </c>
    </row>
    <row r="324" spans="1:90" x14ac:dyDescent="0.25">
      <c r="A324">
        <v>205</v>
      </c>
      <c r="B324" t="s">
        <v>488</v>
      </c>
      <c r="C324" t="s">
        <v>704</v>
      </c>
      <c r="D324" t="s">
        <v>920</v>
      </c>
      <c r="E324" t="s">
        <v>393</v>
      </c>
      <c r="F324">
        <v>273511170</v>
      </c>
      <c r="G324">
        <v>34.493189999999998</v>
      </c>
      <c r="H324" t="s">
        <v>408</v>
      </c>
      <c r="I324">
        <v>9434272753.9322987</v>
      </c>
      <c r="J324" t="s">
        <v>414</v>
      </c>
      <c r="K324">
        <v>33893772.8540629</v>
      </c>
      <c r="L324">
        <v>1</v>
      </c>
      <c r="M324">
        <v>55102000</v>
      </c>
      <c r="N324">
        <v>5510</v>
      </c>
      <c r="O324">
        <v>1.76625317553127</v>
      </c>
      <c r="Q324" t="s">
        <v>422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2.722</v>
      </c>
      <c r="AR324">
        <v>3.0819999999999999</v>
      </c>
      <c r="AS324" t="s">
        <v>418</v>
      </c>
      <c r="AT324">
        <v>1</v>
      </c>
      <c r="AU324">
        <v>0</v>
      </c>
      <c r="AV324" t="s">
        <v>432</v>
      </c>
      <c r="AW324">
        <v>0</v>
      </c>
      <c r="AX324">
        <v>0</v>
      </c>
      <c r="AY324">
        <v>0</v>
      </c>
      <c r="CC324">
        <v>2.9020000000000001</v>
      </c>
      <c r="CE324" t="s">
        <v>448</v>
      </c>
      <c r="CG324">
        <v>1.76625317553127</v>
      </c>
      <c r="CH324">
        <v>3.4</v>
      </c>
      <c r="CI324">
        <v>2.5831265877656349</v>
      </c>
      <c r="CJ324">
        <v>0.3</v>
      </c>
      <c r="CK324">
        <v>2.8831265877656351</v>
      </c>
      <c r="CL324">
        <v>5510</v>
      </c>
    </row>
    <row r="325" spans="1:90" x14ac:dyDescent="0.25">
      <c r="A325">
        <v>970</v>
      </c>
      <c r="B325" t="s">
        <v>99</v>
      </c>
      <c r="C325" t="s">
        <v>199</v>
      </c>
      <c r="D325" t="s">
        <v>299</v>
      </c>
      <c r="E325" t="s">
        <v>398</v>
      </c>
      <c r="F325">
        <v>2009015998</v>
      </c>
      <c r="G325">
        <v>5.7135639999999999</v>
      </c>
      <c r="H325" t="s">
        <v>409</v>
      </c>
      <c r="I325">
        <v>11478641481.59687</v>
      </c>
      <c r="J325" t="s">
        <v>414</v>
      </c>
      <c r="K325">
        <v>22699023.726144701</v>
      </c>
      <c r="L325">
        <v>0.65</v>
      </c>
      <c r="M325">
        <v>55102035</v>
      </c>
      <c r="N325">
        <v>5510</v>
      </c>
      <c r="O325">
        <v>2.7283290216989098</v>
      </c>
      <c r="P325">
        <v>1.5</v>
      </c>
      <c r="Q325" t="s">
        <v>418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2.8610000000000002</v>
      </c>
      <c r="AR325">
        <v>3.7229999999999999</v>
      </c>
      <c r="AS325" t="s">
        <v>418</v>
      </c>
      <c r="AT325">
        <v>1</v>
      </c>
      <c r="AU325">
        <v>1</v>
      </c>
      <c r="AV325" t="s">
        <v>437</v>
      </c>
      <c r="AW325">
        <v>0</v>
      </c>
      <c r="AX325">
        <v>0</v>
      </c>
      <c r="AY325">
        <v>0</v>
      </c>
      <c r="CC325">
        <v>3.2919999999999998</v>
      </c>
      <c r="CE325" t="s">
        <v>448</v>
      </c>
      <c r="CG325">
        <v>2.7283290216989098</v>
      </c>
      <c r="CH325">
        <v>1.5</v>
      </c>
      <c r="CI325">
        <v>2.1141645108494549</v>
      </c>
      <c r="CJ325">
        <v>0</v>
      </c>
      <c r="CK325">
        <v>2.1141645108494549</v>
      </c>
      <c r="CL325">
        <v>5510</v>
      </c>
    </row>
    <row r="326" spans="1:90" x14ac:dyDescent="0.25">
      <c r="A326">
        <v>1276</v>
      </c>
      <c r="B326" t="s">
        <v>169</v>
      </c>
      <c r="C326" t="s">
        <v>269</v>
      </c>
      <c r="D326" t="s">
        <v>369</v>
      </c>
      <c r="E326" t="s">
        <v>397</v>
      </c>
      <c r="F326">
        <v>613066600</v>
      </c>
      <c r="G326">
        <v>10.71</v>
      </c>
      <c r="H326" t="s">
        <v>407</v>
      </c>
      <c r="I326">
        <v>6565943286.000001</v>
      </c>
      <c r="J326" t="s">
        <v>413</v>
      </c>
      <c r="K326">
        <v>19128821.576101702</v>
      </c>
      <c r="L326">
        <v>1</v>
      </c>
      <c r="M326">
        <v>55101015</v>
      </c>
      <c r="N326">
        <v>5510</v>
      </c>
      <c r="O326">
        <v>1.8865311555342901</v>
      </c>
      <c r="P326">
        <v>1.5</v>
      </c>
      <c r="Q326" t="s">
        <v>415</v>
      </c>
      <c r="R326" t="s">
        <v>421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2.58</v>
      </c>
      <c r="AR326">
        <v>3.1419999999999999</v>
      </c>
      <c r="AS326" t="s">
        <v>418</v>
      </c>
      <c r="AT326">
        <v>1</v>
      </c>
      <c r="AU326">
        <v>0</v>
      </c>
      <c r="AV326" t="s">
        <v>436</v>
      </c>
      <c r="AW326">
        <v>0</v>
      </c>
      <c r="AX326">
        <v>0</v>
      </c>
      <c r="AY326">
        <v>0</v>
      </c>
      <c r="CC326">
        <v>2.8610000000000002</v>
      </c>
      <c r="CE326" t="s">
        <v>448</v>
      </c>
      <c r="CG326">
        <v>1.8865311555342901</v>
      </c>
      <c r="CH326">
        <v>1.5</v>
      </c>
      <c r="CI326">
        <v>1.693265577767145</v>
      </c>
      <c r="CJ326">
        <v>-0.3</v>
      </c>
      <c r="CK326">
        <v>1.393265577767145</v>
      </c>
      <c r="CL326">
        <v>5510</v>
      </c>
    </row>
    <row r="327" spans="1:90" x14ac:dyDescent="0.25">
      <c r="A327">
        <v>1302</v>
      </c>
      <c r="B327" t="s">
        <v>123</v>
      </c>
      <c r="C327" t="s">
        <v>223</v>
      </c>
      <c r="D327" t="s">
        <v>323</v>
      </c>
      <c r="E327" t="s">
        <v>393</v>
      </c>
      <c r="F327">
        <v>638676100</v>
      </c>
      <c r="G327">
        <v>13.483459999999999</v>
      </c>
      <c r="H327" t="s">
        <v>408</v>
      </c>
      <c r="I327">
        <v>8611563647.3059998</v>
      </c>
      <c r="J327" t="s">
        <v>414</v>
      </c>
      <c r="K327">
        <v>18512719.7292796</v>
      </c>
      <c r="L327">
        <v>0.85</v>
      </c>
      <c r="M327">
        <v>55101010</v>
      </c>
      <c r="N327">
        <v>5510</v>
      </c>
      <c r="O327">
        <v>1.51093325943585</v>
      </c>
      <c r="Q327" t="s">
        <v>417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2.3260000000000001</v>
      </c>
      <c r="AR327">
        <v>2.9609999999999999</v>
      </c>
      <c r="AS327" t="s">
        <v>418</v>
      </c>
      <c r="AT327">
        <v>1</v>
      </c>
      <c r="AU327">
        <v>0</v>
      </c>
      <c r="AV327" t="s">
        <v>432</v>
      </c>
      <c r="AW327">
        <v>0</v>
      </c>
      <c r="AX327">
        <v>0</v>
      </c>
      <c r="AY327">
        <v>0</v>
      </c>
      <c r="CC327">
        <v>2.6435</v>
      </c>
      <c r="CE327" t="s">
        <v>448</v>
      </c>
      <c r="CG327">
        <v>1.51093325943585</v>
      </c>
      <c r="CH327">
        <v>3.4</v>
      </c>
      <c r="CI327">
        <v>2.4554666297179248</v>
      </c>
      <c r="CJ327">
        <v>-0.24</v>
      </c>
      <c r="CK327">
        <v>2.2154666297179251</v>
      </c>
      <c r="CL327">
        <v>5510</v>
      </c>
    </row>
    <row r="328" spans="1:90" x14ac:dyDescent="0.25">
      <c r="A328">
        <v>553</v>
      </c>
      <c r="B328" t="s">
        <v>150</v>
      </c>
      <c r="C328" t="s">
        <v>250</v>
      </c>
      <c r="D328" t="s">
        <v>350</v>
      </c>
      <c r="E328" t="s">
        <v>404</v>
      </c>
      <c r="F328">
        <v>9233586</v>
      </c>
      <c r="G328">
        <v>4175.5290000000005</v>
      </c>
      <c r="H328" t="s">
        <v>412</v>
      </c>
      <c r="I328">
        <v>38555106116.994003</v>
      </c>
      <c r="J328" t="s">
        <v>414</v>
      </c>
      <c r="K328">
        <v>73350479.450200602</v>
      </c>
      <c r="L328">
        <v>0.9</v>
      </c>
      <c r="M328">
        <v>55201020</v>
      </c>
      <c r="N328">
        <v>5520</v>
      </c>
      <c r="O328">
        <v>1.73711451726054</v>
      </c>
      <c r="P328">
        <v>2.08</v>
      </c>
      <c r="Q328" t="s">
        <v>415</v>
      </c>
      <c r="R328" t="s">
        <v>420</v>
      </c>
      <c r="S328">
        <v>0</v>
      </c>
      <c r="T328">
        <v>0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</v>
      </c>
      <c r="AD328">
        <v>0</v>
      </c>
      <c r="AF328">
        <v>0</v>
      </c>
      <c r="AG328" t="s">
        <v>422</v>
      </c>
      <c r="AI328" t="s">
        <v>422</v>
      </c>
      <c r="AJ328" t="s">
        <v>422</v>
      </c>
      <c r="AK328" t="s">
        <v>422</v>
      </c>
      <c r="AM328">
        <v>0</v>
      </c>
      <c r="AN328">
        <v>0</v>
      </c>
      <c r="AO328">
        <v>0</v>
      </c>
      <c r="AP328">
        <v>0</v>
      </c>
      <c r="AQ328">
        <v>2.1269999999999998</v>
      </c>
      <c r="AR328">
        <v>2.8340000000000001</v>
      </c>
      <c r="AS328" t="s">
        <v>418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CC328">
        <v>2.4805000000000001</v>
      </c>
      <c r="CE328" t="s">
        <v>448</v>
      </c>
      <c r="CG328">
        <v>1.73711451726054</v>
      </c>
      <c r="CH328">
        <v>2.08</v>
      </c>
      <c r="CI328">
        <v>1.9085572586302699</v>
      </c>
      <c r="CJ328">
        <v>-0.3</v>
      </c>
      <c r="CK328">
        <v>1.6085572586302701</v>
      </c>
      <c r="CL328">
        <v>5520</v>
      </c>
    </row>
    <row r="329" spans="1:90" x14ac:dyDescent="0.25">
      <c r="A329">
        <v>335</v>
      </c>
      <c r="B329" t="s">
        <v>502</v>
      </c>
      <c r="C329" t="s">
        <v>718</v>
      </c>
      <c r="D329" t="s">
        <v>934</v>
      </c>
      <c r="E329" t="s">
        <v>396</v>
      </c>
      <c r="F329">
        <v>189000000</v>
      </c>
      <c r="G329">
        <v>58.7</v>
      </c>
      <c r="H329" t="s">
        <v>407</v>
      </c>
      <c r="I329">
        <v>11094300000</v>
      </c>
      <c r="J329" t="s">
        <v>413</v>
      </c>
      <c r="K329">
        <v>15370226.237376999</v>
      </c>
      <c r="L329">
        <v>0.9</v>
      </c>
      <c r="M329">
        <v>55201020</v>
      </c>
      <c r="N329">
        <v>5520</v>
      </c>
      <c r="O329">
        <v>3.4</v>
      </c>
      <c r="P329">
        <v>3.01</v>
      </c>
      <c r="Q329" t="s">
        <v>418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2.5539999999999998</v>
      </c>
      <c r="AR329">
        <v>2.633</v>
      </c>
      <c r="AS329" t="s">
        <v>418</v>
      </c>
      <c r="AT329">
        <v>1</v>
      </c>
      <c r="AU329">
        <v>0</v>
      </c>
      <c r="AV329" t="s">
        <v>435</v>
      </c>
      <c r="AW329">
        <v>0</v>
      </c>
      <c r="AX329">
        <v>0</v>
      </c>
      <c r="AY329">
        <v>0</v>
      </c>
      <c r="CC329">
        <v>2.5935000000000001</v>
      </c>
      <c r="CE329" t="s">
        <v>448</v>
      </c>
      <c r="CG329">
        <v>3.4</v>
      </c>
      <c r="CH329">
        <v>3.01</v>
      </c>
      <c r="CI329">
        <v>3.2050000000000001</v>
      </c>
      <c r="CJ329">
        <v>0</v>
      </c>
      <c r="CK329">
        <v>3.2050000000000001</v>
      </c>
      <c r="CL329">
        <v>5520</v>
      </c>
    </row>
    <row r="330" spans="1:90" x14ac:dyDescent="0.25">
      <c r="A330">
        <v>341</v>
      </c>
      <c r="B330" t="s">
        <v>504</v>
      </c>
      <c r="C330" t="s">
        <v>720</v>
      </c>
      <c r="D330" t="s">
        <v>936</v>
      </c>
      <c r="E330" t="s">
        <v>401</v>
      </c>
      <c r="F330">
        <v>139635440</v>
      </c>
      <c r="G330">
        <v>38.625729999999997</v>
      </c>
      <c r="H330" t="s">
        <v>411</v>
      </c>
      <c r="I330">
        <v>5393520803.8711996</v>
      </c>
      <c r="J330" t="s">
        <v>414</v>
      </c>
      <c r="K330">
        <v>13931708.9106241</v>
      </c>
      <c r="L330">
        <v>0.9</v>
      </c>
      <c r="M330">
        <v>55201000</v>
      </c>
      <c r="N330">
        <v>5520</v>
      </c>
      <c r="O330">
        <v>1.95739384437404</v>
      </c>
      <c r="P330">
        <v>3.01</v>
      </c>
      <c r="Q330" t="s">
        <v>417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2.4449999999999998</v>
      </c>
      <c r="AR330">
        <v>3.11</v>
      </c>
      <c r="AS330" t="s">
        <v>418</v>
      </c>
      <c r="AT330">
        <v>1</v>
      </c>
      <c r="AU330">
        <v>0</v>
      </c>
      <c r="AV330" t="s">
        <v>440</v>
      </c>
      <c r="AW330">
        <v>0</v>
      </c>
      <c r="AX330">
        <v>0</v>
      </c>
      <c r="AY330">
        <v>0</v>
      </c>
      <c r="CC330">
        <v>2.7774999999999999</v>
      </c>
      <c r="CE330" t="s">
        <v>448</v>
      </c>
      <c r="CG330">
        <v>1.95739384437404</v>
      </c>
      <c r="CH330">
        <v>3.01</v>
      </c>
      <c r="CI330">
        <v>2.4836969221870202</v>
      </c>
      <c r="CJ330">
        <v>-0.24</v>
      </c>
      <c r="CK330">
        <v>2.24369692218702</v>
      </c>
      <c r="CL330">
        <v>5520</v>
      </c>
    </row>
    <row r="331" spans="1:90" x14ac:dyDescent="0.25">
      <c r="A331">
        <v>637</v>
      </c>
      <c r="B331" t="s">
        <v>548</v>
      </c>
      <c r="C331" t="s">
        <v>764</v>
      </c>
      <c r="D331" t="s">
        <v>980</v>
      </c>
      <c r="E331" t="s">
        <v>394</v>
      </c>
      <c r="F331">
        <v>59107999</v>
      </c>
      <c r="G331">
        <v>149.05000000000001</v>
      </c>
      <c r="H331" t="s">
        <v>407</v>
      </c>
      <c r="I331">
        <v>8810047250.9500008</v>
      </c>
      <c r="J331" t="s">
        <v>413</v>
      </c>
      <c r="K331">
        <v>12425239.6464286</v>
      </c>
      <c r="L331">
        <v>1</v>
      </c>
      <c r="M331">
        <v>55201020</v>
      </c>
      <c r="N331">
        <v>5520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2.504</v>
      </c>
      <c r="AR331">
        <v>3.2759999999999998</v>
      </c>
      <c r="AS331" t="s">
        <v>429</v>
      </c>
      <c r="AT331">
        <v>1</v>
      </c>
      <c r="AU331">
        <v>0</v>
      </c>
      <c r="AV331" t="s">
        <v>444</v>
      </c>
      <c r="AW331">
        <v>0</v>
      </c>
      <c r="AX331">
        <v>0</v>
      </c>
      <c r="AY331">
        <v>0</v>
      </c>
      <c r="CC331">
        <v>2.89</v>
      </c>
      <c r="CE331" t="s">
        <v>448</v>
      </c>
      <c r="CG331">
        <v>3.4</v>
      </c>
      <c r="CH331">
        <v>3.4</v>
      </c>
      <c r="CI331">
        <v>3.4</v>
      </c>
      <c r="CJ331">
        <v>-0.18</v>
      </c>
      <c r="CK331">
        <v>3.22</v>
      </c>
      <c r="CL331">
        <v>5520</v>
      </c>
    </row>
    <row r="332" spans="1:90" x14ac:dyDescent="0.25">
      <c r="A332">
        <v>1316</v>
      </c>
      <c r="B332" t="s">
        <v>124</v>
      </c>
      <c r="C332" t="s">
        <v>224</v>
      </c>
      <c r="D332" t="s">
        <v>324</v>
      </c>
      <c r="E332" t="s">
        <v>396</v>
      </c>
      <c r="F332">
        <v>139772050</v>
      </c>
      <c r="G332">
        <v>98.02</v>
      </c>
      <c r="H332" t="s">
        <v>407</v>
      </c>
      <c r="I332">
        <v>13700456341</v>
      </c>
      <c r="J332" t="s">
        <v>413</v>
      </c>
      <c r="K332">
        <v>28548769.3108197</v>
      </c>
      <c r="L332">
        <v>0.9</v>
      </c>
      <c r="M332">
        <v>55201000</v>
      </c>
      <c r="N332">
        <v>5520</v>
      </c>
      <c r="O332">
        <v>1.92369051873579</v>
      </c>
      <c r="P332">
        <v>3.1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</v>
      </c>
      <c r="AC332">
        <v>0</v>
      </c>
      <c r="AD332">
        <v>0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2.6389999999999998</v>
      </c>
      <c r="AR332">
        <v>3.008</v>
      </c>
      <c r="AS332" t="s">
        <v>418</v>
      </c>
      <c r="AT332">
        <v>1</v>
      </c>
      <c r="AU332">
        <v>0</v>
      </c>
      <c r="AV332" t="s">
        <v>435</v>
      </c>
      <c r="AW332">
        <v>0</v>
      </c>
      <c r="AX332">
        <v>0</v>
      </c>
      <c r="AY332">
        <v>0</v>
      </c>
      <c r="CC332">
        <v>2.8235000000000001</v>
      </c>
      <c r="CE332" t="s">
        <v>448</v>
      </c>
      <c r="CG332">
        <v>1.92369051873579</v>
      </c>
      <c r="CH332">
        <v>3.1</v>
      </c>
      <c r="CI332">
        <v>2.5118452593678948</v>
      </c>
      <c r="CJ332">
        <v>-0.3</v>
      </c>
      <c r="CK332">
        <v>2.211845259367895</v>
      </c>
      <c r="CL332">
        <v>5520</v>
      </c>
    </row>
    <row r="333" spans="1:90" x14ac:dyDescent="0.25">
      <c r="A333">
        <v>1531</v>
      </c>
      <c r="B333" t="s">
        <v>662</v>
      </c>
      <c r="C333" t="s">
        <v>878</v>
      </c>
      <c r="D333" t="s">
        <v>1094</v>
      </c>
      <c r="E333" t="s">
        <v>398</v>
      </c>
      <c r="F333">
        <v>254725627</v>
      </c>
      <c r="G333">
        <v>27.561669999999999</v>
      </c>
      <c r="H333" t="s">
        <v>409</v>
      </c>
      <c r="I333">
        <v>7020663671.9170895</v>
      </c>
      <c r="J333" t="s">
        <v>414</v>
      </c>
      <c r="K333">
        <v>16854533.268218201</v>
      </c>
      <c r="L333">
        <v>0.65</v>
      </c>
      <c r="M333">
        <v>55201015</v>
      </c>
      <c r="N333">
        <v>5520</v>
      </c>
      <c r="O333">
        <v>2.9576728383146702</v>
      </c>
      <c r="P333">
        <v>3.1</v>
      </c>
      <c r="Q333" t="s">
        <v>418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2.8450000000000002</v>
      </c>
      <c r="AR333">
        <v>3.3780000000000001</v>
      </c>
      <c r="AS333" t="s">
        <v>418</v>
      </c>
      <c r="AT333">
        <v>1</v>
      </c>
      <c r="AU333">
        <v>0</v>
      </c>
      <c r="AV333" t="s">
        <v>437</v>
      </c>
      <c r="AW333">
        <v>0</v>
      </c>
      <c r="AX333">
        <v>0</v>
      </c>
      <c r="AY333">
        <v>0</v>
      </c>
      <c r="CC333">
        <v>3.1114999999999999</v>
      </c>
      <c r="CE333" t="s">
        <v>448</v>
      </c>
      <c r="CG333">
        <v>2.9576728383146702</v>
      </c>
      <c r="CH333">
        <v>3.1</v>
      </c>
      <c r="CI333">
        <v>3.0288364191573351</v>
      </c>
      <c r="CJ333">
        <v>0</v>
      </c>
      <c r="CK333">
        <v>3.0288364191573351</v>
      </c>
      <c r="CL333">
        <v>5520</v>
      </c>
    </row>
    <row r="334" spans="1:90" x14ac:dyDescent="0.25">
      <c r="A334">
        <v>1462</v>
      </c>
      <c r="B334" t="s">
        <v>104</v>
      </c>
      <c r="C334" t="s">
        <v>204</v>
      </c>
      <c r="D334" t="s">
        <v>304</v>
      </c>
      <c r="E334" t="s">
        <v>400</v>
      </c>
      <c r="F334">
        <v>1009867250</v>
      </c>
      <c r="G334">
        <v>13.13903</v>
      </c>
      <c r="H334" t="s">
        <v>410</v>
      </c>
      <c r="I334">
        <v>13268676093.7675</v>
      </c>
      <c r="J334" t="s">
        <v>414</v>
      </c>
      <c r="K334">
        <v>50667588.035409801</v>
      </c>
      <c r="L334">
        <v>1</v>
      </c>
      <c r="M334">
        <v>60102020</v>
      </c>
      <c r="N334">
        <v>6010</v>
      </c>
      <c r="O334">
        <v>1.9940728394311</v>
      </c>
      <c r="P334">
        <v>3.1</v>
      </c>
      <c r="Q334" t="s">
        <v>419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2.3039999999999998</v>
      </c>
      <c r="AR334">
        <v>3.2229999999999999</v>
      </c>
      <c r="AS334" t="s">
        <v>418</v>
      </c>
      <c r="AT334">
        <v>1</v>
      </c>
      <c r="AU334">
        <v>1</v>
      </c>
      <c r="AV334" t="s">
        <v>439</v>
      </c>
      <c r="AW334">
        <v>0</v>
      </c>
      <c r="AX334">
        <v>0</v>
      </c>
      <c r="AY334">
        <v>0</v>
      </c>
      <c r="CC334">
        <v>2.7635000000000001</v>
      </c>
      <c r="CE334" t="s">
        <v>448</v>
      </c>
      <c r="CG334">
        <v>1.9940728394311</v>
      </c>
      <c r="CH334">
        <v>3.1</v>
      </c>
      <c r="CI334">
        <v>2.5470364197155502</v>
      </c>
      <c r="CJ334">
        <v>0.18</v>
      </c>
      <c r="CK334">
        <v>2.7270364197155499</v>
      </c>
      <c r="CL334">
        <v>6010</v>
      </c>
    </row>
    <row r="335" spans="1:90" x14ac:dyDescent="0.25">
      <c r="A335">
        <v>1092</v>
      </c>
      <c r="B335" t="s">
        <v>100</v>
      </c>
      <c r="C335" t="s">
        <v>200</v>
      </c>
      <c r="D335" t="s">
        <v>300</v>
      </c>
      <c r="E335" t="s">
        <v>399</v>
      </c>
      <c r="F335">
        <v>541080000</v>
      </c>
      <c r="G335">
        <v>16.829999999999998</v>
      </c>
      <c r="H335" t="s">
        <v>407</v>
      </c>
      <c r="I335">
        <v>9106376400</v>
      </c>
      <c r="J335" t="s">
        <v>413</v>
      </c>
      <c r="K335">
        <v>15311684.9957524</v>
      </c>
      <c r="L335">
        <v>0.75</v>
      </c>
      <c r="M335">
        <v>65101015</v>
      </c>
      <c r="N335">
        <v>6510</v>
      </c>
      <c r="O335">
        <v>1.5959603304940599</v>
      </c>
      <c r="Q335" t="s">
        <v>415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2.9380000000000002</v>
      </c>
      <c r="AR335">
        <v>2.8740000000000001</v>
      </c>
      <c r="AS335" t="s">
        <v>419</v>
      </c>
      <c r="AT335">
        <v>1</v>
      </c>
      <c r="AU335">
        <v>1</v>
      </c>
      <c r="AV335" t="s">
        <v>438</v>
      </c>
      <c r="AW335">
        <v>0</v>
      </c>
      <c r="AX335">
        <v>0</v>
      </c>
      <c r="AY335">
        <v>0</v>
      </c>
      <c r="CC335">
        <v>2.9060000000000001</v>
      </c>
      <c r="CE335" t="s">
        <v>448</v>
      </c>
      <c r="CG335">
        <v>1.5959603304940599</v>
      </c>
      <c r="CH335">
        <v>3.4</v>
      </c>
      <c r="CI335">
        <v>2.4979801652470299</v>
      </c>
      <c r="CJ335">
        <v>-0.3</v>
      </c>
      <c r="CK335">
        <v>2.1979801652470301</v>
      </c>
      <c r="CL335">
        <v>6510</v>
      </c>
    </row>
    <row r="336" spans="1:90" x14ac:dyDescent="0.25">
      <c r="A336">
        <v>1192</v>
      </c>
      <c r="B336" t="s">
        <v>102</v>
      </c>
      <c r="C336" t="s">
        <v>202</v>
      </c>
      <c r="D336" t="s">
        <v>302</v>
      </c>
      <c r="E336" t="s">
        <v>401</v>
      </c>
      <c r="F336">
        <v>300209100</v>
      </c>
      <c r="G336">
        <v>29.42568</v>
      </c>
      <c r="H336" t="s">
        <v>411</v>
      </c>
      <c r="I336">
        <v>8833856909.6879997</v>
      </c>
      <c r="J336" t="s">
        <v>414</v>
      </c>
      <c r="K336">
        <v>14800849.030249599</v>
      </c>
      <c r="L336">
        <v>0.9</v>
      </c>
      <c r="M336">
        <v>65102030</v>
      </c>
      <c r="N336">
        <v>6510</v>
      </c>
      <c r="O336">
        <v>1.7824347572228401</v>
      </c>
      <c r="P336">
        <v>1.5</v>
      </c>
      <c r="Q336" t="s">
        <v>417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2.8260000000000001</v>
      </c>
      <c r="AR336">
        <v>3.137</v>
      </c>
      <c r="AS336" t="s">
        <v>426</v>
      </c>
      <c r="AT336">
        <v>1</v>
      </c>
      <c r="AU336">
        <v>1</v>
      </c>
      <c r="AV336" t="s">
        <v>440</v>
      </c>
      <c r="AW336">
        <v>0</v>
      </c>
      <c r="AX336">
        <v>0</v>
      </c>
      <c r="AY336">
        <v>0</v>
      </c>
      <c r="CC336">
        <v>2.9815</v>
      </c>
      <c r="CE336" t="s">
        <v>448</v>
      </c>
      <c r="CG336">
        <v>1.7824347572228401</v>
      </c>
      <c r="CH336">
        <v>1.5</v>
      </c>
      <c r="CI336">
        <v>1.6412173786114199</v>
      </c>
      <c r="CJ336">
        <v>-0.24</v>
      </c>
      <c r="CK336">
        <v>1.4012173786114199</v>
      </c>
      <c r="CL336">
        <v>6510</v>
      </c>
    </row>
    <row r="337" spans="1:90" x14ac:dyDescent="0.25">
      <c r="A337">
        <v>1359</v>
      </c>
      <c r="B337" t="s">
        <v>103</v>
      </c>
      <c r="C337" t="s">
        <v>203</v>
      </c>
      <c r="D337" t="s">
        <v>303</v>
      </c>
      <c r="E337" t="s">
        <v>402</v>
      </c>
      <c r="F337">
        <v>2009992000</v>
      </c>
      <c r="G337">
        <v>7.8259999999999996</v>
      </c>
      <c r="H337" t="s">
        <v>407</v>
      </c>
      <c r="I337">
        <v>15730197392</v>
      </c>
      <c r="J337" t="s">
        <v>413</v>
      </c>
      <c r="K337">
        <v>30108575.329360701</v>
      </c>
      <c r="L337">
        <v>0.70000000000000007</v>
      </c>
      <c r="M337">
        <v>65101015</v>
      </c>
      <c r="N337">
        <v>6510</v>
      </c>
      <c r="O337">
        <v>1.7449210642355399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2.8530000000000002</v>
      </c>
      <c r="AR337">
        <v>3.169</v>
      </c>
      <c r="AS337" t="s">
        <v>419</v>
      </c>
      <c r="AT337">
        <v>1</v>
      </c>
      <c r="AU337">
        <v>1</v>
      </c>
      <c r="AV337" t="s">
        <v>441</v>
      </c>
      <c r="AW337">
        <v>0</v>
      </c>
      <c r="AX337">
        <v>0</v>
      </c>
      <c r="AY337">
        <v>0</v>
      </c>
      <c r="CC337">
        <v>3.0110000000000001</v>
      </c>
      <c r="CE337" t="s">
        <v>448</v>
      </c>
      <c r="CG337">
        <v>1.7449210642355399</v>
      </c>
      <c r="CH337">
        <v>3.4</v>
      </c>
      <c r="CI337">
        <v>2.5724605321177698</v>
      </c>
      <c r="CJ337">
        <v>-0.24</v>
      </c>
      <c r="CK337">
        <v>2.33246053211777</v>
      </c>
      <c r="CL337">
        <v>6510</v>
      </c>
    </row>
    <row r="338" spans="1:90" x14ac:dyDescent="0.25">
      <c r="A338">
        <v>1442</v>
      </c>
      <c r="B338" t="s">
        <v>121</v>
      </c>
      <c r="C338" t="s">
        <v>221</v>
      </c>
      <c r="D338" t="s">
        <v>321</v>
      </c>
      <c r="E338" t="s">
        <v>401</v>
      </c>
      <c r="F338">
        <v>681888400</v>
      </c>
      <c r="G338">
        <v>11.622780000000001</v>
      </c>
      <c r="H338" t="s">
        <v>411</v>
      </c>
      <c r="I338">
        <v>7925438857.7520008</v>
      </c>
      <c r="J338" t="s">
        <v>414</v>
      </c>
      <c r="K338">
        <v>15580051.4032885</v>
      </c>
      <c r="L338">
        <v>1</v>
      </c>
      <c r="M338">
        <v>65102030</v>
      </c>
      <c r="N338">
        <v>6510</v>
      </c>
      <c r="O338">
        <v>1.6963650110689901</v>
      </c>
      <c r="Q338" t="s">
        <v>415</v>
      </c>
      <c r="R338" t="s">
        <v>420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2.96</v>
      </c>
      <c r="AR338">
        <v>2.3919999999999999</v>
      </c>
      <c r="AS338" t="s">
        <v>426</v>
      </c>
      <c r="AT338">
        <v>1</v>
      </c>
      <c r="AU338">
        <v>0</v>
      </c>
      <c r="AV338" t="s">
        <v>440</v>
      </c>
      <c r="AW338">
        <v>0</v>
      </c>
      <c r="AX338">
        <v>0</v>
      </c>
      <c r="AY338">
        <v>0</v>
      </c>
      <c r="CC338">
        <v>2.6760000000000002</v>
      </c>
      <c r="CE338" t="s">
        <v>448</v>
      </c>
      <c r="CG338">
        <v>1.6963650110689901</v>
      </c>
      <c r="CH338">
        <v>3.4</v>
      </c>
      <c r="CI338">
        <v>2.5481825055344949</v>
      </c>
      <c r="CJ338">
        <v>-0.3</v>
      </c>
      <c r="CK338">
        <v>2.2481825055344951</v>
      </c>
      <c r="CL338">
        <v>6510</v>
      </c>
    </row>
  </sheetData>
  <autoFilter ref="A22:CL338" xr:uid="{00000000-0001-0000-0100-000000000000}">
    <sortState xmlns:xlrd2="http://schemas.microsoft.com/office/spreadsheetml/2017/richdata2" ref="A23:CL338">
      <sortCondition ref="CL22:CL338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738-F8C9-4BAF-862D-A55AAA8DCF0B}">
  <dimension ref="A1:H316"/>
  <sheetViews>
    <sheetView workbookViewId="0">
      <selection activeCell="H19" sqref="H1:H19"/>
    </sheetView>
  </sheetViews>
  <sheetFormatPr defaultRowHeight="15" x14ac:dyDescent="0.25"/>
  <sheetData>
    <row r="1" spans="1:8" x14ac:dyDescent="0.25">
      <c r="A1">
        <v>4510</v>
      </c>
      <c r="C1">
        <v>4510</v>
      </c>
      <c r="D1">
        <f>COUNTIF($A$1:$A$316,C1)</f>
        <v>19</v>
      </c>
      <c r="F1">
        <v>3010</v>
      </c>
      <c r="G1">
        <v>12</v>
      </c>
      <c r="H1">
        <f>G1/D1</f>
        <v>0.63157894736842102</v>
      </c>
    </row>
    <row r="2" spans="1:8" x14ac:dyDescent="0.25">
      <c r="A2">
        <v>3010</v>
      </c>
      <c r="C2">
        <v>3010</v>
      </c>
      <c r="D2">
        <f t="shared" ref="D2:D20" si="0">COUNTIF($A$1:$A$316,C2)</f>
        <v>45</v>
      </c>
      <c r="F2">
        <v>5010</v>
      </c>
      <c r="G2">
        <v>2</v>
      </c>
      <c r="H2">
        <f t="shared" ref="H2:H19" si="1">G2/D2</f>
        <v>4.4444444444444446E-2</v>
      </c>
    </row>
    <row r="3" spans="1:8" x14ac:dyDescent="0.25">
      <c r="A3">
        <v>3020</v>
      </c>
      <c r="C3">
        <v>3020</v>
      </c>
      <c r="D3">
        <f t="shared" si="0"/>
        <v>22</v>
      </c>
      <c r="F3">
        <v>3030</v>
      </c>
      <c r="G3">
        <v>7</v>
      </c>
      <c r="H3">
        <f t="shared" si="1"/>
        <v>0.31818181818181818</v>
      </c>
    </row>
    <row r="4" spans="1:8" x14ac:dyDescent="0.25">
      <c r="A4">
        <v>4050</v>
      </c>
      <c r="C4">
        <v>4050</v>
      </c>
      <c r="D4">
        <f t="shared" si="0"/>
        <v>11</v>
      </c>
      <c r="F4">
        <v>3020</v>
      </c>
      <c r="G4">
        <v>6</v>
      </c>
      <c r="H4">
        <f t="shared" si="1"/>
        <v>0.54545454545454541</v>
      </c>
    </row>
    <row r="5" spans="1:8" x14ac:dyDescent="0.25">
      <c r="A5">
        <v>4020</v>
      </c>
      <c r="C5">
        <v>4020</v>
      </c>
      <c r="D5">
        <f t="shared" si="0"/>
        <v>18</v>
      </c>
      <c r="F5">
        <v>3510</v>
      </c>
      <c r="G5">
        <v>4</v>
      </c>
      <c r="H5">
        <f t="shared" si="1"/>
        <v>0.22222222222222221</v>
      </c>
    </row>
    <row r="6" spans="1:8" x14ac:dyDescent="0.25">
      <c r="A6">
        <v>3030</v>
      </c>
      <c r="C6">
        <v>3030</v>
      </c>
      <c r="D6">
        <f t="shared" si="0"/>
        <v>26</v>
      </c>
      <c r="F6">
        <v>6510</v>
      </c>
      <c r="G6">
        <v>1</v>
      </c>
      <c r="H6">
        <f t="shared" si="1"/>
        <v>3.8461538461538464E-2</v>
      </c>
    </row>
    <row r="7" spans="1:8" x14ac:dyDescent="0.25">
      <c r="A7">
        <v>5020</v>
      </c>
      <c r="C7">
        <v>5020</v>
      </c>
      <c r="D7">
        <f t="shared" si="0"/>
        <v>33</v>
      </c>
      <c r="F7">
        <v>5510</v>
      </c>
      <c r="G7">
        <v>2</v>
      </c>
      <c r="H7">
        <f t="shared" si="1"/>
        <v>6.0606060606060608E-2</v>
      </c>
    </row>
    <row r="8" spans="1:8" x14ac:dyDescent="0.25">
      <c r="A8">
        <v>3510</v>
      </c>
      <c r="C8">
        <v>3510</v>
      </c>
      <c r="D8">
        <f t="shared" si="0"/>
        <v>17</v>
      </c>
      <c r="F8">
        <v>5520</v>
      </c>
      <c r="G8">
        <v>2</v>
      </c>
      <c r="H8">
        <f t="shared" si="1"/>
        <v>0.11764705882352941</v>
      </c>
    </row>
    <row r="9" spans="1:8" x14ac:dyDescent="0.25">
      <c r="A9">
        <v>3030</v>
      </c>
      <c r="C9">
        <v>2010</v>
      </c>
      <c r="D9">
        <f t="shared" si="0"/>
        <v>42</v>
      </c>
      <c r="F9">
        <v>2010</v>
      </c>
      <c r="G9">
        <v>11</v>
      </c>
      <c r="H9">
        <f t="shared" si="1"/>
        <v>0.26190476190476192</v>
      </c>
    </row>
    <row r="10" spans="1:8" x14ac:dyDescent="0.25">
      <c r="A10">
        <v>5020</v>
      </c>
      <c r="C10">
        <v>1010</v>
      </c>
      <c r="D10">
        <f t="shared" si="0"/>
        <v>15</v>
      </c>
      <c r="F10">
        <v>1010</v>
      </c>
      <c r="G10">
        <v>3</v>
      </c>
      <c r="H10">
        <f t="shared" si="1"/>
        <v>0.2</v>
      </c>
    </row>
    <row r="11" spans="1:8" x14ac:dyDescent="0.25">
      <c r="A11">
        <v>3030</v>
      </c>
      <c r="C11">
        <v>5510</v>
      </c>
      <c r="D11">
        <f t="shared" si="0"/>
        <v>5</v>
      </c>
      <c r="F11">
        <v>1510</v>
      </c>
      <c r="G11">
        <v>4</v>
      </c>
      <c r="H11">
        <f t="shared" si="1"/>
        <v>0.8</v>
      </c>
    </row>
    <row r="12" spans="1:8" x14ac:dyDescent="0.25">
      <c r="A12">
        <v>3010</v>
      </c>
      <c r="C12">
        <v>5010</v>
      </c>
      <c r="D12">
        <f t="shared" si="0"/>
        <v>8</v>
      </c>
      <c r="F12">
        <v>4050</v>
      </c>
      <c r="G12">
        <v>3</v>
      </c>
      <c r="H12">
        <f t="shared" si="1"/>
        <v>0.375</v>
      </c>
    </row>
    <row r="13" spans="1:8" x14ac:dyDescent="0.25">
      <c r="A13">
        <v>2010</v>
      </c>
      <c r="C13">
        <v>4520</v>
      </c>
      <c r="D13">
        <f t="shared" si="0"/>
        <v>8</v>
      </c>
      <c r="F13">
        <v>5020</v>
      </c>
      <c r="G13">
        <v>8</v>
      </c>
      <c r="H13">
        <f t="shared" si="1"/>
        <v>1</v>
      </c>
    </row>
    <row r="14" spans="1:8" x14ac:dyDescent="0.25">
      <c r="A14">
        <v>3030</v>
      </c>
      <c r="C14">
        <v>4010</v>
      </c>
      <c r="D14">
        <f t="shared" si="0"/>
        <v>6</v>
      </c>
      <c r="F14">
        <v>4020</v>
      </c>
      <c r="G14">
        <v>5</v>
      </c>
      <c r="H14">
        <f t="shared" si="1"/>
        <v>0.83333333333333337</v>
      </c>
    </row>
    <row r="15" spans="1:8" x14ac:dyDescent="0.25">
      <c r="A15">
        <v>3510</v>
      </c>
      <c r="C15">
        <v>1510</v>
      </c>
      <c r="D15">
        <f t="shared" si="0"/>
        <v>17</v>
      </c>
      <c r="F15">
        <v>4030</v>
      </c>
      <c r="G15">
        <v>3</v>
      </c>
      <c r="H15">
        <f t="shared" si="1"/>
        <v>0.17647058823529413</v>
      </c>
    </row>
    <row r="16" spans="1:8" x14ac:dyDescent="0.25">
      <c r="A16">
        <v>5020</v>
      </c>
      <c r="C16">
        <v>5520</v>
      </c>
      <c r="D16">
        <f t="shared" si="0"/>
        <v>6</v>
      </c>
      <c r="F16">
        <v>4040</v>
      </c>
      <c r="G16">
        <v>2</v>
      </c>
      <c r="H16">
        <f t="shared" si="1"/>
        <v>0.33333333333333331</v>
      </c>
    </row>
    <row r="17" spans="1:8" x14ac:dyDescent="0.25">
      <c r="A17">
        <v>1010</v>
      </c>
      <c r="C17">
        <v>4040</v>
      </c>
      <c r="D17">
        <f t="shared" si="0"/>
        <v>5</v>
      </c>
      <c r="F17">
        <v>4510</v>
      </c>
      <c r="G17">
        <v>6</v>
      </c>
      <c r="H17">
        <f t="shared" si="1"/>
        <v>1.2</v>
      </c>
    </row>
    <row r="18" spans="1:8" x14ac:dyDescent="0.25">
      <c r="A18">
        <v>2010</v>
      </c>
      <c r="C18">
        <v>4030</v>
      </c>
      <c r="D18">
        <f t="shared" si="0"/>
        <v>8</v>
      </c>
      <c r="F18">
        <v>4010</v>
      </c>
      <c r="G18">
        <v>2</v>
      </c>
      <c r="H18">
        <f t="shared" si="1"/>
        <v>0.25</v>
      </c>
    </row>
    <row r="19" spans="1:8" x14ac:dyDescent="0.25">
      <c r="A19">
        <v>2010</v>
      </c>
      <c r="C19">
        <v>6510</v>
      </c>
      <c r="D19">
        <f t="shared" si="0"/>
        <v>4</v>
      </c>
      <c r="F19">
        <v>4520</v>
      </c>
      <c r="G19">
        <v>3</v>
      </c>
      <c r="H19">
        <f t="shared" si="1"/>
        <v>0.75</v>
      </c>
    </row>
    <row r="20" spans="1:8" x14ac:dyDescent="0.25">
      <c r="A20">
        <v>3020</v>
      </c>
      <c r="C20">
        <v>6010</v>
      </c>
      <c r="D20">
        <f t="shared" si="0"/>
        <v>1</v>
      </c>
    </row>
    <row r="21" spans="1:8" x14ac:dyDescent="0.25">
      <c r="A21">
        <v>5510</v>
      </c>
    </row>
    <row r="22" spans="1:8" x14ac:dyDescent="0.25">
      <c r="A22">
        <v>2010</v>
      </c>
    </row>
    <row r="23" spans="1:8" x14ac:dyDescent="0.25">
      <c r="A23">
        <v>1010</v>
      </c>
    </row>
    <row r="24" spans="1:8" x14ac:dyDescent="0.25">
      <c r="A24">
        <v>1010</v>
      </c>
    </row>
    <row r="25" spans="1:8" x14ac:dyDescent="0.25">
      <c r="A25">
        <v>3030</v>
      </c>
    </row>
    <row r="26" spans="1:8" x14ac:dyDescent="0.25">
      <c r="A26">
        <v>5010</v>
      </c>
    </row>
    <row r="27" spans="1:8" x14ac:dyDescent="0.25">
      <c r="A27">
        <v>4510</v>
      </c>
    </row>
    <row r="28" spans="1:8" x14ac:dyDescent="0.25">
      <c r="A28">
        <v>2010</v>
      </c>
    </row>
    <row r="29" spans="1:8" x14ac:dyDescent="0.25">
      <c r="A29">
        <v>3010</v>
      </c>
    </row>
    <row r="30" spans="1:8" x14ac:dyDescent="0.25">
      <c r="A30">
        <v>3030</v>
      </c>
    </row>
    <row r="31" spans="1:8" x14ac:dyDescent="0.25">
      <c r="A31">
        <v>3030</v>
      </c>
    </row>
    <row r="32" spans="1:8" x14ac:dyDescent="0.25">
      <c r="A32">
        <v>3010</v>
      </c>
    </row>
    <row r="33" spans="1:1" x14ac:dyDescent="0.25">
      <c r="A33">
        <v>3030</v>
      </c>
    </row>
    <row r="34" spans="1:1" x14ac:dyDescent="0.25">
      <c r="A34">
        <v>3020</v>
      </c>
    </row>
    <row r="35" spans="1:1" x14ac:dyDescent="0.25">
      <c r="A35">
        <v>3010</v>
      </c>
    </row>
    <row r="36" spans="1:1" x14ac:dyDescent="0.25">
      <c r="A36">
        <v>3010</v>
      </c>
    </row>
    <row r="37" spans="1:1" x14ac:dyDescent="0.25">
      <c r="A37">
        <v>3010</v>
      </c>
    </row>
    <row r="38" spans="1:1" x14ac:dyDescent="0.25">
      <c r="A38">
        <v>3010</v>
      </c>
    </row>
    <row r="39" spans="1:1" x14ac:dyDescent="0.25">
      <c r="A39">
        <v>3010</v>
      </c>
    </row>
    <row r="40" spans="1:1" x14ac:dyDescent="0.25">
      <c r="A40">
        <v>3010</v>
      </c>
    </row>
    <row r="41" spans="1:1" x14ac:dyDescent="0.25">
      <c r="A41">
        <v>3010</v>
      </c>
    </row>
    <row r="42" spans="1:1" x14ac:dyDescent="0.25">
      <c r="A42">
        <v>4020</v>
      </c>
    </row>
    <row r="43" spans="1:1" x14ac:dyDescent="0.25">
      <c r="A43">
        <v>4510</v>
      </c>
    </row>
    <row r="44" spans="1:1" x14ac:dyDescent="0.25">
      <c r="A44">
        <v>3010</v>
      </c>
    </row>
    <row r="45" spans="1:1" x14ac:dyDescent="0.25">
      <c r="A45">
        <v>2010</v>
      </c>
    </row>
    <row r="46" spans="1:1" x14ac:dyDescent="0.25">
      <c r="A46">
        <v>3010</v>
      </c>
    </row>
    <row r="47" spans="1:1" x14ac:dyDescent="0.25">
      <c r="A47">
        <v>3010</v>
      </c>
    </row>
    <row r="48" spans="1:1" x14ac:dyDescent="0.25">
      <c r="A48">
        <v>1010</v>
      </c>
    </row>
    <row r="49" spans="1:1" x14ac:dyDescent="0.25">
      <c r="A49">
        <v>4520</v>
      </c>
    </row>
    <row r="50" spans="1:1" x14ac:dyDescent="0.25">
      <c r="A50">
        <v>5010</v>
      </c>
    </row>
    <row r="51" spans="1:1" x14ac:dyDescent="0.25">
      <c r="A51">
        <v>4020</v>
      </c>
    </row>
    <row r="52" spans="1:1" x14ac:dyDescent="0.25">
      <c r="A52">
        <v>4020</v>
      </c>
    </row>
    <row r="53" spans="1:1" x14ac:dyDescent="0.25">
      <c r="A53">
        <v>2010</v>
      </c>
    </row>
    <row r="54" spans="1:1" x14ac:dyDescent="0.25">
      <c r="A54">
        <v>4010</v>
      </c>
    </row>
    <row r="55" spans="1:1" x14ac:dyDescent="0.25">
      <c r="A55">
        <v>3010</v>
      </c>
    </row>
    <row r="56" spans="1:1" x14ac:dyDescent="0.25">
      <c r="A56">
        <v>5510</v>
      </c>
    </row>
    <row r="57" spans="1:1" x14ac:dyDescent="0.25">
      <c r="A57">
        <v>3010</v>
      </c>
    </row>
    <row r="58" spans="1:1" x14ac:dyDescent="0.25">
      <c r="A58">
        <v>3010</v>
      </c>
    </row>
    <row r="59" spans="1:1" x14ac:dyDescent="0.25">
      <c r="A59">
        <v>3510</v>
      </c>
    </row>
    <row r="60" spans="1:1" x14ac:dyDescent="0.25">
      <c r="A60">
        <v>4020</v>
      </c>
    </row>
    <row r="61" spans="1:1" x14ac:dyDescent="0.25">
      <c r="A61">
        <v>1510</v>
      </c>
    </row>
    <row r="62" spans="1:1" x14ac:dyDescent="0.25">
      <c r="A62">
        <v>5020</v>
      </c>
    </row>
    <row r="63" spans="1:1" x14ac:dyDescent="0.25">
      <c r="A63">
        <v>4020</v>
      </c>
    </row>
    <row r="64" spans="1:1" x14ac:dyDescent="0.25">
      <c r="A64">
        <v>3020</v>
      </c>
    </row>
    <row r="65" spans="1:1" x14ac:dyDescent="0.25">
      <c r="A65">
        <v>3010</v>
      </c>
    </row>
    <row r="66" spans="1:1" x14ac:dyDescent="0.25">
      <c r="A66">
        <v>4510</v>
      </c>
    </row>
    <row r="67" spans="1:1" x14ac:dyDescent="0.25">
      <c r="A67">
        <v>4510</v>
      </c>
    </row>
    <row r="68" spans="1:1" x14ac:dyDescent="0.25">
      <c r="A68">
        <v>3510</v>
      </c>
    </row>
    <row r="69" spans="1:1" x14ac:dyDescent="0.25">
      <c r="A69">
        <v>1510</v>
      </c>
    </row>
    <row r="70" spans="1:1" x14ac:dyDescent="0.25">
      <c r="A70">
        <v>3010</v>
      </c>
    </row>
    <row r="71" spans="1:1" x14ac:dyDescent="0.25">
      <c r="A71">
        <v>4510</v>
      </c>
    </row>
    <row r="72" spans="1:1" x14ac:dyDescent="0.25">
      <c r="A72">
        <v>2010</v>
      </c>
    </row>
    <row r="73" spans="1:1" x14ac:dyDescent="0.25">
      <c r="A73">
        <v>3010</v>
      </c>
    </row>
    <row r="74" spans="1:1" x14ac:dyDescent="0.25">
      <c r="A74">
        <v>4020</v>
      </c>
    </row>
    <row r="75" spans="1:1" x14ac:dyDescent="0.25">
      <c r="A75">
        <v>4010</v>
      </c>
    </row>
    <row r="76" spans="1:1" x14ac:dyDescent="0.25">
      <c r="A76">
        <v>2010</v>
      </c>
    </row>
    <row r="77" spans="1:1" x14ac:dyDescent="0.25">
      <c r="A77">
        <v>5520</v>
      </c>
    </row>
    <row r="78" spans="1:1" x14ac:dyDescent="0.25">
      <c r="A78">
        <v>4510</v>
      </c>
    </row>
    <row r="79" spans="1:1" x14ac:dyDescent="0.25">
      <c r="A79">
        <v>3010</v>
      </c>
    </row>
    <row r="80" spans="1:1" x14ac:dyDescent="0.25">
      <c r="A80">
        <v>5520</v>
      </c>
    </row>
    <row r="81" spans="1:1" x14ac:dyDescent="0.25">
      <c r="A81">
        <v>3020</v>
      </c>
    </row>
    <row r="82" spans="1:1" x14ac:dyDescent="0.25">
      <c r="A82">
        <v>5020</v>
      </c>
    </row>
    <row r="83" spans="1:1" x14ac:dyDescent="0.25">
      <c r="A83">
        <v>4510</v>
      </c>
    </row>
    <row r="84" spans="1:1" x14ac:dyDescent="0.25">
      <c r="A84">
        <v>3010</v>
      </c>
    </row>
    <row r="85" spans="1:1" x14ac:dyDescent="0.25">
      <c r="A85">
        <v>1010</v>
      </c>
    </row>
    <row r="86" spans="1:1" x14ac:dyDescent="0.25">
      <c r="A86">
        <v>2010</v>
      </c>
    </row>
    <row r="87" spans="1:1" x14ac:dyDescent="0.25">
      <c r="A87">
        <v>3010</v>
      </c>
    </row>
    <row r="88" spans="1:1" x14ac:dyDescent="0.25">
      <c r="A88">
        <v>3020</v>
      </c>
    </row>
    <row r="89" spans="1:1" x14ac:dyDescent="0.25">
      <c r="A89">
        <v>5020</v>
      </c>
    </row>
    <row r="90" spans="1:1" x14ac:dyDescent="0.25">
      <c r="A90">
        <v>1510</v>
      </c>
    </row>
    <row r="91" spans="1:1" x14ac:dyDescent="0.25">
      <c r="A91">
        <v>4510</v>
      </c>
    </row>
    <row r="92" spans="1:1" x14ac:dyDescent="0.25">
      <c r="A92">
        <v>3030</v>
      </c>
    </row>
    <row r="93" spans="1:1" x14ac:dyDescent="0.25">
      <c r="A93">
        <v>3010</v>
      </c>
    </row>
    <row r="94" spans="1:1" x14ac:dyDescent="0.25">
      <c r="A94">
        <v>4510</v>
      </c>
    </row>
    <row r="95" spans="1:1" x14ac:dyDescent="0.25">
      <c r="A95">
        <v>5020</v>
      </c>
    </row>
    <row r="96" spans="1:1" x14ac:dyDescent="0.25">
      <c r="A96">
        <v>4050</v>
      </c>
    </row>
    <row r="97" spans="1:1" x14ac:dyDescent="0.25">
      <c r="A97">
        <v>5020</v>
      </c>
    </row>
    <row r="98" spans="1:1" x14ac:dyDescent="0.25">
      <c r="A98">
        <v>5020</v>
      </c>
    </row>
    <row r="99" spans="1:1" x14ac:dyDescent="0.25">
      <c r="A99">
        <v>1510</v>
      </c>
    </row>
    <row r="100" spans="1:1" x14ac:dyDescent="0.25">
      <c r="A100">
        <v>4050</v>
      </c>
    </row>
    <row r="101" spans="1:1" x14ac:dyDescent="0.25">
      <c r="A101">
        <v>3020</v>
      </c>
    </row>
    <row r="102" spans="1:1" x14ac:dyDescent="0.25">
      <c r="A102">
        <v>1510</v>
      </c>
    </row>
    <row r="103" spans="1:1" x14ac:dyDescent="0.25">
      <c r="A103">
        <v>3010</v>
      </c>
    </row>
    <row r="104" spans="1:1" x14ac:dyDescent="0.25">
      <c r="A104">
        <v>2010</v>
      </c>
    </row>
    <row r="105" spans="1:1" x14ac:dyDescent="0.25">
      <c r="A105">
        <v>4520</v>
      </c>
    </row>
    <row r="106" spans="1:1" x14ac:dyDescent="0.25">
      <c r="A106">
        <v>3020</v>
      </c>
    </row>
    <row r="107" spans="1:1" x14ac:dyDescent="0.25">
      <c r="A107">
        <v>2010</v>
      </c>
    </row>
    <row r="108" spans="1:1" x14ac:dyDescent="0.25">
      <c r="A108">
        <v>3020</v>
      </c>
    </row>
    <row r="109" spans="1:1" x14ac:dyDescent="0.25">
      <c r="A109">
        <v>4050</v>
      </c>
    </row>
    <row r="110" spans="1:1" x14ac:dyDescent="0.25">
      <c r="A110">
        <v>5020</v>
      </c>
    </row>
    <row r="111" spans="1:1" x14ac:dyDescent="0.25">
      <c r="A111">
        <v>4050</v>
      </c>
    </row>
    <row r="112" spans="1:1" x14ac:dyDescent="0.25">
      <c r="A112">
        <v>4010</v>
      </c>
    </row>
    <row r="113" spans="1:1" x14ac:dyDescent="0.25">
      <c r="A113">
        <v>3010</v>
      </c>
    </row>
    <row r="114" spans="1:1" x14ac:dyDescent="0.25">
      <c r="A114">
        <v>5020</v>
      </c>
    </row>
    <row r="115" spans="1:1" x14ac:dyDescent="0.25">
      <c r="A115">
        <v>2010</v>
      </c>
    </row>
    <row r="116" spans="1:1" x14ac:dyDescent="0.25">
      <c r="A116">
        <v>2010</v>
      </c>
    </row>
    <row r="117" spans="1:1" x14ac:dyDescent="0.25">
      <c r="A117">
        <v>4520</v>
      </c>
    </row>
    <row r="118" spans="1:1" x14ac:dyDescent="0.25">
      <c r="A118">
        <v>3020</v>
      </c>
    </row>
    <row r="119" spans="1:1" x14ac:dyDescent="0.25">
      <c r="A119">
        <v>5020</v>
      </c>
    </row>
    <row r="120" spans="1:1" x14ac:dyDescent="0.25">
      <c r="A120">
        <v>5010</v>
      </c>
    </row>
    <row r="121" spans="1:1" x14ac:dyDescent="0.25">
      <c r="A121">
        <v>3510</v>
      </c>
    </row>
    <row r="122" spans="1:1" x14ac:dyDescent="0.25">
      <c r="A122">
        <v>3030</v>
      </c>
    </row>
    <row r="123" spans="1:1" x14ac:dyDescent="0.25">
      <c r="A123">
        <v>2010</v>
      </c>
    </row>
    <row r="124" spans="1:1" x14ac:dyDescent="0.25">
      <c r="A124">
        <v>2010</v>
      </c>
    </row>
    <row r="125" spans="1:1" x14ac:dyDescent="0.25">
      <c r="A125">
        <v>5520</v>
      </c>
    </row>
    <row r="126" spans="1:1" x14ac:dyDescent="0.25">
      <c r="A126">
        <v>3030</v>
      </c>
    </row>
    <row r="127" spans="1:1" x14ac:dyDescent="0.25">
      <c r="A127">
        <v>2010</v>
      </c>
    </row>
    <row r="128" spans="1:1" x14ac:dyDescent="0.25">
      <c r="A128">
        <v>2010</v>
      </c>
    </row>
    <row r="129" spans="1:1" x14ac:dyDescent="0.25">
      <c r="A129">
        <v>3030</v>
      </c>
    </row>
    <row r="130" spans="1:1" x14ac:dyDescent="0.25">
      <c r="A130">
        <v>4510</v>
      </c>
    </row>
    <row r="131" spans="1:1" x14ac:dyDescent="0.25">
      <c r="A131">
        <v>4020</v>
      </c>
    </row>
    <row r="132" spans="1:1" x14ac:dyDescent="0.25">
      <c r="A132">
        <v>4040</v>
      </c>
    </row>
    <row r="133" spans="1:1" x14ac:dyDescent="0.25">
      <c r="A133">
        <v>4020</v>
      </c>
    </row>
    <row r="134" spans="1:1" x14ac:dyDescent="0.25">
      <c r="A134">
        <v>1010</v>
      </c>
    </row>
    <row r="135" spans="1:1" x14ac:dyDescent="0.25">
      <c r="A135">
        <v>2010</v>
      </c>
    </row>
    <row r="136" spans="1:1" x14ac:dyDescent="0.25">
      <c r="A136">
        <v>3010</v>
      </c>
    </row>
    <row r="137" spans="1:1" x14ac:dyDescent="0.25">
      <c r="A137">
        <v>5020</v>
      </c>
    </row>
    <row r="138" spans="1:1" x14ac:dyDescent="0.25">
      <c r="A138">
        <v>5520</v>
      </c>
    </row>
    <row r="139" spans="1:1" x14ac:dyDescent="0.25">
      <c r="A139">
        <v>4040</v>
      </c>
    </row>
    <row r="140" spans="1:1" x14ac:dyDescent="0.25">
      <c r="A140">
        <v>5020</v>
      </c>
    </row>
    <row r="141" spans="1:1" x14ac:dyDescent="0.25">
      <c r="A141">
        <v>1010</v>
      </c>
    </row>
    <row r="142" spans="1:1" x14ac:dyDescent="0.25">
      <c r="A142">
        <v>4030</v>
      </c>
    </row>
    <row r="143" spans="1:1" x14ac:dyDescent="0.25">
      <c r="A143">
        <v>3010</v>
      </c>
    </row>
    <row r="144" spans="1:1" x14ac:dyDescent="0.25">
      <c r="A144">
        <v>5020</v>
      </c>
    </row>
    <row r="145" spans="1:1" x14ac:dyDescent="0.25">
      <c r="A145">
        <v>4050</v>
      </c>
    </row>
    <row r="146" spans="1:1" x14ac:dyDescent="0.25">
      <c r="A146">
        <v>3020</v>
      </c>
    </row>
    <row r="147" spans="1:1" x14ac:dyDescent="0.25">
      <c r="A147">
        <v>3010</v>
      </c>
    </row>
    <row r="148" spans="1:1" x14ac:dyDescent="0.25">
      <c r="A148">
        <v>4050</v>
      </c>
    </row>
    <row r="149" spans="1:1" x14ac:dyDescent="0.25">
      <c r="A149">
        <v>3010</v>
      </c>
    </row>
    <row r="150" spans="1:1" x14ac:dyDescent="0.25">
      <c r="A150">
        <v>3020</v>
      </c>
    </row>
    <row r="151" spans="1:1" x14ac:dyDescent="0.25">
      <c r="A151">
        <v>1510</v>
      </c>
    </row>
    <row r="152" spans="1:1" x14ac:dyDescent="0.25">
      <c r="A152">
        <v>2010</v>
      </c>
    </row>
    <row r="153" spans="1:1" x14ac:dyDescent="0.25">
      <c r="A153">
        <v>5020</v>
      </c>
    </row>
    <row r="154" spans="1:1" x14ac:dyDescent="0.25">
      <c r="A154">
        <v>4030</v>
      </c>
    </row>
    <row r="155" spans="1:1" x14ac:dyDescent="0.25">
      <c r="A155">
        <v>4520</v>
      </c>
    </row>
    <row r="156" spans="1:1" x14ac:dyDescent="0.25">
      <c r="A156">
        <v>3020</v>
      </c>
    </row>
    <row r="157" spans="1:1" x14ac:dyDescent="0.25">
      <c r="A157">
        <v>3010</v>
      </c>
    </row>
    <row r="158" spans="1:1" x14ac:dyDescent="0.25">
      <c r="A158">
        <v>3010</v>
      </c>
    </row>
    <row r="159" spans="1:1" x14ac:dyDescent="0.25">
      <c r="A159">
        <v>4020</v>
      </c>
    </row>
    <row r="160" spans="1:1" x14ac:dyDescent="0.25">
      <c r="A160">
        <v>4510</v>
      </c>
    </row>
    <row r="161" spans="1:1" x14ac:dyDescent="0.25">
      <c r="A161">
        <v>4520</v>
      </c>
    </row>
    <row r="162" spans="1:1" x14ac:dyDescent="0.25">
      <c r="A162">
        <v>4040</v>
      </c>
    </row>
    <row r="163" spans="1:1" x14ac:dyDescent="0.25">
      <c r="A163">
        <v>5010</v>
      </c>
    </row>
    <row r="164" spans="1:1" x14ac:dyDescent="0.25">
      <c r="A164">
        <v>3510</v>
      </c>
    </row>
    <row r="165" spans="1:1" x14ac:dyDescent="0.25">
      <c r="A165">
        <v>5020</v>
      </c>
    </row>
    <row r="166" spans="1:1" x14ac:dyDescent="0.25">
      <c r="A166">
        <v>5020</v>
      </c>
    </row>
    <row r="167" spans="1:1" x14ac:dyDescent="0.25">
      <c r="A167">
        <v>1510</v>
      </c>
    </row>
    <row r="168" spans="1:1" x14ac:dyDescent="0.25">
      <c r="A168">
        <v>3510</v>
      </c>
    </row>
    <row r="169" spans="1:1" x14ac:dyDescent="0.25">
      <c r="A169">
        <v>3510</v>
      </c>
    </row>
    <row r="170" spans="1:1" x14ac:dyDescent="0.25">
      <c r="A170">
        <v>3030</v>
      </c>
    </row>
    <row r="171" spans="1:1" x14ac:dyDescent="0.25">
      <c r="A171">
        <v>5020</v>
      </c>
    </row>
    <row r="172" spans="1:1" x14ac:dyDescent="0.25">
      <c r="A172">
        <v>5020</v>
      </c>
    </row>
    <row r="173" spans="1:1" x14ac:dyDescent="0.25">
      <c r="A173">
        <v>4510</v>
      </c>
    </row>
    <row r="174" spans="1:1" x14ac:dyDescent="0.25">
      <c r="A174">
        <v>3010</v>
      </c>
    </row>
    <row r="175" spans="1:1" x14ac:dyDescent="0.25">
      <c r="A175">
        <v>1010</v>
      </c>
    </row>
    <row r="176" spans="1:1" x14ac:dyDescent="0.25">
      <c r="A176">
        <v>3020</v>
      </c>
    </row>
    <row r="177" spans="1:1" x14ac:dyDescent="0.25">
      <c r="A177">
        <v>4020</v>
      </c>
    </row>
    <row r="178" spans="1:1" x14ac:dyDescent="0.25">
      <c r="A178">
        <v>4050</v>
      </c>
    </row>
    <row r="179" spans="1:1" x14ac:dyDescent="0.25">
      <c r="A179">
        <v>4020</v>
      </c>
    </row>
    <row r="180" spans="1:1" x14ac:dyDescent="0.25">
      <c r="A180">
        <v>3020</v>
      </c>
    </row>
    <row r="181" spans="1:1" x14ac:dyDescent="0.25">
      <c r="A181">
        <v>3020</v>
      </c>
    </row>
    <row r="182" spans="1:1" x14ac:dyDescent="0.25">
      <c r="A182">
        <v>4520</v>
      </c>
    </row>
    <row r="183" spans="1:1" x14ac:dyDescent="0.25">
      <c r="A183">
        <v>3020</v>
      </c>
    </row>
    <row r="184" spans="1:1" x14ac:dyDescent="0.25">
      <c r="A184">
        <v>4010</v>
      </c>
    </row>
    <row r="185" spans="1:1" x14ac:dyDescent="0.25">
      <c r="A185">
        <v>2010</v>
      </c>
    </row>
    <row r="186" spans="1:1" x14ac:dyDescent="0.25">
      <c r="A186">
        <v>3510</v>
      </c>
    </row>
    <row r="187" spans="1:1" x14ac:dyDescent="0.25">
      <c r="A187">
        <v>5020</v>
      </c>
    </row>
    <row r="188" spans="1:1" x14ac:dyDescent="0.25">
      <c r="A188">
        <v>4020</v>
      </c>
    </row>
    <row r="189" spans="1:1" x14ac:dyDescent="0.25">
      <c r="A189">
        <v>5020</v>
      </c>
    </row>
    <row r="190" spans="1:1" x14ac:dyDescent="0.25">
      <c r="A190">
        <v>4510</v>
      </c>
    </row>
    <row r="191" spans="1:1" x14ac:dyDescent="0.25">
      <c r="A191">
        <v>3030</v>
      </c>
    </row>
    <row r="192" spans="1:1" x14ac:dyDescent="0.25">
      <c r="A192">
        <v>1010</v>
      </c>
    </row>
    <row r="193" spans="1:1" x14ac:dyDescent="0.25">
      <c r="A193">
        <v>3010</v>
      </c>
    </row>
    <row r="194" spans="1:1" x14ac:dyDescent="0.25">
      <c r="A194">
        <v>4510</v>
      </c>
    </row>
    <row r="195" spans="1:1" x14ac:dyDescent="0.25">
      <c r="A195">
        <v>4040</v>
      </c>
    </row>
    <row r="196" spans="1:1" x14ac:dyDescent="0.25">
      <c r="A196">
        <v>5010</v>
      </c>
    </row>
    <row r="197" spans="1:1" x14ac:dyDescent="0.25">
      <c r="A197">
        <v>3030</v>
      </c>
    </row>
    <row r="198" spans="1:1" x14ac:dyDescent="0.25">
      <c r="A198">
        <v>1510</v>
      </c>
    </row>
    <row r="199" spans="1:1" x14ac:dyDescent="0.25">
      <c r="A199">
        <v>3010</v>
      </c>
    </row>
    <row r="200" spans="1:1" x14ac:dyDescent="0.25">
      <c r="A200">
        <v>3020</v>
      </c>
    </row>
    <row r="201" spans="1:1" x14ac:dyDescent="0.25">
      <c r="A201">
        <v>5510</v>
      </c>
    </row>
    <row r="202" spans="1:1" x14ac:dyDescent="0.25">
      <c r="A202">
        <v>2010</v>
      </c>
    </row>
    <row r="203" spans="1:1" x14ac:dyDescent="0.25">
      <c r="A203">
        <v>2010</v>
      </c>
    </row>
    <row r="204" spans="1:1" x14ac:dyDescent="0.25">
      <c r="A204">
        <v>2010</v>
      </c>
    </row>
    <row r="205" spans="1:1" x14ac:dyDescent="0.25">
      <c r="A205">
        <v>1510</v>
      </c>
    </row>
    <row r="206" spans="1:1" x14ac:dyDescent="0.25">
      <c r="A206">
        <v>2010</v>
      </c>
    </row>
    <row r="207" spans="1:1" x14ac:dyDescent="0.25">
      <c r="A207">
        <v>4510</v>
      </c>
    </row>
    <row r="208" spans="1:1" x14ac:dyDescent="0.25">
      <c r="A208">
        <v>4020</v>
      </c>
    </row>
    <row r="209" spans="1:1" x14ac:dyDescent="0.25">
      <c r="A209">
        <v>4030</v>
      </c>
    </row>
    <row r="210" spans="1:1" x14ac:dyDescent="0.25">
      <c r="A210">
        <v>4510</v>
      </c>
    </row>
    <row r="211" spans="1:1" x14ac:dyDescent="0.25">
      <c r="A211">
        <v>4020</v>
      </c>
    </row>
    <row r="212" spans="1:1" x14ac:dyDescent="0.25">
      <c r="A212">
        <v>2010</v>
      </c>
    </row>
    <row r="213" spans="1:1" x14ac:dyDescent="0.25">
      <c r="A213">
        <v>3030</v>
      </c>
    </row>
    <row r="214" spans="1:1" x14ac:dyDescent="0.25">
      <c r="A214">
        <v>4010</v>
      </c>
    </row>
    <row r="215" spans="1:1" x14ac:dyDescent="0.25">
      <c r="A215">
        <v>3020</v>
      </c>
    </row>
    <row r="216" spans="1:1" x14ac:dyDescent="0.25">
      <c r="A216">
        <v>1010</v>
      </c>
    </row>
    <row r="217" spans="1:1" x14ac:dyDescent="0.25">
      <c r="A217">
        <v>3030</v>
      </c>
    </row>
    <row r="218" spans="1:1" x14ac:dyDescent="0.25">
      <c r="A218">
        <v>4030</v>
      </c>
    </row>
    <row r="219" spans="1:1" x14ac:dyDescent="0.25">
      <c r="A219">
        <v>4020</v>
      </c>
    </row>
    <row r="220" spans="1:1" x14ac:dyDescent="0.25">
      <c r="A220">
        <v>2010</v>
      </c>
    </row>
    <row r="221" spans="1:1" x14ac:dyDescent="0.25">
      <c r="A221">
        <v>3010</v>
      </c>
    </row>
    <row r="222" spans="1:1" x14ac:dyDescent="0.25">
      <c r="A222">
        <v>5020</v>
      </c>
    </row>
    <row r="223" spans="1:1" x14ac:dyDescent="0.25">
      <c r="A223">
        <v>4520</v>
      </c>
    </row>
    <row r="224" spans="1:1" x14ac:dyDescent="0.25">
      <c r="A224">
        <v>2010</v>
      </c>
    </row>
    <row r="225" spans="1:1" x14ac:dyDescent="0.25">
      <c r="A225">
        <v>6510</v>
      </c>
    </row>
    <row r="226" spans="1:1" x14ac:dyDescent="0.25">
      <c r="A226">
        <v>4030</v>
      </c>
    </row>
    <row r="227" spans="1:1" x14ac:dyDescent="0.25">
      <c r="A227">
        <v>5020</v>
      </c>
    </row>
    <row r="228" spans="1:1" x14ac:dyDescent="0.25">
      <c r="A228">
        <v>5020</v>
      </c>
    </row>
    <row r="229" spans="1:1" x14ac:dyDescent="0.25">
      <c r="A229">
        <v>3510</v>
      </c>
    </row>
    <row r="230" spans="1:1" x14ac:dyDescent="0.25">
      <c r="A230">
        <v>3010</v>
      </c>
    </row>
    <row r="231" spans="1:1" x14ac:dyDescent="0.25">
      <c r="A231">
        <v>2010</v>
      </c>
    </row>
    <row r="232" spans="1:1" x14ac:dyDescent="0.25">
      <c r="A232">
        <v>5010</v>
      </c>
    </row>
    <row r="233" spans="1:1" x14ac:dyDescent="0.25">
      <c r="A233">
        <v>4510</v>
      </c>
    </row>
    <row r="234" spans="1:1" x14ac:dyDescent="0.25">
      <c r="A234">
        <v>4050</v>
      </c>
    </row>
    <row r="235" spans="1:1" x14ac:dyDescent="0.25">
      <c r="A235">
        <v>1010</v>
      </c>
    </row>
    <row r="236" spans="1:1" x14ac:dyDescent="0.25">
      <c r="A236">
        <v>4510</v>
      </c>
    </row>
    <row r="237" spans="1:1" x14ac:dyDescent="0.25">
      <c r="A237">
        <v>3030</v>
      </c>
    </row>
    <row r="238" spans="1:1" x14ac:dyDescent="0.25">
      <c r="A238">
        <v>2010</v>
      </c>
    </row>
    <row r="239" spans="1:1" x14ac:dyDescent="0.25">
      <c r="A239">
        <v>2010</v>
      </c>
    </row>
    <row r="240" spans="1:1" x14ac:dyDescent="0.25">
      <c r="A240">
        <v>1010</v>
      </c>
    </row>
    <row r="241" spans="1:1" x14ac:dyDescent="0.25">
      <c r="A241">
        <v>2010</v>
      </c>
    </row>
    <row r="242" spans="1:1" x14ac:dyDescent="0.25">
      <c r="A242">
        <v>2010</v>
      </c>
    </row>
    <row r="243" spans="1:1" x14ac:dyDescent="0.25">
      <c r="A243">
        <v>5020</v>
      </c>
    </row>
    <row r="244" spans="1:1" x14ac:dyDescent="0.25">
      <c r="A244">
        <v>3030</v>
      </c>
    </row>
    <row r="245" spans="1:1" x14ac:dyDescent="0.25">
      <c r="A245">
        <v>1010</v>
      </c>
    </row>
    <row r="246" spans="1:1" x14ac:dyDescent="0.25">
      <c r="A246">
        <v>2010</v>
      </c>
    </row>
    <row r="247" spans="1:1" x14ac:dyDescent="0.25">
      <c r="A247">
        <v>5020</v>
      </c>
    </row>
    <row r="248" spans="1:1" x14ac:dyDescent="0.25">
      <c r="A248">
        <v>3510</v>
      </c>
    </row>
    <row r="249" spans="1:1" x14ac:dyDescent="0.25">
      <c r="A249">
        <v>6510</v>
      </c>
    </row>
    <row r="250" spans="1:1" x14ac:dyDescent="0.25">
      <c r="A250">
        <v>5020</v>
      </c>
    </row>
    <row r="251" spans="1:1" x14ac:dyDescent="0.25">
      <c r="A251">
        <v>2010</v>
      </c>
    </row>
    <row r="252" spans="1:1" x14ac:dyDescent="0.25">
      <c r="A252">
        <v>2010</v>
      </c>
    </row>
    <row r="253" spans="1:1" x14ac:dyDescent="0.25">
      <c r="A253">
        <v>5020</v>
      </c>
    </row>
    <row r="254" spans="1:1" x14ac:dyDescent="0.25">
      <c r="A254">
        <v>5010</v>
      </c>
    </row>
    <row r="255" spans="1:1" x14ac:dyDescent="0.25">
      <c r="A255">
        <v>3010</v>
      </c>
    </row>
    <row r="256" spans="1:1" x14ac:dyDescent="0.25">
      <c r="A256">
        <v>2010</v>
      </c>
    </row>
    <row r="257" spans="1:1" x14ac:dyDescent="0.25">
      <c r="A257">
        <v>3010</v>
      </c>
    </row>
    <row r="258" spans="1:1" x14ac:dyDescent="0.25">
      <c r="A258">
        <v>3020</v>
      </c>
    </row>
    <row r="259" spans="1:1" x14ac:dyDescent="0.25">
      <c r="A259">
        <v>2010</v>
      </c>
    </row>
    <row r="260" spans="1:1" x14ac:dyDescent="0.25">
      <c r="A260">
        <v>3010</v>
      </c>
    </row>
    <row r="261" spans="1:1" x14ac:dyDescent="0.25">
      <c r="A261">
        <v>5020</v>
      </c>
    </row>
    <row r="262" spans="1:1" x14ac:dyDescent="0.25">
      <c r="A262">
        <v>3020</v>
      </c>
    </row>
    <row r="263" spans="1:1" x14ac:dyDescent="0.25">
      <c r="A263">
        <v>3010</v>
      </c>
    </row>
    <row r="264" spans="1:1" x14ac:dyDescent="0.25">
      <c r="A264">
        <v>4010</v>
      </c>
    </row>
    <row r="265" spans="1:1" x14ac:dyDescent="0.25">
      <c r="A265">
        <v>1010</v>
      </c>
    </row>
    <row r="266" spans="1:1" x14ac:dyDescent="0.25">
      <c r="A266">
        <v>5510</v>
      </c>
    </row>
    <row r="267" spans="1:1" x14ac:dyDescent="0.25">
      <c r="A267">
        <v>3030</v>
      </c>
    </row>
    <row r="268" spans="1:1" x14ac:dyDescent="0.25">
      <c r="A268">
        <v>2010</v>
      </c>
    </row>
    <row r="269" spans="1:1" x14ac:dyDescent="0.25">
      <c r="A269">
        <v>1510</v>
      </c>
    </row>
    <row r="270" spans="1:1" x14ac:dyDescent="0.25">
      <c r="A270">
        <v>5510</v>
      </c>
    </row>
    <row r="271" spans="1:1" x14ac:dyDescent="0.25">
      <c r="A271">
        <v>3010</v>
      </c>
    </row>
    <row r="272" spans="1:1" x14ac:dyDescent="0.25">
      <c r="A272">
        <v>3010</v>
      </c>
    </row>
    <row r="273" spans="1:1" x14ac:dyDescent="0.25">
      <c r="A273">
        <v>2010</v>
      </c>
    </row>
    <row r="274" spans="1:1" x14ac:dyDescent="0.25">
      <c r="A274">
        <v>3030</v>
      </c>
    </row>
    <row r="275" spans="1:1" x14ac:dyDescent="0.25">
      <c r="A275">
        <v>3510</v>
      </c>
    </row>
    <row r="276" spans="1:1" x14ac:dyDescent="0.25">
      <c r="A276">
        <v>3030</v>
      </c>
    </row>
    <row r="277" spans="1:1" x14ac:dyDescent="0.25">
      <c r="A277">
        <v>1510</v>
      </c>
    </row>
    <row r="278" spans="1:1" x14ac:dyDescent="0.25">
      <c r="A278">
        <v>3010</v>
      </c>
    </row>
    <row r="279" spans="1:1" x14ac:dyDescent="0.25">
      <c r="A279">
        <v>5520</v>
      </c>
    </row>
    <row r="280" spans="1:1" x14ac:dyDescent="0.25">
      <c r="A280">
        <v>3030</v>
      </c>
    </row>
    <row r="281" spans="1:1" x14ac:dyDescent="0.25">
      <c r="A281">
        <v>4020</v>
      </c>
    </row>
    <row r="282" spans="1:1" x14ac:dyDescent="0.25">
      <c r="A282">
        <v>1510</v>
      </c>
    </row>
    <row r="283" spans="1:1" x14ac:dyDescent="0.25">
      <c r="A283">
        <v>1510</v>
      </c>
    </row>
    <row r="284" spans="1:1" x14ac:dyDescent="0.25">
      <c r="A284">
        <v>1510</v>
      </c>
    </row>
    <row r="285" spans="1:1" x14ac:dyDescent="0.25">
      <c r="A285">
        <v>1510</v>
      </c>
    </row>
    <row r="286" spans="1:1" x14ac:dyDescent="0.25">
      <c r="A286">
        <v>5020</v>
      </c>
    </row>
    <row r="287" spans="1:1" x14ac:dyDescent="0.25">
      <c r="A287">
        <v>1510</v>
      </c>
    </row>
    <row r="288" spans="1:1" x14ac:dyDescent="0.25">
      <c r="A288">
        <v>1010</v>
      </c>
    </row>
    <row r="289" spans="1:1" x14ac:dyDescent="0.25">
      <c r="A289">
        <v>6510</v>
      </c>
    </row>
    <row r="290" spans="1:1" x14ac:dyDescent="0.25">
      <c r="A290">
        <v>4020</v>
      </c>
    </row>
    <row r="291" spans="1:1" x14ac:dyDescent="0.25">
      <c r="A291">
        <v>3510</v>
      </c>
    </row>
    <row r="292" spans="1:1" x14ac:dyDescent="0.25">
      <c r="A292">
        <v>3030</v>
      </c>
    </row>
    <row r="293" spans="1:1" x14ac:dyDescent="0.25">
      <c r="A293">
        <v>4050</v>
      </c>
    </row>
    <row r="294" spans="1:1" x14ac:dyDescent="0.25">
      <c r="A294">
        <v>3020</v>
      </c>
    </row>
    <row r="295" spans="1:1" x14ac:dyDescent="0.25">
      <c r="A295">
        <v>2010</v>
      </c>
    </row>
    <row r="296" spans="1:1" x14ac:dyDescent="0.25">
      <c r="A296">
        <v>4030</v>
      </c>
    </row>
    <row r="297" spans="1:1" x14ac:dyDescent="0.25">
      <c r="A297">
        <v>3510</v>
      </c>
    </row>
    <row r="298" spans="1:1" x14ac:dyDescent="0.25">
      <c r="A298">
        <v>3010</v>
      </c>
    </row>
    <row r="299" spans="1:1" x14ac:dyDescent="0.25">
      <c r="A299">
        <v>4520</v>
      </c>
    </row>
    <row r="300" spans="1:1" x14ac:dyDescent="0.25">
      <c r="A300">
        <v>3030</v>
      </c>
    </row>
    <row r="301" spans="1:1" x14ac:dyDescent="0.25">
      <c r="A301">
        <v>3510</v>
      </c>
    </row>
    <row r="302" spans="1:1" x14ac:dyDescent="0.25">
      <c r="A302">
        <v>6510</v>
      </c>
    </row>
    <row r="303" spans="1:1" x14ac:dyDescent="0.25">
      <c r="A303">
        <v>5020</v>
      </c>
    </row>
    <row r="304" spans="1:1" x14ac:dyDescent="0.25">
      <c r="A304">
        <v>6010</v>
      </c>
    </row>
    <row r="305" spans="1:1" x14ac:dyDescent="0.25">
      <c r="A305">
        <v>1510</v>
      </c>
    </row>
    <row r="306" spans="1:1" x14ac:dyDescent="0.25">
      <c r="A306">
        <v>5020</v>
      </c>
    </row>
    <row r="307" spans="1:1" x14ac:dyDescent="0.25">
      <c r="A307">
        <v>3510</v>
      </c>
    </row>
    <row r="308" spans="1:1" x14ac:dyDescent="0.25">
      <c r="A308">
        <v>3510</v>
      </c>
    </row>
    <row r="309" spans="1:1" x14ac:dyDescent="0.25">
      <c r="A309">
        <v>4050</v>
      </c>
    </row>
    <row r="310" spans="1:1" x14ac:dyDescent="0.25">
      <c r="A310">
        <v>5010</v>
      </c>
    </row>
    <row r="311" spans="1:1" x14ac:dyDescent="0.25">
      <c r="A311">
        <v>4030</v>
      </c>
    </row>
    <row r="312" spans="1:1" x14ac:dyDescent="0.25">
      <c r="A312">
        <v>4030</v>
      </c>
    </row>
    <row r="313" spans="1:1" x14ac:dyDescent="0.25">
      <c r="A313">
        <v>5520</v>
      </c>
    </row>
    <row r="314" spans="1:1" x14ac:dyDescent="0.25">
      <c r="A314">
        <v>4040</v>
      </c>
    </row>
    <row r="315" spans="1:1" x14ac:dyDescent="0.25">
      <c r="A315">
        <v>2010</v>
      </c>
    </row>
    <row r="316" spans="1:1" x14ac:dyDescent="0.25">
      <c r="A316">
        <v>3030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89</v>
      </c>
      <c r="B1" s="1" t="s">
        <v>1107</v>
      </c>
      <c r="C1" s="1" t="s">
        <v>1108</v>
      </c>
    </row>
    <row r="2" spans="1:3" x14ac:dyDescent="0.25">
      <c r="A2">
        <v>1010</v>
      </c>
      <c r="B2">
        <v>14</v>
      </c>
      <c r="C2">
        <v>4</v>
      </c>
    </row>
    <row r="3" spans="1:3" x14ac:dyDescent="0.25">
      <c r="A3">
        <v>1510</v>
      </c>
      <c r="B3">
        <v>17</v>
      </c>
      <c r="C3">
        <v>5</v>
      </c>
    </row>
    <row r="4" spans="1:3" x14ac:dyDescent="0.25">
      <c r="A4">
        <v>2010</v>
      </c>
      <c r="B4">
        <v>42</v>
      </c>
      <c r="C4">
        <v>12</v>
      </c>
    </row>
    <row r="5" spans="1:3" x14ac:dyDescent="0.25">
      <c r="A5">
        <v>3010</v>
      </c>
      <c r="B5">
        <v>45</v>
      </c>
      <c r="C5">
        <v>13</v>
      </c>
    </row>
    <row r="6" spans="1:3" x14ac:dyDescent="0.25">
      <c r="A6">
        <v>3020</v>
      </c>
      <c r="B6">
        <v>22</v>
      </c>
      <c r="C6">
        <v>7</v>
      </c>
    </row>
    <row r="7" spans="1:3" x14ac:dyDescent="0.25">
      <c r="A7">
        <v>3030</v>
      </c>
      <c r="B7">
        <v>26</v>
      </c>
      <c r="C7">
        <v>8</v>
      </c>
    </row>
    <row r="8" spans="1:3" x14ac:dyDescent="0.25">
      <c r="A8">
        <v>3510</v>
      </c>
      <c r="B8">
        <v>16</v>
      </c>
      <c r="C8">
        <v>5</v>
      </c>
    </row>
    <row r="9" spans="1:3" x14ac:dyDescent="0.25">
      <c r="A9">
        <v>4010</v>
      </c>
      <c r="B9">
        <v>6</v>
      </c>
      <c r="C9">
        <v>2</v>
      </c>
    </row>
    <row r="10" spans="1:3" x14ac:dyDescent="0.25">
      <c r="A10">
        <v>4020</v>
      </c>
      <c r="B10">
        <v>18</v>
      </c>
      <c r="C10">
        <v>6</v>
      </c>
    </row>
    <row r="11" spans="1:3" x14ac:dyDescent="0.25">
      <c r="A11">
        <v>4030</v>
      </c>
      <c r="B11">
        <v>8</v>
      </c>
      <c r="C11">
        <v>3</v>
      </c>
    </row>
    <row r="12" spans="1:3" x14ac:dyDescent="0.25">
      <c r="A12">
        <v>4040</v>
      </c>
      <c r="B12">
        <v>5</v>
      </c>
      <c r="C12">
        <v>2</v>
      </c>
    </row>
    <row r="13" spans="1:3" x14ac:dyDescent="0.25">
      <c r="A13">
        <v>4050</v>
      </c>
      <c r="B13">
        <v>11</v>
      </c>
      <c r="C13">
        <v>4</v>
      </c>
    </row>
    <row r="14" spans="1:3" x14ac:dyDescent="0.25">
      <c r="A14">
        <v>4510</v>
      </c>
      <c r="B14">
        <v>19</v>
      </c>
      <c r="C14">
        <v>6</v>
      </c>
    </row>
    <row r="15" spans="1:3" x14ac:dyDescent="0.25">
      <c r="A15">
        <v>4520</v>
      </c>
      <c r="B15">
        <v>8</v>
      </c>
      <c r="C15">
        <v>3</v>
      </c>
    </row>
    <row r="16" spans="1:3" x14ac:dyDescent="0.25">
      <c r="A16">
        <v>5010</v>
      </c>
      <c r="B16">
        <v>5</v>
      </c>
      <c r="C16">
        <v>2</v>
      </c>
    </row>
    <row r="17" spans="1:3" x14ac:dyDescent="0.25">
      <c r="A17">
        <v>5020</v>
      </c>
      <c r="B17">
        <v>29</v>
      </c>
      <c r="C17">
        <v>9</v>
      </c>
    </row>
    <row r="18" spans="1:3" x14ac:dyDescent="0.25">
      <c r="A18">
        <v>5510</v>
      </c>
      <c r="B18">
        <v>4</v>
      </c>
      <c r="C18">
        <v>2</v>
      </c>
    </row>
    <row r="19" spans="1:3" x14ac:dyDescent="0.25">
      <c r="A19">
        <v>5520</v>
      </c>
      <c r="B19">
        <v>6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Companies</vt:lpstr>
      <vt:lpstr>Full Universe</vt:lpstr>
      <vt:lpstr>Sheet1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2025-04-10T16:14:19Z</dcterms:created>
  <dcterms:modified xsi:type="dcterms:W3CDTF">2025-04-10T16:58:57Z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2025-04-10T16:15:01Z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3a8ddfd3-3f35-44b7-b7b3-43cf81d8e41e</vt:lpwstr>
  </property>
  <property fmtid="{D5CDD505-2E9C-101B-9397-08002B2CF9AE}" pid="8" name="MSIP_Label_ac0b9ce6-6e99-42a1-af95-429494370cbc_ContentBits">
    <vt:lpwstr>2</vt:lpwstr>
  </property>
</Properties>
</file>