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2" documentId="11_F2BBAE8B950771AECC7D3ED5BFB3345CE686A56C" xr6:coauthVersionLast="47" xr6:coauthVersionMax="47" xr10:uidLastSave="{17FCBFF2-89AB-49C8-B0DD-C87F95A993CD}"/>
  <bookViews>
    <workbookView xWindow="-29115" yWindow="-16005" windowWidth="29040" windowHeight="1584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externalReferences>
    <externalReference r:id="rId6"/>
  </externalReferences>
  <definedNames>
    <definedName name="_xlnm._FilterDatabase" localSheetId="3" hidden="1">'Full Universe'!$A$1:$Q$41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R40" i="4"/>
  <c r="R39" i="4"/>
  <c r="R36" i="4"/>
  <c r="R35" i="4"/>
  <c r="R34" i="4"/>
  <c r="R28" i="4"/>
  <c r="R27" i="4"/>
  <c r="R26" i="4"/>
  <c r="R25" i="4"/>
  <c r="R20" i="4"/>
  <c r="R18" i="4"/>
  <c r="R15" i="4"/>
  <c r="R14" i="4"/>
  <c r="R12" i="4"/>
  <c r="R11" i="4"/>
  <c r="R10" i="4"/>
  <c r="R9" i="4"/>
  <c r="R8" i="4"/>
  <c r="R5" i="4"/>
  <c r="R2" i="4"/>
  <c r="B2" i="5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Q2" i="4"/>
</calcChain>
</file>

<file path=xl/sharedStrings.xml><?xml version="1.0" encoding="utf-8"?>
<sst xmlns="http://schemas.openxmlformats.org/spreadsheetml/2006/main" count="352" uniqueCount="107">
  <si>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</si>
  <si>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</si>
  <si>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</si>
  <si>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</si>
  <si>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</si>
  <si>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</si>
  <si>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</si>
  <si>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</si>
  <si>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</si>
  <si>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</si>
  <si>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</si>
  <si>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</si>
  <si>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</si>
  <si>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</si>
  <si>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</si>
  <si>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</si>
  <si>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</si>
  <si>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</si>
  <si>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KERING</t>
  </si>
  <si>
    <t>ORANGE</t>
  </si>
  <si>
    <t>PERNOD RICARD</t>
  </si>
  <si>
    <t>PUBLICIS GROUPE SA</t>
  </si>
  <si>
    <t>RENAULT</t>
  </si>
  <si>
    <t>STELLANTIS NV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</si>
  <si>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</si>
  <si>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</si>
  <si>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</si>
  <si>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</si>
  <si>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</si>
  <si>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</si>
  <si>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</si>
  <si>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</si>
  <si>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</si>
  <si>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</si>
  <si>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</si>
  <si>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</si>
  <si>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</si>
  <si>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</si>
  <si>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FR0000121485</t>
  </si>
  <si>
    <t>FR0000133308</t>
  </si>
  <si>
    <t>FR0000120693</t>
  </si>
  <si>
    <t>FR0000130577</t>
  </si>
  <si>
    <t>FR0000131906</t>
  </si>
  <si>
    <t>NL00150001Q9</t>
  </si>
  <si>
    <t>NL0000226223</t>
  </si>
  <si>
    <t>FR0000051807</t>
  </si>
  <si>
    <t>FR0013326246</t>
  </si>
  <si>
    <t>FR0000124141</t>
  </si>
  <si>
    <t>XPAR</t>
  </si>
  <si>
    <t>XAMS</t>
  </si>
  <si>
    <t>23-Jun-25</t>
  </si>
  <si>
    <t>EUR</t>
  </si>
  <si>
    <t>ISIN code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</si>
  <si>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</si>
  <si>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</si>
  <si>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</si>
  <si>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</si>
  <si>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</si>
  <si>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</si>
  <si>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</si>
  <si>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</si>
  <si>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L'OREAL</t>
  </si>
  <si>
    <t>LEGRAND</t>
  </si>
  <si>
    <t>LVMH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</si>
  <si>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</si>
  <si>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</si>
  <si>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</si>
  <si>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</si>
  <si>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</si>
  <si>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</si>
  <si>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</si>
  <si>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</si>
  <si>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</si>
  <si>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</si>
  <si>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</si>
  <si>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</si>
  <si>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</si>
  <si>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</si>
  <si>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</si>
  <si>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FR0000120321</t>
  </si>
  <si>
    <t>FR0010307819</t>
  </si>
  <si>
    <t>FR0000121014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</si>
  <si>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</si>
  <si>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</si>
  <si>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</si>
  <si>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</si>
  <si>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</si>
  <si>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</si>
  <si>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</si>
  <si>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</si>
  <si>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</si>
  <si>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</si>
  <si>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</si>
  <si>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</si>
  <si>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</si>
  <si>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</si>
  <si>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</si>
  <si>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</si>
  <si>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</si>
  <si>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Inclusion</t>
  </si>
  <si>
    <t>MICHELIN</t>
  </si>
  <si>
    <t>THALES</t>
  </si>
  <si>
    <t>FR001400AJ45</t>
  </si>
  <si>
    <t>FR0000121329</t>
  </si>
  <si>
    <t>NSCNL000AMT7</t>
  </si>
  <si>
    <t>Index Market Cap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</si>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</sst>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FRECP_EMS_2025-06-16_2025-06-17-05-02-52.xlsx" TargetMode="External"/><Relationship Id="rId1" Type="http://schemas.openxmlformats.org/officeDocument/2006/relationships/externalLinkPath" Target="file:///C:\Users\CSonneveld\Downloads\FRECP_EMS_2025-06-16_2025-06-17-05-02-5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D2">
            <v>2637889</v>
          </cell>
        </row>
        <row r="3">
          <cell r="D3">
            <v>4265861</v>
          </cell>
        </row>
        <row r="4">
          <cell r="D4">
            <v>3022362</v>
          </cell>
        </row>
        <row r="5">
          <cell r="D5">
            <v>3911353</v>
          </cell>
        </row>
        <row r="6">
          <cell r="D6">
            <v>755188</v>
          </cell>
        </row>
        <row r="7">
          <cell r="D7">
            <v>8847835</v>
          </cell>
        </row>
        <row r="8">
          <cell r="D8">
            <v>7140651</v>
          </cell>
        </row>
        <row r="9">
          <cell r="D9">
            <v>3581599</v>
          </cell>
        </row>
        <row r="10">
          <cell r="D10">
            <v>4508317</v>
          </cell>
        </row>
        <row r="11">
          <cell r="D11">
            <v>1870535</v>
          </cell>
        </row>
        <row r="12">
          <cell r="D12">
            <v>613131</v>
          </cell>
        </row>
        <row r="13">
          <cell r="D13">
            <v>8899902</v>
          </cell>
        </row>
        <row r="14">
          <cell r="D14">
            <v>1281686</v>
          </cell>
        </row>
        <row r="15">
          <cell r="D15">
            <v>1184763</v>
          </cell>
        </row>
        <row r="16">
          <cell r="D16">
            <v>2909188</v>
          </cell>
        </row>
        <row r="17">
          <cell r="D17">
            <v>13490633</v>
          </cell>
        </row>
        <row r="18">
          <cell r="D18">
            <v>4493137</v>
          </cell>
        </row>
        <row r="19">
          <cell r="D19">
            <v>1197016</v>
          </cell>
        </row>
        <row r="20">
          <cell r="D20">
            <v>1366288</v>
          </cell>
        </row>
        <row r="21">
          <cell r="D21">
            <v>3792352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O13" sqref="O13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28</v>
      </c>
      <c r="C2" t="s">
        <v>48</v>
      </c>
      <c r="D2">
        <v>2637889</v>
      </c>
      <c r="E2">
        <v>1</v>
      </c>
      <c r="F2">
        <v>1</v>
      </c>
      <c r="G2" t="s">
        <v>50</v>
      </c>
      <c r="H2" t="s">
        <v>51</v>
      </c>
      <c r="I2" t="b">
        <f>D2=[1]selection!D2</f>
        <v>1</v>
      </c>
    </row>
    <row r="3" spans="1:9" x14ac:dyDescent="0.25">
      <c r="A3" t="s">
        <v>9</v>
      </c>
      <c r="B3" t="s">
        <v>29</v>
      </c>
      <c r="C3" t="s">
        <v>49</v>
      </c>
      <c r="D3">
        <v>4265861</v>
      </c>
      <c r="E3">
        <v>1</v>
      </c>
      <c r="F3">
        <v>1</v>
      </c>
      <c r="G3" t="s">
        <v>50</v>
      </c>
      <c r="H3" t="s">
        <v>51</v>
      </c>
      <c r="I3" t="b">
        <f>D3=[1]selection!D3</f>
        <v>1</v>
      </c>
    </row>
    <row r="4" spans="1:9" x14ac:dyDescent="0.25">
      <c r="A4" t="s">
        <v>10</v>
      </c>
      <c r="B4" t="s">
        <v>30</v>
      </c>
      <c r="C4" t="s">
        <v>48</v>
      </c>
      <c r="D4">
        <v>3022362</v>
      </c>
      <c r="E4">
        <v>1</v>
      </c>
      <c r="F4">
        <v>1</v>
      </c>
      <c r="G4" t="s">
        <v>50</v>
      </c>
      <c r="H4" t="s">
        <v>51</v>
      </c>
      <c r="I4" t="b">
        <f>D4=[1]selection!D4</f>
        <v>1</v>
      </c>
    </row>
    <row r="5" spans="1:9" x14ac:dyDescent="0.25">
      <c r="A5" t="s">
        <v>11</v>
      </c>
      <c r="B5" t="s">
        <v>31</v>
      </c>
      <c r="C5" t="s">
        <v>48</v>
      </c>
      <c r="D5">
        <v>3911353</v>
      </c>
      <c r="E5">
        <v>1</v>
      </c>
      <c r="F5">
        <v>1</v>
      </c>
      <c r="G5" t="s">
        <v>50</v>
      </c>
      <c r="H5" t="s">
        <v>51</v>
      </c>
      <c r="I5" t="b">
        <f>D5=[1]selection!D5</f>
        <v>1</v>
      </c>
    </row>
    <row r="6" spans="1:9" x14ac:dyDescent="0.25">
      <c r="A6" t="s">
        <v>12</v>
      </c>
      <c r="B6" t="s">
        <v>32</v>
      </c>
      <c r="C6" t="s">
        <v>48</v>
      </c>
      <c r="D6">
        <v>755188</v>
      </c>
      <c r="E6">
        <v>1</v>
      </c>
      <c r="F6">
        <v>1</v>
      </c>
      <c r="G6" t="s">
        <v>50</v>
      </c>
      <c r="H6" t="s">
        <v>51</v>
      </c>
      <c r="I6" t="b">
        <f>D6=[1]selection!D6</f>
        <v>1</v>
      </c>
    </row>
    <row r="7" spans="1:9" x14ac:dyDescent="0.25">
      <c r="A7" t="s">
        <v>13</v>
      </c>
      <c r="B7" t="s">
        <v>33</v>
      </c>
      <c r="C7" t="s">
        <v>48</v>
      </c>
      <c r="D7">
        <v>8847835</v>
      </c>
      <c r="E7">
        <v>1</v>
      </c>
      <c r="F7">
        <v>1</v>
      </c>
      <c r="G7" t="s">
        <v>50</v>
      </c>
      <c r="H7" t="s">
        <v>51</v>
      </c>
      <c r="I7" t="b">
        <f>D7=[1]selection!D7</f>
        <v>1</v>
      </c>
    </row>
    <row r="8" spans="1:9" x14ac:dyDescent="0.25">
      <c r="A8" t="s">
        <v>14</v>
      </c>
      <c r="B8" t="s">
        <v>34</v>
      </c>
      <c r="C8" t="s">
        <v>48</v>
      </c>
      <c r="D8">
        <v>7140651</v>
      </c>
      <c r="E8">
        <v>1</v>
      </c>
      <c r="F8">
        <v>1</v>
      </c>
      <c r="G8" t="s">
        <v>50</v>
      </c>
      <c r="H8" t="s">
        <v>51</v>
      </c>
      <c r="I8" t="b">
        <f>D8=[1]selection!D8</f>
        <v>1</v>
      </c>
    </row>
    <row r="9" spans="1:9" x14ac:dyDescent="0.25">
      <c r="A9" t="s">
        <v>15</v>
      </c>
      <c r="B9" t="s">
        <v>35</v>
      </c>
      <c r="C9" t="s">
        <v>48</v>
      </c>
      <c r="D9">
        <v>3581599</v>
      </c>
      <c r="E9">
        <v>1</v>
      </c>
      <c r="F9">
        <v>1</v>
      </c>
      <c r="G9" t="s">
        <v>50</v>
      </c>
      <c r="H9" t="s">
        <v>51</v>
      </c>
      <c r="I9" t="b">
        <f>D9=[1]selection!D9</f>
        <v>1</v>
      </c>
    </row>
    <row r="10" spans="1:9" x14ac:dyDescent="0.25">
      <c r="A10" t="s">
        <v>16</v>
      </c>
      <c r="B10" t="s">
        <v>36</v>
      </c>
      <c r="C10" t="s">
        <v>48</v>
      </c>
      <c r="D10">
        <v>4508317</v>
      </c>
      <c r="E10">
        <v>1</v>
      </c>
      <c r="F10">
        <v>1</v>
      </c>
      <c r="G10" t="s">
        <v>50</v>
      </c>
      <c r="H10" t="s">
        <v>51</v>
      </c>
      <c r="I10" t="b">
        <f>D10=[1]selection!D10</f>
        <v>1</v>
      </c>
    </row>
    <row r="11" spans="1:9" x14ac:dyDescent="0.25">
      <c r="A11" t="s">
        <v>17</v>
      </c>
      <c r="B11" t="s">
        <v>37</v>
      </c>
      <c r="C11" t="s">
        <v>48</v>
      </c>
      <c r="D11">
        <v>1870535</v>
      </c>
      <c r="E11">
        <v>1</v>
      </c>
      <c r="F11">
        <v>1</v>
      </c>
      <c r="G11" t="s">
        <v>50</v>
      </c>
      <c r="H11" t="s">
        <v>51</v>
      </c>
      <c r="I11" t="b">
        <f>D11=[1]selection!D11</f>
        <v>1</v>
      </c>
    </row>
    <row r="12" spans="1:9" x14ac:dyDescent="0.25">
      <c r="A12" t="s">
        <v>18</v>
      </c>
      <c r="B12" t="s">
        <v>38</v>
      </c>
      <c r="C12" t="s">
        <v>48</v>
      </c>
      <c r="D12">
        <v>613131</v>
      </c>
      <c r="E12">
        <v>1</v>
      </c>
      <c r="F12">
        <v>1</v>
      </c>
      <c r="G12" t="s">
        <v>50</v>
      </c>
      <c r="H12" t="s">
        <v>51</v>
      </c>
      <c r="I12" t="b">
        <f>D12=[1]selection!D12</f>
        <v>1</v>
      </c>
    </row>
    <row r="13" spans="1:9" x14ac:dyDescent="0.25">
      <c r="A13" t="s">
        <v>19</v>
      </c>
      <c r="B13" t="s">
        <v>39</v>
      </c>
      <c r="C13" t="s">
        <v>48</v>
      </c>
      <c r="D13">
        <v>8899902</v>
      </c>
      <c r="E13">
        <v>1</v>
      </c>
      <c r="F13">
        <v>1</v>
      </c>
      <c r="G13" t="s">
        <v>50</v>
      </c>
      <c r="H13" t="s">
        <v>51</v>
      </c>
      <c r="I13" t="b">
        <f>D13=[1]selection!D13</f>
        <v>1</v>
      </c>
    </row>
    <row r="14" spans="1:9" x14ac:dyDescent="0.25">
      <c r="A14" t="s">
        <v>20</v>
      </c>
      <c r="B14" t="s">
        <v>40</v>
      </c>
      <c r="C14" t="s">
        <v>48</v>
      </c>
      <c r="D14">
        <v>1281686</v>
      </c>
      <c r="E14">
        <v>1</v>
      </c>
      <c r="F14">
        <v>1</v>
      </c>
      <c r="G14" t="s">
        <v>50</v>
      </c>
      <c r="H14" t="s">
        <v>51</v>
      </c>
      <c r="I14" t="b">
        <f>D14=[1]selection!D14</f>
        <v>1</v>
      </c>
    </row>
    <row r="15" spans="1:9" x14ac:dyDescent="0.25">
      <c r="A15" t="s">
        <v>21</v>
      </c>
      <c r="B15" t="s">
        <v>41</v>
      </c>
      <c r="C15" t="s">
        <v>48</v>
      </c>
      <c r="D15">
        <v>1184763</v>
      </c>
      <c r="E15">
        <v>1</v>
      </c>
      <c r="F15">
        <v>1</v>
      </c>
      <c r="G15" t="s">
        <v>50</v>
      </c>
      <c r="H15" t="s">
        <v>51</v>
      </c>
      <c r="I15" t="b">
        <f>D15=[1]selection!D15</f>
        <v>1</v>
      </c>
    </row>
    <row r="16" spans="1:9" x14ac:dyDescent="0.25">
      <c r="A16" t="s">
        <v>22</v>
      </c>
      <c r="B16" t="s">
        <v>42</v>
      </c>
      <c r="C16" t="s">
        <v>48</v>
      </c>
      <c r="D16">
        <v>2909188</v>
      </c>
      <c r="E16">
        <v>1</v>
      </c>
      <c r="F16">
        <v>1</v>
      </c>
      <c r="G16" t="s">
        <v>50</v>
      </c>
      <c r="H16" t="s">
        <v>51</v>
      </c>
      <c r="I16" t="b">
        <f>D16=[1]selection!D16</f>
        <v>1</v>
      </c>
    </row>
    <row r="17" spans="1:9" x14ac:dyDescent="0.25">
      <c r="A17" t="s">
        <v>23</v>
      </c>
      <c r="B17" t="s">
        <v>43</v>
      </c>
      <c r="C17" t="s">
        <v>48</v>
      </c>
      <c r="D17">
        <v>13490633</v>
      </c>
      <c r="E17">
        <v>1</v>
      </c>
      <c r="F17">
        <v>1</v>
      </c>
      <c r="G17" t="s">
        <v>50</v>
      </c>
      <c r="H17" t="s">
        <v>51</v>
      </c>
      <c r="I17" t="b">
        <f>D17=[1]selection!D17</f>
        <v>1</v>
      </c>
    </row>
    <row r="18" spans="1:9" x14ac:dyDescent="0.25">
      <c r="A18" t="s">
        <v>24</v>
      </c>
      <c r="B18" t="s">
        <v>44</v>
      </c>
      <c r="C18" t="s">
        <v>48</v>
      </c>
      <c r="D18">
        <v>4493137</v>
      </c>
      <c r="E18">
        <v>1</v>
      </c>
      <c r="F18">
        <v>1</v>
      </c>
      <c r="G18" t="s">
        <v>50</v>
      </c>
      <c r="H18" t="s">
        <v>51</v>
      </c>
      <c r="I18" t="b">
        <f>D18=[1]selection!D18</f>
        <v>1</v>
      </c>
    </row>
    <row r="19" spans="1:9" x14ac:dyDescent="0.25">
      <c r="A19" t="s">
        <v>25</v>
      </c>
      <c r="B19" t="s">
        <v>45</v>
      </c>
      <c r="C19" t="s">
        <v>48</v>
      </c>
      <c r="D19">
        <v>1197016</v>
      </c>
      <c r="E19">
        <v>1</v>
      </c>
      <c r="F19">
        <v>1</v>
      </c>
      <c r="G19" t="s">
        <v>50</v>
      </c>
      <c r="H19" t="s">
        <v>51</v>
      </c>
      <c r="I19" t="b">
        <f>D19=[1]selection!D19</f>
        <v>1</v>
      </c>
    </row>
    <row r="20" spans="1:9" x14ac:dyDescent="0.25">
      <c r="A20" t="s">
        <v>26</v>
      </c>
      <c r="B20" t="s">
        <v>46</v>
      </c>
      <c r="C20" t="s">
        <v>48</v>
      </c>
      <c r="D20">
        <v>1366288</v>
      </c>
      <c r="E20">
        <v>1</v>
      </c>
      <c r="F20">
        <v>1</v>
      </c>
      <c r="G20" t="s">
        <v>50</v>
      </c>
      <c r="H20" t="s">
        <v>51</v>
      </c>
      <c r="I20" t="b">
        <f>D20=[1]selection!D20</f>
        <v>1</v>
      </c>
    </row>
    <row r="21" spans="1:9" x14ac:dyDescent="0.25">
      <c r="A21" t="s">
        <v>27</v>
      </c>
      <c r="B21" t="s">
        <v>47</v>
      </c>
      <c r="C21" t="s">
        <v>48</v>
      </c>
      <c r="D21">
        <v>3792352</v>
      </c>
      <c r="E21">
        <v>1</v>
      </c>
      <c r="F21">
        <v>1</v>
      </c>
      <c r="G21" t="s">
        <v>50</v>
      </c>
      <c r="H21" t="s">
        <v>51</v>
      </c>
      <c r="I21" t="b">
        <f>D21=[1]selection!D21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  <row r="2" spans="1:3" x14ac:dyDescent="0.25">
      <c r="A2" t="s">
        <v>53</v>
      </c>
      <c r="B2" t="s">
        <v>71</v>
      </c>
      <c r="C2" t="s">
        <v>48</v>
      </c>
    </row>
    <row r="3" spans="1:3" x14ac:dyDescent="0.25">
      <c r="A3" t="s">
        <v>54</v>
      </c>
      <c r="B3" t="s">
        <v>72</v>
      </c>
      <c r="C3" t="s">
        <v>48</v>
      </c>
    </row>
    <row r="4" spans="1:3" x14ac:dyDescent="0.25">
      <c r="A4" t="s">
        <v>55</v>
      </c>
      <c r="B4" t="s">
        <v>73</v>
      </c>
      <c r="C4" t="s">
        <v>48</v>
      </c>
    </row>
    <row r="5" spans="1:3" x14ac:dyDescent="0.25">
      <c r="A5" t="s">
        <v>56</v>
      </c>
      <c r="B5" t="s">
        <v>74</v>
      </c>
      <c r="C5" t="s">
        <v>48</v>
      </c>
    </row>
    <row r="6" spans="1:3" x14ac:dyDescent="0.25">
      <c r="A6" t="s">
        <v>57</v>
      </c>
      <c r="B6" t="s">
        <v>75</v>
      </c>
      <c r="C6" t="s">
        <v>48</v>
      </c>
    </row>
    <row r="7" spans="1:3" x14ac:dyDescent="0.25">
      <c r="A7" t="s">
        <v>15</v>
      </c>
      <c r="B7" t="s">
        <v>35</v>
      </c>
      <c r="C7" t="s">
        <v>48</v>
      </c>
    </row>
    <row r="8" spans="1:3" x14ac:dyDescent="0.25">
      <c r="A8" t="s">
        <v>58</v>
      </c>
      <c r="B8" t="s">
        <v>76</v>
      </c>
      <c r="C8" t="s">
        <v>48</v>
      </c>
    </row>
    <row r="9" spans="1:3" x14ac:dyDescent="0.25">
      <c r="A9" t="s">
        <v>59</v>
      </c>
      <c r="B9" t="s">
        <v>77</v>
      </c>
      <c r="C9" t="s">
        <v>48</v>
      </c>
    </row>
    <row r="10" spans="1:3" x14ac:dyDescent="0.25">
      <c r="A10" t="s">
        <v>60</v>
      </c>
      <c r="B10" t="s">
        <v>78</v>
      </c>
      <c r="C10" t="s">
        <v>48</v>
      </c>
    </row>
    <row r="11" spans="1:3" x14ac:dyDescent="0.25">
      <c r="A11" t="s">
        <v>61</v>
      </c>
      <c r="B11" t="s">
        <v>79</v>
      </c>
      <c r="C11" t="s">
        <v>48</v>
      </c>
    </row>
    <row r="12" spans="1:3" x14ac:dyDescent="0.25">
      <c r="A12" t="s">
        <v>62</v>
      </c>
      <c r="B12" t="s">
        <v>80</v>
      </c>
      <c r="C12" t="s">
        <v>48</v>
      </c>
    </row>
    <row r="13" spans="1:3" x14ac:dyDescent="0.25">
      <c r="A13" t="s">
        <v>63</v>
      </c>
      <c r="B13" t="s">
        <v>81</v>
      </c>
      <c r="C13" t="s">
        <v>48</v>
      </c>
    </row>
    <row r="14" spans="1:3" x14ac:dyDescent="0.25">
      <c r="A14" t="s">
        <v>64</v>
      </c>
      <c r="B14" t="s">
        <v>82</v>
      </c>
      <c r="C14" t="s">
        <v>48</v>
      </c>
    </row>
    <row r="15" spans="1:3" x14ac:dyDescent="0.25">
      <c r="A15" t="s">
        <v>65</v>
      </c>
      <c r="B15" t="s">
        <v>83</v>
      </c>
      <c r="C15" t="s">
        <v>48</v>
      </c>
    </row>
    <row r="16" spans="1:3" x14ac:dyDescent="0.25">
      <c r="A16" t="s">
        <v>66</v>
      </c>
      <c r="B16" t="s">
        <v>84</v>
      </c>
      <c r="C16" t="s">
        <v>48</v>
      </c>
    </row>
    <row r="17" spans="1:3" x14ac:dyDescent="0.25">
      <c r="A17" t="s">
        <v>67</v>
      </c>
      <c r="B17" t="s">
        <v>85</v>
      </c>
      <c r="C17" t="s">
        <v>48</v>
      </c>
    </row>
    <row r="18" spans="1:3" x14ac:dyDescent="0.25">
      <c r="A18" t="s">
        <v>68</v>
      </c>
      <c r="B18" t="s">
        <v>86</v>
      </c>
      <c r="C18" t="s">
        <v>48</v>
      </c>
    </row>
    <row r="19" spans="1:3" x14ac:dyDescent="0.25">
      <c r="A19" t="s">
        <v>23</v>
      </c>
      <c r="B19" t="s">
        <v>43</v>
      </c>
      <c r="C19" t="s">
        <v>48</v>
      </c>
    </row>
    <row r="20" spans="1:3" x14ac:dyDescent="0.25">
      <c r="A20" t="s">
        <v>69</v>
      </c>
      <c r="B20" t="s">
        <v>87</v>
      </c>
      <c r="C20" t="s">
        <v>48</v>
      </c>
    </row>
    <row r="21" spans="1:3" x14ac:dyDescent="0.25">
      <c r="A21" t="s">
        <v>70</v>
      </c>
      <c r="B21" t="s">
        <v>88</v>
      </c>
      <c r="C21" t="s">
        <v>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R41"/>
  <sheetViews>
    <sheetView workbookViewId="0">
      <selection activeCell="S2" sqref="S2"/>
    </sheetView>
  </sheetViews>
  <sheetFormatPr defaultRowHeight="15" x14ac:dyDescent="0.25"/>
  <cols>
    <col min="1" max="1" width="22.28515625" bestFit="1" customWidth="1"/>
    <col min="2" max="2" width="14.140625" bestFit="1" customWidth="1"/>
    <col min="3" max="3" width="6.140625" bestFit="1" customWidth="1"/>
    <col min="4" max="4" width="16.85546875" bestFit="1" customWidth="1"/>
    <col min="5" max="5" width="9.85546875" bestFit="1" customWidth="1"/>
    <col min="6" max="6" width="8.140625" bestFit="1" customWidth="1"/>
    <col min="7" max="7" width="15" bestFit="1" customWidth="1"/>
    <col min="8" max="8" width="12.42578125" bestFit="1" customWidth="1"/>
    <col min="9" max="9" width="13.85546875" bestFit="1" customWidth="1"/>
    <col min="10" max="10" width="12.5703125" bestFit="1" customWidth="1"/>
    <col min="11" max="11" width="23.28515625" bestFit="1" customWidth="1"/>
    <col min="12" max="12" width="16.7109375" bestFit="1" customWidth="1"/>
    <col min="13" max="13" width="14.140625" bestFit="1" customWidth="1"/>
    <col min="14" max="14" width="12" bestFit="1" customWidth="1"/>
    <col min="15" max="15" width="16.85546875" bestFit="1" customWidth="1"/>
    <col min="16" max="16" width="9" bestFit="1" customWidth="1"/>
  </cols>
  <sheetData>
    <row r="1" spans="1:18" x14ac:dyDescent="0.25">
      <c r="A1" s="1" t="s">
        <v>0</v>
      </c>
      <c r="B1" s="1" t="s">
        <v>52</v>
      </c>
      <c r="C1" s="1" t="s">
        <v>2</v>
      </c>
      <c r="D1" s="1" t="s">
        <v>89</v>
      </c>
      <c r="E1" s="1" t="s">
        <v>4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5</v>
      </c>
      <c r="N1" s="1" t="s">
        <v>97</v>
      </c>
      <c r="O1" s="1" t="s">
        <v>98</v>
      </c>
      <c r="P1" s="1" t="s">
        <v>99</v>
      </c>
      <c r="Q1" s="2" t="s">
        <v>106</v>
      </c>
    </row>
    <row r="2" spans="1:18" x14ac:dyDescent="0.25">
      <c r="A2" t="s">
        <v>8</v>
      </c>
      <c r="B2" t="s">
        <v>28</v>
      </c>
      <c r="C2" t="s">
        <v>48</v>
      </c>
      <c r="D2">
        <v>243622860</v>
      </c>
      <c r="E2">
        <v>0.85</v>
      </c>
      <c r="F2">
        <v>1</v>
      </c>
      <c r="G2" t="s">
        <v>28</v>
      </c>
      <c r="H2">
        <v>1</v>
      </c>
      <c r="I2">
        <v>43</v>
      </c>
      <c r="J2">
        <v>46</v>
      </c>
      <c r="K2">
        <v>244966893</v>
      </c>
      <c r="L2">
        <v>0.85</v>
      </c>
      <c r="M2">
        <v>1</v>
      </c>
      <c r="N2">
        <v>9578205516.2999992</v>
      </c>
      <c r="O2">
        <v>2637889.432680232</v>
      </c>
      <c r="P2" t="b">
        <v>0</v>
      </c>
      <c r="Q2" t="b">
        <f>ISNUMBER(MATCH(B2,'Index Composition'!$B$2:$B$21,0))</f>
        <v>1</v>
      </c>
      <c r="R2">
        <f>'Index Market Cap'!$B$2/'Full Universe'!I2</f>
        <v>2637889.4326802325</v>
      </c>
    </row>
    <row r="3" spans="1:18" hidden="1" x14ac:dyDescent="0.25">
      <c r="A3" t="s">
        <v>53</v>
      </c>
      <c r="B3" t="s">
        <v>71</v>
      </c>
      <c r="C3" t="s">
        <v>48</v>
      </c>
      <c r="D3">
        <v>578131063</v>
      </c>
      <c r="E3">
        <v>1</v>
      </c>
      <c r="F3">
        <v>1</v>
      </c>
      <c r="G3" t="s">
        <v>71</v>
      </c>
      <c r="H3">
        <v>1</v>
      </c>
      <c r="I3">
        <v>182.24</v>
      </c>
      <c r="J3">
        <v>183.92</v>
      </c>
      <c r="K3">
        <v>578439151</v>
      </c>
      <c r="L3">
        <v>1</v>
      </c>
      <c r="M3">
        <v>1</v>
      </c>
      <c r="N3">
        <v>106386528651.92</v>
      </c>
      <c r="O3">
        <v>622416.84375137184</v>
      </c>
      <c r="P3" t="b">
        <v>1</v>
      </c>
      <c r="Q3" t="b">
        <f>ISNUMBER(MATCH(B3,'Index Composition'!$B$2:$B$21,0))</f>
        <v>0</v>
      </c>
    </row>
    <row r="4" spans="1:18" hidden="1" x14ac:dyDescent="0.25">
      <c r="A4" t="s">
        <v>54</v>
      </c>
      <c r="B4" t="s">
        <v>72</v>
      </c>
      <c r="C4" t="s">
        <v>48</v>
      </c>
      <c r="D4">
        <v>792283683</v>
      </c>
      <c r="E4">
        <v>0.75</v>
      </c>
      <c r="F4">
        <v>1</v>
      </c>
      <c r="G4" t="s">
        <v>72</v>
      </c>
      <c r="H4">
        <v>1</v>
      </c>
      <c r="I4">
        <v>160.74</v>
      </c>
      <c r="J4">
        <v>157.30000000000001</v>
      </c>
      <c r="K4">
        <v>792283683</v>
      </c>
      <c r="L4">
        <v>0.75</v>
      </c>
      <c r="M4">
        <v>1</v>
      </c>
      <c r="N4">
        <v>93469667501.925003</v>
      </c>
      <c r="O4">
        <v>705669.06560439221</v>
      </c>
      <c r="P4" t="b">
        <v>1</v>
      </c>
      <c r="Q4" t="b">
        <f>ISNUMBER(MATCH(B4,'Index Composition'!$B$2:$B$21,0))</f>
        <v>0</v>
      </c>
    </row>
    <row r="5" spans="1:18" x14ac:dyDescent="0.25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104</v>
      </c>
      <c r="H5">
        <v>1</v>
      </c>
      <c r="I5">
        <v>26.59</v>
      </c>
      <c r="J5">
        <v>26.45</v>
      </c>
      <c r="K5">
        <v>852809772</v>
      </c>
      <c r="L5">
        <v>0.5</v>
      </c>
      <c r="M5">
        <v>1</v>
      </c>
      <c r="N5">
        <v>11278409234.700001</v>
      </c>
      <c r="O5">
        <v>4265861.0607465217</v>
      </c>
      <c r="P5" t="b">
        <v>0</v>
      </c>
      <c r="Q5" t="b">
        <f>ISNUMBER(MATCH(B5,'Index Composition'!$B$2:$B$21,0))</f>
        <v>1</v>
      </c>
      <c r="R5">
        <f>'Index Market Cap'!$B$2/'Full Universe'!I5</f>
        <v>4265861.0607465217</v>
      </c>
    </row>
    <row r="6" spans="1:18" hidden="1" x14ac:dyDescent="0.25">
      <c r="A6" t="s">
        <v>55</v>
      </c>
      <c r="B6" t="s">
        <v>73</v>
      </c>
      <c r="C6" t="s">
        <v>48</v>
      </c>
      <c r="D6">
        <v>2200619258</v>
      </c>
      <c r="E6">
        <v>0.85</v>
      </c>
      <c r="F6">
        <v>1</v>
      </c>
      <c r="G6" t="s">
        <v>73</v>
      </c>
      <c r="H6">
        <v>1</v>
      </c>
      <c r="I6">
        <v>41.63</v>
      </c>
      <c r="J6">
        <v>40.97</v>
      </c>
      <c r="K6">
        <v>2215068307</v>
      </c>
      <c r="L6">
        <v>0.85</v>
      </c>
      <c r="M6">
        <v>1</v>
      </c>
      <c r="N6">
        <v>77138646257.121506</v>
      </c>
      <c r="O6">
        <v>2724699.630200577</v>
      </c>
      <c r="P6" t="b">
        <v>1</v>
      </c>
      <c r="Q6" t="b">
        <f>ISNUMBER(MATCH(B6,'Index Composition'!$B$2:$B$21,0))</f>
        <v>0</v>
      </c>
    </row>
    <row r="7" spans="1:18" hidden="1" x14ac:dyDescent="0.25">
      <c r="A7" t="s">
        <v>56</v>
      </c>
      <c r="B7" t="s">
        <v>74</v>
      </c>
      <c r="C7" t="s">
        <v>48</v>
      </c>
      <c r="D7">
        <v>1130810671</v>
      </c>
      <c r="E7">
        <v>0.95</v>
      </c>
      <c r="F7">
        <v>1</v>
      </c>
      <c r="G7" t="s">
        <v>74</v>
      </c>
      <c r="H7">
        <v>1</v>
      </c>
      <c r="I7">
        <v>75.97</v>
      </c>
      <c r="J7">
        <v>75.84</v>
      </c>
      <c r="K7">
        <v>1130810671</v>
      </c>
      <c r="L7">
        <v>0.95</v>
      </c>
      <c r="M7">
        <v>1</v>
      </c>
      <c r="N7">
        <v>81472647224.208008</v>
      </c>
      <c r="O7">
        <v>1493079.4472192971</v>
      </c>
      <c r="P7" t="b">
        <v>1</v>
      </c>
      <c r="Q7" t="b">
        <f>ISNUMBER(MATCH(B7,'Index Composition'!$B$2:$B$21,0))</f>
        <v>0</v>
      </c>
    </row>
    <row r="8" spans="1:18" x14ac:dyDescent="0.25">
      <c r="A8" t="s">
        <v>10</v>
      </c>
      <c r="B8" t="s">
        <v>30</v>
      </c>
      <c r="C8" t="s">
        <v>48</v>
      </c>
      <c r="D8">
        <v>379243267</v>
      </c>
      <c r="E8">
        <v>0.5</v>
      </c>
      <c r="F8">
        <v>1</v>
      </c>
      <c r="G8" t="s">
        <v>30</v>
      </c>
      <c r="H8">
        <v>1</v>
      </c>
      <c r="I8">
        <v>37.53</v>
      </c>
      <c r="J8">
        <v>39.590000000000003</v>
      </c>
      <c r="K8">
        <v>379208202</v>
      </c>
      <c r="L8">
        <v>0.5</v>
      </c>
      <c r="M8">
        <v>1</v>
      </c>
      <c r="N8">
        <v>7506426358.5900011</v>
      </c>
      <c r="O8">
        <v>3022361.9932120969</v>
      </c>
      <c r="P8" t="b">
        <v>0</v>
      </c>
      <c r="Q8" t="b">
        <f>ISNUMBER(MATCH(B8,'Index Composition'!$B$2:$B$21,0))</f>
        <v>1</v>
      </c>
      <c r="R8">
        <f>'Index Market Cap'!$B$2/'Full Universe'!I8</f>
        <v>3022361.9932120969</v>
      </c>
    </row>
    <row r="9" spans="1:18" x14ac:dyDescent="0.25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29</v>
      </c>
      <c r="J9">
        <v>29.92</v>
      </c>
      <c r="K9">
        <v>453871520</v>
      </c>
      <c r="L9">
        <v>0.75</v>
      </c>
      <c r="M9">
        <v>1</v>
      </c>
      <c r="N9">
        <v>10184876908.799999</v>
      </c>
      <c r="O9">
        <v>3911353.2967327591</v>
      </c>
      <c r="P9" t="b">
        <v>0</v>
      </c>
      <c r="Q9" t="b">
        <f>ISNUMBER(MATCH(B9,'Index Composition'!$B$2:$B$21,0))</f>
        <v>1</v>
      </c>
      <c r="R9">
        <f>'Index Market Cap'!$B$2/'Full Universe'!I9</f>
        <v>3911353.2967327586</v>
      </c>
    </row>
    <row r="10" spans="1:18" x14ac:dyDescent="0.25">
      <c r="A10" t="s">
        <v>12</v>
      </c>
      <c r="B10" t="s">
        <v>32</v>
      </c>
      <c r="C10" t="s">
        <v>48</v>
      </c>
      <c r="D10">
        <v>172608113</v>
      </c>
      <c r="E10">
        <v>0.85</v>
      </c>
      <c r="F10">
        <v>1</v>
      </c>
      <c r="G10" t="s">
        <v>32</v>
      </c>
      <c r="H10">
        <v>1</v>
      </c>
      <c r="I10">
        <v>150.19999999999999</v>
      </c>
      <c r="J10">
        <v>146.9</v>
      </c>
      <c r="K10">
        <v>171347471</v>
      </c>
      <c r="L10">
        <v>0.85</v>
      </c>
      <c r="M10">
        <v>1</v>
      </c>
      <c r="N10">
        <v>21395301966.415001</v>
      </c>
      <c r="O10">
        <v>755188.05329727032</v>
      </c>
      <c r="P10" t="b">
        <v>0</v>
      </c>
      <c r="Q10" t="b">
        <f>ISNUMBER(MATCH(B10,'Index Composition'!$B$2:$B$21,0))</f>
        <v>1</v>
      </c>
      <c r="R10">
        <f>'Index Market Cap'!$B$2/'Full Universe'!I10</f>
        <v>755188.05329727032</v>
      </c>
    </row>
    <row r="11" spans="1:18" x14ac:dyDescent="0.25">
      <c r="A11" t="s">
        <v>13</v>
      </c>
      <c r="B11" t="s">
        <v>33</v>
      </c>
      <c r="C11" t="s">
        <v>48</v>
      </c>
      <c r="D11">
        <v>677969188</v>
      </c>
      <c r="E11">
        <v>0.85</v>
      </c>
      <c r="F11">
        <v>1</v>
      </c>
      <c r="G11" t="s">
        <v>33</v>
      </c>
      <c r="H11">
        <v>1</v>
      </c>
      <c r="I11">
        <v>12.82</v>
      </c>
      <c r="J11">
        <v>14.6</v>
      </c>
      <c r="K11">
        <v>677969188</v>
      </c>
      <c r="L11">
        <v>0.85</v>
      </c>
      <c r="M11">
        <v>1</v>
      </c>
      <c r="N11">
        <v>8413597623.079999</v>
      </c>
      <c r="O11">
        <v>8847835.0706123244</v>
      </c>
      <c r="P11" t="b">
        <v>0</v>
      </c>
      <c r="Q11" t="b">
        <f>ISNUMBER(MATCH(B11,'Index Composition'!$B$2:$B$21,0))</f>
        <v>1</v>
      </c>
      <c r="R11">
        <f>'Index Market Cap'!$B$2/'Full Universe'!I11</f>
        <v>8847835.0706123244</v>
      </c>
    </row>
    <row r="12" spans="1:18" x14ac:dyDescent="0.25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15.885</v>
      </c>
      <c r="J12">
        <v>17.23</v>
      </c>
      <c r="K12">
        <v>3025902350</v>
      </c>
      <c r="L12">
        <v>0.3</v>
      </c>
      <c r="M12">
        <v>1</v>
      </c>
      <c r="N12">
        <v>15640889247.15</v>
      </c>
      <c r="O12">
        <v>7140651.2814132832</v>
      </c>
      <c r="P12" t="b">
        <v>0</v>
      </c>
      <c r="Q12" t="b">
        <f>ISNUMBER(MATCH(B12,'Index Composition'!$B$2:$B$21,0))</f>
        <v>1</v>
      </c>
      <c r="R12">
        <f>'Index Market Cap'!$B$2/'Full Universe'!I12</f>
        <v>7140651.2814132832</v>
      </c>
    </row>
    <row r="13" spans="1:18" hidden="1" x14ac:dyDescent="0.25">
      <c r="A13" t="s">
        <v>57</v>
      </c>
      <c r="B13" t="s">
        <v>75</v>
      </c>
      <c r="C13" t="s">
        <v>48</v>
      </c>
      <c r="D13">
        <v>679553991</v>
      </c>
      <c r="E13">
        <v>0.95</v>
      </c>
      <c r="F13">
        <v>1</v>
      </c>
      <c r="G13" t="s">
        <v>75</v>
      </c>
      <c r="H13">
        <v>1</v>
      </c>
      <c r="I13">
        <v>71.66</v>
      </c>
      <c r="J13">
        <v>75.64</v>
      </c>
      <c r="K13">
        <v>679553991</v>
      </c>
      <c r="L13">
        <v>0.95</v>
      </c>
      <c r="M13">
        <v>1</v>
      </c>
      <c r="N13">
        <v>48831390685.277992</v>
      </c>
      <c r="O13">
        <v>1582880.9043434269</v>
      </c>
      <c r="P13" t="b">
        <v>1</v>
      </c>
      <c r="Q13" t="b">
        <f>ISNUMBER(MATCH(B13,'Index Composition'!$B$2:$B$21,0))</f>
        <v>0</v>
      </c>
    </row>
    <row r="14" spans="1:18" x14ac:dyDescent="0.25">
      <c r="A14" t="s">
        <v>15</v>
      </c>
      <c r="B14" t="s">
        <v>35</v>
      </c>
      <c r="C14" t="s">
        <v>48</v>
      </c>
      <c r="D14">
        <v>1338435363</v>
      </c>
      <c r="E14">
        <v>0.5</v>
      </c>
      <c r="F14">
        <v>1</v>
      </c>
      <c r="G14" t="s">
        <v>35</v>
      </c>
      <c r="H14">
        <v>1</v>
      </c>
      <c r="I14">
        <v>31.67</v>
      </c>
      <c r="J14">
        <v>33.590000000000003</v>
      </c>
      <c r="K14">
        <v>1340433125</v>
      </c>
      <c r="L14">
        <v>0.5</v>
      </c>
      <c r="M14">
        <v>1</v>
      </c>
      <c r="N14">
        <v>22512574334.375</v>
      </c>
      <c r="O14">
        <v>3581599.1665693079</v>
      </c>
      <c r="P14" t="b">
        <v>1</v>
      </c>
      <c r="Q14" t="b">
        <f>ISNUMBER(MATCH(B14,'Index Composition'!$B$2:$B$21,0))</f>
        <v>1</v>
      </c>
      <c r="R14">
        <f>'Index Market Cap'!$B$2/'Full Universe'!I14</f>
        <v>3581599.1665693084</v>
      </c>
    </row>
    <row r="15" spans="1:18" x14ac:dyDescent="0.25">
      <c r="A15" t="s">
        <v>16</v>
      </c>
      <c r="B15" t="s">
        <v>36</v>
      </c>
      <c r="C15" t="s">
        <v>48</v>
      </c>
      <c r="D15">
        <v>249588059</v>
      </c>
      <c r="E15">
        <v>1</v>
      </c>
      <c r="F15">
        <v>1</v>
      </c>
      <c r="G15" t="s">
        <v>36</v>
      </c>
      <c r="H15">
        <v>1</v>
      </c>
      <c r="I15">
        <v>25.16</v>
      </c>
      <c r="J15">
        <v>27.12</v>
      </c>
      <c r="K15">
        <v>239891064</v>
      </c>
      <c r="L15">
        <v>1</v>
      </c>
      <c r="M15">
        <v>1</v>
      </c>
      <c r="N15">
        <v>6505845655.6800003</v>
      </c>
      <c r="O15">
        <v>4508316.5979829105</v>
      </c>
      <c r="P15" t="b">
        <v>0</v>
      </c>
      <c r="Q15" t="b">
        <f>ISNUMBER(MATCH(B15,'Index Composition'!$B$2:$B$21,0))</f>
        <v>1</v>
      </c>
      <c r="R15">
        <f>'Index Market Cap'!$B$2/'Full Universe'!I15</f>
        <v>4508316.5979829095</v>
      </c>
    </row>
    <row r="16" spans="1:18" hidden="1" x14ac:dyDescent="0.25">
      <c r="A16" t="s">
        <v>58</v>
      </c>
      <c r="B16" t="s">
        <v>76</v>
      </c>
      <c r="C16" t="s">
        <v>48</v>
      </c>
      <c r="D16">
        <v>2435285011</v>
      </c>
      <c r="E16">
        <v>0.75</v>
      </c>
      <c r="F16">
        <v>1</v>
      </c>
      <c r="G16" t="s">
        <v>76</v>
      </c>
      <c r="H16">
        <v>1</v>
      </c>
      <c r="I16">
        <v>19.515000000000001</v>
      </c>
      <c r="J16">
        <v>18.97</v>
      </c>
      <c r="K16">
        <v>2435285011</v>
      </c>
      <c r="L16">
        <v>0.75</v>
      </c>
      <c r="M16">
        <v>1</v>
      </c>
      <c r="N16">
        <v>34648017494.002487</v>
      </c>
      <c r="O16">
        <v>5812413.3028567769</v>
      </c>
      <c r="P16" t="b">
        <v>1</v>
      </c>
      <c r="Q16" t="b">
        <f>ISNUMBER(MATCH(B16,'Index Composition'!$B$2:$B$21,0))</f>
        <v>0</v>
      </c>
    </row>
    <row r="17" spans="1:18" hidden="1" x14ac:dyDescent="0.25">
      <c r="A17" t="s">
        <v>59</v>
      </c>
      <c r="B17" t="s">
        <v>77</v>
      </c>
      <c r="C17" t="s">
        <v>48</v>
      </c>
      <c r="D17">
        <v>457318291</v>
      </c>
      <c r="E17">
        <v>0.7</v>
      </c>
      <c r="F17">
        <v>1</v>
      </c>
      <c r="G17" t="s">
        <v>77</v>
      </c>
      <c r="H17">
        <v>1</v>
      </c>
      <c r="I17">
        <v>240.5</v>
      </c>
      <c r="J17">
        <v>250</v>
      </c>
      <c r="K17">
        <v>457507201</v>
      </c>
      <c r="L17">
        <v>0.7</v>
      </c>
      <c r="M17">
        <v>1</v>
      </c>
      <c r="N17">
        <v>80063760175</v>
      </c>
      <c r="O17">
        <v>471639.27486590442</v>
      </c>
      <c r="P17" t="b">
        <v>1</v>
      </c>
      <c r="Q17" t="b">
        <f>ISNUMBER(MATCH(B17,'Index Composition'!$B$2:$B$21,0))</f>
        <v>0</v>
      </c>
    </row>
    <row r="18" spans="1:18" x14ac:dyDescent="0.25">
      <c r="A18" t="s">
        <v>17</v>
      </c>
      <c r="B18" t="s">
        <v>37</v>
      </c>
      <c r="C18" t="s">
        <v>48</v>
      </c>
      <c r="D18">
        <v>192981183</v>
      </c>
      <c r="E18">
        <v>0.65</v>
      </c>
      <c r="F18">
        <v>1</v>
      </c>
      <c r="G18" t="s">
        <v>37</v>
      </c>
      <c r="H18">
        <v>1</v>
      </c>
      <c r="I18">
        <v>60.64</v>
      </c>
      <c r="J18">
        <v>56.4</v>
      </c>
      <c r="K18">
        <v>182163000</v>
      </c>
      <c r="L18">
        <v>0.65</v>
      </c>
      <c r="M18">
        <v>1</v>
      </c>
      <c r="N18">
        <v>6678095580</v>
      </c>
      <c r="O18">
        <v>1870535.0528570251</v>
      </c>
      <c r="P18" t="b">
        <v>0</v>
      </c>
      <c r="Q18" t="b">
        <f>ISNUMBER(MATCH(B18,'Index Composition'!$B$2:$B$21,0))</f>
        <v>1</v>
      </c>
      <c r="R18">
        <f>'Index Market Cap'!$B$2/'Full Universe'!I18</f>
        <v>1870535.0528570251</v>
      </c>
    </row>
    <row r="19" spans="1:18" hidden="1" x14ac:dyDescent="0.25">
      <c r="A19" t="s">
        <v>60</v>
      </c>
      <c r="B19" t="s">
        <v>78</v>
      </c>
      <c r="C19" t="s">
        <v>48</v>
      </c>
      <c r="D19">
        <v>105569412</v>
      </c>
      <c r="E19">
        <v>0.3</v>
      </c>
      <c r="F19">
        <v>1</v>
      </c>
      <c r="G19" t="s">
        <v>78</v>
      </c>
      <c r="H19">
        <v>1</v>
      </c>
      <c r="I19">
        <v>2294</v>
      </c>
      <c r="J19">
        <v>2373</v>
      </c>
      <c r="K19">
        <v>105569412</v>
      </c>
      <c r="L19">
        <v>0.3</v>
      </c>
      <c r="M19">
        <v>1</v>
      </c>
      <c r="N19">
        <v>75154864402.799988</v>
      </c>
      <c r="O19">
        <v>49446.053010135132</v>
      </c>
      <c r="P19" t="b">
        <v>1</v>
      </c>
      <c r="Q19" t="b">
        <f>ISNUMBER(MATCH(B19,'Index Composition'!$B$2:$B$21,0))</f>
        <v>0</v>
      </c>
    </row>
    <row r="20" spans="1:18" x14ac:dyDescent="0.25">
      <c r="A20" t="s">
        <v>18</v>
      </c>
      <c r="B20" t="s">
        <v>38</v>
      </c>
      <c r="C20" t="s">
        <v>48</v>
      </c>
      <c r="D20">
        <v>123420778</v>
      </c>
      <c r="E20">
        <v>0.6</v>
      </c>
      <c r="F20">
        <v>1</v>
      </c>
      <c r="G20" t="s">
        <v>38</v>
      </c>
      <c r="H20">
        <v>1</v>
      </c>
      <c r="I20">
        <v>185</v>
      </c>
      <c r="J20">
        <v>173.3</v>
      </c>
      <c r="K20">
        <v>123420778</v>
      </c>
      <c r="L20">
        <v>0.6</v>
      </c>
      <c r="M20">
        <v>1</v>
      </c>
      <c r="N20">
        <v>12833292496.440001</v>
      </c>
      <c r="O20">
        <v>613131.05732567573</v>
      </c>
      <c r="P20" t="b">
        <v>0</v>
      </c>
      <c r="Q20" t="b">
        <f>ISNUMBER(MATCH(B20,'Index Composition'!$B$2:$B$21,0))</f>
        <v>1</v>
      </c>
      <c r="R20">
        <f>'Index Market Cap'!$B$2/'Full Universe'!I20</f>
        <v>613131.05732567573</v>
      </c>
    </row>
    <row r="21" spans="1:18" hidden="1" x14ac:dyDescent="0.25">
      <c r="A21" t="s">
        <v>62</v>
      </c>
      <c r="B21" t="s">
        <v>80</v>
      </c>
      <c r="C21" t="s">
        <v>48</v>
      </c>
      <c r="D21">
        <v>262245733</v>
      </c>
      <c r="E21">
        <v>1</v>
      </c>
      <c r="F21">
        <v>1</v>
      </c>
      <c r="G21" t="s">
        <v>80</v>
      </c>
      <c r="H21">
        <v>1</v>
      </c>
      <c r="I21">
        <v>111.15</v>
      </c>
      <c r="J21">
        <v>106.85</v>
      </c>
      <c r="K21">
        <v>262245733</v>
      </c>
      <c r="L21">
        <v>1</v>
      </c>
      <c r="M21">
        <v>1</v>
      </c>
      <c r="N21">
        <v>28020956571.049999</v>
      </c>
      <c r="O21">
        <v>1020506.033335582</v>
      </c>
      <c r="P21" t="b">
        <v>1</v>
      </c>
      <c r="Q21" t="b">
        <f>ISNUMBER(MATCH(B21,'Index Composition'!$B$2:$B$21,0))</f>
        <v>0</v>
      </c>
    </row>
    <row r="22" spans="1:18" hidden="1" x14ac:dyDescent="0.25">
      <c r="A22" t="s">
        <v>61</v>
      </c>
      <c r="B22" t="s">
        <v>79</v>
      </c>
      <c r="C22" t="s">
        <v>48</v>
      </c>
      <c r="D22">
        <v>534955898</v>
      </c>
      <c r="E22">
        <v>0.45</v>
      </c>
      <c r="F22">
        <v>1</v>
      </c>
      <c r="G22" t="s">
        <v>79</v>
      </c>
      <c r="H22">
        <v>1</v>
      </c>
      <c r="I22">
        <v>369</v>
      </c>
      <c r="J22">
        <v>372.95</v>
      </c>
      <c r="K22">
        <v>534315364</v>
      </c>
      <c r="L22">
        <v>0.45</v>
      </c>
      <c r="M22">
        <v>1</v>
      </c>
      <c r="N22">
        <v>89672811751.710007</v>
      </c>
      <c r="O22">
        <v>307396.32955352298</v>
      </c>
      <c r="P22" t="b">
        <v>1</v>
      </c>
      <c r="Q22" t="b">
        <f>ISNUMBER(MATCH(B22,'Index Composition'!$B$2:$B$21,0))</f>
        <v>0</v>
      </c>
    </row>
    <row r="23" spans="1:18" hidden="1" x14ac:dyDescent="0.25">
      <c r="A23" t="s">
        <v>63</v>
      </c>
      <c r="B23" t="s">
        <v>81</v>
      </c>
      <c r="C23" t="s">
        <v>48</v>
      </c>
      <c r="D23">
        <v>500141700</v>
      </c>
      <c r="E23">
        <v>0.5</v>
      </c>
      <c r="F23">
        <v>1</v>
      </c>
      <c r="G23" t="s">
        <v>81</v>
      </c>
      <c r="H23">
        <v>1</v>
      </c>
      <c r="I23">
        <v>460.7</v>
      </c>
      <c r="J23">
        <v>479</v>
      </c>
      <c r="K23">
        <v>500141700</v>
      </c>
      <c r="L23">
        <v>0.5</v>
      </c>
      <c r="M23">
        <v>1</v>
      </c>
      <c r="N23">
        <v>119783937150</v>
      </c>
      <c r="O23">
        <v>246210.64815552419</v>
      </c>
      <c r="P23" t="b">
        <v>1</v>
      </c>
      <c r="Q23" t="b">
        <f>ISNUMBER(MATCH(B23,'Index Composition'!$B$2:$B$21,0))</f>
        <v>0</v>
      </c>
    </row>
    <row r="24" spans="1:18" hidden="1" x14ac:dyDescent="0.25">
      <c r="A24" t="s">
        <v>100</v>
      </c>
      <c r="B24" t="s">
        <v>102</v>
      </c>
      <c r="C24" t="s">
        <v>48</v>
      </c>
      <c r="D24">
        <v>714958226</v>
      </c>
      <c r="E24">
        <v>1</v>
      </c>
      <c r="F24">
        <v>1</v>
      </c>
      <c r="G24" t="s">
        <v>102</v>
      </c>
      <c r="H24">
        <v>1</v>
      </c>
      <c r="I24">
        <v>32.17</v>
      </c>
      <c r="J24">
        <v>33.32</v>
      </c>
      <c r="K24">
        <v>705747272</v>
      </c>
      <c r="L24">
        <v>1</v>
      </c>
      <c r="M24">
        <v>1</v>
      </c>
      <c r="N24">
        <v>23515499103.040001</v>
      </c>
      <c r="O24">
        <v>3525932.4092399748</v>
      </c>
      <c r="P24" t="b">
        <v>0</v>
      </c>
      <c r="Q24" t="b">
        <f>ISNUMBER(MATCH(B24,'Index Composition'!$B$2:$B$21,0))</f>
        <v>0</v>
      </c>
    </row>
    <row r="25" spans="1:18" x14ac:dyDescent="0.25">
      <c r="A25" t="s">
        <v>19</v>
      </c>
      <c r="B25" t="s">
        <v>39</v>
      </c>
      <c r="C25" t="s">
        <v>48</v>
      </c>
      <c r="D25">
        <v>2660056599</v>
      </c>
      <c r="E25">
        <v>0.65</v>
      </c>
      <c r="F25">
        <v>1</v>
      </c>
      <c r="G25" t="s">
        <v>39</v>
      </c>
      <c r="H25">
        <v>1</v>
      </c>
      <c r="I25">
        <v>12.744999999999999</v>
      </c>
      <c r="J25">
        <v>13.34</v>
      </c>
      <c r="K25">
        <v>2660056599</v>
      </c>
      <c r="L25">
        <v>0.65</v>
      </c>
      <c r="M25">
        <v>1</v>
      </c>
      <c r="N25">
        <v>23065350769.929001</v>
      </c>
      <c r="O25">
        <v>8899901.5775009822</v>
      </c>
      <c r="P25" t="b">
        <v>0</v>
      </c>
      <c r="Q25" t="b">
        <f>ISNUMBER(MATCH(B25,'Index Composition'!$B$2:$B$21,0))</f>
        <v>1</v>
      </c>
      <c r="R25">
        <f>'Index Market Cap'!$B$2/'Full Universe'!I25</f>
        <v>8899901.5775009822</v>
      </c>
    </row>
    <row r="26" spans="1:18" x14ac:dyDescent="0.25">
      <c r="A26" t="s">
        <v>20</v>
      </c>
      <c r="B26" t="s">
        <v>40</v>
      </c>
      <c r="C26" t="s">
        <v>48</v>
      </c>
      <c r="D26">
        <v>253328748</v>
      </c>
      <c r="E26">
        <v>0.8</v>
      </c>
      <c r="F26">
        <v>1</v>
      </c>
      <c r="G26" t="s">
        <v>40</v>
      </c>
      <c r="H26">
        <v>1</v>
      </c>
      <c r="I26">
        <v>88.5</v>
      </c>
      <c r="J26">
        <v>91.16</v>
      </c>
      <c r="K26">
        <v>252269195</v>
      </c>
      <c r="L26">
        <v>0.8</v>
      </c>
      <c r="M26">
        <v>1</v>
      </c>
      <c r="N26">
        <v>18397487852.959999</v>
      </c>
      <c r="O26">
        <v>1281686.3910197739</v>
      </c>
      <c r="P26" t="b">
        <v>0</v>
      </c>
      <c r="Q26" t="b">
        <f>ISNUMBER(MATCH(B26,'Index Composition'!$B$2:$B$21,0))</f>
        <v>1</v>
      </c>
      <c r="R26">
        <f>'Index Market Cap'!$B$2/'Full Universe'!I26</f>
        <v>1281686.3910197741</v>
      </c>
    </row>
    <row r="27" spans="1:18" x14ac:dyDescent="0.25">
      <c r="A27" t="s">
        <v>21</v>
      </c>
      <c r="B27" t="s">
        <v>41</v>
      </c>
      <c r="C27" t="s">
        <v>48</v>
      </c>
      <c r="D27">
        <v>254311860</v>
      </c>
      <c r="E27">
        <v>0.95</v>
      </c>
      <c r="F27">
        <v>1</v>
      </c>
      <c r="G27" t="s">
        <v>41</v>
      </c>
      <c r="H27">
        <v>1</v>
      </c>
      <c r="I27">
        <v>95.74</v>
      </c>
      <c r="J27">
        <v>95.94</v>
      </c>
      <c r="K27">
        <v>254311860</v>
      </c>
      <c r="L27">
        <v>0.95</v>
      </c>
      <c r="M27">
        <v>1</v>
      </c>
      <c r="N27">
        <v>23178745855.98</v>
      </c>
      <c r="O27">
        <v>1184763.37586432</v>
      </c>
      <c r="P27" t="b">
        <v>0</v>
      </c>
      <c r="Q27" t="b">
        <f>ISNUMBER(MATCH(B27,'Index Composition'!$B$2:$B$21,0))</f>
        <v>1</v>
      </c>
      <c r="R27">
        <f>'Index Market Cap'!$B$2/'Full Universe'!I27</f>
        <v>1184763.3758643202</v>
      </c>
    </row>
    <row r="28" spans="1:18" x14ac:dyDescent="0.25">
      <c r="A28" t="s">
        <v>22</v>
      </c>
      <c r="B28" t="s">
        <v>42</v>
      </c>
      <c r="C28" t="s">
        <v>48</v>
      </c>
      <c r="D28">
        <v>295722284</v>
      </c>
      <c r="E28">
        <v>0.7</v>
      </c>
      <c r="F28">
        <v>1</v>
      </c>
      <c r="G28" t="s">
        <v>42</v>
      </c>
      <c r="H28">
        <v>1</v>
      </c>
      <c r="I28">
        <v>38.99</v>
      </c>
      <c r="J28">
        <v>47.56</v>
      </c>
      <c r="K28">
        <v>295722284</v>
      </c>
      <c r="L28">
        <v>0.7</v>
      </c>
      <c r="M28">
        <v>1</v>
      </c>
      <c r="N28">
        <v>9845186278.9279995</v>
      </c>
      <c r="O28">
        <v>2909188.140683508</v>
      </c>
      <c r="P28" t="b">
        <v>0</v>
      </c>
      <c r="Q28" t="b">
        <f>ISNUMBER(MATCH(B28,'Index Composition'!$B$2:$B$21,0))</f>
        <v>1</v>
      </c>
      <c r="R28">
        <f>'Index Market Cap'!$B$2/'Full Universe'!I28</f>
        <v>2909188.1406835085</v>
      </c>
    </row>
    <row r="29" spans="1:18" hidden="1" x14ac:dyDescent="0.25">
      <c r="A29" t="s">
        <v>64</v>
      </c>
      <c r="B29" t="s">
        <v>82</v>
      </c>
      <c r="C29" t="s">
        <v>48</v>
      </c>
      <c r="D29">
        <v>427260541</v>
      </c>
      <c r="E29">
        <v>0.85</v>
      </c>
      <c r="F29">
        <v>1</v>
      </c>
      <c r="G29" t="s">
        <v>82</v>
      </c>
      <c r="H29">
        <v>1</v>
      </c>
      <c r="I29">
        <v>259.8</v>
      </c>
      <c r="J29">
        <v>254.8</v>
      </c>
      <c r="K29">
        <v>423632587</v>
      </c>
      <c r="L29">
        <v>0.85</v>
      </c>
      <c r="M29">
        <v>1</v>
      </c>
      <c r="N29">
        <v>91750345692.460007</v>
      </c>
      <c r="O29">
        <v>436602.17707948422</v>
      </c>
      <c r="P29" t="b">
        <v>1</v>
      </c>
      <c r="Q29" t="b">
        <f>ISNUMBER(MATCH(B29,'Index Composition'!$B$2:$B$21,0))</f>
        <v>0</v>
      </c>
    </row>
    <row r="30" spans="1:18" hidden="1" x14ac:dyDescent="0.25">
      <c r="A30" t="s">
        <v>65</v>
      </c>
      <c r="B30" t="s">
        <v>83</v>
      </c>
      <c r="C30" t="s">
        <v>48</v>
      </c>
      <c r="D30">
        <v>504005802</v>
      </c>
      <c r="E30">
        <v>0.9</v>
      </c>
      <c r="F30">
        <v>1</v>
      </c>
      <c r="G30" t="s">
        <v>83</v>
      </c>
      <c r="H30">
        <v>1</v>
      </c>
      <c r="I30">
        <v>96.74</v>
      </c>
      <c r="J30">
        <v>97.6</v>
      </c>
      <c r="K30">
        <v>499054076</v>
      </c>
      <c r="L30">
        <v>0.9</v>
      </c>
      <c r="M30">
        <v>1</v>
      </c>
      <c r="N30">
        <v>43836910035.839996</v>
      </c>
      <c r="O30">
        <v>1172516.4937487079</v>
      </c>
      <c r="P30" t="b">
        <v>1</v>
      </c>
      <c r="Q30" t="b">
        <f>ISNUMBER(MATCH(B30,'Index Composition'!$B$2:$B$21,0))</f>
        <v>0</v>
      </c>
    </row>
    <row r="31" spans="1:18" hidden="1" x14ac:dyDescent="0.25">
      <c r="A31" t="s">
        <v>66</v>
      </c>
      <c r="B31" t="s">
        <v>84</v>
      </c>
      <c r="C31" t="s">
        <v>48</v>
      </c>
      <c r="D31">
        <v>1268607152</v>
      </c>
      <c r="E31">
        <v>0.9</v>
      </c>
      <c r="F31">
        <v>1</v>
      </c>
      <c r="G31" t="s">
        <v>84</v>
      </c>
      <c r="H31">
        <v>1</v>
      </c>
      <c r="I31">
        <v>84.85</v>
      </c>
      <c r="J31">
        <v>92.14</v>
      </c>
      <c r="K31">
        <v>1227755441</v>
      </c>
      <c r="L31">
        <v>0.9</v>
      </c>
      <c r="M31">
        <v>1</v>
      </c>
      <c r="N31">
        <v>101812847700.366</v>
      </c>
      <c r="O31">
        <v>1336820.808547437</v>
      </c>
      <c r="P31" t="b">
        <v>1</v>
      </c>
      <c r="Q31" t="b">
        <f>ISNUMBER(MATCH(B31,'Index Composition'!$B$2:$B$21,0))</f>
        <v>0</v>
      </c>
    </row>
    <row r="32" spans="1:18" hidden="1" x14ac:dyDescent="0.25">
      <c r="A32" t="s">
        <v>67</v>
      </c>
      <c r="B32" t="s">
        <v>85</v>
      </c>
      <c r="C32" t="s">
        <v>48</v>
      </c>
      <c r="D32">
        <v>575627026</v>
      </c>
      <c r="E32">
        <v>1</v>
      </c>
      <c r="F32">
        <v>1</v>
      </c>
      <c r="G32" t="s">
        <v>85</v>
      </c>
      <c r="H32">
        <v>1</v>
      </c>
      <c r="I32">
        <v>221.9</v>
      </c>
      <c r="J32">
        <v>217.15</v>
      </c>
      <c r="K32">
        <v>575631676</v>
      </c>
      <c r="L32">
        <v>1</v>
      </c>
      <c r="M32">
        <v>1</v>
      </c>
      <c r="N32">
        <v>124998418443.39999</v>
      </c>
      <c r="O32">
        <v>511172.80579202343</v>
      </c>
      <c r="P32" t="b">
        <v>1</v>
      </c>
      <c r="Q32" t="b">
        <f>ISNUMBER(MATCH(B32,'Index Composition'!$B$2:$B$21,0))</f>
        <v>0</v>
      </c>
    </row>
    <row r="33" spans="1:18" hidden="1" x14ac:dyDescent="0.25">
      <c r="A33" t="s">
        <v>68</v>
      </c>
      <c r="B33" t="s">
        <v>86</v>
      </c>
      <c r="C33" t="s">
        <v>48</v>
      </c>
      <c r="D33">
        <v>812035548</v>
      </c>
      <c r="E33">
        <v>0.9</v>
      </c>
      <c r="F33">
        <v>1</v>
      </c>
      <c r="G33" t="s">
        <v>86</v>
      </c>
      <c r="H33">
        <v>1</v>
      </c>
      <c r="I33">
        <v>48.03</v>
      </c>
      <c r="J33">
        <v>47.97</v>
      </c>
      <c r="K33">
        <v>800316777</v>
      </c>
      <c r="L33">
        <v>0.9</v>
      </c>
      <c r="M33">
        <v>1</v>
      </c>
      <c r="N33">
        <v>34552076213.421013</v>
      </c>
      <c r="O33">
        <v>2361633.2626535501</v>
      </c>
      <c r="P33" t="b">
        <v>1</v>
      </c>
      <c r="Q33" t="b">
        <f>ISNUMBER(MATCH(B33,'Index Composition'!$B$2:$B$21,0))</f>
        <v>0</v>
      </c>
    </row>
    <row r="34" spans="1:18" x14ac:dyDescent="0.25">
      <c r="A34" t="s">
        <v>23</v>
      </c>
      <c r="B34" t="s">
        <v>43</v>
      </c>
      <c r="C34" t="s">
        <v>48</v>
      </c>
      <c r="D34">
        <v>3023129879</v>
      </c>
      <c r="E34">
        <v>0.7</v>
      </c>
      <c r="F34">
        <v>1</v>
      </c>
      <c r="G34" t="s">
        <v>43</v>
      </c>
      <c r="H34">
        <v>1</v>
      </c>
      <c r="I34">
        <v>8.4079999999999995</v>
      </c>
      <c r="J34">
        <v>8.7520000000000007</v>
      </c>
      <c r="K34">
        <v>2896073567</v>
      </c>
      <c r="L34">
        <v>0.7</v>
      </c>
      <c r="M34">
        <v>1</v>
      </c>
      <c r="N34">
        <v>17742505100.868801</v>
      </c>
      <c r="O34">
        <v>13490633.39738939</v>
      </c>
      <c r="P34" t="b">
        <v>1</v>
      </c>
      <c r="Q34" t="b">
        <f>ISNUMBER(MATCH(B34,'Index Composition'!$B$2:$B$21,0))</f>
        <v>1</v>
      </c>
      <c r="R34">
        <f>'Index Market Cap'!$B$2/'Full Universe'!I34</f>
        <v>13490633.397389391</v>
      </c>
    </row>
    <row r="35" spans="1:18" x14ac:dyDescent="0.25">
      <c r="A35" t="s">
        <v>24</v>
      </c>
      <c r="B35" t="s">
        <v>44</v>
      </c>
      <c r="C35" t="s">
        <v>48</v>
      </c>
      <c r="D35">
        <v>911281920</v>
      </c>
      <c r="E35">
        <v>0.7</v>
      </c>
      <c r="F35">
        <v>1</v>
      </c>
      <c r="G35" t="s">
        <v>44</v>
      </c>
      <c r="H35">
        <v>1</v>
      </c>
      <c r="I35">
        <v>25.245000000000001</v>
      </c>
      <c r="J35">
        <v>21.52</v>
      </c>
      <c r="K35">
        <v>911281920</v>
      </c>
      <c r="L35">
        <v>0.7</v>
      </c>
      <c r="M35">
        <v>1</v>
      </c>
      <c r="N35">
        <v>13727550842.879999</v>
      </c>
      <c r="O35">
        <v>4493137.0808179826</v>
      </c>
      <c r="P35" t="b">
        <v>0</v>
      </c>
      <c r="Q35" t="b">
        <f>ISNUMBER(MATCH(B35,'Index Composition'!$B$2:$B$21,0))</f>
        <v>1</v>
      </c>
      <c r="R35">
        <f>'Index Market Cap'!$B$2/'Full Universe'!I35</f>
        <v>4493137.0808179835</v>
      </c>
    </row>
    <row r="36" spans="1:18" x14ac:dyDescent="0.25">
      <c r="A36" t="s">
        <v>25</v>
      </c>
      <c r="B36" t="s">
        <v>45</v>
      </c>
      <c r="C36" t="s">
        <v>48</v>
      </c>
      <c r="D36">
        <v>60738823</v>
      </c>
      <c r="E36">
        <v>0.95</v>
      </c>
      <c r="F36">
        <v>1</v>
      </c>
      <c r="G36" t="s">
        <v>45</v>
      </c>
      <c r="H36">
        <v>1</v>
      </c>
      <c r="I36">
        <v>94.76</v>
      </c>
      <c r="J36">
        <v>91.5</v>
      </c>
      <c r="K36">
        <v>59874365</v>
      </c>
      <c r="L36">
        <v>0.95</v>
      </c>
      <c r="M36">
        <v>1</v>
      </c>
      <c r="N36">
        <v>5204579177.625</v>
      </c>
      <c r="O36">
        <v>1197016.0996754961</v>
      </c>
      <c r="P36" t="b">
        <v>0</v>
      </c>
      <c r="Q36" t="b">
        <f>ISNUMBER(MATCH(B36,'Index Composition'!$B$2:$B$21,0))</f>
        <v>1</v>
      </c>
      <c r="R36">
        <f>'Index Market Cap'!$B$2/'Full Universe'!I36</f>
        <v>1197016.0996754959</v>
      </c>
    </row>
    <row r="37" spans="1:18" hidden="1" x14ac:dyDescent="0.25">
      <c r="A37" t="s">
        <v>101</v>
      </c>
      <c r="B37" t="s">
        <v>103</v>
      </c>
      <c r="C37" t="s">
        <v>48</v>
      </c>
      <c r="D37">
        <v>210210140</v>
      </c>
      <c r="E37">
        <v>0.45</v>
      </c>
      <c r="F37">
        <v>1</v>
      </c>
      <c r="G37" t="s">
        <v>103</v>
      </c>
      <c r="H37">
        <v>1</v>
      </c>
      <c r="I37">
        <v>248.2</v>
      </c>
      <c r="J37">
        <v>257</v>
      </c>
      <c r="K37">
        <v>205941913</v>
      </c>
      <c r="L37">
        <v>0.45</v>
      </c>
      <c r="M37">
        <v>1</v>
      </c>
      <c r="N37">
        <v>23817182238.450001</v>
      </c>
      <c r="O37">
        <v>457007.43595991138</v>
      </c>
      <c r="P37" t="b">
        <v>0</v>
      </c>
      <c r="Q37" t="b">
        <f>ISNUMBER(MATCH(B37,'Index Composition'!$B$2:$B$21,0))</f>
        <v>0</v>
      </c>
    </row>
    <row r="38" spans="1:18" hidden="1" x14ac:dyDescent="0.25">
      <c r="A38" t="s">
        <v>69</v>
      </c>
      <c r="B38" t="s">
        <v>87</v>
      </c>
      <c r="C38" t="s">
        <v>48</v>
      </c>
      <c r="D38">
        <v>2397679661</v>
      </c>
      <c r="E38">
        <v>0.9</v>
      </c>
      <c r="F38">
        <v>1</v>
      </c>
      <c r="G38" t="s">
        <v>87</v>
      </c>
      <c r="H38">
        <v>1</v>
      </c>
      <c r="I38">
        <v>55.51</v>
      </c>
      <c r="J38">
        <v>50.97</v>
      </c>
      <c r="K38">
        <v>2270057201</v>
      </c>
      <c r="L38">
        <v>0.9</v>
      </c>
      <c r="M38">
        <v>1</v>
      </c>
      <c r="N38">
        <v>104134333981.47301</v>
      </c>
      <c r="O38">
        <v>2043402.010543145</v>
      </c>
      <c r="P38" t="b">
        <v>1</v>
      </c>
      <c r="Q38" t="b">
        <f>ISNUMBER(MATCH(B38,'Index Composition'!$B$2:$B$21,0))</f>
        <v>0</v>
      </c>
    </row>
    <row r="39" spans="1:18" x14ac:dyDescent="0.25">
      <c r="A39" t="s">
        <v>26</v>
      </c>
      <c r="B39" t="s">
        <v>46</v>
      </c>
      <c r="C39" t="s">
        <v>48</v>
      </c>
      <c r="D39">
        <v>139364104</v>
      </c>
      <c r="E39">
        <v>0.85</v>
      </c>
      <c r="F39">
        <v>1</v>
      </c>
      <c r="G39" t="s">
        <v>46</v>
      </c>
      <c r="H39">
        <v>1</v>
      </c>
      <c r="I39">
        <v>83.02</v>
      </c>
      <c r="J39">
        <v>78.739999999999995</v>
      </c>
      <c r="K39">
        <v>143188454</v>
      </c>
      <c r="L39">
        <v>0.85</v>
      </c>
      <c r="M39">
        <v>1</v>
      </c>
      <c r="N39">
        <v>9583460037.7659988</v>
      </c>
      <c r="O39">
        <v>1366288.1908606361</v>
      </c>
      <c r="P39" t="b">
        <v>0</v>
      </c>
      <c r="Q39" t="b">
        <f>ISNUMBER(MATCH(B39,'Index Composition'!$B$2:$B$21,0))</f>
        <v>1</v>
      </c>
      <c r="R39">
        <f>'Index Market Cap'!$B$2/'Full Universe'!I39</f>
        <v>1366288.1908606361</v>
      </c>
    </row>
    <row r="40" spans="1:18" x14ac:dyDescent="0.25">
      <c r="A40" t="s">
        <v>27</v>
      </c>
      <c r="B40" t="s">
        <v>47</v>
      </c>
      <c r="C40" t="s">
        <v>48</v>
      </c>
      <c r="D40">
        <v>726148514</v>
      </c>
      <c r="E40">
        <v>0.9</v>
      </c>
      <c r="F40">
        <v>1</v>
      </c>
      <c r="G40" t="s">
        <v>47</v>
      </c>
      <c r="H40">
        <v>1</v>
      </c>
      <c r="I40">
        <v>29.91</v>
      </c>
      <c r="J40">
        <v>30.37</v>
      </c>
      <c r="K40">
        <v>740652608</v>
      </c>
      <c r="L40">
        <v>0.9</v>
      </c>
      <c r="M40">
        <v>1</v>
      </c>
      <c r="N40">
        <v>20244257734.464001</v>
      </c>
      <c r="O40">
        <v>3792351.9092360409</v>
      </c>
      <c r="P40" t="b">
        <v>0</v>
      </c>
      <c r="Q40" t="b">
        <f>ISNUMBER(MATCH(B40,'Index Composition'!$B$2:$B$21,0))</f>
        <v>1</v>
      </c>
      <c r="R40">
        <f>'Index Market Cap'!$B$2/'Full Universe'!I40</f>
        <v>3792351.9092360414</v>
      </c>
    </row>
    <row r="41" spans="1:18" hidden="1" x14ac:dyDescent="0.25">
      <c r="A41" t="s">
        <v>70</v>
      </c>
      <c r="B41" t="s">
        <v>88</v>
      </c>
      <c r="C41" t="s">
        <v>48</v>
      </c>
      <c r="D41">
        <v>588519218</v>
      </c>
      <c r="E41">
        <v>0.9</v>
      </c>
      <c r="F41">
        <v>1</v>
      </c>
      <c r="G41" t="s">
        <v>88</v>
      </c>
      <c r="H41">
        <v>1</v>
      </c>
      <c r="I41">
        <v>124.3</v>
      </c>
      <c r="J41">
        <v>128.5</v>
      </c>
      <c r="K41">
        <v>582414397</v>
      </c>
      <c r="L41">
        <v>0.9</v>
      </c>
      <c r="M41">
        <v>1</v>
      </c>
      <c r="N41">
        <v>67356225013.050003</v>
      </c>
      <c r="O41">
        <v>912544.21243161708</v>
      </c>
      <c r="P41" t="b">
        <v>1</v>
      </c>
      <c r="Q41" t="b">
        <f>ISNUMBER(MATCH(B41,'Index Composition'!$B$2:$B$21,0))</f>
        <v>0</v>
      </c>
    </row>
  </sheetData>
  <autoFilter ref="A1:Q41" xr:uid="{00000000-0001-0000-0300-000000000000}">
    <filterColumn colId="16">
      <filters>
        <filter val="TRU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>
      <selection activeCell="B2" sqref="B2"/>
    </sheetView>
  </sheetViews>
  <sheetFormatPr defaultRowHeight="15" x14ac:dyDescent="0.25"/>
  <cols>
    <col min="2" max="2" width="12" bestFit="1" customWidth="1"/>
  </cols>
  <sheetData>
    <row r="1" spans="1:2" x14ac:dyDescent="0.25">
      <c r="A1" s="1" t="s">
        <v>105</v>
      </c>
    </row>
    <row r="2" spans="1:2" x14ac:dyDescent="0.25">
      <c r="A2">
        <v>2268584912.105</v>
      </c>
      <c r="B2">
        <f>A2/20</f>
        <v>113429245.60525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2025-07-17T15:29:00Z</dcterms:created>
  <dcterms:modified xsi:type="dcterms:W3CDTF">2025-07-17T15:32:37Z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2025-07-17T15:30:31Z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e508ad1d-e95b-4007-bc94-150fb77a6274</vt:lpwstr>
  </property>
  <property fmtid="{D5CDD505-2E9C-101B-9397-08002B2CF9AE}" pid="8" name="MSIP_Label_ac0b9ce6-6e99-42a1-af95-429494370cbc_ContentBits">
    <vt:lpwstr>2</vt:lpwstr>
  </property>
</Properties>
</file>