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A3094CFCDEAB53564B708ED350AFC9DE30750CCA" xr6:coauthVersionLast="47" xr6:coauthVersionMax="47" xr10:uidLastSave="{21FFA031-792C-4FC1-B2FE-201F93269B1D}"/>
  <bookViews>
    <workbookView xWindow="-29370" yWindow="195" windowWidth="29040" windowHeight="15720" xr2:uid="{00000000-000D-0000-FFFF-FFFF00000000}"/>
  </bookViews>
  <sheets>
    <sheet name="ENVUK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<sst xmlns="http://schemas.openxmlformats.org/spreadsheetml/2006/main" count="1307" uniqueCount="489">
  <si>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</si>
  <si>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</si>
  <si>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</si>
  <si>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</si>
  <si>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</si>
  <si>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</si>
  <si>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</si>
  <si>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</si>
  <si>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</si>
  <si>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BARRATT REDROW PLC</t>
  </si>
  <si>
    <t>BRITISH LAND</t>
  </si>
  <si>
    <t>BURBERRY GROUP</t>
  </si>
  <si>
    <t>EXPERIAN</t>
  </si>
  <si>
    <t>HALEON</t>
  </si>
  <si>
    <t>HALMA PLC</t>
  </si>
  <si>
    <t>INFORMA</t>
  </si>
  <si>
    <t>ITV</t>
  </si>
  <si>
    <t>KINGFISHER</t>
  </si>
  <si>
    <t>LAND SECURITIES</t>
  </si>
  <si>
    <t>LONDONMETRIC PROP</t>
  </si>
  <si>
    <t>MONDI PLC</t>
  </si>
  <si>
    <t>PEARSON</t>
  </si>
  <si>
    <t>PENNON GROUP</t>
  </si>
  <si>
    <t>RS GROUP</t>
  </si>
  <si>
    <t>SEGRO</t>
  </si>
  <si>
    <t>TRITAX BIG BOX REIT</t>
  </si>
  <si>
    <t>UNTD UTILITIES GRP</t>
  </si>
  <si>
    <t>WPP</t>
  </si>
  <si>
    <t>GB00B1YW4409</t>
  </si>
  <si>
    <t>GB0000811801</t>
  </si>
  <si>
    <t>GB0001367019</t>
  </si>
  <si>
    <t>GB0031743007</t>
  </si>
  <si>
    <t>GB00B19NLV48</t>
  </si>
  <si>
    <t>GB00BMX86B70</t>
  </si>
  <si>
    <t>GB0004052071</t>
  </si>
  <si>
    <t>GB00BMJ6DW54</t>
  </si>
  <si>
    <t>GB0033986497</t>
  </si>
  <si>
    <t>GB0033195214</t>
  </si>
  <si>
    <t>GB00BYW0PQ60</t>
  </si>
  <si>
    <t>GB00B4WFW713</t>
  </si>
  <si>
    <t>GB00BMWC6P49</t>
  </si>
  <si>
    <t>GB0006776081</t>
  </si>
  <si>
    <t>GB00BNNTLN49</t>
  </si>
  <si>
    <t>GB0003096442</t>
  </si>
  <si>
    <t>GB00B5ZN1N88</t>
  </si>
  <si>
    <t>GB00BG49KP99</t>
  </si>
  <si>
    <t>GB00B39J2M42</t>
  </si>
  <si>
    <t>JE00B8KF9B49</t>
  </si>
  <si>
    <t>XLON</t>
  </si>
  <si>
    <t>11-Jul-25</t>
  </si>
  <si>
    <t>GBX</t>
  </si>
  <si>
    <t>ISIN code</t>
  </si>
  <si>
    <t>ANGLO AMERICAN PLC</t>
  </si>
  <si>
    <t>COCA-COLA HBC AG-CDI</t>
  </si>
  <si>
    <t>CRODA INTERNATIONAL</t>
  </si>
  <si>
    <t>DIAGEO</t>
  </si>
  <si>
    <t>DRAX GROUP PLC</t>
  </si>
  <si>
    <t>GSK PLC</t>
  </si>
  <si>
    <t>INTERTEK GROUP</t>
  </si>
  <si>
    <t>LEGAL AND GENERAL</t>
  </si>
  <si>
    <t>NATWEST GROUP</t>
  </si>
  <si>
    <t>RELX</t>
  </si>
  <si>
    <t>RENTOKIL INITIAL PLC</t>
  </si>
  <si>
    <t>RIO TINTO PLC</t>
  </si>
  <si>
    <t>SERCO GROUP PLC</t>
  </si>
  <si>
    <t>SSE PLC</t>
  </si>
  <si>
    <t>VALTERRA PLATINUM</t>
  </si>
  <si>
    <t>GB00BTK05J60</t>
  </si>
  <si>
    <t>CH0198251305</t>
  </si>
  <si>
    <t>GB00BJFFLV09</t>
  </si>
  <si>
    <t>GB0002374006</t>
  </si>
  <si>
    <t>GB00B1VNSX38</t>
  </si>
  <si>
    <t>GB00BN7SWP63</t>
  </si>
  <si>
    <t>GB0031638363</t>
  </si>
  <si>
    <t>GB0005603997</t>
  </si>
  <si>
    <t>GB00BM8PJY71</t>
  </si>
  <si>
    <t>GB00B2B0DG97</t>
  </si>
  <si>
    <t>GB00B082RF11</t>
  </si>
  <si>
    <t>GB0007188757</t>
  </si>
  <si>
    <t>GB0007973794</t>
  </si>
  <si>
    <t>GB0007908733</t>
  </si>
  <si>
    <t>ZAE000013181</t>
  </si>
  <si>
    <t>Index Market Cap</t>
  </si>
  <si>
    <t>Index Currency</t>
  </si>
  <si>
    <t>EUR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</si>
  <si>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</si>
  <si>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</si>
  <si>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</si>
  <si>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</si>
  <si>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</si>
  <si>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</si>
  <si>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</si>
  <si>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</si>
  <si>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</si>
  <si>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</si>
  <si>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</si>
  <si>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</si>
  <si>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</si>
  <si>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</si>
  <si>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</si>
  <si>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</si>
  <si>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</si>
  <si>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mcap</t>
  </si>
  <si>
    <t>3 months aver. Turnover USD</t>
  </si>
  <si>
    <t>#Symbol</t>
  </si>
  <si>
    <t>Close Prc_EUR</t>
  </si>
  <si>
    <t>FX/Index Ccy</t>
  </si>
  <si>
    <t>Close Prc_CO</t>
  </si>
  <si>
    <t>ESG Risk Score</t>
  </si>
  <si>
    <t>Overall Global Compact Compliance Status</t>
  </si>
  <si>
    <t>Free Float Round:</t>
  </si>
  <si>
    <t>ESG_Risk_Rating</t>
  </si>
  <si>
    <t>FF_Market_Cap</t>
  </si>
  <si>
    <t>ESG_Risk_For_Weight</t>
  </si>
  <si>
    <t>ESG_Score</t>
  </si>
  <si>
    <t>Weight_Uncapped</t>
  </si>
  <si>
    <t>Weight_Final</t>
  </si>
  <si>
    <t>Capping_Factor</t>
  </si>
  <si>
    <t>Price_Index_Ccy</t>
  </si>
  <si>
    <t>Target_Market_Cap</t>
  </si>
  <si>
    <t>Number_of_Shares_Calculated</t>
  </si>
  <si>
    <t>Free Float companies</t>
  </si>
  <si>
    <t>RS1-GB</t>
  </si>
  <si>
    <t>SGRO-GB</t>
  </si>
  <si>
    <t>BBOX-GB</t>
  </si>
  <si>
    <t>PSON-GB</t>
  </si>
  <si>
    <t>LAND-GB</t>
  </si>
  <si>
    <t>EXPN-GB</t>
  </si>
  <si>
    <t>BRBY-GB</t>
  </si>
  <si>
    <t>INF-GB</t>
  </si>
  <si>
    <t>KGF-GB</t>
  </si>
  <si>
    <t>WPP-GB</t>
  </si>
  <si>
    <t>HLMA-GB</t>
  </si>
  <si>
    <t>UU-GB</t>
  </si>
  <si>
    <t>BLND-GB</t>
  </si>
  <si>
    <t>III-GB</t>
  </si>
  <si>
    <t>ITV-GB</t>
  </si>
  <si>
    <t>MNDI-GB</t>
  </si>
  <si>
    <t>PNN-GB</t>
  </si>
  <si>
    <t>LMP-GB</t>
  </si>
  <si>
    <t>HLN-GB</t>
  </si>
  <si>
    <t>BTRW-GB</t>
  </si>
  <si>
    <t>RS1R.L</t>
  </si>
  <si>
    <t>SGRO.L</t>
  </si>
  <si>
    <t>BBOXT.L</t>
  </si>
  <si>
    <t>PSON.L</t>
  </si>
  <si>
    <t>LAND.L</t>
  </si>
  <si>
    <t>EXPN.L</t>
  </si>
  <si>
    <t>BRBY.L</t>
  </si>
  <si>
    <t>INF.L</t>
  </si>
  <si>
    <t>KGF.L</t>
  </si>
  <si>
    <t>WPP.L</t>
  </si>
  <si>
    <t>HLMA.L</t>
  </si>
  <si>
    <t>UU.L</t>
  </si>
  <si>
    <t>BLND.L</t>
  </si>
  <si>
    <t>III.L</t>
  </si>
  <si>
    <t>ITV.L</t>
  </si>
  <si>
    <t>MNDI.L</t>
  </si>
  <si>
    <t>PNN.L</t>
  </si>
  <si>
    <t>LMPL.L</t>
  </si>
  <si>
    <t>HLN.L</t>
  </si>
  <si>
    <t>BTRW.L</t>
  </si>
  <si>
    <t>Compliant</t>
  </si>
  <si>
    <t>TBCG-GB</t>
  </si>
  <si>
    <t>BKG-GB</t>
  </si>
  <si>
    <t>UTG-GB</t>
  </si>
  <si>
    <t>ICG-GB</t>
  </si>
  <si>
    <t>HWDN-GB</t>
  </si>
  <si>
    <t>VOD-GB</t>
  </si>
  <si>
    <t>TW-GB</t>
  </si>
  <si>
    <t>GAW-GB</t>
  </si>
  <si>
    <t>CTEC-GB</t>
  </si>
  <si>
    <t>INVP-GB</t>
  </si>
  <si>
    <t>AHT-GB</t>
  </si>
  <si>
    <t>NG-GB</t>
  </si>
  <si>
    <t>AUTO-GB</t>
  </si>
  <si>
    <t>GSK-GB</t>
  </si>
  <si>
    <t>RTO-GB</t>
  </si>
  <si>
    <t>BNZL-GB</t>
  </si>
  <si>
    <t>ITRK-GB</t>
  </si>
  <si>
    <t>NWG-GB</t>
  </si>
  <si>
    <t>PSN-GB</t>
  </si>
  <si>
    <t>SPX-GB</t>
  </si>
  <si>
    <t>NXT-GB</t>
  </si>
  <si>
    <t>LGEN-GB</t>
  </si>
  <si>
    <t>AV-GB</t>
  </si>
  <si>
    <t>LSEG-GB</t>
  </si>
  <si>
    <t>BEZ-GB</t>
  </si>
  <si>
    <t>SCT-GB</t>
  </si>
  <si>
    <t>BARC-GB</t>
  </si>
  <si>
    <t>STJ-GB</t>
  </si>
  <si>
    <t>PRU-GB</t>
  </si>
  <si>
    <t>CCH-GB</t>
  </si>
  <si>
    <t>SGE-GB</t>
  </si>
  <si>
    <t>DGE-GB</t>
  </si>
  <si>
    <t>BWY-GB</t>
  </si>
  <si>
    <t>RMV-GB</t>
  </si>
  <si>
    <t>ABDN-GB</t>
  </si>
  <si>
    <t>IHG-GB</t>
  </si>
  <si>
    <t>TSCO-GB</t>
  </si>
  <si>
    <t>RKT-GB</t>
  </si>
  <si>
    <t>JMAT-GB</t>
  </si>
  <si>
    <t>MNG-GB</t>
  </si>
  <si>
    <t>CPG-GB</t>
  </si>
  <si>
    <t>DLG-GB</t>
  </si>
  <si>
    <t>PHNX-GB</t>
  </si>
  <si>
    <t>WTB-GB</t>
  </si>
  <si>
    <t>BME-GB</t>
  </si>
  <si>
    <t>WEIR-GB</t>
  </si>
  <si>
    <t>LLOY-GB</t>
  </si>
  <si>
    <t>HSBA-GB</t>
  </si>
  <si>
    <t>ENT-GB</t>
  </si>
  <si>
    <t>ROR-GB</t>
  </si>
  <si>
    <t>DPLM-GB</t>
  </si>
  <si>
    <t>SN-GB</t>
  </si>
  <si>
    <t>BT.A-GB</t>
  </si>
  <si>
    <t>STAN-GB</t>
  </si>
  <si>
    <t>EZJ-GB</t>
  </si>
  <si>
    <t>CRDA-GB</t>
  </si>
  <si>
    <t>IGG-GB</t>
  </si>
  <si>
    <t>PLUS-GB</t>
  </si>
  <si>
    <t>SSE-GB</t>
  </si>
  <si>
    <t>HSX-GB</t>
  </si>
  <si>
    <t>CWK-GB</t>
  </si>
  <si>
    <t>AZN-GB</t>
  </si>
  <si>
    <t>DCC-GB</t>
  </si>
  <si>
    <t>IMI-GB</t>
  </si>
  <si>
    <t>SBRY-GB</t>
  </si>
  <si>
    <t>SVT-GB</t>
  </si>
  <si>
    <t>ADM-GB</t>
  </si>
  <si>
    <t>MKS-GB</t>
  </si>
  <si>
    <t>ANTO-GB</t>
  </si>
  <si>
    <t>WISE-GB</t>
  </si>
  <si>
    <t>CNA-GB</t>
  </si>
  <si>
    <t>IAG-GB</t>
  </si>
  <si>
    <t>HIK-GB</t>
  </si>
  <si>
    <t>MRO-GB</t>
  </si>
  <si>
    <t>RR-GB</t>
  </si>
  <si>
    <t>BA-GB</t>
  </si>
  <si>
    <t>IMB-GB</t>
  </si>
  <si>
    <t>SMIN-GB</t>
  </si>
  <si>
    <t>BBY-GB</t>
  </si>
  <si>
    <t>BATS-GB</t>
  </si>
  <si>
    <t>BAB-GB</t>
  </si>
  <si>
    <t>ABF-GB</t>
  </si>
  <si>
    <t>JET2-GB</t>
  </si>
  <si>
    <t>BP-GB</t>
  </si>
  <si>
    <t>RIO-GB</t>
  </si>
  <si>
    <t>GLEN-GB</t>
  </si>
  <si>
    <t>AAL-GB</t>
  </si>
  <si>
    <t>TBC BANK GROUP PLC</t>
  </si>
  <si>
    <t>BERKELEY GROUP HLD</t>
  </si>
  <si>
    <t>UNITE GROUP</t>
  </si>
  <si>
    <t>INTERMEDIATE CAPITAL</t>
  </si>
  <si>
    <t>HOWDEN JOINERY GROUP</t>
  </si>
  <si>
    <t>VODAFONE GROUP</t>
  </si>
  <si>
    <t>TAYLOR WIMPEY PLC</t>
  </si>
  <si>
    <t>GAMES WORKSHOP GROUP</t>
  </si>
  <si>
    <t>CONVATEC GROUP PLC</t>
  </si>
  <si>
    <t>INVESTEC PLC</t>
  </si>
  <si>
    <t>ASHTEAD GROUP PLC</t>
  </si>
  <si>
    <t>NATIONAL GRID</t>
  </si>
  <si>
    <t>AUTO TRADER GROUP</t>
  </si>
  <si>
    <t>BUNZL</t>
  </si>
  <si>
    <t>PERSIMMON</t>
  </si>
  <si>
    <t>SPIRAX GROUP</t>
  </si>
  <si>
    <t>NEXT</t>
  </si>
  <si>
    <t>AVIVA</t>
  </si>
  <si>
    <t>LONDON STOCK EXCHANG</t>
  </si>
  <si>
    <t>BEAZLEY PLC</t>
  </si>
  <si>
    <t>SOFTCAT PLC</t>
  </si>
  <si>
    <t>BARCLAYS PLC</t>
  </si>
  <si>
    <t>ST JAMES'S PLACE</t>
  </si>
  <si>
    <t>PRUDENTIAL PLC</t>
  </si>
  <si>
    <t>SAGE GROUP PLC/THE</t>
  </si>
  <si>
    <t>BELLWAY P.L.C.</t>
  </si>
  <si>
    <t>RIGHTMOVE PLC</t>
  </si>
  <si>
    <t>ABERDEEN GROUP PLC</t>
  </si>
  <si>
    <t>INTERCONTINENTAL HTL</t>
  </si>
  <si>
    <t>TESCO</t>
  </si>
  <si>
    <t>RECKITT BENCKISER GR</t>
  </si>
  <si>
    <t>JOHNSON MATTHEY PLC</t>
  </si>
  <si>
    <t>M&amp;G PLC</t>
  </si>
  <si>
    <t>COMPASS GROUP PLC</t>
  </si>
  <si>
    <t>DIRECT LINE INSURANC</t>
  </si>
  <si>
    <t>PHOENIX GROUP</t>
  </si>
  <si>
    <t>WHITBREAD</t>
  </si>
  <si>
    <t>B&amp;M EUROP. VALUE RET</t>
  </si>
  <si>
    <t>WEIR GROUP PLC</t>
  </si>
  <si>
    <t>LLOYDS BANKING GROUP</t>
  </si>
  <si>
    <t>HSBC HOLDINGS PLC</t>
  </si>
  <si>
    <t>ENTAIN PLC</t>
  </si>
  <si>
    <t>ROTORK PLC</t>
  </si>
  <si>
    <t>DIPLOMA PLC</t>
  </si>
  <si>
    <t>SMITH AND NEPHEW</t>
  </si>
  <si>
    <t>BT GROUP PLC</t>
  </si>
  <si>
    <t>STANDARD CHARTERED</t>
  </si>
  <si>
    <t>EASYJET</t>
  </si>
  <si>
    <t>IG GROUP HOLDINGS</t>
  </si>
  <si>
    <t>PLUS500 LTD.</t>
  </si>
  <si>
    <t>HISCOX LTD</t>
  </si>
  <si>
    <t>CRANSWICK PLC</t>
  </si>
  <si>
    <t>ASTRAZENECA</t>
  </si>
  <si>
    <t>DCC PLC</t>
  </si>
  <si>
    <t>IMI PLC</t>
  </si>
  <si>
    <t>J SAINSBURY PLC</t>
  </si>
  <si>
    <t>SEVERN TRENT</t>
  </si>
  <si>
    <t>ADMIRAL GROUP PLC</t>
  </si>
  <si>
    <t>MARKS AND SPENCER</t>
  </si>
  <si>
    <t>ANTOFAGASTA PLC</t>
  </si>
  <si>
    <t>WISE PLC CLASS A</t>
  </si>
  <si>
    <t>CENTRICA</t>
  </si>
  <si>
    <t>INTL CONS AIRLINES</t>
  </si>
  <si>
    <t>HIKMA PHARMACEUTICAL</t>
  </si>
  <si>
    <t>MELROSE INDUSTRIES</t>
  </si>
  <si>
    <t>ROLLS-ROYCE HOLDINGS</t>
  </si>
  <si>
    <t>BAE SYSTEMS PLC</t>
  </si>
  <si>
    <t>IMPERIAL BRANDS PLC</t>
  </si>
  <si>
    <t>SMITHS GROUP PLC</t>
  </si>
  <si>
    <t>BALFOUR BEATTY PLC</t>
  </si>
  <si>
    <t>BRIT. AMERC. TOBACCO</t>
  </si>
  <si>
    <t>BABCOCK INTL GROUP</t>
  </si>
  <si>
    <t>ASSOC. BRITISH FOODS</t>
  </si>
  <si>
    <t>JET2 PLC</t>
  </si>
  <si>
    <t>BP P.L.C.</t>
  </si>
  <si>
    <t>GLENCORE PLC</t>
  </si>
  <si>
    <t>GB00BYT18307</t>
  </si>
  <si>
    <t>GB00BP0RGD03</t>
  </si>
  <si>
    <t>GB0006928617</t>
  </si>
  <si>
    <t>GB00BYT1DJ19</t>
  </si>
  <si>
    <t>GB0005576813</t>
  </si>
  <si>
    <t>GB00BH4HKS39</t>
  </si>
  <si>
    <t>GB0008782301</t>
  </si>
  <si>
    <t>GB0003718474</t>
  </si>
  <si>
    <t>GB00BD3VFW73</t>
  </si>
  <si>
    <t>GB00B17BBQ50</t>
  </si>
  <si>
    <t>GB0000536739</t>
  </si>
  <si>
    <t>GB00BDR05C01</t>
  </si>
  <si>
    <t>GB00BVYVFW23</t>
  </si>
  <si>
    <t>GB00B0744B38</t>
  </si>
  <si>
    <t>GB0006825383</t>
  </si>
  <si>
    <t>GB00BWFGQN14</t>
  </si>
  <si>
    <t>GB0032089863</t>
  </si>
  <si>
    <t>GB00BPQY8M80</t>
  </si>
  <si>
    <t>GB00B0SWJX34</t>
  </si>
  <si>
    <t>GB00BYQ0JC66</t>
  </si>
  <si>
    <t>GB00BYZDVK82</t>
  </si>
  <si>
    <t>GB0031348658</t>
  </si>
  <si>
    <t>GB0007669376</t>
  </si>
  <si>
    <t>GB0007099541</t>
  </si>
  <si>
    <t>GB00B8C3BL03</t>
  </si>
  <si>
    <t>GB0000904986</t>
  </si>
  <si>
    <t>GB00BGDT3G23</t>
  </si>
  <si>
    <t>GB00BF8Q6K64</t>
  </si>
  <si>
    <t>GB00BHJYC057</t>
  </si>
  <si>
    <t>GB00BLGZ9862</t>
  </si>
  <si>
    <t>GB00B24CGK77</t>
  </si>
  <si>
    <t>GB00BZ4BQC70</t>
  </si>
  <si>
    <t>GB00BKFB1C65</t>
  </si>
  <si>
    <t>GB00BD6K4575</t>
  </si>
  <si>
    <t>GB00BY9D0Y18</t>
  </si>
  <si>
    <t>GB00BGXQNP29</t>
  </si>
  <si>
    <t>GB00B1KJJ408</t>
  </si>
  <si>
    <t>LU1072616219</t>
  </si>
  <si>
    <t>GB0009465807</t>
  </si>
  <si>
    <t>GB0008706128</t>
  </si>
  <si>
    <t>GB0005405286</t>
  </si>
  <si>
    <t>IM00B5VQMV65</t>
  </si>
  <si>
    <t>GB00BVFNZH21</t>
  </si>
  <si>
    <t>GB0001826634</t>
  </si>
  <si>
    <t>GB0009223206</t>
  </si>
  <si>
    <t>GB0030913577</t>
  </si>
  <si>
    <t>GB0004082847</t>
  </si>
  <si>
    <t>GB00B7KR2P84</t>
  </si>
  <si>
    <t>GB00B06QFB75</t>
  </si>
  <si>
    <t>IL0011284465</t>
  </si>
  <si>
    <t>BMG4593F1389</t>
  </si>
  <si>
    <t>GB0002318888</t>
  </si>
  <si>
    <t>GB0009895292</t>
  </si>
  <si>
    <t>IE0002424939</t>
  </si>
  <si>
    <t>GB00BGLP8L22</t>
  </si>
  <si>
    <t>GB00B019KW72</t>
  </si>
  <si>
    <t>GB00B1FH8J72</t>
  </si>
  <si>
    <t>GB00B02J6398</t>
  </si>
  <si>
    <t>GB0031274896</t>
  </si>
  <si>
    <t>GB0000456144</t>
  </si>
  <si>
    <t>GB00BL9YR756</t>
  </si>
  <si>
    <t>GB00B033F229</t>
  </si>
  <si>
    <t>ES0177542018</t>
  </si>
  <si>
    <t>GB00B0LCW083</t>
  </si>
  <si>
    <t>GB00BNGDN821</t>
  </si>
  <si>
    <t>GB00B63H8491</t>
  </si>
  <si>
    <t>GB0002634946</t>
  </si>
  <si>
    <t>GB0004544929</t>
  </si>
  <si>
    <t>GB00B1WY2338</t>
  </si>
  <si>
    <t>GB0000961622</t>
  </si>
  <si>
    <t>GB0002875804</t>
  </si>
  <si>
    <t>GB0009697037</t>
  </si>
  <si>
    <t>GB0006731235</t>
  </si>
  <si>
    <t>GB00B1722W11</t>
  </si>
  <si>
    <t>GB0007980591</t>
  </si>
  <si>
    <t>JE00B4T3BW64</t>
  </si>
  <si>
    <t>TBCG.L</t>
  </si>
  <si>
    <t>BKGH.L</t>
  </si>
  <si>
    <t>UTG.L</t>
  </si>
  <si>
    <t>ICGIN.L</t>
  </si>
  <si>
    <t>HWDN.L</t>
  </si>
  <si>
    <t>VOD.L</t>
  </si>
  <si>
    <t>TW.L</t>
  </si>
  <si>
    <t>GAW.L</t>
  </si>
  <si>
    <t>CTEC.L</t>
  </si>
  <si>
    <t>INVP.L</t>
  </si>
  <si>
    <t>AHT.L</t>
  </si>
  <si>
    <t>NG.L</t>
  </si>
  <si>
    <t>AUTOA.L</t>
  </si>
  <si>
    <t>GSK.L</t>
  </si>
  <si>
    <t>RTO.L</t>
  </si>
  <si>
    <t>BNZL.L</t>
  </si>
  <si>
    <t>ITRK.L</t>
  </si>
  <si>
    <t>NWG.L</t>
  </si>
  <si>
    <t>PSN.L</t>
  </si>
  <si>
    <t>SPX.L</t>
  </si>
  <si>
    <t>NXT.L</t>
  </si>
  <si>
    <t>LGEN.L</t>
  </si>
  <si>
    <t>AV.L</t>
  </si>
  <si>
    <t>LSEG.L</t>
  </si>
  <si>
    <t>BEZG.L</t>
  </si>
  <si>
    <t>SCTS.L</t>
  </si>
  <si>
    <t>BARC.L</t>
  </si>
  <si>
    <t>SJP.L</t>
  </si>
  <si>
    <t>PRU.L</t>
  </si>
  <si>
    <t>CCH.L</t>
  </si>
  <si>
    <t>SGE.L</t>
  </si>
  <si>
    <t>DGE.L</t>
  </si>
  <si>
    <t>BWY.L</t>
  </si>
  <si>
    <t>RMV.L</t>
  </si>
  <si>
    <t>ABDN.L</t>
  </si>
  <si>
    <t>IHG.L</t>
  </si>
  <si>
    <t>TSCO.L</t>
  </si>
  <si>
    <t>RKT.L</t>
  </si>
  <si>
    <t>JMAT.L</t>
  </si>
  <si>
    <t>MNG.L</t>
  </si>
  <si>
    <t>CPG.L</t>
  </si>
  <si>
    <t>PHNX.L</t>
  </si>
  <si>
    <t>WTB.L</t>
  </si>
  <si>
    <t>BMEB.L</t>
  </si>
  <si>
    <t>WEIR.L</t>
  </si>
  <si>
    <t>LLOY.L</t>
  </si>
  <si>
    <t>HSBA.L</t>
  </si>
  <si>
    <t>ENT.L</t>
  </si>
  <si>
    <t>ROR.L</t>
  </si>
  <si>
    <t>DPLM.L</t>
  </si>
  <si>
    <t>SN.L</t>
  </si>
  <si>
    <t>BT.L</t>
  </si>
  <si>
    <t>STAN.L</t>
  </si>
  <si>
    <t>EZJ.L</t>
  </si>
  <si>
    <t>CRDA.L</t>
  </si>
  <si>
    <t>IGG.L</t>
  </si>
  <si>
    <t>PLUSP.L</t>
  </si>
  <si>
    <t>SSE.L</t>
  </si>
  <si>
    <t>HSX.L</t>
  </si>
  <si>
    <t>CWK.L</t>
  </si>
  <si>
    <t>AZN.L</t>
  </si>
  <si>
    <t>DCC.L</t>
  </si>
  <si>
    <t>IMI.L</t>
  </si>
  <si>
    <t>SBRY.L</t>
  </si>
  <si>
    <t>SVT.L</t>
  </si>
  <si>
    <t>ADML.L</t>
  </si>
  <si>
    <t>MKS.L</t>
  </si>
  <si>
    <t>ANTO.L</t>
  </si>
  <si>
    <t>WISEa.L</t>
  </si>
  <si>
    <t>CNA.L</t>
  </si>
  <si>
    <t>ICAG.L</t>
  </si>
  <si>
    <t>HIK.L</t>
  </si>
  <si>
    <t>MRON.L</t>
  </si>
  <si>
    <t>RR.L</t>
  </si>
  <si>
    <t>BAES.L</t>
  </si>
  <si>
    <t>IMB.L</t>
  </si>
  <si>
    <t>SMIN.L</t>
  </si>
  <si>
    <t>BALF.L</t>
  </si>
  <si>
    <t>BATS.L</t>
  </si>
  <si>
    <t>BAB.L</t>
  </si>
  <si>
    <t>ABF.L</t>
  </si>
  <si>
    <t>JET2.L</t>
  </si>
  <si>
    <t>BP.L</t>
  </si>
  <si>
    <t>RIO.L</t>
  </si>
  <si>
    <t>GLEN.L</t>
  </si>
  <si>
    <t>AAL.L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</si>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</sst>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IA_20250709-00771_ENVUK_NXTVIGEO_Euronext%20Sustainable%20UK%2020%20Index_Semi%20Annual%20Review.xlsx" TargetMode="External"/><Relationship Id="rId1" Type="http://schemas.openxmlformats.org/officeDocument/2006/relationships/externalLinkPath" Target="file:///V:\PM-Indices-IndexOperations\Announcements\EIA%20Euronext%20Index%20Announcement\2025\EIA_20250709-00771_ENVUK_NXTVIGEO_Euronext%20Sustainable%20UK%2020%20Index_Semi%20Annual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UK"/>
    </sheetNames>
    <sheetDataSet>
      <sheetData sheetId="0">
        <row r="3">
          <cell r="D3">
            <v>908</v>
          </cell>
        </row>
        <row r="4">
          <cell r="D4">
            <v>7662</v>
          </cell>
        </row>
        <row r="5">
          <cell r="D5">
            <v>11580</v>
          </cell>
        </row>
        <row r="6">
          <cell r="D6">
            <v>3623</v>
          </cell>
        </row>
        <row r="7">
          <cell r="D7">
            <v>1308</v>
          </cell>
        </row>
        <row r="8">
          <cell r="D8">
            <v>9018</v>
          </cell>
        </row>
        <row r="9">
          <cell r="D9">
            <v>1307</v>
          </cell>
        </row>
        <row r="10">
          <cell r="D10">
            <v>5167</v>
          </cell>
        </row>
        <row r="11">
          <cell r="D11">
            <v>47499</v>
          </cell>
        </row>
        <row r="12">
          <cell r="D12">
            <v>14916</v>
          </cell>
        </row>
        <row r="13">
          <cell r="D13">
            <v>9422</v>
          </cell>
        </row>
        <row r="14">
          <cell r="D14">
            <v>17103</v>
          </cell>
        </row>
        <row r="15">
          <cell r="D15">
            <v>3005</v>
          </cell>
        </row>
        <row r="16">
          <cell r="D16">
            <v>5487</v>
          </cell>
        </row>
        <row r="17">
          <cell r="D17">
            <v>6782</v>
          </cell>
        </row>
        <row r="18">
          <cell r="D18">
            <v>14922</v>
          </cell>
        </row>
        <row r="19">
          <cell r="D19">
            <v>9569</v>
          </cell>
        </row>
        <row r="20">
          <cell r="D20">
            <v>43112</v>
          </cell>
        </row>
        <row r="21">
          <cell r="D21">
            <v>3797</v>
          </cell>
        </row>
        <row r="22">
          <cell r="D22">
            <v>9868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20" sqref="I2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28</v>
      </c>
      <c r="C2" t="s">
        <v>48</v>
      </c>
      <c r="D2">
        <v>908</v>
      </c>
      <c r="E2">
        <v>1</v>
      </c>
      <c r="F2">
        <v>1</v>
      </c>
      <c r="G2" t="s">
        <v>49</v>
      </c>
      <c r="H2" t="s">
        <v>50</v>
      </c>
      <c r="I2" t="b">
        <f>D2=[1]ENVUK!D3</f>
        <v>1</v>
      </c>
    </row>
    <row r="3" spans="1:9" x14ac:dyDescent="0.25">
      <c r="A3" t="s">
        <v>9</v>
      </c>
      <c r="B3" t="s">
        <v>29</v>
      </c>
      <c r="C3" t="s">
        <v>48</v>
      </c>
      <c r="D3">
        <v>7662</v>
      </c>
      <c r="E3">
        <v>1</v>
      </c>
      <c r="F3">
        <v>1</v>
      </c>
      <c r="G3" t="s">
        <v>49</v>
      </c>
      <c r="H3" t="s">
        <v>50</v>
      </c>
      <c r="I3" t="b">
        <f>D3=[1]ENVUK!D4</f>
        <v>1</v>
      </c>
    </row>
    <row r="4" spans="1:9" x14ac:dyDescent="0.25">
      <c r="A4" t="s">
        <v>10</v>
      </c>
      <c r="B4" t="s">
        <v>30</v>
      </c>
      <c r="C4" t="s">
        <v>48</v>
      </c>
      <c r="D4">
        <v>11580</v>
      </c>
      <c r="E4">
        <v>1</v>
      </c>
      <c r="F4">
        <v>1</v>
      </c>
      <c r="G4" t="s">
        <v>49</v>
      </c>
      <c r="H4" t="s">
        <v>50</v>
      </c>
      <c r="I4" t="b">
        <f>D4=[1]ENVUK!D5</f>
        <v>1</v>
      </c>
    </row>
    <row r="5" spans="1:9" x14ac:dyDescent="0.25">
      <c r="A5" t="s">
        <v>11</v>
      </c>
      <c r="B5" t="s">
        <v>31</v>
      </c>
      <c r="C5" t="s">
        <v>48</v>
      </c>
      <c r="D5">
        <v>3623</v>
      </c>
      <c r="E5">
        <v>1</v>
      </c>
      <c r="F5">
        <v>1</v>
      </c>
      <c r="G5" t="s">
        <v>49</v>
      </c>
      <c r="H5" t="s">
        <v>50</v>
      </c>
      <c r="I5" t="b">
        <f>D5=[1]ENVUK!D6</f>
        <v>1</v>
      </c>
    </row>
    <row r="6" spans="1:9" x14ac:dyDescent="0.25">
      <c r="A6" t="s">
        <v>12</v>
      </c>
      <c r="B6" t="s">
        <v>32</v>
      </c>
      <c r="C6" t="s">
        <v>48</v>
      </c>
      <c r="D6">
        <v>1308</v>
      </c>
      <c r="E6">
        <v>1</v>
      </c>
      <c r="F6">
        <v>1</v>
      </c>
      <c r="G6" t="s">
        <v>49</v>
      </c>
      <c r="H6" t="s">
        <v>50</v>
      </c>
      <c r="I6" t="b">
        <f>D6=[1]ENVUK!D7</f>
        <v>1</v>
      </c>
    </row>
    <row r="7" spans="1:9" x14ac:dyDescent="0.25">
      <c r="A7" t="s">
        <v>13</v>
      </c>
      <c r="B7" t="s">
        <v>33</v>
      </c>
      <c r="C7" t="s">
        <v>48</v>
      </c>
      <c r="D7">
        <v>9018</v>
      </c>
      <c r="E7">
        <v>1</v>
      </c>
      <c r="F7">
        <v>1</v>
      </c>
      <c r="G7" t="s">
        <v>49</v>
      </c>
      <c r="H7" t="s">
        <v>50</v>
      </c>
      <c r="I7" t="b">
        <f>D7=[1]ENVUK!D8</f>
        <v>1</v>
      </c>
    </row>
    <row r="8" spans="1:9" x14ac:dyDescent="0.25">
      <c r="A8" t="s">
        <v>14</v>
      </c>
      <c r="B8" t="s">
        <v>34</v>
      </c>
      <c r="C8" t="s">
        <v>48</v>
      </c>
      <c r="D8">
        <v>1307</v>
      </c>
      <c r="E8">
        <v>1</v>
      </c>
      <c r="F8">
        <v>1</v>
      </c>
      <c r="G8" t="s">
        <v>49</v>
      </c>
      <c r="H8" t="s">
        <v>50</v>
      </c>
      <c r="I8" t="b">
        <f>D8=[1]ENVUK!D9</f>
        <v>1</v>
      </c>
    </row>
    <row r="9" spans="1:9" x14ac:dyDescent="0.25">
      <c r="A9" t="s">
        <v>15</v>
      </c>
      <c r="B9" t="s">
        <v>35</v>
      </c>
      <c r="C9" t="s">
        <v>48</v>
      </c>
      <c r="D9">
        <v>5167</v>
      </c>
      <c r="E9">
        <v>1</v>
      </c>
      <c r="F9">
        <v>1</v>
      </c>
      <c r="G9" t="s">
        <v>49</v>
      </c>
      <c r="H9" t="s">
        <v>50</v>
      </c>
      <c r="I9" t="b">
        <f>D9=[1]ENVUK!D10</f>
        <v>1</v>
      </c>
    </row>
    <row r="10" spans="1:9" x14ac:dyDescent="0.25">
      <c r="A10" t="s">
        <v>16</v>
      </c>
      <c r="B10" t="s">
        <v>36</v>
      </c>
      <c r="C10" t="s">
        <v>48</v>
      </c>
      <c r="D10">
        <v>47499</v>
      </c>
      <c r="E10">
        <v>1</v>
      </c>
      <c r="F10">
        <v>1</v>
      </c>
      <c r="G10" t="s">
        <v>49</v>
      </c>
      <c r="H10" t="s">
        <v>50</v>
      </c>
      <c r="I10" t="b">
        <f>D10=[1]ENVUK!D11</f>
        <v>1</v>
      </c>
    </row>
    <row r="11" spans="1:9" x14ac:dyDescent="0.25">
      <c r="A11" t="s">
        <v>17</v>
      </c>
      <c r="B11" t="s">
        <v>37</v>
      </c>
      <c r="C11" t="s">
        <v>48</v>
      </c>
      <c r="D11">
        <v>14916</v>
      </c>
      <c r="E11">
        <v>1</v>
      </c>
      <c r="F11">
        <v>1</v>
      </c>
      <c r="G11" t="s">
        <v>49</v>
      </c>
      <c r="H11" t="s">
        <v>50</v>
      </c>
      <c r="I11" t="b">
        <f>D11=[1]ENVUK!D12</f>
        <v>1</v>
      </c>
    </row>
    <row r="12" spans="1:9" x14ac:dyDescent="0.25">
      <c r="A12" t="s">
        <v>18</v>
      </c>
      <c r="B12" t="s">
        <v>38</v>
      </c>
      <c r="C12" t="s">
        <v>48</v>
      </c>
      <c r="D12">
        <v>9422</v>
      </c>
      <c r="E12">
        <v>1</v>
      </c>
      <c r="F12">
        <v>1</v>
      </c>
      <c r="G12" t="s">
        <v>49</v>
      </c>
      <c r="H12" t="s">
        <v>50</v>
      </c>
      <c r="I12" t="b">
        <f>D12=[1]ENVUK!D13</f>
        <v>1</v>
      </c>
    </row>
    <row r="13" spans="1:9" x14ac:dyDescent="0.25">
      <c r="A13" t="s">
        <v>19</v>
      </c>
      <c r="B13" t="s">
        <v>39</v>
      </c>
      <c r="C13" t="s">
        <v>48</v>
      </c>
      <c r="D13">
        <v>17103</v>
      </c>
      <c r="E13">
        <v>1</v>
      </c>
      <c r="F13">
        <v>1</v>
      </c>
      <c r="G13" t="s">
        <v>49</v>
      </c>
      <c r="H13" t="s">
        <v>50</v>
      </c>
      <c r="I13" t="b">
        <f>D13=[1]ENVUK!D14</f>
        <v>1</v>
      </c>
    </row>
    <row r="14" spans="1:9" x14ac:dyDescent="0.25">
      <c r="A14" t="s">
        <v>20</v>
      </c>
      <c r="B14" t="s">
        <v>40</v>
      </c>
      <c r="C14" t="s">
        <v>48</v>
      </c>
      <c r="D14">
        <v>3005</v>
      </c>
      <c r="E14">
        <v>1</v>
      </c>
      <c r="F14">
        <v>1</v>
      </c>
      <c r="G14" t="s">
        <v>49</v>
      </c>
      <c r="H14" t="s">
        <v>50</v>
      </c>
      <c r="I14" t="b">
        <f>D14=[1]ENVUK!D15</f>
        <v>1</v>
      </c>
    </row>
    <row r="15" spans="1:9" x14ac:dyDescent="0.25">
      <c r="A15" t="s">
        <v>21</v>
      </c>
      <c r="B15" t="s">
        <v>41</v>
      </c>
      <c r="C15" t="s">
        <v>48</v>
      </c>
      <c r="D15">
        <v>5487</v>
      </c>
      <c r="E15">
        <v>1</v>
      </c>
      <c r="F15">
        <v>1</v>
      </c>
      <c r="G15" t="s">
        <v>49</v>
      </c>
      <c r="H15" t="s">
        <v>50</v>
      </c>
      <c r="I15" t="b">
        <f>D15=[1]ENVUK!D16</f>
        <v>1</v>
      </c>
    </row>
    <row r="16" spans="1:9" x14ac:dyDescent="0.25">
      <c r="A16" t="s">
        <v>22</v>
      </c>
      <c r="B16" t="s">
        <v>42</v>
      </c>
      <c r="C16" t="s">
        <v>48</v>
      </c>
      <c r="D16">
        <v>6782</v>
      </c>
      <c r="E16">
        <v>1</v>
      </c>
      <c r="F16">
        <v>1</v>
      </c>
      <c r="G16" t="s">
        <v>49</v>
      </c>
      <c r="H16" t="s">
        <v>50</v>
      </c>
      <c r="I16" t="b">
        <f>D16=[1]ENVUK!D17</f>
        <v>1</v>
      </c>
    </row>
    <row r="17" spans="1:9" x14ac:dyDescent="0.25">
      <c r="A17" t="s">
        <v>23</v>
      </c>
      <c r="B17" t="s">
        <v>43</v>
      </c>
      <c r="C17" t="s">
        <v>48</v>
      </c>
      <c r="D17">
        <v>14922</v>
      </c>
      <c r="E17">
        <v>1</v>
      </c>
      <c r="F17">
        <v>1</v>
      </c>
      <c r="G17" t="s">
        <v>49</v>
      </c>
      <c r="H17" t="s">
        <v>50</v>
      </c>
      <c r="I17" t="b">
        <f>D17=[1]ENVUK!D18</f>
        <v>1</v>
      </c>
    </row>
    <row r="18" spans="1:9" x14ac:dyDescent="0.25">
      <c r="A18" t="s">
        <v>24</v>
      </c>
      <c r="B18" t="s">
        <v>44</v>
      </c>
      <c r="C18" t="s">
        <v>48</v>
      </c>
      <c r="D18">
        <v>9569</v>
      </c>
      <c r="E18">
        <v>1</v>
      </c>
      <c r="F18">
        <v>1</v>
      </c>
      <c r="G18" t="s">
        <v>49</v>
      </c>
      <c r="H18" t="s">
        <v>50</v>
      </c>
      <c r="I18" t="b">
        <f>D18=[1]ENVUK!D19</f>
        <v>1</v>
      </c>
    </row>
    <row r="19" spans="1:9" x14ac:dyDescent="0.25">
      <c r="A19" t="s">
        <v>25</v>
      </c>
      <c r="B19" t="s">
        <v>45</v>
      </c>
      <c r="C19" t="s">
        <v>48</v>
      </c>
      <c r="D19">
        <v>43112</v>
      </c>
      <c r="E19">
        <v>1</v>
      </c>
      <c r="F19">
        <v>1</v>
      </c>
      <c r="G19" t="s">
        <v>49</v>
      </c>
      <c r="H19" t="s">
        <v>50</v>
      </c>
      <c r="I19" t="b">
        <f>D19=[1]ENVUK!D20</f>
        <v>1</v>
      </c>
    </row>
    <row r="20" spans="1:9" x14ac:dyDescent="0.25">
      <c r="A20" t="s">
        <v>26</v>
      </c>
      <c r="B20" t="s">
        <v>46</v>
      </c>
      <c r="C20" t="s">
        <v>48</v>
      </c>
      <c r="D20">
        <v>3797</v>
      </c>
      <c r="E20">
        <v>1</v>
      </c>
      <c r="F20">
        <v>1</v>
      </c>
      <c r="G20" t="s">
        <v>49</v>
      </c>
      <c r="H20" t="s">
        <v>50</v>
      </c>
      <c r="I20" t="b">
        <f>D20=[1]ENVUK!D21</f>
        <v>1</v>
      </c>
    </row>
    <row r="21" spans="1:9" x14ac:dyDescent="0.25">
      <c r="A21" t="s">
        <v>27</v>
      </c>
      <c r="B21" t="s">
        <v>47</v>
      </c>
      <c r="C21" t="s">
        <v>48</v>
      </c>
      <c r="D21">
        <v>9868</v>
      </c>
      <c r="E21">
        <v>1</v>
      </c>
      <c r="F21">
        <v>1</v>
      </c>
      <c r="G21" t="s">
        <v>49</v>
      </c>
      <c r="H21" t="s">
        <v>50</v>
      </c>
      <c r="I21" t="b">
        <f>D21=[1]ENVUK!D22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48</v>
      </c>
    </row>
    <row r="4" spans="1:3" x14ac:dyDescent="0.25">
      <c r="A4" t="s">
        <v>11</v>
      </c>
      <c r="B4" t="s">
        <v>31</v>
      </c>
      <c r="C4" t="s">
        <v>48</v>
      </c>
    </row>
    <row r="5" spans="1:3" x14ac:dyDescent="0.25">
      <c r="A5" t="s">
        <v>13</v>
      </c>
      <c r="B5" t="s">
        <v>33</v>
      </c>
      <c r="C5" t="s">
        <v>48</v>
      </c>
    </row>
    <row r="6" spans="1:3" x14ac:dyDescent="0.25">
      <c r="A6" t="s">
        <v>14</v>
      </c>
      <c r="B6" t="s">
        <v>34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16</v>
      </c>
      <c r="B8" t="s">
        <v>36</v>
      </c>
      <c r="C8" t="s">
        <v>48</v>
      </c>
    </row>
    <row r="9" spans="1:3" x14ac:dyDescent="0.25">
      <c r="A9" t="s">
        <v>17</v>
      </c>
      <c r="B9" t="s">
        <v>37</v>
      </c>
      <c r="C9" t="s">
        <v>48</v>
      </c>
    </row>
    <row r="10" spans="1:3" x14ac:dyDescent="0.25">
      <c r="A10" t="s">
        <v>19</v>
      </c>
      <c r="B10" t="s">
        <v>39</v>
      </c>
      <c r="C10" t="s">
        <v>48</v>
      </c>
    </row>
    <row r="11" spans="1:3" x14ac:dyDescent="0.25">
      <c r="A11" t="s">
        <v>21</v>
      </c>
      <c r="B11" t="s">
        <v>41</v>
      </c>
      <c r="C11" t="s">
        <v>48</v>
      </c>
    </row>
    <row r="12" spans="1:3" x14ac:dyDescent="0.25">
      <c r="A12" t="s">
        <v>22</v>
      </c>
      <c r="B12" t="s">
        <v>42</v>
      </c>
      <c r="C12" t="s">
        <v>48</v>
      </c>
    </row>
    <row r="13" spans="1:3" x14ac:dyDescent="0.25">
      <c r="A13" t="s">
        <v>23</v>
      </c>
      <c r="B13" t="s">
        <v>43</v>
      </c>
      <c r="C13" t="s">
        <v>48</v>
      </c>
    </row>
    <row r="14" spans="1:3" x14ac:dyDescent="0.25">
      <c r="A14" t="s">
        <v>24</v>
      </c>
      <c r="B14" t="s">
        <v>44</v>
      </c>
      <c r="C14" t="s">
        <v>48</v>
      </c>
    </row>
    <row r="15" spans="1:3" x14ac:dyDescent="0.25">
      <c r="A15" t="s">
        <v>25</v>
      </c>
      <c r="B15" t="s">
        <v>45</v>
      </c>
      <c r="C15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51</v>
      </c>
      <c r="C1" s="1" t="s">
        <v>2</v>
      </c>
    </row>
    <row r="2" spans="1:3" x14ac:dyDescent="0.25">
      <c r="A2" t="s">
        <v>52</v>
      </c>
      <c r="B2" t="s">
        <v>67</v>
      </c>
      <c r="C2" t="s">
        <v>48</v>
      </c>
    </row>
    <row r="3" spans="1:3" x14ac:dyDescent="0.25">
      <c r="A3" t="s">
        <v>53</v>
      </c>
      <c r="B3" t="s">
        <v>68</v>
      </c>
      <c r="C3" t="s">
        <v>48</v>
      </c>
    </row>
    <row r="4" spans="1:3" x14ac:dyDescent="0.25">
      <c r="A4" t="s">
        <v>54</v>
      </c>
      <c r="B4" t="s">
        <v>69</v>
      </c>
      <c r="C4" t="s">
        <v>48</v>
      </c>
    </row>
    <row r="5" spans="1:3" x14ac:dyDescent="0.25">
      <c r="A5" t="s">
        <v>55</v>
      </c>
      <c r="B5" t="s">
        <v>70</v>
      </c>
      <c r="C5" t="s">
        <v>48</v>
      </c>
    </row>
    <row r="6" spans="1:3" x14ac:dyDescent="0.25">
      <c r="A6" t="s">
        <v>56</v>
      </c>
      <c r="B6" t="s">
        <v>71</v>
      </c>
      <c r="C6" t="s">
        <v>48</v>
      </c>
    </row>
    <row r="7" spans="1:3" x14ac:dyDescent="0.25">
      <c r="A7" t="s">
        <v>57</v>
      </c>
      <c r="B7" t="s">
        <v>72</v>
      </c>
      <c r="C7" t="s">
        <v>48</v>
      </c>
    </row>
    <row r="8" spans="1:3" x14ac:dyDescent="0.25">
      <c r="A8" t="s">
        <v>58</v>
      </c>
      <c r="B8" t="s">
        <v>73</v>
      </c>
      <c r="C8" t="s">
        <v>48</v>
      </c>
    </row>
    <row r="9" spans="1:3" x14ac:dyDescent="0.25">
      <c r="A9" t="s">
        <v>59</v>
      </c>
      <c r="B9" t="s">
        <v>74</v>
      </c>
      <c r="C9" t="s">
        <v>48</v>
      </c>
    </row>
    <row r="10" spans="1:3" x14ac:dyDescent="0.25">
      <c r="A10" t="s">
        <v>60</v>
      </c>
      <c r="B10" t="s">
        <v>75</v>
      </c>
      <c r="C10" t="s">
        <v>48</v>
      </c>
    </row>
    <row r="11" spans="1:3" x14ac:dyDescent="0.25">
      <c r="A11" t="s">
        <v>61</v>
      </c>
      <c r="B11" t="s">
        <v>76</v>
      </c>
      <c r="C11" t="s">
        <v>48</v>
      </c>
    </row>
    <row r="12" spans="1:3" x14ac:dyDescent="0.25">
      <c r="A12" t="s">
        <v>62</v>
      </c>
      <c r="B12" t="s">
        <v>77</v>
      </c>
      <c r="C12" t="s">
        <v>48</v>
      </c>
    </row>
    <row r="13" spans="1:3" x14ac:dyDescent="0.25">
      <c r="A13" t="s">
        <v>63</v>
      </c>
      <c r="B13" t="s">
        <v>78</v>
      </c>
      <c r="C13" t="s">
        <v>48</v>
      </c>
    </row>
    <row r="14" spans="1:3" x14ac:dyDescent="0.25">
      <c r="A14" t="s">
        <v>64</v>
      </c>
      <c r="B14" t="s">
        <v>79</v>
      </c>
      <c r="C14" t="s">
        <v>48</v>
      </c>
    </row>
    <row r="15" spans="1:3" x14ac:dyDescent="0.25">
      <c r="A15" t="s">
        <v>65</v>
      </c>
      <c r="B15" t="s">
        <v>80</v>
      </c>
      <c r="C15" t="s">
        <v>48</v>
      </c>
    </row>
    <row r="16" spans="1:3" x14ac:dyDescent="0.25">
      <c r="A16" t="s">
        <v>66</v>
      </c>
      <c r="B16" t="s">
        <v>81</v>
      </c>
      <c r="C16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82</v>
      </c>
      <c r="B1" s="1" t="s">
        <v>83</v>
      </c>
    </row>
    <row r="2" spans="1:2" x14ac:dyDescent="0.25">
      <c r="A2">
        <v>91751210.545910999</v>
      </c>
      <c r="B2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1"/>
  <sheetViews>
    <sheetView workbookViewId="0"/>
  </sheetViews>
  <sheetFormatPr defaultRowHeight="15" x14ac:dyDescent="0.25"/>
  <sheetData>
    <row r="1" spans="1:4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7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6</v>
      </c>
    </row>
    <row r="2" spans="1:40" x14ac:dyDescent="0.25">
      <c r="A2">
        <v>375</v>
      </c>
      <c r="B2" t="s">
        <v>122</v>
      </c>
      <c r="C2" t="s">
        <v>23</v>
      </c>
      <c r="D2" t="s">
        <v>43</v>
      </c>
      <c r="E2" t="s">
        <v>48</v>
      </c>
      <c r="F2">
        <v>474049470</v>
      </c>
      <c r="G2">
        <v>6.5849640000000003</v>
      </c>
      <c r="H2" t="s">
        <v>50</v>
      </c>
      <c r="I2">
        <v>6478770.64714758</v>
      </c>
      <c r="J2">
        <v>6376195.34008874</v>
      </c>
      <c r="M2">
        <v>5035058.1046626205</v>
      </c>
      <c r="N2">
        <v>32.084747</v>
      </c>
      <c r="O2">
        <v>34.865077999999997</v>
      </c>
      <c r="P2">
        <v>5316552.6079836404</v>
      </c>
      <c r="Q2">
        <v>34.526653000000003</v>
      </c>
      <c r="R2">
        <v>5558999.07185088</v>
      </c>
      <c r="S2">
        <v>3121598694.1690798</v>
      </c>
      <c r="T2">
        <v>6143133.2698460501</v>
      </c>
      <c r="U2" t="s">
        <v>142</v>
      </c>
      <c r="V2">
        <v>587.5</v>
      </c>
      <c r="W2">
        <v>1.159958E-2</v>
      </c>
      <c r="X2" t="s">
        <v>50</v>
      </c>
      <c r="Y2">
        <v>581</v>
      </c>
      <c r="Z2">
        <v>4.51335</v>
      </c>
      <c r="AA2" t="s">
        <v>162</v>
      </c>
      <c r="AB2">
        <v>1</v>
      </c>
      <c r="AC2">
        <v>4.51335</v>
      </c>
      <c r="AD2">
        <v>2785040636.25</v>
      </c>
      <c r="AE2">
        <v>4.51335</v>
      </c>
      <c r="AF2">
        <v>0.22156491298038039</v>
      </c>
      <c r="AG2">
        <v>9.554564402335472E-2</v>
      </c>
      <c r="AH2">
        <v>9.554564402335472E-2</v>
      </c>
      <c r="AI2">
        <v>1</v>
      </c>
      <c r="AJ2">
        <v>587.5</v>
      </c>
      <c r="AK2">
        <v>8766428.5015314817</v>
      </c>
      <c r="AL2">
        <v>14922</v>
      </c>
      <c r="AM2">
        <v>1</v>
      </c>
      <c r="AN2" t="s">
        <v>49</v>
      </c>
    </row>
    <row r="3" spans="1:40" x14ac:dyDescent="0.25">
      <c r="A3">
        <v>397</v>
      </c>
      <c r="B3" t="s">
        <v>123</v>
      </c>
      <c r="C3" t="s">
        <v>24</v>
      </c>
      <c r="D3" t="s">
        <v>44</v>
      </c>
      <c r="E3" t="s">
        <v>48</v>
      </c>
      <c r="F3">
        <v>1353382100</v>
      </c>
      <c r="G3">
        <v>7.7853669999999999</v>
      </c>
      <c r="H3" t="s">
        <v>50</v>
      </c>
      <c r="I3">
        <v>20098586.0926526</v>
      </c>
      <c r="J3">
        <v>21452577.922975</v>
      </c>
      <c r="M3">
        <v>19679950.153783001</v>
      </c>
      <c r="N3">
        <v>25.459990000000001</v>
      </c>
      <c r="O3">
        <v>26.791637000000001</v>
      </c>
      <c r="P3">
        <v>19059557.3407952</v>
      </c>
      <c r="Q3">
        <v>23.684324</v>
      </c>
      <c r="R3">
        <v>19009024.1706375</v>
      </c>
      <c r="S3">
        <v>10536576339.7307</v>
      </c>
      <c r="T3">
        <v>20959855.3262421</v>
      </c>
      <c r="U3" t="s">
        <v>143</v>
      </c>
      <c r="V3">
        <v>668.4</v>
      </c>
      <c r="W3">
        <v>1.159958E-2</v>
      </c>
      <c r="X3" t="s">
        <v>50</v>
      </c>
      <c r="Y3">
        <v>669.2</v>
      </c>
      <c r="Z3">
        <v>6.1863374999999996</v>
      </c>
      <c r="AA3" t="s">
        <v>162</v>
      </c>
      <c r="AB3">
        <v>0.9</v>
      </c>
      <c r="AC3">
        <v>6.1863374999999996</v>
      </c>
      <c r="AD3">
        <v>8141405360.7600012</v>
      </c>
      <c r="AE3">
        <v>6.1863374999999996</v>
      </c>
      <c r="AF3">
        <v>0.1616465315705779</v>
      </c>
      <c r="AG3">
        <v>6.9706984536942601E-2</v>
      </c>
      <c r="AH3">
        <v>6.9706984536942601E-2</v>
      </c>
      <c r="AI3">
        <v>1</v>
      </c>
      <c r="AJ3">
        <v>668.4</v>
      </c>
      <c r="AK3">
        <v>6395700.2147695832</v>
      </c>
      <c r="AL3">
        <v>9569</v>
      </c>
      <c r="AM3">
        <v>1</v>
      </c>
      <c r="AN3" t="s">
        <v>49</v>
      </c>
    </row>
    <row r="4" spans="1:40" x14ac:dyDescent="0.25">
      <c r="A4">
        <v>465</v>
      </c>
      <c r="B4" t="s">
        <v>124</v>
      </c>
      <c r="C4" t="s">
        <v>25</v>
      </c>
      <c r="D4" t="s">
        <v>45</v>
      </c>
      <c r="E4" t="s">
        <v>48</v>
      </c>
      <c r="F4">
        <v>2480677500</v>
      </c>
      <c r="G4">
        <v>1.671522</v>
      </c>
      <c r="H4" t="s">
        <v>50</v>
      </c>
      <c r="I4">
        <v>8122155.9706054898</v>
      </c>
      <c r="J4">
        <v>5591134.4502693098</v>
      </c>
      <c r="M4">
        <v>7520856.9057483803</v>
      </c>
      <c r="N4">
        <v>25.672412999999999</v>
      </c>
      <c r="O4">
        <v>27.272342999999999</v>
      </c>
      <c r="P4">
        <v>7729351.7269761199</v>
      </c>
      <c r="Q4">
        <v>24.670753000000001</v>
      </c>
      <c r="R4">
        <v>7310886.0490736598</v>
      </c>
      <c r="S4">
        <v>4146507016.1550002</v>
      </c>
      <c r="T4">
        <v>8011997.1617898</v>
      </c>
      <c r="U4" t="s">
        <v>144</v>
      </c>
      <c r="V4">
        <v>143.19999999999999</v>
      </c>
      <c r="W4">
        <v>1.159958E-2</v>
      </c>
      <c r="X4" t="s">
        <v>50</v>
      </c>
      <c r="Y4">
        <v>144.30000000000001</v>
      </c>
      <c r="Z4">
        <v>6.40892047</v>
      </c>
      <c r="AA4" t="s">
        <v>162</v>
      </c>
      <c r="AB4">
        <v>0.9</v>
      </c>
      <c r="AC4">
        <v>6.40892047</v>
      </c>
      <c r="AD4">
        <v>3197097162</v>
      </c>
      <c r="AE4">
        <v>6.40892047</v>
      </c>
      <c r="AF4">
        <v>0.15603251821909411</v>
      </c>
      <c r="AG4">
        <v>6.7286048324579698E-2</v>
      </c>
      <c r="AH4">
        <v>6.7286048324579698E-2</v>
      </c>
      <c r="AI4">
        <v>1</v>
      </c>
      <c r="AJ4">
        <v>143.19999999999999</v>
      </c>
      <c r="AK4">
        <v>6173576.3866308536</v>
      </c>
      <c r="AL4">
        <v>43112</v>
      </c>
      <c r="AM4">
        <v>1</v>
      </c>
      <c r="AN4" t="s">
        <v>49</v>
      </c>
    </row>
    <row r="5" spans="1:40" x14ac:dyDescent="0.25">
      <c r="A5">
        <v>337</v>
      </c>
      <c r="B5" t="s">
        <v>125</v>
      </c>
      <c r="C5" t="s">
        <v>21</v>
      </c>
      <c r="D5" t="s">
        <v>41</v>
      </c>
      <c r="E5" t="s">
        <v>48</v>
      </c>
      <c r="F5">
        <v>659912700</v>
      </c>
      <c r="G5">
        <v>14.41911</v>
      </c>
      <c r="H5" t="s">
        <v>50</v>
      </c>
      <c r="I5">
        <v>16569516.650723601</v>
      </c>
      <c r="J5">
        <v>16367246.2447864</v>
      </c>
      <c r="M5">
        <v>19162619.691020802</v>
      </c>
      <c r="N5">
        <v>20.771750000000001</v>
      </c>
      <c r="O5">
        <v>22.010680000000001</v>
      </c>
      <c r="P5">
        <v>19963025.257337902</v>
      </c>
      <c r="Q5">
        <v>20.067083</v>
      </c>
      <c r="R5">
        <v>22374620.695543099</v>
      </c>
      <c r="S5">
        <v>9515353811.6970005</v>
      </c>
      <c r="T5">
        <v>24581059.961268101</v>
      </c>
      <c r="U5" t="s">
        <v>145</v>
      </c>
      <c r="V5">
        <v>1050</v>
      </c>
      <c r="W5">
        <v>1.159958E-2</v>
      </c>
      <c r="X5" t="s">
        <v>50</v>
      </c>
      <c r="Y5">
        <v>1070</v>
      </c>
      <c r="Z5">
        <v>6.86699167</v>
      </c>
      <c r="AA5" t="s">
        <v>162</v>
      </c>
      <c r="AB5">
        <v>0.8</v>
      </c>
      <c r="AC5">
        <v>6.86699167</v>
      </c>
      <c r="AD5">
        <v>5543266680</v>
      </c>
      <c r="AE5">
        <v>6.86699167</v>
      </c>
      <c r="AF5">
        <v>0.1456241754841098</v>
      </c>
      <c r="AG5">
        <v>6.2797648981684009E-2</v>
      </c>
      <c r="AH5">
        <v>6.2797648981684009E-2</v>
      </c>
      <c r="AI5">
        <v>1</v>
      </c>
      <c r="AJ5">
        <v>1050</v>
      </c>
      <c r="AK5">
        <v>5761760.3135067029</v>
      </c>
      <c r="AL5">
        <v>5487</v>
      </c>
      <c r="AM5">
        <v>1</v>
      </c>
      <c r="AN5" t="s">
        <v>49</v>
      </c>
    </row>
    <row r="6" spans="1:40" x14ac:dyDescent="0.25">
      <c r="A6">
        <v>278</v>
      </c>
      <c r="B6" t="s">
        <v>126</v>
      </c>
      <c r="C6" t="s">
        <v>18</v>
      </c>
      <c r="D6" t="s">
        <v>38</v>
      </c>
      <c r="E6" t="s">
        <v>48</v>
      </c>
      <c r="F6">
        <v>744942800</v>
      </c>
      <c r="G6">
        <v>7.2630910000000002</v>
      </c>
      <c r="H6" t="s">
        <v>50</v>
      </c>
      <c r="I6">
        <v>14759037.718796</v>
      </c>
      <c r="J6">
        <v>17339690.516312499</v>
      </c>
      <c r="M6">
        <v>16366483.080829199</v>
      </c>
      <c r="N6">
        <v>25.71904</v>
      </c>
      <c r="O6">
        <v>26.688365999999998</v>
      </c>
      <c r="P6">
        <v>16842099.818027299</v>
      </c>
      <c r="Q6">
        <v>24.766594000000001</v>
      </c>
      <c r="R6">
        <v>17895077.408860099</v>
      </c>
      <c r="S6">
        <v>5410587346.1948004</v>
      </c>
      <c r="T6">
        <v>19675804.654253099</v>
      </c>
      <c r="U6" t="s">
        <v>146</v>
      </c>
      <c r="V6">
        <v>595.5</v>
      </c>
      <c r="W6">
        <v>1.159958E-2</v>
      </c>
      <c r="X6" t="s">
        <v>50</v>
      </c>
      <c r="Y6">
        <v>598.5</v>
      </c>
      <c r="Z6">
        <v>7.05190625</v>
      </c>
      <c r="AA6" t="s">
        <v>162</v>
      </c>
      <c r="AB6">
        <v>1</v>
      </c>
      <c r="AC6">
        <v>7.05190625</v>
      </c>
      <c r="AD6">
        <v>4436134374</v>
      </c>
      <c r="AE6">
        <v>7.05190625</v>
      </c>
      <c r="AF6">
        <v>0.14180562879717809</v>
      </c>
      <c r="AG6">
        <v>6.1150973533263868E-2</v>
      </c>
      <c r="AH6">
        <v>6.1150973533263868E-2</v>
      </c>
      <c r="AI6">
        <v>1</v>
      </c>
      <c r="AJ6">
        <v>595.5</v>
      </c>
      <c r="AK6">
        <v>5610675.8477379242</v>
      </c>
      <c r="AL6">
        <v>9422</v>
      </c>
      <c r="AM6">
        <v>1</v>
      </c>
      <c r="AN6" t="s">
        <v>49</v>
      </c>
    </row>
    <row r="7" spans="1:40" x14ac:dyDescent="0.25">
      <c r="A7">
        <v>180</v>
      </c>
      <c r="B7" t="s">
        <v>127</v>
      </c>
      <c r="C7" t="s">
        <v>12</v>
      </c>
      <c r="D7" t="s">
        <v>32</v>
      </c>
      <c r="E7" t="s">
        <v>48</v>
      </c>
      <c r="F7">
        <v>918312100</v>
      </c>
      <c r="G7">
        <v>45.065669999999997</v>
      </c>
      <c r="H7" t="s">
        <v>50</v>
      </c>
      <c r="I7">
        <v>48232226.522825703</v>
      </c>
      <c r="J7">
        <v>50970837.781835698</v>
      </c>
      <c r="M7">
        <v>53270154.6662172</v>
      </c>
      <c r="N7">
        <v>27.477060000000002</v>
      </c>
      <c r="O7">
        <v>29.340461999999999</v>
      </c>
      <c r="P7">
        <v>54200629.867926598</v>
      </c>
      <c r="Q7">
        <v>25.263867999999999</v>
      </c>
      <c r="R7">
        <v>52713506.5223362</v>
      </c>
      <c r="S7">
        <v>41384350055.606987</v>
      </c>
      <c r="T7">
        <v>58066404.992915802</v>
      </c>
      <c r="U7" t="s">
        <v>147</v>
      </c>
      <c r="V7">
        <v>3875</v>
      </c>
      <c r="W7">
        <v>1.159958E-2</v>
      </c>
      <c r="X7" t="s">
        <v>50</v>
      </c>
      <c r="Y7">
        <v>3821</v>
      </c>
      <c r="Z7">
        <v>7.8049218800000002</v>
      </c>
      <c r="AA7" t="s">
        <v>162</v>
      </c>
      <c r="AB7">
        <v>1</v>
      </c>
      <c r="AC7">
        <v>7.8049218800000002</v>
      </c>
      <c r="AD7">
        <v>35584593875</v>
      </c>
      <c r="AE7">
        <v>7.8049218800000002</v>
      </c>
      <c r="AF7">
        <v>0.12812428047005639</v>
      </c>
      <c r="AG7">
        <v>5.5251152936947531E-2</v>
      </c>
      <c r="AH7">
        <v>5.5251152936947531E-2</v>
      </c>
      <c r="AI7">
        <v>1</v>
      </c>
      <c r="AJ7">
        <v>3875</v>
      </c>
      <c r="AK7">
        <v>5069360.166022202</v>
      </c>
      <c r="AL7">
        <v>1308</v>
      </c>
      <c r="AM7">
        <v>1</v>
      </c>
      <c r="AN7" t="s">
        <v>49</v>
      </c>
    </row>
    <row r="8" spans="1:40" x14ac:dyDescent="0.25">
      <c r="A8">
        <v>106</v>
      </c>
      <c r="B8" t="s">
        <v>128</v>
      </c>
      <c r="C8" t="s">
        <v>11</v>
      </c>
      <c r="D8" t="s">
        <v>31</v>
      </c>
      <c r="E8" t="s">
        <v>48</v>
      </c>
      <c r="F8">
        <v>359177100</v>
      </c>
      <c r="G8">
        <v>11.442489999999999</v>
      </c>
      <c r="H8" t="s">
        <v>50</v>
      </c>
      <c r="I8">
        <v>18343905.776696902</v>
      </c>
      <c r="J8">
        <v>16536830.9549441</v>
      </c>
      <c r="M8">
        <v>15494389.0513537</v>
      </c>
      <c r="N8">
        <v>51.650356000000002</v>
      </c>
      <c r="O8">
        <v>56.357745999999999</v>
      </c>
      <c r="P8">
        <v>16053188.934560301</v>
      </c>
      <c r="Q8">
        <v>57.575862999999998</v>
      </c>
      <c r="R8">
        <v>15783504.002215501</v>
      </c>
      <c r="S8">
        <v>4109880374.9790001</v>
      </c>
      <c r="T8">
        <v>17333280.845089301</v>
      </c>
      <c r="U8" t="s">
        <v>148</v>
      </c>
      <c r="V8">
        <v>1204</v>
      </c>
      <c r="W8">
        <v>1.159958E-2</v>
      </c>
      <c r="X8" t="s">
        <v>50</v>
      </c>
      <c r="Y8">
        <v>1263</v>
      </c>
      <c r="Z8">
        <v>9.0693549999999998</v>
      </c>
      <c r="AA8" t="s">
        <v>162</v>
      </c>
      <c r="AB8">
        <v>1</v>
      </c>
      <c r="AC8">
        <v>9.0693549999999998</v>
      </c>
      <c r="AD8">
        <v>4324492284</v>
      </c>
      <c r="AE8">
        <v>9.0693549999999998</v>
      </c>
      <c r="AF8">
        <v>0.110261424324001</v>
      </c>
      <c r="AG8">
        <v>4.754813682481368E-2</v>
      </c>
      <c r="AH8">
        <v>4.754813682481368E-2</v>
      </c>
      <c r="AI8">
        <v>1</v>
      </c>
      <c r="AJ8">
        <v>1204</v>
      </c>
      <c r="AK8">
        <v>4362599.1128792642</v>
      </c>
      <c r="AL8">
        <v>3623</v>
      </c>
      <c r="AM8">
        <v>1</v>
      </c>
      <c r="AN8" t="s">
        <v>49</v>
      </c>
    </row>
    <row r="9" spans="1:40" x14ac:dyDescent="0.25">
      <c r="A9">
        <v>239</v>
      </c>
      <c r="B9" t="s">
        <v>129</v>
      </c>
      <c r="C9" t="s">
        <v>15</v>
      </c>
      <c r="D9" t="s">
        <v>35</v>
      </c>
      <c r="E9" t="s">
        <v>48</v>
      </c>
      <c r="F9">
        <v>1311899500</v>
      </c>
      <c r="G9">
        <v>9.3629040000000003</v>
      </c>
      <c r="H9" t="s">
        <v>50</v>
      </c>
      <c r="I9">
        <v>20746242.081780002</v>
      </c>
      <c r="J9">
        <v>27076315.061562099</v>
      </c>
      <c r="M9">
        <v>23278284.0403485</v>
      </c>
      <c r="N9">
        <v>27.505655000000001</v>
      </c>
      <c r="O9">
        <v>29.781040000000001</v>
      </c>
      <c r="P9">
        <v>24060928.9093851</v>
      </c>
      <c r="Q9">
        <v>25.450341999999999</v>
      </c>
      <c r="R9">
        <v>27869733.518041</v>
      </c>
      <c r="S9">
        <v>12283189076.148001</v>
      </c>
      <c r="T9">
        <v>30674705.200406399</v>
      </c>
      <c r="U9" t="s">
        <v>149</v>
      </c>
      <c r="V9">
        <v>823.2</v>
      </c>
      <c r="W9">
        <v>1.159958E-2</v>
      </c>
      <c r="X9" t="s">
        <v>50</v>
      </c>
      <c r="Y9">
        <v>807.8</v>
      </c>
      <c r="Z9">
        <v>9.3025565599999993</v>
      </c>
      <c r="AA9" t="s">
        <v>162</v>
      </c>
      <c r="AB9">
        <v>1</v>
      </c>
      <c r="AC9">
        <v>9.3025565599999993</v>
      </c>
      <c r="AD9">
        <v>10799556684</v>
      </c>
      <c r="AE9">
        <v>9.3025565599999993</v>
      </c>
      <c r="AF9">
        <v>0.1074973308197763</v>
      </c>
      <c r="AG9">
        <v>4.6356174205600113E-2</v>
      </c>
      <c r="AH9">
        <v>4.6356174205600113E-2</v>
      </c>
      <c r="AI9">
        <v>1</v>
      </c>
      <c r="AJ9">
        <v>823.2</v>
      </c>
      <c r="AK9">
        <v>4253235.099640945</v>
      </c>
      <c r="AL9">
        <v>5167</v>
      </c>
      <c r="AM9">
        <v>1</v>
      </c>
      <c r="AN9" t="s">
        <v>49</v>
      </c>
    </row>
    <row r="10" spans="1:40" x14ac:dyDescent="0.25">
      <c r="A10">
        <v>267</v>
      </c>
      <c r="B10" t="s">
        <v>130</v>
      </c>
      <c r="C10" t="s">
        <v>17</v>
      </c>
      <c r="D10" t="s">
        <v>37</v>
      </c>
      <c r="E10" t="s">
        <v>48</v>
      </c>
      <c r="F10">
        <v>1783132800</v>
      </c>
      <c r="G10">
        <v>3.5131709999999998</v>
      </c>
      <c r="H10" t="s">
        <v>50</v>
      </c>
      <c r="I10">
        <v>15780842.329530301</v>
      </c>
      <c r="J10">
        <v>19542369.774381898</v>
      </c>
      <c r="M10">
        <v>15953038.3237237</v>
      </c>
      <c r="N10">
        <v>37.358817999999999</v>
      </c>
      <c r="O10">
        <v>34.993923000000002</v>
      </c>
      <c r="P10">
        <v>15930759.154380299</v>
      </c>
      <c r="Q10">
        <v>35.689810000000001</v>
      </c>
      <c r="R10">
        <v>17333445.499047</v>
      </c>
      <c r="S10">
        <v>6264450442.1087999</v>
      </c>
      <c r="T10">
        <v>19143864.606037501</v>
      </c>
      <c r="U10" t="s">
        <v>150</v>
      </c>
      <c r="V10">
        <v>283.7</v>
      </c>
      <c r="W10">
        <v>1.159958E-2</v>
      </c>
      <c r="X10" t="s">
        <v>50</v>
      </c>
      <c r="Y10">
        <v>286.60000000000002</v>
      </c>
      <c r="Z10">
        <v>9.3499499999999998</v>
      </c>
      <c r="AA10" t="s">
        <v>162</v>
      </c>
      <c r="AB10">
        <v>0.85</v>
      </c>
      <c r="AC10">
        <v>9.3499499999999998</v>
      </c>
      <c r="AD10">
        <v>4299935590.5600004</v>
      </c>
      <c r="AE10">
        <v>9.3499499999999998</v>
      </c>
      <c r="AF10">
        <v>0.1069524435959551</v>
      </c>
      <c r="AG10">
        <v>4.6121201979990062E-2</v>
      </c>
      <c r="AH10">
        <v>4.6121201979990062E-2</v>
      </c>
      <c r="AI10">
        <v>1</v>
      </c>
      <c r="AJ10">
        <v>283.7</v>
      </c>
      <c r="AK10">
        <v>4231676.113496555</v>
      </c>
      <c r="AL10">
        <v>14916</v>
      </c>
      <c r="AM10">
        <v>1</v>
      </c>
      <c r="AN10" t="s">
        <v>49</v>
      </c>
    </row>
    <row r="11" spans="1:40" x14ac:dyDescent="0.25">
      <c r="A11">
        <v>496</v>
      </c>
      <c r="B11" t="s">
        <v>131</v>
      </c>
      <c r="C11" t="s">
        <v>27</v>
      </c>
      <c r="D11" t="s">
        <v>47</v>
      </c>
      <c r="E11" t="s">
        <v>48</v>
      </c>
      <c r="F11">
        <v>1078802400</v>
      </c>
      <c r="G11">
        <v>7.0382389999999999</v>
      </c>
      <c r="H11" t="s">
        <v>50</v>
      </c>
      <c r="I11">
        <v>20821806.234024201</v>
      </c>
      <c r="J11">
        <v>17862019.464097701</v>
      </c>
      <c r="M11">
        <v>22317054.714279201</v>
      </c>
      <c r="N11">
        <v>35.159370000000003</v>
      </c>
      <c r="O11">
        <v>38.248010000000001</v>
      </c>
      <c r="P11">
        <v>21680436.414648499</v>
      </c>
      <c r="Q11">
        <v>32.182971999999999</v>
      </c>
      <c r="R11">
        <v>23844101.008705199</v>
      </c>
      <c r="S11">
        <v>7592869124.9735994</v>
      </c>
      <c r="T11">
        <v>26133188.046895102</v>
      </c>
      <c r="U11" t="s">
        <v>151</v>
      </c>
      <c r="V11">
        <v>428.6</v>
      </c>
      <c r="W11">
        <v>1.159958E-2</v>
      </c>
      <c r="X11" t="s">
        <v>50</v>
      </c>
      <c r="Y11">
        <v>524.20000000000005</v>
      </c>
      <c r="Z11">
        <v>9.3546300000000002</v>
      </c>
      <c r="AA11" t="s">
        <v>162</v>
      </c>
      <c r="AB11">
        <v>0.95</v>
      </c>
      <c r="AC11">
        <v>9.3546300000000002</v>
      </c>
      <c r="AD11">
        <v>4392559732.0799999</v>
      </c>
      <c r="AE11">
        <v>9.3546300000000002</v>
      </c>
      <c r="AF11">
        <v>0.1068989366762769</v>
      </c>
      <c r="AG11">
        <v>4.6098128141124559E-2</v>
      </c>
      <c r="AH11">
        <v>4.6098128141124559E-2</v>
      </c>
      <c r="AI11">
        <v>1</v>
      </c>
      <c r="AJ11">
        <v>428.6</v>
      </c>
      <c r="AK11">
        <v>4229559.0608487045</v>
      </c>
      <c r="AL11">
        <v>9868</v>
      </c>
      <c r="AM11">
        <v>1</v>
      </c>
      <c r="AN11" t="s">
        <v>49</v>
      </c>
    </row>
    <row r="12" spans="1:40" x14ac:dyDescent="0.25">
      <c r="A12">
        <v>212</v>
      </c>
      <c r="B12" t="s">
        <v>132</v>
      </c>
      <c r="C12" t="s">
        <v>14</v>
      </c>
      <c r="D12" t="s">
        <v>34</v>
      </c>
      <c r="E12" t="s">
        <v>48</v>
      </c>
      <c r="F12">
        <v>379645360</v>
      </c>
      <c r="G12">
        <v>34.239440000000002</v>
      </c>
      <c r="H12" t="s">
        <v>50</v>
      </c>
      <c r="I12">
        <v>16918786.756511599</v>
      </c>
      <c r="J12">
        <v>19673195.636302002</v>
      </c>
      <c r="M12">
        <v>18174174.3500209</v>
      </c>
      <c r="N12">
        <v>27.132027000000001</v>
      </c>
      <c r="O12">
        <v>27.597534</v>
      </c>
      <c r="P12">
        <v>18233740.974695999</v>
      </c>
      <c r="Q12">
        <v>25.280360000000002</v>
      </c>
      <c r="R12">
        <v>20360195.632921699</v>
      </c>
      <c r="S12">
        <v>12998844524.9984</v>
      </c>
      <c r="T12">
        <v>22441404.966079202</v>
      </c>
      <c r="U12" t="s">
        <v>152</v>
      </c>
      <c r="V12">
        <v>3214</v>
      </c>
      <c r="W12">
        <v>1.159958E-2</v>
      </c>
      <c r="X12" t="s">
        <v>50</v>
      </c>
      <c r="Y12">
        <v>3182</v>
      </c>
      <c r="Z12">
        <v>9.4187499999999993</v>
      </c>
      <c r="AA12" t="s">
        <v>162</v>
      </c>
      <c r="AB12">
        <v>1</v>
      </c>
      <c r="AC12">
        <v>9.4187499999999993</v>
      </c>
      <c r="AD12">
        <v>12201801870.4</v>
      </c>
      <c r="AE12">
        <v>9.4187499999999993</v>
      </c>
      <c r="AF12">
        <v>0.106171201061712</v>
      </c>
      <c r="AG12">
        <v>4.5784306033476628E-2</v>
      </c>
      <c r="AH12">
        <v>4.5784306033476628E-2</v>
      </c>
      <c r="AI12">
        <v>1</v>
      </c>
      <c r="AJ12">
        <v>3214</v>
      </c>
      <c r="AK12">
        <v>4200765.5025759377</v>
      </c>
      <c r="AL12">
        <v>1307</v>
      </c>
      <c r="AM12">
        <v>1</v>
      </c>
      <c r="AN12" t="s">
        <v>49</v>
      </c>
    </row>
    <row r="13" spans="1:40" x14ac:dyDescent="0.25">
      <c r="A13">
        <v>476</v>
      </c>
      <c r="B13" t="s">
        <v>133</v>
      </c>
      <c r="C13" t="s">
        <v>26</v>
      </c>
      <c r="D13" t="s">
        <v>46</v>
      </c>
      <c r="E13" t="s">
        <v>48</v>
      </c>
      <c r="F13">
        <v>681888400</v>
      </c>
      <c r="G13">
        <v>13.6577</v>
      </c>
      <c r="H13" t="s">
        <v>50</v>
      </c>
      <c r="I13">
        <v>17449177.935157999</v>
      </c>
      <c r="J13">
        <v>17871815.011002898</v>
      </c>
      <c r="M13">
        <v>16870927.708708599</v>
      </c>
      <c r="N13">
        <v>23.993237000000001</v>
      </c>
      <c r="O13">
        <v>25.485043000000001</v>
      </c>
      <c r="P13">
        <v>17367763.077792201</v>
      </c>
      <c r="Q13">
        <v>23.063262999999999</v>
      </c>
      <c r="R13">
        <v>18153732.485040501</v>
      </c>
      <c r="S13">
        <v>9313027200.6800003</v>
      </c>
      <c r="T13">
        <v>20050798.804070398</v>
      </c>
      <c r="U13" t="s">
        <v>153</v>
      </c>
      <c r="V13">
        <v>1098.5</v>
      </c>
      <c r="W13">
        <v>1.159958E-2</v>
      </c>
      <c r="X13" t="s">
        <v>50</v>
      </c>
      <c r="Y13">
        <v>1117.5</v>
      </c>
      <c r="Z13">
        <v>9.4860781299999992</v>
      </c>
      <c r="AA13" t="s">
        <v>162</v>
      </c>
      <c r="AB13">
        <v>1</v>
      </c>
      <c r="AC13">
        <v>9.4860781299999992</v>
      </c>
      <c r="AD13">
        <v>7490544074</v>
      </c>
      <c r="AE13">
        <v>9.4860781299999992</v>
      </c>
      <c r="AF13">
        <v>0.1054176432341908</v>
      </c>
      <c r="AG13">
        <v>4.5459348588857557E-2</v>
      </c>
      <c r="AH13">
        <v>4.5459348588857557E-2</v>
      </c>
      <c r="AI13">
        <v>1</v>
      </c>
      <c r="AJ13">
        <v>1098.5</v>
      </c>
      <c r="AK13">
        <v>4170950.263656233</v>
      </c>
      <c r="AL13">
        <v>3797</v>
      </c>
      <c r="AM13">
        <v>1</v>
      </c>
      <c r="AN13" t="s">
        <v>49</v>
      </c>
    </row>
    <row r="14" spans="1:40" x14ac:dyDescent="0.25">
      <c r="A14">
        <v>102</v>
      </c>
      <c r="B14" t="s">
        <v>134</v>
      </c>
      <c r="C14" t="s">
        <v>10</v>
      </c>
      <c r="D14" t="s">
        <v>30</v>
      </c>
      <c r="E14" t="s">
        <v>48</v>
      </c>
      <c r="F14">
        <v>999159700</v>
      </c>
      <c r="G14">
        <v>4.5517750000000001</v>
      </c>
      <c r="H14" t="s">
        <v>50</v>
      </c>
      <c r="I14">
        <v>13383718.618626099</v>
      </c>
      <c r="J14">
        <v>13280357.321404699</v>
      </c>
      <c r="M14">
        <v>12841460.540971899</v>
      </c>
      <c r="N14">
        <v>27.122723000000001</v>
      </c>
      <c r="O14">
        <v>27.170542000000001</v>
      </c>
      <c r="P14">
        <v>13052184.354426401</v>
      </c>
      <c r="Q14">
        <v>25.608767</v>
      </c>
      <c r="R14">
        <v>13195935.857968699</v>
      </c>
      <c r="S14">
        <v>4547950143.4674997</v>
      </c>
      <c r="T14">
        <v>14513998.5670639</v>
      </c>
      <c r="U14" t="s">
        <v>154</v>
      </c>
      <c r="V14">
        <v>359.6</v>
      </c>
      <c r="W14">
        <v>1.159958E-2</v>
      </c>
      <c r="X14" t="s">
        <v>50</v>
      </c>
      <c r="Y14">
        <v>363.4</v>
      </c>
      <c r="Z14">
        <v>9.5015374999999995</v>
      </c>
      <c r="AA14" t="s">
        <v>162</v>
      </c>
      <c r="AB14">
        <v>1</v>
      </c>
      <c r="AC14">
        <v>9.5015374999999995</v>
      </c>
      <c r="AD14">
        <v>3592978281.1999998</v>
      </c>
      <c r="AE14">
        <v>9.5015374999999995</v>
      </c>
      <c r="AF14">
        <v>0.10524612464035429</v>
      </c>
      <c r="AG14">
        <v>4.5385384465704427E-2</v>
      </c>
      <c r="AH14">
        <v>4.5385384465704427E-2</v>
      </c>
      <c r="AI14">
        <v>1</v>
      </c>
      <c r="AJ14">
        <v>359.6</v>
      </c>
      <c r="AK14">
        <v>4164163.9658199651</v>
      </c>
      <c r="AL14">
        <v>11580</v>
      </c>
      <c r="AM14">
        <v>1</v>
      </c>
      <c r="AN14" t="s">
        <v>49</v>
      </c>
    </row>
    <row r="15" spans="1:40" x14ac:dyDescent="0.25">
      <c r="A15">
        <v>1</v>
      </c>
      <c r="B15" t="s">
        <v>135</v>
      </c>
      <c r="C15" t="s">
        <v>8</v>
      </c>
      <c r="D15" t="s">
        <v>28</v>
      </c>
      <c r="E15" t="s">
        <v>48</v>
      </c>
      <c r="F15">
        <v>973400200</v>
      </c>
      <c r="G15">
        <v>48.979759999999999</v>
      </c>
      <c r="H15" t="s">
        <v>50</v>
      </c>
      <c r="I15">
        <v>49305148.222139299</v>
      </c>
      <c r="J15">
        <v>69821627.327678293</v>
      </c>
      <c r="M15">
        <v>52571810.769097298</v>
      </c>
      <c r="N15">
        <v>27.167736000000001</v>
      </c>
      <c r="O15">
        <v>29.23751</v>
      </c>
      <c r="P15">
        <v>54517563.294395499</v>
      </c>
      <c r="Q15">
        <v>26.853249000000002</v>
      </c>
      <c r="R15">
        <v>65574248.187823199</v>
      </c>
      <c r="S15">
        <v>47676908179.952003</v>
      </c>
      <c r="T15">
        <v>72277090.063199803</v>
      </c>
      <c r="U15" t="s">
        <v>155</v>
      </c>
      <c r="V15">
        <v>4176</v>
      </c>
      <c r="W15">
        <v>1.159958E-2</v>
      </c>
      <c r="X15" t="s">
        <v>50</v>
      </c>
      <c r="Y15">
        <v>4042</v>
      </c>
      <c r="Z15">
        <v>10.436825000000001</v>
      </c>
      <c r="AA15" t="s">
        <v>162</v>
      </c>
      <c r="AB15">
        <v>1</v>
      </c>
      <c r="AC15">
        <v>10.436825000000001</v>
      </c>
      <c r="AD15">
        <v>40649192352</v>
      </c>
      <c r="AE15">
        <v>10.436825000000001</v>
      </c>
      <c r="AF15">
        <v>9.5814579625508711E-2</v>
      </c>
      <c r="AG15">
        <v>4.1318210514481937E-2</v>
      </c>
      <c r="AH15">
        <v>4.1318210514481937E-2</v>
      </c>
      <c r="AI15">
        <v>1</v>
      </c>
      <c r="AJ15">
        <v>4176</v>
      </c>
      <c r="AK15">
        <v>3790995.832294506</v>
      </c>
      <c r="AL15">
        <v>908</v>
      </c>
      <c r="AM15">
        <v>1</v>
      </c>
      <c r="AN15" t="s">
        <v>49</v>
      </c>
    </row>
    <row r="16" spans="1:40" x14ac:dyDescent="0.25">
      <c r="A16">
        <v>253</v>
      </c>
      <c r="B16" t="s">
        <v>136</v>
      </c>
      <c r="C16" t="s">
        <v>16</v>
      </c>
      <c r="D16" t="s">
        <v>36</v>
      </c>
      <c r="E16" t="s">
        <v>48</v>
      </c>
      <c r="F16">
        <v>3758189200</v>
      </c>
      <c r="G16">
        <v>0.92855730000000003</v>
      </c>
      <c r="H16" t="s">
        <v>50</v>
      </c>
      <c r="I16">
        <v>7784508.1319108997</v>
      </c>
      <c r="J16">
        <v>9805625.8519804794</v>
      </c>
      <c r="M16">
        <v>8641018.0955191907</v>
      </c>
      <c r="N16">
        <v>34.99</v>
      </c>
      <c r="O16">
        <v>34.43103</v>
      </c>
      <c r="P16">
        <v>8863028.5462190099</v>
      </c>
      <c r="Q16">
        <v>34.599420000000002</v>
      </c>
      <c r="R16">
        <v>11112099.5670752</v>
      </c>
      <c r="S16">
        <v>3489694016.4411602</v>
      </c>
      <c r="T16">
        <v>12337342.6569768</v>
      </c>
      <c r="U16" t="s">
        <v>156</v>
      </c>
      <c r="V16">
        <v>79.400000000000006</v>
      </c>
      <c r="W16">
        <v>1.159958E-2</v>
      </c>
      <c r="X16" t="s">
        <v>50</v>
      </c>
      <c r="Y16">
        <v>83.3</v>
      </c>
      <c r="Z16">
        <v>10.490987499999999</v>
      </c>
      <c r="AA16" t="s">
        <v>162</v>
      </c>
      <c r="AB16">
        <v>0.85</v>
      </c>
      <c r="AC16">
        <v>10.490987499999999</v>
      </c>
      <c r="AD16">
        <v>2536401891.0799999</v>
      </c>
      <c r="AE16">
        <v>10.490987499999999</v>
      </c>
      <c r="AF16">
        <v>9.5319911495462178E-2</v>
      </c>
      <c r="AG16">
        <v>4.110489431550729E-2</v>
      </c>
      <c r="AH16">
        <v>4.110489431550729E-2</v>
      </c>
      <c r="AI16">
        <v>1</v>
      </c>
      <c r="AJ16">
        <v>79.400000000000006</v>
      </c>
      <c r="AK16">
        <v>3771423.8128095302</v>
      </c>
      <c r="AL16">
        <v>47499</v>
      </c>
      <c r="AM16">
        <v>1</v>
      </c>
      <c r="AN16" t="s">
        <v>49</v>
      </c>
    </row>
    <row r="17" spans="1:40" x14ac:dyDescent="0.25">
      <c r="A17">
        <v>307</v>
      </c>
      <c r="B17" t="s">
        <v>137</v>
      </c>
      <c r="C17" t="s">
        <v>20</v>
      </c>
      <c r="D17" t="s">
        <v>40</v>
      </c>
      <c r="E17" t="s">
        <v>48</v>
      </c>
      <c r="F17">
        <v>441412540</v>
      </c>
      <c r="G17">
        <v>14.0741</v>
      </c>
      <c r="H17" t="s">
        <v>50</v>
      </c>
      <c r="I17">
        <v>16597474.0896858</v>
      </c>
      <c r="J17">
        <v>14253569.892317001</v>
      </c>
      <c r="M17">
        <v>15454133.4626415</v>
      </c>
      <c r="N17">
        <v>28.584758999999998</v>
      </c>
      <c r="O17">
        <v>30.602115999999999</v>
      </c>
      <c r="P17">
        <v>15771220.3259665</v>
      </c>
      <c r="Q17">
        <v>28.639009999999999</v>
      </c>
      <c r="R17">
        <v>15434683.9544839</v>
      </c>
      <c r="S17">
        <v>6212484229.2139997</v>
      </c>
      <c r="T17">
        <v>16949260.7026673</v>
      </c>
      <c r="U17" t="s">
        <v>157</v>
      </c>
      <c r="V17">
        <v>1186.5</v>
      </c>
      <c r="W17">
        <v>1.159958E-2</v>
      </c>
      <c r="X17" t="s">
        <v>50</v>
      </c>
      <c r="Y17">
        <v>1199</v>
      </c>
      <c r="Z17">
        <v>11.097676959999999</v>
      </c>
      <c r="AA17" t="s">
        <v>162</v>
      </c>
      <c r="AB17">
        <v>1</v>
      </c>
      <c r="AC17">
        <v>11.097676959999999</v>
      </c>
      <c r="AD17">
        <v>5237359787.1000004</v>
      </c>
      <c r="AE17">
        <v>11.097676959999999</v>
      </c>
      <c r="AF17">
        <v>9.0108948350574453E-2</v>
      </c>
      <c r="AG17">
        <v>3.8857765819560137E-2</v>
      </c>
      <c r="AH17">
        <v>3.8857765819560137E-2</v>
      </c>
      <c r="AI17">
        <v>1</v>
      </c>
      <c r="AJ17">
        <v>1186.5</v>
      </c>
      <c r="AK17">
        <v>3565247.053054166</v>
      </c>
      <c r="AL17">
        <v>3005</v>
      </c>
      <c r="AM17">
        <v>1</v>
      </c>
      <c r="AN17" t="s">
        <v>49</v>
      </c>
    </row>
    <row r="18" spans="1:40" x14ac:dyDescent="0.25">
      <c r="A18">
        <v>338</v>
      </c>
      <c r="B18" t="s">
        <v>138</v>
      </c>
      <c r="C18" t="s">
        <v>22</v>
      </c>
      <c r="D18" t="s">
        <v>42</v>
      </c>
      <c r="E18" t="s">
        <v>48</v>
      </c>
      <c r="F18">
        <v>471971070</v>
      </c>
      <c r="G18">
        <v>6.1150349999999998</v>
      </c>
      <c r="H18" t="s">
        <v>50</v>
      </c>
      <c r="I18">
        <v>6447544.9350248901</v>
      </c>
      <c r="J18">
        <v>5043716.5223028902</v>
      </c>
      <c r="M18">
        <v>7817184.5780714601</v>
      </c>
      <c r="N18">
        <v>35.465533999999998</v>
      </c>
      <c r="O18">
        <v>36.592227999999999</v>
      </c>
      <c r="P18">
        <v>8365116.4589326102</v>
      </c>
      <c r="Q18">
        <v>33.390113999999997</v>
      </c>
      <c r="R18">
        <v>8247626.3898180798</v>
      </c>
      <c r="S18">
        <v>2886119612.0374498</v>
      </c>
      <c r="T18">
        <v>9046387.6039603408</v>
      </c>
      <c r="U18" t="s">
        <v>158</v>
      </c>
      <c r="V18">
        <v>494</v>
      </c>
      <c r="W18">
        <v>1.159958E-2</v>
      </c>
      <c r="X18" t="s">
        <v>50</v>
      </c>
      <c r="Y18">
        <v>490.8</v>
      </c>
      <c r="Z18">
        <v>11.809260370000001</v>
      </c>
      <c r="AA18" t="s">
        <v>162</v>
      </c>
      <c r="AB18">
        <v>1</v>
      </c>
      <c r="AC18">
        <v>11.809260370000001</v>
      </c>
      <c r="AD18">
        <v>2331537085.8000002</v>
      </c>
      <c r="AE18">
        <v>11.809260370000001</v>
      </c>
      <c r="AF18">
        <v>8.467930832826577E-2</v>
      </c>
      <c r="AG18">
        <v>3.6516337089856882E-2</v>
      </c>
      <c r="AH18">
        <v>3.6516337089856882E-2</v>
      </c>
      <c r="AI18">
        <v>1</v>
      </c>
      <c r="AJ18">
        <v>494</v>
      </c>
      <c r="AK18">
        <v>3350418.1326969182</v>
      </c>
      <c r="AL18">
        <v>6782</v>
      </c>
      <c r="AM18">
        <v>1</v>
      </c>
      <c r="AN18" t="s">
        <v>49</v>
      </c>
    </row>
    <row r="19" spans="1:40" x14ac:dyDescent="0.25">
      <c r="A19">
        <v>289</v>
      </c>
      <c r="B19" t="s">
        <v>139</v>
      </c>
      <c r="C19" t="s">
        <v>19</v>
      </c>
      <c r="D19" t="s">
        <v>39</v>
      </c>
      <c r="E19" t="s">
        <v>48</v>
      </c>
      <c r="F19">
        <v>2079461000</v>
      </c>
      <c r="G19">
        <v>2.3472689999999998</v>
      </c>
      <c r="H19" t="s">
        <v>50</v>
      </c>
      <c r="I19">
        <v>11563460.3606396</v>
      </c>
      <c r="J19">
        <v>15567699.408361699</v>
      </c>
      <c r="M19">
        <v>11382533.204280499</v>
      </c>
      <c r="N19">
        <v>22.887975999999998</v>
      </c>
      <c r="O19">
        <v>23.777094000000002</v>
      </c>
      <c r="P19">
        <v>11646865.887621099</v>
      </c>
      <c r="Q19">
        <v>21.209973999999999</v>
      </c>
      <c r="R19">
        <v>12947329.524636</v>
      </c>
      <c r="S19">
        <v>4881054342.0089998</v>
      </c>
      <c r="T19">
        <v>14326312.7714651</v>
      </c>
      <c r="U19" t="s">
        <v>159</v>
      </c>
      <c r="V19">
        <v>194.5</v>
      </c>
      <c r="W19">
        <v>1.159958E-2</v>
      </c>
      <c r="X19" t="s">
        <v>50</v>
      </c>
      <c r="Y19">
        <v>197.7</v>
      </c>
      <c r="Z19">
        <v>11.894304999999999</v>
      </c>
      <c r="AA19" t="s">
        <v>162</v>
      </c>
      <c r="AB19">
        <v>0.95</v>
      </c>
      <c r="AC19">
        <v>11.894304999999999</v>
      </c>
      <c r="AD19">
        <v>3842324062.75</v>
      </c>
      <c r="AE19">
        <v>11.894304999999999</v>
      </c>
      <c r="AF19">
        <v>8.4073848787297789E-2</v>
      </c>
      <c r="AG19">
        <v>3.6255244207442812E-2</v>
      </c>
      <c r="AH19">
        <v>3.6255244207442812E-2</v>
      </c>
      <c r="AI19">
        <v>1</v>
      </c>
      <c r="AJ19">
        <v>194.5</v>
      </c>
      <c r="AK19">
        <v>3326462.544670505</v>
      </c>
      <c r="AL19">
        <v>17103</v>
      </c>
      <c r="AM19">
        <v>1</v>
      </c>
      <c r="AN19" t="s">
        <v>49</v>
      </c>
    </row>
    <row r="20" spans="1:40" x14ac:dyDescent="0.25">
      <c r="A20">
        <v>211</v>
      </c>
      <c r="B20" t="s">
        <v>140</v>
      </c>
      <c r="C20" t="s">
        <v>13</v>
      </c>
      <c r="D20" t="s">
        <v>33</v>
      </c>
      <c r="E20" t="s">
        <v>48</v>
      </c>
      <c r="F20">
        <v>9005257000</v>
      </c>
      <c r="G20">
        <v>4.8967869999999998</v>
      </c>
      <c r="H20" t="s">
        <v>50</v>
      </c>
      <c r="I20">
        <v>65368462.740391001</v>
      </c>
      <c r="J20">
        <v>77539470.659898505</v>
      </c>
      <c r="M20">
        <v>75817023.007147804</v>
      </c>
      <c r="N20">
        <v>23.376978000000001</v>
      </c>
      <c r="O20">
        <v>25.376605999999999</v>
      </c>
      <c r="P20">
        <v>82065580.923849195</v>
      </c>
      <c r="Q20">
        <v>20.998654999999999</v>
      </c>
      <c r="R20">
        <v>86299715.086729005</v>
      </c>
      <c r="S20">
        <v>44096825409.259003</v>
      </c>
      <c r="T20">
        <v>94807663.206907406</v>
      </c>
      <c r="U20" t="s">
        <v>160</v>
      </c>
      <c r="V20">
        <v>367.2</v>
      </c>
      <c r="W20">
        <v>1.159958E-2</v>
      </c>
      <c r="X20" t="s">
        <v>50</v>
      </c>
      <c r="Y20">
        <v>377.9</v>
      </c>
      <c r="Z20">
        <v>11.948575</v>
      </c>
      <c r="AA20" t="s">
        <v>162</v>
      </c>
      <c r="AB20">
        <v>1</v>
      </c>
      <c r="AC20">
        <v>11.948575</v>
      </c>
      <c r="AD20">
        <v>33067303704</v>
      </c>
      <c r="AE20">
        <v>11.948575</v>
      </c>
      <c r="AF20">
        <v>8.369198837518281E-2</v>
      </c>
      <c r="AG20">
        <v>3.6090574185859647E-2</v>
      </c>
      <c r="AH20">
        <v>3.6090574185859647E-2</v>
      </c>
      <c r="AI20">
        <v>1</v>
      </c>
      <c r="AJ20">
        <v>367.2</v>
      </c>
      <c r="AK20">
        <v>3311353.8708496289</v>
      </c>
      <c r="AL20">
        <v>9018</v>
      </c>
      <c r="AM20">
        <v>1</v>
      </c>
      <c r="AN20" t="s">
        <v>49</v>
      </c>
    </row>
    <row r="21" spans="1:40" x14ac:dyDescent="0.25">
      <c r="A21">
        <v>75</v>
      </c>
      <c r="B21" t="s">
        <v>141</v>
      </c>
      <c r="C21" t="s">
        <v>9</v>
      </c>
      <c r="D21" t="s">
        <v>29</v>
      </c>
      <c r="E21" t="s">
        <v>48</v>
      </c>
      <c r="F21">
        <v>1442689100</v>
      </c>
      <c r="G21">
        <v>5.4440470000000003</v>
      </c>
      <c r="H21" t="s">
        <v>50</v>
      </c>
      <c r="I21">
        <v>20756064.629888799</v>
      </c>
      <c r="J21">
        <v>17618613.402912699</v>
      </c>
      <c r="M21">
        <v>19562930.236676998</v>
      </c>
      <c r="N21">
        <v>27.588000000000001</v>
      </c>
      <c r="O21">
        <v>29.330172000000001</v>
      </c>
      <c r="P21">
        <v>19910890.357935999</v>
      </c>
      <c r="Q21">
        <v>27.657343000000001</v>
      </c>
      <c r="R21">
        <v>19142309.9188063</v>
      </c>
      <c r="S21">
        <v>7854067266.7877007</v>
      </c>
      <c r="T21">
        <v>21129247.5587379</v>
      </c>
      <c r="U21" t="s">
        <v>161</v>
      </c>
      <c r="V21">
        <v>423.5</v>
      </c>
      <c r="W21">
        <v>1.159958E-2</v>
      </c>
      <c r="X21" t="s">
        <v>50</v>
      </c>
      <c r="Y21">
        <v>422.7</v>
      </c>
      <c r="Z21">
        <v>12.19343063</v>
      </c>
      <c r="AA21" t="s">
        <v>162</v>
      </c>
      <c r="AB21">
        <v>0.95</v>
      </c>
      <c r="AC21">
        <v>12.19343063</v>
      </c>
      <c r="AD21">
        <v>5804298921.5749998</v>
      </c>
      <c r="AE21">
        <v>12.19343063</v>
      </c>
      <c r="AF21">
        <v>8.2011374021324135E-2</v>
      </c>
      <c r="AG21">
        <v>3.5365841290951612E-2</v>
      </c>
      <c r="AH21">
        <v>3.5365841290951612E-2</v>
      </c>
      <c r="AI21">
        <v>1</v>
      </c>
      <c r="AJ21">
        <v>423.5</v>
      </c>
      <c r="AK21">
        <v>3244858.7504193741</v>
      </c>
      <c r="AL21">
        <v>7662</v>
      </c>
      <c r="AM21">
        <v>1</v>
      </c>
      <c r="AN21" t="s">
        <v>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8"/>
  <sheetViews>
    <sheetView workbookViewId="0"/>
  </sheetViews>
  <sheetFormatPr defaultRowHeight="15" x14ac:dyDescent="0.25"/>
  <sheetData>
    <row r="1" spans="1:3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2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7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</row>
    <row r="2" spans="1:30" x14ac:dyDescent="0.25">
      <c r="A2">
        <v>375</v>
      </c>
      <c r="B2" t="s">
        <v>122</v>
      </c>
      <c r="C2" t="s">
        <v>23</v>
      </c>
      <c r="D2" t="s">
        <v>43</v>
      </c>
      <c r="E2" t="s">
        <v>48</v>
      </c>
      <c r="F2">
        <v>474049470</v>
      </c>
      <c r="G2">
        <v>6.5849640000000003</v>
      </c>
      <c r="H2" t="s">
        <v>50</v>
      </c>
      <c r="I2">
        <v>6478770.64714758</v>
      </c>
      <c r="J2">
        <v>6376195.34008874</v>
      </c>
      <c r="M2">
        <v>5035058.1046626205</v>
      </c>
      <c r="N2">
        <v>32.084747</v>
      </c>
      <c r="O2">
        <v>34.865077999999997</v>
      </c>
      <c r="P2">
        <v>5316552.6079836404</v>
      </c>
      <c r="Q2">
        <v>34.526653000000003</v>
      </c>
      <c r="R2">
        <v>5558999.07185088</v>
      </c>
      <c r="S2">
        <v>3121598694.1690798</v>
      </c>
      <c r="T2">
        <v>6143133.2698460501</v>
      </c>
      <c r="U2" t="s">
        <v>142</v>
      </c>
      <c r="V2">
        <v>587.5</v>
      </c>
      <c r="W2">
        <v>1.159958E-2</v>
      </c>
      <c r="X2" t="s">
        <v>50</v>
      </c>
      <c r="Y2">
        <v>581</v>
      </c>
      <c r="Z2">
        <v>4.51335</v>
      </c>
      <c r="AA2" t="s">
        <v>162</v>
      </c>
      <c r="AB2">
        <v>1</v>
      </c>
      <c r="AC2">
        <v>4.51335</v>
      </c>
      <c r="AD2">
        <v>2785040636.25</v>
      </c>
    </row>
    <row r="3" spans="1:30" x14ac:dyDescent="0.25">
      <c r="A3">
        <v>397</v>
      </c>
      <c r="B3" t="s">
        <v>123</v>
      </c>
      <c r="C3" t="s">
        <v>24</v>
      </c>
      <c r="D3" t="s">
        <v>44</v>
      </c>
      <c r="E3" t="s">
        <v>48</v>
      </c>
      <c r="F3">
        <v>1353382100</v>
      </c>
      <c r="G3">
        <v>7.7853669999999999</v>
      </c>
      <c r="H3" t="s">
        <v>50</v>
      </c>
      <c r="I3">
        <v>20098586.0926526</v>
      </c>
      <c r="J3">
        <v>21452577.922975</v>
      </c>
      <c r="M3">
        <v>19679950.153783001</v>
      </c>
      <c r="N3">
        <v>25.459990000000001</v>
      </c>
      <c r="O3">
        <v>26.791637000000001</v>
      </c>
      <c r="P3">
        <v>19059557.3407952</v>
      </c>
      <c r="Q3">
        <v>23.684324</v>
      </c>
      <c r="R3">
        <v>19009024.1706375</v>
      </c>
      <c r="S3">
        <v>10536576339.7307</v>
      </c>
      <c r="T3">
        <v>20959855.3262421</v>
      </c>
      <c r="U3" t="s">
        <v>143</v>
      </c>
      <c r="V3">
        <v>668.4</v>
      </c>
      <c r="W3">
        <v>1.159958E-2</v>
      </c>
      <c r="X3" t="s">
        <v>50</v>
      </c>
      <c r="Y3">
        <v>669.2</v>
      </c>
      <c r="Z3">
        <v>6.1863374999999996</v>
      </c>
      <c r="AA3" t="s">
        <v>162</v>
      </c>
      <c r="AB3">
        <v>0.9</v>
      </c>
      <c r="AC3">
        <v>6.1863374999999996</v>
      </c>
      <c r="AD3">
        <v>8141405360.7600012</v>
      </c>
    </row>
    <row r="4" spans="1:30" x14ac:dyDescent="0.25">
      <c r="A4">
        <v>465</v>
      </c>
      <c r="B4" t="s">
        <v>124</v>
      </c>
      <c r="C4" t="s">
        <v>25</v>
      </c>
      <c r="D4" t="s">
        <v>45</v>
      </c>
      <c r="E4" t="s">
        <v>48</v>
      </c>
      <c r="F4">
        <v>2480677500</v>
      </c>
      <c r="G4">
        <v>1.671522</v>
      </c>
      <c r="H4" t="s">
        <v>50</v>
      </c>
      <c r="I4">
        <v>8122155.9706054898</v>
      </c>
      <c r="J4">
        <v>5591134.4502693098</v>
      </c>
      <c r="M4">
        <v>7520856.9057483803</v>
      </c>
      <c r="N4">
        <v>25.672412999999999</v>
      </c>
      <c r="O4">
        <v>27.272342999999999</v>
      </c>
      <c r="P4">
        <v>7729351.7269761199</v>
      </c>
      <c r="Q4">
        <v>24.670753000000001</v>
      </c>
      <c r="R4">
        <v>7310886.0490736598</v>
      </c>
      <c r="S4">
        <v>4146507016.1550002</v>
      </c>
      <c r="T4">
        <v>8011997.1617898</v>
      </c>
      <c r="U4" t="s">
        <v>144</v>
      </c>
      <c r="V4">
        <v>143.19999999999999</v>
      </c>
      <c r="W4">
        <v>1.159958E-2</v>
      </c>
      <c r="X4" t="s">
        <v>50</v>
      </c>
      <c r="Y4">
        <v>144.30000000000001</v>
      </c>
      <c r="Z4">
        <v>6.40892047</v>
      </c>
      <c r="AA4" t="s">
        <v>162</v>
      </c>
      <c r="AB4">
        <v>0.9</v>
      </c>
      <c r="AC4">
        <v>6.40892047</v>
      </c>
      <c r="AD4">
        <v>3197097162</v>
      </c>
    </row>
    <row r="5" spans="1:30" x14ac:dyDescent="0.25">
      <c r="A5">
        <v>337</v>
      </c>
      <c r="B5" t="s">
        <v>125</v>
      </c>
      <c r="C5" t="s">
        <v>21</v>
      </c>
      <c r="D5" t="s">
        <v>41</v>
      </c>
      <c r="E5" t="s">
        <v>48</v>
      </c>
      <c r="F5">
        <v>659912700</v>
      </c>
      <c r="G5">
        <v>14.41911</v>
      </c>
      <c r="H5" t="s">
        <v>50</v>
      </c>
      <c r="I5">
        <v>16569516.650723601</v>
      </c>
      <c r="J5">
        <v>16367246.2447864</v>
      </c>
      <c r="M5">
        <v>19162619.691020802</v>
      </c>
      <c r="N5">
        <v>20.771750000000001</v>
      </c>
      <c r="O5">
        <v>22.010680000000001</v>
      </c>
      <c r="P5">
        <v>19963025.257337902</v>
      </c>
      <c r="Q5">
        <v>20.067083</v>
      </c>
      <c r="R5">
        <v>22374620.695543099</v>
      </c>
      <c r="S5">
        <v>9515353811.6970005</v>
      </c>
      <c r="T5">
        <v>24581059.961268101</v>
      </c>
      <c r="U5" t="s">
        <v>145</v>
      </c>
      <c r="V5">
        <v>1050</v>
      </c>
      <c r="W5">
        <v>1.159958E-2</v>
      </c>
      <c r="X5" t="s">
        <v>50</v>
      </c>
      <c r="Y5">
        <v>1070</v>
      </c>
      <c r="Z5">
        <v>6.86699167</v>
      </c>
      <c r="AA5" t="s">
        <v>162</v>
      </c>
      <c r="AB5">
        <v>0.8</v>
      </c>
      <c r="AC5">
        <v>6.86699167</v>
      </c>
      <c r="AD5">
        <v>5543266680</v>
      </c>
    </row>
    <row r="6" spans="1:30" x14ac:dyDescent="0.25">
      <c r="A6">
        <v>278</v>
      </c>
      <c r="B6" t="s">
        <v>126</v>
      </c>
      <c r="C6" t="s">
        <v>18</v>
      </c>
      <c r="D6" t="s">
        <v>38</v>
      </c>
      <c r="E6" t="s">
        <v>48</v>
      </c>
      <c r="F6">
        <v>744942800</v>
      </c>
      <c r="G6">
        <v>7.2630910000000002</v>
      </c>
      <c r="H6" t="s">
        <v>50</v>
      </c>
      <c r="I6">
        <v>14759037.718796</v>
      </c>
      <c r="J6">
        <v>17339690.516312499</v>
      </c>
      <c r="M6">
        <v>16366483.080829199</v>
      </c>
      <c r="N6">
        <v>25.71904</v>
      </c>
      <c r="O6">
        <v>26.688365999999998</v>
      </c>
      <c r="P6">
        <v>16842099.818027299</v>
      </c>
      <c r="Q6">
        <v>24.766594000000001</v>
      </c>
      <c r="R6">
        <v>17895077.408860099</v>
      </c>
      <c r="S6">
        <v>5410587346.1948004</v>
      </c>
      <c r="T6">
        <v>19675804.654253099</v>
      </c>
      <c r="U6" t="s">
        <v>146</v>
      </c>
      <c r="V6">
        <v>595.5</v>
      </c>
      <c r="W6">
        <v>1.159958E-2</v>
      </c>
      <c r="X6" t="s">
        <v>50</v>
      </c>
      <c r="Y6">
        <v>598.5</v>
      </c>
      <c r="Z6">
        <v>7.05190625</v>
      </c>
      <c r="AA6" t="s">
        <v>162</v>
      </c>
      <c r="AB6">
        <v>1</v>
      </c>
      <c r="AC6">
        <v>7.05190625</v>
      </c>
      <c r="AD6">
        <v>4436134374</v>
      </c>
    </row>
    <row r="7" spans="1:30" x14ac:dyDescent="0.25">
      <c r="A7">
        <v>180</v>
      </c>
      <c r="B7" t="s">
        <v>127</v>
      </c>
      <c r="C7" t="s">
        <v>12</v>
      </c>
      <c r="D7" t="s">
        <v>32</v>
      </c>
      <c r="E7" t="s">
        <v>48</v>
      </c>
      <c r="F7">
        <v>918312100</v>
      </c>
      <c r="G7">
        <v>45.065669999999997</v>
      </c>
      <c r="H7" t="s">
        <v>50</v>
      </c>
      <c r="I7">
        <v>48232226.522825703</v>
      </c>
      <c r="J7">
        <v>50970837.781835698</v>
      </c>
      <c r="M7">
        <v>53270154.6662172</v>
      </c>
      <c r="N7">
        <v>27.477060000000002</v>
      </c>
      <c r="O7">
        <v>29.340461999999999</v>
      </c>
      <c r="P7">
        <v>54200629.867926598</v>
      </c>
      <c r="Q7">
        <v>25.263867999999999</v>
      </c>
      <c r="R7">
        <v>52713506.5223362</v>
      </c>
      <c r="S7">
        <v>41384350055.606987</v>
      </c>
      <c r="T7">
        <v>58066404.992915802</v>
      </c>
      <c r="U7" t="s">
        <v>147</v>
      </c>
      <c r="V7">
        <v>3875</v>
      </c>
      <c r="W7">
        <v>1.159958E-2</v>
      </c>
      <c r="X7" t="s">
        <v>50</v>
      </c>
      <c r="Y7">
        <v>3821</v>
      </c>
      <c r="Z7">
        <v>7.8049218800000002</v>
      </c>
      <c r="AA7" t="s">
        <v>162</v>
      </c>
      <c r="AB7">
        <v>1</v>
      </c>
      <c r="AC7">
        <v>7.8049218800000002</v>
      </c>
      <c r="AD7">
        <v>35584593875</v>
      </c>
    </row>
    <row r="8" spans="1:30" x14ac:dyDescent="0.25">
      <c r="A8">
        <v>106</v>
      </c>
      <c r="B8" t="s">
        <v>128</v>
      </c>
      <c r="C8" t="s">
        <v>11</v>
      </c>
      <c r="D8" t="s">
        <v>31</v>
      </c>
      <c r="E8" t="s">
        <v>48</v>
      </c>
      <c r="F8">
        <v>359177100</v>
      </c>
      <c r="G8">
        <v>11.442489999999999</v>
      </c>
      <c r="H8" t="s">
        <v>50</v>
      </c>
      <c r="I8">
        <v>18343905.776696902</v>
      </c>
      <c r="J8">
        <v>16536830.9549441</v>
      </c>
      <c r="M8">
        <v>15494389.0513537</v>
      </c>
      <c r="N8">
        <v>51.650356000000002</v>
      </c>
      <c r="O8">
        <v>56.357745999999999</v>
      </c>
      <c r="P8">
        <v>16053188.934560301</v>
      </c>
      <c r="Q8">
        <v>57.575862999999998</v>
      </c>
      <c r="R8">
        <v>15783504.002215501</v>
      </c>
      <c r="S8">
        <v>4109880374.9790001</v>
      </c>
      <c r="T8">
        <v>17333280.845089301</v>
      </c>
      <c r="U8" t="s">
        <v>148</v>
      </c>
      <c r="V8">
        <v>1204</v>
      </c>
      <c r="W8">
        <v>1.159958E-2</v>
      </c>
      <c r="X8" t="s">
        <v>50</v>
      </c>
      <c r="Y8">
        <v>1263</v>
      </c>
      <c r="Z8">
        <v>9.0693549999999998</v>
      </c>
      <c r="AA8" t="s">
        <v>162</v>
      </c>
      <c r="AB8">
        <v>1</v>
      </c>
      <c r="AC8">
        <v>9.0693549999999998</v>
      </c>
      <c r="AD8">
        <v>4324492284</v>
      </c>
    </row>
    <row r="9" spans="1:30" x14ac:dyDescent="0.25">
      <c r="A9">
        <v>239</v>
      </c>
      <c r="B9" t="s">
        <v>129</v>
      </c>
      <c r="C9" t="s">
        <v>15</v>
      </c>
      <c r="D9" t="s">
        <v>35</v>
      </c>
      <c r="E9" t="s">
        <v>48</v>
      </c>
      <c r="F9">
        <v>1311899500</v>
      </c>
      <c r="G9">
        <v>9.3629040000000003</v>
      </c>
      <c r="H9" t="s">
        <v>50</v>
      </c>
      <c r="I9">
        <v>20746242.081780002</v>
      </c>
      <c r="J9">
        <v>27076315.061562099</v>
      </c>
      <c r="M9">
        <v>23278284.0403485</v>
      </c>
      <c r="N9">
        <v>27.505655000000001</v>
      </c>
      <c r="O9">
        <v>29.781040000000001</v>
      </c>
      <c r="P9">
        <v>24060928.9093851</v>
      </c>
      <c r="Q9">
        <v>25.450341999999999</v>
      </c>
      <c r="R9">
        <v>27869733.518041</v>
      </c>
      <c r="S9">
        <v>12283189076.148001</v>
      </c>
      <c r="T9">
        <v>30674705.200406399</v>
      </c>
      <c r="U9" t="s">
        <v>149</v>
      </c>
      <c r="V9">
        <v>823.2</v>
      </c>
      <c r="W9">
        <v>1.159958E-2</v>
      </c>
      <c r="X9" t="s">
        <v>50</v>
      </c>
      <c r="Y9">
        <v>807.8</v>
      </c>
      <c r="Z9">
        <v>9.3025565599999993</v>
      </c>
      <c r="AA9" t="s">
        <v>162</v>
      </c>
      <c r="AB9">
        <v>1</v>
      </c>
      <c r="AC9">
        <v>9.3025565599999993</v>
      </c>
      <c r="AD9">
        <v>10799556684</v>
      </c>
    </row>
    <row r="10" spans="1:30" x14ac:dyDescent="0.25">
      <c r="A10">
        <v>267</v>
      </c>
      <c r="B10" t="s">
        <v>130</v>
      </c>
      <c r="C10" t="s">
        <v>17</v>
      </c>
      <c r="D10" t="s">
        <v>37</v>
      </c>
      <c r="E10" t="s">
        <v>48</v>
      </c>
      <c r="F10">
        <v>1783132800</v>
      </c>
      <c r="G10">
        <v>3.5131709999999998</v>
      </c>
      <c r="H10" t="s">
        <v>50</v>
      </c>
      <c r="I10">
        <v>15780842.329530301</v>
      </c>
      <c r="J10">
        <v>19542369.774381898</v>
      </c>
      <c r="M10">
        <v>15953038.3237237</v>
      </c>
      <c r="N10">
        <v>37.358817999999999</v>
      </c>
      <c r="O10">
        <v>34.993923000000002</v>
      </c>
      <c r="P10">
        <v>15930759.154380299</v>
      </c>
      <c r="Q10">
        <v>35.689810000000001</v>
      </c>
      <c r="R10">
        <v>17333445.499047</v>
      </c>
      <c r="S10">
        <v>6264450442.1087999</v>
      </c>
      <c r="T10">
        <v>19143864.606037501</v>
      </c>
      <c r="U10" t="s">
        <v>150</v>
      </c>
      <c r="V10">
        <v>283.7</v>
      </c>
      <c r="W10">
        <v>1.159958E-2</v>
      </c>
      <c r="X10" t="s">
        <v>50</v>
      </c>
      <c r="Y10">
        <v>286.60000000000002</v>
      </c>
      <c r="Z10">
        <v>9.3499499999999998</v>
      </c>
      <c r="AA10" t="s">
        <v>162</v>
      </c>
      <c r="AB10">
        <v>0.85</v>
      </c>
      <c r="AC10">
        <v>9.3499499999999998</v>
      </c>
      <c r="AD10">
        <v>4299935590.5600004</v>
      </c>
    </row>
    <row r="11" spans="1:30" x14ac:dyDescent="0.25">
      <c r="A11">
        <v>496</v>
      </c>
      <c r="B11" t="s">
        <v>131</v>
      </c>
      <c r="C11" t="s">
        <v>27</v>
      </c>
      <c r="D11" t="s">
        <v>47</v>
      </c>
      <c r="E11" t="s">
        <v>48</v>
      </c>
      <c r="F11">
        <v>1078802400</v>
      </c>
      <c r="G11">
        <v>7.0382389999999999</v>
      </c>
      <c r="H11" t="s">
        <v>50</v>
      </c>
      <c r="I11">
        <v>20821806.234024201</v>
      </c>
      <c r="J11">
        <v>17862019.464097701</v>
      </c>
      <c r="M11">
        <v>22317054.714279201</v>
      </c>
      <c r="N11">
        <v>35.159370000000003</v>
      </c>
      <c r="O11">
        <v>38.248010000000001</v>
      </c>
      <c r="P11">
        <v>21680436.414648499</v>
      </c>
      <c r="Q11">
        <v>32.182971999999999</v>
      </c>
      <c r="R11">
        <v>23844101.008705199</v>
      </c>
      <c r="S11">
        <v>7592869124.9735994</v>
      </c>
      <c r="T11">
        <v>26133188.046895102</v>
      </c>
      <c r="U11" t="s">
        <v>151</v>
      </c>
      <c r="V11">
        <v>428.6</v>
      </c>
      <c r="W11">
        <v>1.159958E-2</v>
      </c>
      <c r="X11" t="s">
        <v>50</v>
      </c>
      <c r="Y11">
        <v>524.20000000000005</v>
      </c>
      <c r="Z11">
        <v>9.3546300000000002</v>
      </c>
      <c r="AA11" t="s">
        <v>162</v>
      </c>
      <c r="AB11">
        <v>0.95</v>
      </c>
      <c r="AC11">
        <v>9.3546300000000002</v>
      </c>
      <c r="AD11">
        <v>4392559732.0799999</v>
      </c>
    </row>
    <row r="12" spans="1:30" x14ac:dyDescent="0.25">
      <c r="A12">
        <v>212</v>
      </c>
      <c r="B12" t="s">
        <v>132</v>
      </c>
      <c r="C12" t="s">
        <v>14</v>
      </c>
      <c r="D12" t="s">
        <v>34</v>
      </c>
      <c r="E12" t="s">
        <v>48</v>
      </c>
      <c r="F12">
        <v>379645360</v>
      </c>
      <c r="G12">
        <v>34.239440000000002</v>
      </c>
      <c r="H12" t="s">
        <v>50</v>
      </c>
      <c r="I12">
        <v>16918786.756511599</v>
      </c>
      <c r="J12">
        <v>19673195.636302002</v>
      </c>
      <c r="M12">
        <v>18174174.3500209</v>
      </c>
      <c r="N12">
        <v>27.132027000000001</v>
      </c>
      <c r="O12">
        <v>27.597534</v>
      </c>
      <c r="P12">
        <v>18233740.974695999</v>
      </c>
      <c r="Q12">
        <v>25.280360000000002</v>
      </c>
      <c r="R12">
        <v>20360195.632921699</v>
      </c>
      <c r="S12">
        <v>12998844524.9984</v>
      </c>
      <c r="T12">
        <v>22441404.966079202</v>
      </c>
      <c r="U12" t="s">
        <v>152</v>
      </c>
      <c r="V12">
        <v>3214</v>
      </c>
      <c r="W12">
        <v>1.159958E-2</v>
      </c>
      <c r="X12" t="s">
        <v>50</v>
      </c>
      <c r="Y12">
        <v>3182</v>
      </c>
      <c r="Z12">
        <v>9.4187499999999993</v>
      </c>
      <c r="AA12" t="s">
        <v>162</v>
      </c>
      <c r="AB12">
        <v>1</v>
      </c>
      <c r="AC12">
        <v>9.4187499999999993</v>
      </c>
      <c r="AD12">
        <v>12201801870.4</v>
      </c>
    </row>
    <row r="13" spans="1:30" x14ac:dyDescent="0.25">
      <c r="A13">
        <v>476</v>
      </c>
      <c r="B13" t="s">
        <v>133</v>
      </c>
      <c r="C13" t="s">
        <v>26</v>
      </c>
      <c r="D13" t="s">
        <v>46</v>
      </c>
      <c r="E13" t="s">
        <v>48</v>
      </c>
      <c r="F13">
        <v>681888400</v>
      </c>
      <c r="G13">
        <v>13.6577</v>
      </c>
      <c r="H13" t="s">
        <v>50</v>
      </c>
      <c r="I13">
        <v>17449177.935157999</v>
      </c>
      <c r="J13">
        <v>17871815.011002898</v>
      </c>
      <c r="M13">
        <v>16870927.708708599</v>
      </c>
      <c r="N13">
        <v>23.993237000000001</v>
      </c>
      <c r="O13">
        <v>25.485043000000001</v>
      </c>
      <c r="P13">
        <v>17367763.077792201</v>
      </c>
      <c r="Q13">
        <v>23.063262999999999</v>
      </c>
      <c r="R13">
        <v>18153732.485040501</v>
      </c>
      <c r="S13">
        <v>9313027200.6800003</v>
      </c>
      <c r="T13">
        <v>20050798.804070398</v>
      </c>
      <c r="U13" t="s">
        <v>153</v>
      </c>
      <c r="V13">
        <v>1098.5</v>
      </c>
      <c r="W13">
        <v>1.159958E-2</v>
      </c>
      <c r="X13" t="s">
        <v>50</v>
      </c>
      <c r="Y13">
        <v>1117.5</v>
      </c>
      <c r="Z13">
        <v>9.4860781299999992</v>
      </c>
      <c r="AA13" t="s">
        <v>162</v>
      </c>
      <c r="AB13">
        <v>1</v>
      </c>
      <c r="AC13">
        <v>9.4860781299999992</v>
      </c>
      <c r="AD13">
        <v>7490544074</v>
      </c>
    </row>
    <row r="14" spans="1:30" x14ac:dyDescent="0.25">
      <c r="A14">
        <v>102</v>
      </c>
      <c r="B14" t="s">
        <v>134</v>
      </c>
      <c r="C14" t="s">
        <v>10</v>
      </c>
      <c r="D14" t="s">
        <v>30</v>
      </c>
      <c r="E14" t="s">
        <v>48</v>
      </c>
      <c r="F14">
        <v>999159700</v>
      </c>
      <c r="G14">
        <v>4.5517750000000001</v>
      </c>
      <c r="H14" t="s">
        <v>50</v>
      </c>
      <c r="I14">
        <v>13383718.618626099</v>
      </c>
      <c r="J14">
        <v>13280357.321404699</v>
      </c>
      <c r="M14">
        <v>12841460.540971899</v>
      </c>
      <c r="N14">
        <v>27.122723000000001</v>
      </c>
      <c r="O14">
        <v>27.170542000000001</v>
      </c>
      <c r="P14">
        <v>13052184.354426401</v>
      </c>
      <c r="Q14">
        <v>25.608767</v>
      </c>
      <c r="R14">
        <v>13195935.857968699</v>
      </c>
      <c r="S14">
        <v>4547950143.4674997</v>
      </c>
      <c r="T14">
        <v>14513998.5670639</v>
      </c>
      <c r="U14" t="s">
        <v>154</v>
      </c>
      <c r="V14">
        <v>359.6</v>
      </c>
      <c r="W14">
        <v>1.159958E-2</v>
      </c>
      <c r="X14" t="s">
        <v>50</v>
      </c>
      <c r="Y14">
        <v>363.4</v>
      </c>
      <c r="Z14">
        <v>9.5015374999999995</v>
      </c>
      <c r="AA14" t="s">
        <v>162</v>
      </c>
      <c r="AB14">
        <v>1</v>
      </c>
      <c r="AC14">
        <v>9.5015374999999995</v>
      </c>
      <c r="AD14">
        <v>3592978281.1999998</v>
      </c>
    </row>
    <row r="15" spans="1:30" x14ac:dyDescent="0.25">
      <c r="A15">
        <v>1</v>
      </c>
      <c r="B15" t="s">
        <v>135</v>
      </c>
      <c r="C15" t="s">
        <v>8</v>
      </c>
      <c r="D15" t="s">
        <v>28</v>
      </c>
      <c r="E15" t="s">
        <v>48</v>
      </c>
      <c r="F15">
        <v>973400200</v>
      </c>
      <c r="G15">
        <v>48.979759999999999</v>
      </c>
      <c r="H15" t="s">
        <v>50</v>
      </c>
      <c r="I15">
        <v>49305148.222139299</v>
      </c>
      <c r="J15">
        <v>69821627.327678293</v>
      </c>
      <c r="M15">
        <v>52571810.769097298</v>
      </c>
      <c r="N15">
        <v>27.167736000000001</v>
      </c>
      <c r="O15">
        <v>29.23751</v>
      </c>
      <c r="P15">
        <v>54517563.294395499</v>
      </c>
      <c r="Q15">
        <v>26.853249000000002</v>
      </c>
      <c r="R15">
        <v>65574248.187823199</v>
      </c>
      <c r="S15">
        <v>47676908179.952003</v>
      </c>
      <c r="T15">
        <v>72277090.063199803</v>
      </c>
      <c r="U15" t="s">
        <v>155</v>
      </c>
      <c r="V15">
        <v>4176</v>
      </c>
      <c r="W15">
        <v>1.159958E-2</v>
      </c>
      <c r="X15" t="s">
        <v>50</v>
      </c>
      <c r="Y15">
        <v>4042</v>
      </c>
      <c r="Z15">
        <v>10.436825000000001</v>
      </c>
      <c r="AA15" t="s">
        <v>162</v>
      </c>
      <c r="AB15">
        <v>1</v>
      </c>
      <c r="AC15">
        <v>10.436825000000001</v>
      </c>
      <c r="AD15">
        <v>40649192352</v>
      </c>
    </row>
    <row r="16" spans="1:30" x14ac:dyDescent="0.25">
      <c r="A16">
        <v>253</v>
      </c>
      <c r="B16" t="s">
        <v>136</v>
      </c>
      <c r="C16" t="s">
        <v>16</v>
      </c>
      <c r="D16" t="s">
        <v>36</v>
      </c>
      <c r="E16" t="s">
        <v>48</v>
      </c>
      <c r="F16">
        <v>3758189200</v>
      </c>
      <c r="G16">
        <v>0.92855730000000003</v>
      </c>
      <c r="H16" t="s">
        <v>50</v>
      </c>
      <c r="I16">
        <v>7784508.1319108997</v>
      </c>
      <c r="J16">
        <v>9805625.8519804794</v>
      </c>
      <c r="M16">
        <v>8641018.0955191907</v>
      </c>
      <c r="N16">
        <v>34.99</v>
      </c>
      <c r="O16">
        <v>34.43103</v>
      </c>
      <c r="P16">
        <v>8863028.5462190099</v>
      </c>
      <c r="Q16">
        <v>34.599420000000002</v>
      </c>
      <c r="R16">
        <v>11112099.5670752</v>
      </c>
      <c r="S16">
        <v>3489694016.4411602</v>
      </c>
      <c r="T16">
        <v>12337342.6569768</v>
      </c>
      <c r="U16" t="s">
        <v>156</v>
      </c>
      <c r="V16">
        <v>79.400000000000006</v>
      </c>
      <c r="W16">
        <v>1.159958E-2</v>
      </c>
      <c r="X16" t="s">
        <v>50</v>
      </c>
      <c r="Y16">
        <v>83.3</v>
      </c>
      <c r="Z16">
        <v>10.490987499999999</v>
      </c>
      <c r="AA16" t="s">
        <v>162</v>
      </c>
      <c r="AB16">
        <v>0.85</v>
      </c>
      <c r="AC16">
        <v>10.490987499999999</v>
      </c>
      <c r="AD16">
        <v>2536401891.0799999</v>
      </c>
    </row>
    <row r="17" spans="1:30" x14ac:dyDescent="0.25">
      <c r="A17">
        <v>307</v>
      </c>
      <c r="B17" t="s">
        <v>137</v>
      </c>
      <c r="C17" t="s">
        <v>20</v>
      </c>
      <c r="D17" t="s">
        <v>40</v>
      </c>
      <c r="E17" t="s">
        <v>48</v>
      </c>
      <c r="F17">
        <v>441412540</v>
      </c>
      <c r="G17">
        <v>14.0741</v>
      </c>
      <c r="H17" t="s">
        <v>50</v>
      </c>
      <c r="I17">
        <v>16597474.0896858</v>
      </c>
      <c r="J17">
        <v>14253569.892317001</v>
      </c>
      <c r="M17">
        <v>15454133.4626415</v>
      </c>
      <c r="N17">
        <v>28.584758999999998</v>
      </c>
      <c r="O17">
        <v>30.602115999999999</v>
      </c>
      <c r="P17">
        <v>15771220.3259665</v>
      </c>
      <c r="Q17">
        <v>28.639009999999999</v>
      </c>
      <c r="R17">
        <v>15434683.9544839</v>
      </c>
      <c r="S17">
        <v>6212484229.2139997</v>
      </c>
      <c r="T17">
        <v>16949260.7026673</v>
      </c>
      <c r="U17" t="s">
        <v>157</v>
      </c>
      <c r="V17">
        <v>1186.5</v>
      </c>
      <c r="W17">
        <v>1.159958E-2</v>
      </c>
      <c r="X17" t="s">
        <v>50</v>
      </c>
      <c r="Y17">
        <v>1199</v>
      </c>
      <c r="Z17">
        <v>11.097676959999999</v>
      </c>
      <c r="AA17" t="s">
        <v>162</v>
      </c>
      <c r="AB17">
        <v>1</v>
      </c>
      <c r="AC17">
        <v>11.097676959999999</v>
      </c>
      <c r="AD17">
        <v>5237359787.1000004</v>
      </c>
    </row>
    <row r="18" spans="1:30" x14ac:dyDescent="0.25">
      <c r="A18">
        <v>338</v>
      </c>
      <c r="B18" t="s">
        <v>138</v>
      </c>
      <c r="C18" t="s">
        <v>22</v>
      </c>
      <c r="D18" t="s">
        <v>42</v>
      </c>
      <c r="E18" t="s">
        <v>48</v>
      </c>
      <c r="F18">
        <v>471971070</v>
      </c>
      <c r="G18">
        <v>6.1150349999999998</v>
      </c>
      <c r="H18" t="s">
        <v>50</v>
      </c>
      <c r="I18">
        <v>6447544.9350248901</v>
      </c>
      <c r="J18">
        <v>5043716.5223028902</v>
      </c>
      <c r="M18">
        <v>7817184.5780714601</v>
      </c>
      <c r="N18">
        <v>35.465533999999998</v>
      </c>
      <c r="O18">
        <v>36.592227999999999</v>
      </c>
      <c r="P18">
        <v>8365116.4589326102</v>
      </c>
      <c r="Q18">
        <v>33.390113999999997</v>
      </c>
      <c r="R18">
        <v>8247626.3898180798</v>
      </c>
      <c r="S18">
        <v>2886119612.0374498</v>
      </c>
      <c r="T18">
        <v>9046387.6039603408</v>
      </c>
      <c r="U18" t="s">
        <v>158</v>
      </c>
      <c r="V18">
        <v>494</v>
      </c>
      <c r="W18">
        <v>1.159958E-2</v>
      </c>
      <c r="X18" t="s">
        <v>50</v>
      </c>
      <c r="Y18">
        <v>490.8</v>
      </c>
      <c r="Z18">
        <v>11.809260370000001</v>
      </c>
      <c r="AA18" t="s">
        <v>162</v>
      </c>
      <c r="AB18">
        <v>1</v>
      </c>
      <c r="AC18">
        <v>11.809260370000001</v>
      </c>
      <c r="AD18">
        <v>2331537085.8000002</v>
      </c>
    </row>
    <row r="19" spans="1:30" x14ac:dyDescent="0.25">
      <c r="A19">
        <v>289</v>
      </c>
      <c r="B19" t="s">
        <v>139</v>
      </c>
      <c r="C19" t="s">
        <v>19</v>
      </c>
      <c r="D19" t="s">
        <v>39</v>
      </c>
      <c r="E19" t="s">
        <v>48</v>
      </c>
      <c r="F19">
        <v>2079461000</v>
      </c>
      <c r="G19">
        <v>2.3472689999999998</v>
      </c>
      <c r="H19" t="s">
        <v>50</v>
      </c>
      <c r="I19">
        <v>11563460.3606396</v>
      </c>
      <c r="J19">
        <v>15567699.408361699</v>
      </c>
      <c r="M19">
        <v>11382533.204280499</v>
      </c>
      <c r="N19">
        <v>22.887975999999998</v>
      </c>
      <c r="O19">
        <v>23.777094000000002</v>
      </c>
      <c r="P19">
        <v>11646865.887621099</v>
      </c>
      <c r="Q19">
        <v>21.209973999999999</v>
      </c>
      <c r="R19">
        <v>12947329.524636</v>
      </c>
      <c r="S19">
        <v>4881054342.0089998</v>
      </c>
      <c r="T19">
        <v>14326312.7714651</v>
      </c>
      <c r="U19" t="s">
        <v>159</v>
      </c>
      <c r="V19">
        <v>194.5</v>
      </c>
      <c r="W19">
        <v>1.159958E-2</v>
      </c>
      <c r="X19" t="s">
        <v>50</v>
      </c>
      <c r="Y19">
        <v>197.7</v>
      </c>
      <c r="Z19">
        <v>11.894304999999999</v>
      </c>
      <c r="AA19" t="s">
        <v>162</v>
      </c>
      <c r="AB19">
        <v>0.95</v>
      </c>
      <c r="AC19">
        <v>11.894304999999999</v>
      </c>
      <c r="AD19">
        <v>3842324062.75</v>
      </c>
    </row>
    <row r="20" spans="1:30" x14ac:dyDescent="0.25">
      <c r="A20">
        <v>211</v>
      </c>
      <c r="B20" t="s">
        <v>140</v>
      </c>
      <c r="C20" t="s">
        <v>13</v>
      </c>
      <c r="D20" t="s">
        <v>33</v>
      </c>
      <c r="E20" t="s">
        <v>48</v>
      </c>
      <c r="F20">
        <v>9005257000</v>
      </c>
      <c r="G20">
        <v>4.8967869999999998</v>
      </c>
      <c r="H20" t="s">
        <v>50</v>
      </c>
      <c r="I20">
        <v>65368462.740391001</v>
      </c>
      <c r="J20">
        <v>77539470.659898505</v>
      </c>
      <c r="M20">
        <v>75817023.007147804</v>
      </c>
      <c r="N20">
        <v>23.376978000000001</v>
      </c>
      <c r="O20">
        <v>25.376605999999999</v>
      </c>
      <c r="P20">
        <v>82065580.923849195</v>
      </c>
      <c r="Q20">
        <v>20.998654999999999</v>
      </c>
      <c r="R20">
        <v>86299715.086729005</v>
      </c>
      <c r="S20">
        <v>44096825409.259003</v>
      </c>
      <c r="T20">
        <v>94807663.206907406</v>
      </c>
      <c r="U20" t="s">
        <v>160</v>
      </c>
      <c r="V20">
        <v>367.2</v>
      </c>
      <c r="W20">
        <v>1.159958E-2</v>
      </c>
      <c r="X20" t="s">
        <v>50</v>
      </c>
      <c r="Y20">
        <v>377.9</v>
      </c>
      <c r="Z20">
        <v>11.948575</v>
      </c>
      <c r="AA20" t="s">
        <v>162</v>
      </c>
      <c r="AB20">
        <v>1</v>
      </c>
      <c r="AC20">
        <v>11.948575</v>
      </c>
      <c r="AD20">
        <v>33067303704</v>
      </c>
    </row>
    <row r="21" spans="1:30" x14ac:dyDescent="0.25">
      <c r="A21">
        <v>75</v>
      </c>
      <c r="B21" t="s">
        <v>141</v>
      </c>
      <c r="C21" t="s">
        <v>9</v>
      </c>
      <c r="D21" t="s">
        <v>29</v>
      </c>
      <c r="E21" t="s">
        <v>48</v>
      </c>
      <c r="F21">
        <v>1442689100</v>
      </c>
      <c r="G21">
        <v>5.4440470000000003</v>
      </c>
      <c r="H21" t="s">
        <v>50</v>
      </c>
      <c r="I21">
        <v>20756064.629888799</v>
      </c>
      <c r="J21">
        <v>17618613.402912699</v>
      </c>
      <c r="M21">
        <v>19562930.236676998</v>
      </c>
      <c r="N21">
        <v>27.588000000000001</v>
      </c>
      <c r="O21">
        <v>29.330172000000001</v>
      </c>
      <c r="P21">
        <v>19910890.357935999</v>
      </c>
      <c r="Q21">
        <v>27.657343000000001</v>
      </c>
      <c r="R21">
        <v>19142309.9188063</v>
      </c>
      <c r="S21">
        <v>7854067266.7877007</v>
      </c>
      <c r="T21">
        <v>21129247.5587379</v>
      </c>
      <c r="U21" t="s">
        <v>161</v>
      </c>
      <c r="V21">
        <v>423.5</v>
      </c>
      <c r="W21">
        <v>1.159958E-2</v>
      </c>
      <c r="X21" t="s">
        <v>50</v>
      </c>
      <c r="Y21">
        <v>422.7</v>
      </c>
      <c r="Z21">
        <v>12.19343063</v>
      </c>
      <c r="AA21" t="s">
        <v>162</v>
      </c>
      <c r="AB21">
        <v>0.95</v>
      </c>
      <c r="AC21">
        <v>12.19343063</v>
      </c>
      <c r="AD21">
        <v>5804298921.5749998</v>
      </c>
    </row>
    <row r="22" spans="1:30" x14ac:dyDescent="0.25">
      <c r="A22">
        <v>449</v>
      </c>
      <c r="B22" t="s">
        <v>163</v>
      </c>
      <c r="C22" t="s">
        <v>250</v>
      </c>
      <c r="D22" t="s">
        <v>326</v>
      </c>
      <c r="E22" t="s">
        <v>48</v>
      </c>
      <c r="F22">
        <v>56211872</v>
      </c>
      <c r="G22">
        <v>54.488050000000001</v>
      </c>
      <c r="H22" t="s">
        <v>50</v>
      </c>
      <c r="I22">
        <v>3698483.1133916499</v>
      </c>
      <c r="J22">
        <v>4836594.8102790499</v>
      </c>
      <c r="M22">
        <v>4767400.8196893902</v>
      </c>
      <c r="N22">
        <v>41.224400000000003</v>
      </c>
      <c r="O22">
        <v>43.770159999999997</v>
      </c>
      <c r="P22">
        <v>5237894.0699894996</v>
      </c>
      <c r="Q22">
        <v>41.125107</v>
      </c>
      <c r="R22">
        <v>6166960.27455422</v>
      </c>
      <c r="S22">
        <v>3062875292.1296</v>
      </c>
      <c r="T22">
        <v>6764622.2963405903</v>
      </c>
      <c r="U22" t="s">
        <v>402</v>
      </c>
      <c r="V22">
        <v>4860</v>
      </c>
      <c r="W22">
        <v>1.159958E-2</v>
      </c>
      <c r="X22" t="s">
        <v>50</v>
      </c>
      <c r="Y22">
        <v>4790</v>
      </c>
      <c r="Z22">
        <v>12.645898750000001</v>
      </c>
      <c r="AA22" t="s">
        <v>162</v>
      </c>
      <c r="AB22">
        <v>0.95</v>
      </c>
      <c r="AC22">
        <v>12.645898750000001</v>
      </c>
      <c r="AD22">
        <v>2595302130.2399998</v>
      </c>
    </row>
    <row r="23" spans="1:30" x14ac:dyDescent="0.25">
      <c r="A23">
        <v>89</v>
      </c>
      <c r="B23" t="s">
        <v>164</v>
      </c>
      <c r="C23" t="s">
        <v>251</v>
      </c>
      <c r="D23" t="s">
        <v>327</v>
      </c>
      <c r="E23" t="s">
        <v>48</v>
      </c>
      <c r="F23">
        <v>99121450</v>
      </c>
      <c r="G23">
        <v>49.919620000000002</v>
      </c>
      <c r="H23" t="s">
        <v>50</v>
      </c>
      <c r="I23">
        <v>15246514.7503203</v>
      </c>
      <c r="J23">
        <v>11048374.2835158</v>
      </c>
      <c r="M23">
        <v>18166721.202351999</v>
      </c>
      <c r="N23">
        <v>21.114697</v>
      </c>
      <c r="O23">
        <v>21.698757000000001</v>
      </c>
      <c r="P23">
        <v>19053345.052592799</v>
      </c>
      <c r="Q23">
        <v>20.557013000000001</v>
      </c>
      <c r="R23">
        <v>21862721.680433501</v>
      </c>
      <c r="S23">
        <v>4948105117.849</v>
      </c>
      <c r="T23">
        <v>23603217.8533292</v>
      </c>
      <c r="U23" t="s">
        <v>403</v>
      </c>
      <c r="V23">
        <v>3654</v>
      </c>
      <c r="W23">
        <v>1.159958E-2</v>
      </c>
      <c r="X23" t="s">
        <v>50</v>
      </c>
      <c r="Y23">
        <v>3586</v>
      </c>
      <c r="Z23">
        <v>12.770926790000001</v>
      </c>
      <c r="AA23" t="s">
        <v>162</v>
      </c>
      <c r="AB23">
        <v>1</v>
      </c>
      <c r="AC23">
        <v>12.770926790000001</v>
      </c>
      <c r="AD23">
        <v>3621897783</v>
      </c>
    </row>
    <row r="24" spans="1:30" x14ac:dyDescent="0.25">
      <c r="A24">
        <v>475</v>
      </c>
      <c r="B24" t="s">
        <v>165</v>
      </c>
      <c r="C24" t="s">
        <v>252</v>
      </c>
      <c r="D24" t="s">
        <v>328</v>
      </c>
      <c r="E24" t="s">
        <v>48</v>
      </c>
      <c r="F24">
        <v>488805970</v>
      </c>
      <c r="G24">
        <v>9.6543790000000005</v>
      </c>
      <c r="H24" t="s">
        <v>50</v>
      </c>
      <c r="I24">
        <v>8234061.5658891397</v>
      </c>
      <c r="J24">
        <v>7898978.3003163598</v>
      </c>
      <c r="M24">
        <v>8185113.3251123298</v>
      </c>
      <c r="N24">
        <v>20.819593000000001</v>
      </c>
      <c r="O24">
        <v>21.399525000000001</v>
      </c>
      <c r="P24">
        <v>8304066.7378680902</v>
      </c>
      <c r="Q24">
        <v>19.712897999999999</v>
      </c>
      <c r="R24">
        <v>8516974.8377481997</v>
      </c>
      <c r="S24">
        <v>4719118091.8426304</v>
      </c>
      <c r="T24">
        <v>9411577.3254967593</v>
      </c>
      <c r="U24" t="s">
        <v>404</v>
      </c>
      <c r="V24">
        <v>815</v>
      </c>
      <c r="W24">
        <v>1.159958E-2</v>
      </c>
      <c r="X24" t="s">
        <v>50</v>
      </c>
      <c r="Y24">
        <v>815.5</v>
      </c>
      <c r="Z24">
        <v>12.878187499999999</v>
      </c>
      <c r="AA24" t="s">
        <v>162</v>
      </c>
      <c r="AB24">
        <v>0.9</v>
      </c>
      <c r="AC24">
        <v>12.878187499999999</v>
      </c>
      <c r="AD24">
        <v>3585391789.9499998</v>
      </c>
    </row>
    <row r="25" spans="1:30" x14ac:dyDescent="0.25">
      <c r="A25">
        <v>243</v>
      </c>
      <c r="B25" t="s">
        <v>166</v>
      </c>
      <c r="C25" t="s">
        <v>253</v>
      </c>
      <c r="D25" t="s">
        <v>329</v>
      </c>
      <c r="E25" t="s">
        <v>48</v>
      </c>
      <c r="F25">
        <v>290636900</v>
      </c>
      <c r="G25">
        <v>23.294239999999999</v>
      </c>
      <c r="H25" t="s">
        <v>50</v>
      </c>
      <c r="I25">
        <v>15678765.6875409</v>
      </c>
      <c r="J25">
        <v>18151481.433952101</v>
      </c>
      <c r="M25">
        <v>16302152.9458788</v>
      </c>
      <c r="N25">
        <v>37.471539999999997</v>
      </c>
      <c r="O25">
        <v>40.285969999999999</v>
      </c>
      <c r="P25">
        <v>17026543.3823996</v>
      </c>
      <c r="Q25">
        <v>35.840899999999998</v>
      </c>
      <c r="R25">
        <v>17519610.759555001</v>
      </c>
      <c r="S25">
        <v>6770165701.4559994</v>
      </c>
      <c r="T25">
        <v>19266037.497963902</v>
      </c>
      <c r="U25" t="s">
        <v>405</v>
      </c>
      <c r="V25">
        <v>1967</v>
      </c>
      <c r="W25">
        <v>1.159958E-2</v>
      </c>
      <c r="X25" t="s">
        <v>50</v>
      </c>
      <c r="Y25">
        <v>1920</v>
      </c>
      <c r="Z25">
        <v>12.951305</v>
      </c>
      <c r="AA25" t="s">
        <v>162</v>
      </c>
      <c r="AB25">
        <v>1</v>
      </c>
      <c r="AC25">
        <v>12.951305</v>
      </c>
      <c r="AD25">
        <v>5716827823</v>
      </c>
    </row>
    <row r="26" spans="1:30" x14ac:dyDescent="0.25">
      <c r="A26">
        <v>227</v>
      </c>
      <c r="B26" t="s">
        <v>167</v>
      </c>
      <c r="C26" t="s">
        <v>254</v>
      </c>
      <c r="D26" t="s">
        <v>330</v>
      </c>
      <c r="E26" t="s">
        <v>48</v>
      </c>
      <c r="F26">
        <v>547443100</v>
      </c>
      <c r="G26">
        <v>10.04698</v>
      </c>
      <c r="H26" t="s">
        <v>50</v>
      </c>
      <c r="I26">
        <v>11158373.9476339</v>
      </c>
      <c r="J26">
        <v>13141596.4183608</v>
      </c>
      <c r="M26">
        <v>12121546.5107396</v>
      </c>
      <c r="N26">
        <v>25.704726999999998</v>
      </c>
      <c r="O26">
        <v>27.749801999999999</v>
      </c>
      <c r="P26">
        <v>13257890.6084642</v>
      </c>
      <c r="Q26">
        <v>25.085343999999999</v>
      </c>
      <c r="R26">
        <v>13460752.2932976</v>
      </c>
      <c r="S26">
        <v>5500149876.8379993</v>
      </c>
      <c r="T26">
        <v>14787290.5219626</v>
      </c>
      <c r="U26" t="s">
        <v>406</v>
      </c>
      <c r="V26">
        <v>825.5</v>
      </c>
      <c r="W26">
        <v>1.159958E-2</v>
      </c>
      <c r="X26" t="s">
        <v>50</v>
      </c>
      <c r="Y26">
        <v>831.5</v>
      </c>
      <c r="Z26">
        <v>13.173299999999999</v>
      </c>
      <c r="AA26" t="s">
        <v>162</v>
      </c>
      <c r="AB26">
        <v>1</v>
      </c>
      <c r="AC26">
        <v>13.173299999999999</v>
      </c>
      <c r="AD26">
        <v>4519142790.5</v>
      </c>
    </row>
    <row r="27" spans="1:30" x14ac:dyDescent="0.25">
      <c r="A27">
        <v>484</v>
      </c>
      <c r="B27" t="s">
        <v>168</v>
      </c>
      <c r="C27" t="s">
        <v>255</v>
      </c>
      <c r="D27" t="s">
        <v>331</v>
      </c>
      <c r="E27" t="s">
        <v>48</v>
      </c>
      <c r="F27">
        <v>24787922000</v>
      </c>
      <c r="G27">
        <v>0.91725520000000005</v>
      </c>
      <c r="H27" t="s">
        <v>50</v>
      </c>
      <c r="I27">
        <v>48366267.638746701</v>
      </c>
      <c r="J27">
        <v>55202919.793575503</v>
      </c>
      <c r="M27">
        <v>52045675.2272669</v>
      </c>
      <c r="N27">
        <v>30.113423999999998</v>
      </c>
      <c r="O27">
        <v>32.213065999999998</v>
      </c>
      <c r="P27">
        <v>52186267.817267999</v>
      </c>
      <c r="Q27">
        <v>28.632937999999999</v>
      </c>
      <c r="R27">
        <v>52662657.399063803</v>
      </c>
      <c r="S27">
        <v>22736850351.694401</v>
      </c>
      <c r="T27">
        <v>57898047.845764004</v>
      </c>
      <c r="U27" t="s">
        <v>407</v>
      </c>
      <c r="V27">
        <v>80.540000000000006</v>
      </c>
      <c r="W27">
        <v>1.159958E-2</v>
      </c>
      <c r="X27" t="s">
        <v>50</v>
      </c>
      <c r="Y27">
        <v>81.62</v>
      </c>
      <c r="Z27">
        <v>13.218075000000001</v>
      </c>
      <c r="AA27" t="s">
        <v>162</v>
      </c>
      <c r="AB27">
        <v>0.8</v>
      </c>
      <c r="AC27">
        <v>13.218075000000001</v>
      </c>
      <c r="AD27">
        <v>15971353903.040001</v>
      </c>
    </row>
    <row r="28" spans="1:30" x14ac:dyDescent="0.25">
      <c r="A28">
        <v>448</v>
      </c>
      <c r="B28" t="s">
        <v>169</v>
      </c>
      <c r="C28" t="s">
        <v>256</v>
      </c>
      <c r="D28" t="s">
        <v>332</v>
      </c>
      <c r="E28" t="s">
        <v>48</v>
      </c>
      <c r="F28">
        <v>3541334000</v>
      </c>
      <c r="G28">
        <v>1.3996770000000001</v>
      </c>
      <c r="H28" t="s">
        <v>50</v>
      </c>
      <c r="I28">
        <v>22419597.677712001</v>
      </c>
      <c r="J28">
        <v>21212833.168262899</v>
      </c>
      <c r="M28">
        <v>25801102.4961561</v>
      </c>
      <c r="N28">
        <v>27.076618</v>
      </c>
      <c r="O28">
        <v>29.412590000000002</v>
      </c>
      <c r="P28">
        <v>27740474.4979629</v>
      </c>
      <c r="Q28">
        <v>27.50853</v>
      </c>
      <c r="R28">
        <v>31970800.333409</v>
      </c>
      <c r="S28">
        <v>4956723749.118</v>
      </c>
      <c r="T28">
        <v>34754840.2789957</v>
      </c>
      <c r="U28" t="s">
        <v>408</v>
      </c>
      <c r="V28">
        <v>112.15</v>
      </c>
      <c r="W28">
        <v>1.159958E-2</v>
      </c>
      <c r="X28" t="s">
        <v>50</v>
      </c>
      <c r="Y28">
        <v>113.05</v>
      </c>
      <c r="Z28">
        <v>13.221854199999999</v>
      </c>
      <c r="AA28" t="s">
        <v>162</v>
      </c>
      <c r="AB28">
        <v>1</v>
      </c>
      <c r="AC28">
        <v>13.221854199999999</v>
      </c>
      <c r="AD28">
        <v>3971606081</v>
      </c>
    </row>
    <row r="29" spans="1:30" x14ac:dyDescent="0.25">
      <c r="A29">
        <v>196</v>
      </c>
      <c r="B29" t="s">
        <v>170</v>
      </c>
      <c r="C29" t="s">
        <v>257</v>
      </c>
      <c r="D29" t="s">
        <v>333</v>
      </c>
      <c r="E29" t="s">
        <v>48</v>
      </c>
      <c r="F29">
        <v>32971714</v>
      </c>
      <c r="G29">
        <v>183.57</v>
      </c>
      <c r="H29" t="s">
        <v>50</v>
      </c>
      <c r="I29">
        <v>7943304.0569840102</v>
      </c>
      <c r="J29">
        <v>8454290.6810672507</v>
      </c>
      <c r="M29">
        <v>10890253.887228301</v>
      </c>
      <c r="N29">
        <v>36.445720000000001</v>
      </c>
      <c r="O29">
        <v>28.67137</v>
      </c>
      <c r="P29">
        <v>9675355.9630988091</v>
      </c>
      <c r="Q29">
        <v>32.872078000000002</v>
      </c>
      <c r="R29">
        <v>9737943.3325867709</v>
      </c>
      <c r="S29">
        <v>6052617538.9799995</v>
      </c>
      <c r="T29">
        <v>10726839.777294099</v>
      </c>
      <c r="U29" t="s">
        <v>409</v>
      </c>
      <c r="V29">
        <v>16080</v>
      </c>
      <c r="W29">
        <v>1.159958E-2</v>
      </c>
      <c r="X29" t="s">
        <v>50</v>
      </c>
      <c r="Y29">
        <v>15880</v>
      </c>
      <c r="Z29">
        <v>13.51173625</v>
      </c>
      <c r="AA29" t="s">
        <v>162</v>
      </c>
      <c r="AB29">
        <v>1</v>
      </c>
      <c r="AC29">
        <v>13.51173625</v>
      </c>
      <c r="AD29">
        <v>5301851611.1999998</v>
      </c>
    </row>
    <row r="30" spans="1:30" x14ac:dyDescent="0.25">
      <c r="A30">
        <v>125</v>
      </c>
      <c r="B30" t="s">
        <v>171</v>
      </c>
      <c r="C30" t="s">
        <v>258</v>
      </c>
      <c r="D30" t="s">
        <v>334</v>
      </c>
      <c r="E30" t="s">
        <v>48</v>
      </c>
      <c r="F30">
        <v>2049789600</v>
      </c>
      <c r="G30">
        <v>3.395391</v>
      </c>
      <c r="H30" t="s">
        <v>50</v>
      </c>
      <c r="I30">
        <v>11925871.046455201</v>
      </c>
      <c r="J30">
        <v>14768191.6032486</v>
      </c>
      <c r="M30">
        <v>11967642.8206103</v>
      </c>
      <c r="N30">
        <v>25.059806999999999</v>
      </c>
      <c r="O30">
        <v>26.366036999999999</v>
      </c>
      <c r="P30">
        <v>12591063.131244401</v>
      </c>
      <c r="Q30">
        <v>36.157519999999998</v>
      </c>
      <c r="R30">
        <v>14891045.9941619</v>
      </c>
      <c r="S30">
        <v>6959837159.7335997</v>
      </c>
      <c r="T30">
        <v>16370436.6561577</v>
      </c>
      <c r="U30" t="s">
        <v>410</v>
      </c>
      <c r="V30">
        <v>263.2</v>
      </c>
      <c r="W30">
        <v>1.159958E-2</v>
      </c>
      <c r="X30" t="s">
        <v>50</v>
      </c>
      <c r="Y30">
        <v>264.2</v>
      </c>
      <c r="Z30">
        <v>14.13597875</v>
      </c>
      <c r="AA30" t="s">
        <v>162</v>
      </c>
      <c r="AB30">
        <v>0.8</v>
      </c>
      <c r="AC30">
        <v>14.13597875</v>
      </c>
      <c r="AD30">
        <v>4316036981.7600002</v>
      </c>
    </row>
    <row r="31" spans="1:30" x14ac:dyDescent="0.25">
      <c r="A31">
        <v>247</v>
      </c>
      <c r="B31" t="s">
        <v>172</v>
      </c>
      <c r="C31" t="s">
        <v>259</v>
      </c>
      <c r="D31" t="s">
        <v>335</v>
      </c>
      <c r="E31" t="s">
        <v>48</v>
      </c>
      <c r="F31">
        <v>645162300</v>
      </c>
      <c r="G31">
        <v>6.0733949999999997</v>
      </c>
      <c r="H31" t="s">
        <v>50</v>
      </c>
      <c r="I31">
        <v>4778782.5462723002</v>
      </c>
      <c r="J31">
        <v>4204462.8230798896</v>
      </c>
      <c r="M31">
        <v>4655732.2656098604</v>
      </c>
      <c r="N31">
        <v>30.43732</v>
      </c>
      <c r="O31">
        <v>31.622592999999998</v>
      </c>
      <c r="P31">
        <v>4647866.52028092</v>
      </c>
      <c r="Q31">
        <v>27.947040000000001</v>
      </c>
      <c r="R31">
        <v>4619402.6416928796</v>
      </c>
      <c r="S31">
        <v>3918325487.0085001</v>
      </c>
      <c r="T31">
        <v>5076723.1701581404</v>
      </c>
      <c r="U31" t="s">
        <v>411</v>
      </c>
      <c r="V31">
        <v>548</v>
      </c>
      <c r="W31">
        <v>1.159958E-2</v>
      </c>
      <c r="X31" t="s">
        <v>50</v>
      </c>
      <c r="Y31">
        <v>542.5</v>
      </c>
      <c r="Z31">
        <v>14.386950000000001</v>
      </c>
      <c r="AA31" t="s">
        <v>162</v>
      </c>
      <c r="AB31">
        <v>1</v>
      </c>
      <c r="AC31">
        <v>14.386950000000001</v>
      </c>
      <c r="AD31">
        <v>3535489404</v>
      </c>
    </row>
    <row r="32" spans="1:30" x14ac:dyDescent="0.25">
      <c r="A32">
        <v>46</v>
      </c>
      <c r="B32" t="s">
        <v>173</v>
      </c>
      <c r="C32" t="s">
        <v>260</v>
      </c>
      <c r="D32" t="s">
        <v>336</v>
      </c>
      <c r="E32" t="s">
        <v>48</v>
      </c>
      <c r="F32">
        <v>429949430</v>
      </c>
      <c r="G32">
        <v>50.169460000000001</v>
      </c>
      <c r="H32" t="s">
        <v>50</v>
      </c>
      <c r="I32">
        <v>42178860.557590999</v>
      </c>
      <c r="J32">
        <v>36696854.255494498</v>
      </c>
      <c r="M32">
        <v>47751741.774276003</v>
      </c>
      <c r="N32">
        <v>35.803738000000003</v>
      </c>
      <c r="O32">
        <v>32.235289999999999</v>
      </c>
      <c r="P32">
        <v>46238666.817926198</v>
      </c>
      <c r="Q32">
        <v>33.314219999999999</v>
      </c>
      <c r="R32">
        <v>47167501.654982902</v>
      </c>
      <c r="S32">
        <v>21570330730.407799</v>
      </c>
      <c r="T32">
        <v>51796277.453475401</v>
      </c>
      <c r="U32" t="s">
        <v>412</v>
      </c>
      <c r="V32">
        <v>4740</v>
      </c>
      <c r="W32">
        <v>1.159958E-2</v>
      </c>
      <c r="X32" t="s">
        <v>50</v>
      </c>
      <c r="Y32">
        <v>4742</v>
      </c>
      <c r="Z32">
        <v>14.61985089</v>
      </c>
      <c r="AA32" t="s">
        <v>162</v>
      </c>
      <c r="AB32">
        <v>1</v>
      </c>
      <c r="AC32">
        <v>14.61985089</v>
      </c>
      <c r="AD32">
        <v>20379602982</v>
      </c>
    </row>
    <row r="33" spans="1:30" x14ac:dyDescent="0.25">
      <c r="A33">
        <v>311</v>
      </c>
      <c r="B33" t="s">
        <v>174</v>
      </c>
      <c r="C33" t="s">
        <v>261</v>
      </c>
      <c r="D33" t="s">
        <v>337</v>
      </c>
      <c r="E33" t="s">
        <v>48</v>
      </c>
      <c r="F33">
        <v>4901261700</v>
      </c>
      <c r="G33">
        <v>12.97958</v>
      </c>
      <c r="H33" t="s">
        <v>50</v>
      </c>
      <c r="I33">
        <v>100017978.33084001</v>
      </c>
      <c r="J33">
        <v>115459774.507029</v>
      </c>
      <c r="M33">
        <v>93606507.3820225</v>
      </c>
      <c r="N33">
        <v>22.719612000000001</v>
      </c>
      <c r="O33">
        <v>24.007905999999998</v>
      </c>
      <c r="P33">
        <v>94579382.495448396</v>
      </c>
      <c r="Q33">
        <v>20.778569999999998</v>
      </c>
      <c r="R33">
        <v>107963829.61139999</v>
      </c>
      <c r="S33">
        <v>63616318336.085999</v>
      </c>
      <c r="T33">
        <v>119261445.771392</v>
      </c>
      <c r="U33" t="s">
        <v>413</v>
      </c>
      <c r="V33">
        <v>1033.5</v>
      </c>
      <c r="W33">
        <v>1.159958E-2</v>
      </c>
      <c r="X33" t="s">
        <v>50</v>
      </c>
      <c r="Y33">
        <v>1047</v>
      </c>
      <c r="Z33">
        <v>14.858735940000001</v>
      </c>
      <c r="AA33" t="s">
        <v>162</v>
      </c>
      <c r="AB33">
        <v>1</v>
      </c>
      <c r="AC33">
        <v>14.858735940000001</v>
      </c>
      <c r="AD33">
        <v>50654539669.5</v>
      </c>
    </row>
    <row r="34" spans="1:30" x14ac:dyDescent="0.25">
      <c r="A34">
        <v>54</v>
      </c>
      <c r="B34" t="s">
        <v>175</v>
      </c>
      <c r="C34" t="s">
        <v>262</v>
      </c>
      <c r="D34" t="s">
        <v>338</v>
      </c>
      <c r="E34" t="s">
        <v>48</v>
      </c>
      <c r="F34">
        <v>877327600</v>
      </c>
      <c r="G34">
        <v>10.80719</v>
      </c>
      <c r="H34" t="s">
        <v>50</v>
      </c>
      <c r="I34">
        <v>16620576.599938501</v>
      </c>
      <c r="J34">
        <v>22783101.491051301</v>
      </c>
      <c r="M34">
        <v>17461459.212922599</v>
      </c>
      <c r="N34">
        <v>19.682666999999999</v>
      </c>
      <c r="O34">
        <v>20.723718999999999</v>
      </c>
      <c r="P34">
        <v>17872284.240866199</v>
      </c>
      <c r="Q34">
        <v>20.286137</v>
      </c>
      <c r="R34">
        <v>18696572.001512401</v>
      </c>
      <c r="S34">
        <v>9481446065.4440002</v>
      </c>
      <c r="T34">
        <v>20612743.364479002</v>
      </c>
      <c r="U34" t="s">
        <v>414</v>
      </c>
      <c r="V34">
        <v>812.2</v>
      </c>
      <c r="W34">
        <v>1.159958E-2</v>
      </c>
      <c r="X34" t="s">
        <v>50</v>
      </c>
      <c r="Y34">
        <v>810.4</v>
      </c>
      <c r="Z34">
        <v>14.86163</v>
      </c>
      <c r="AA34" t="s">
        <v>162</v>
      </c>
      <c r="AB34">
        <v>1</v>
      </c>
      <c r="AC34">
        <v>14.86163</v>
      </c>
      <c r="AD34">
        <v>7125654767.1999998</v>
      </c>
    </row>
    <row r="35" spans="1:30" x14ac:dyDescent="0.25">
      <c r="A35">
        <v>209</v>
      </c>
      <c r="B35" t="s">
        <v>176</v>
      </c>
      <c r="C35" t="s">
        <v>57</v>
      </c>
      <c r="D35" t="s">
        <v>72</v>
      </c>
      <c r="E35" t="s">
        <v>48</v>
      </c>
      <c r="F35">
        <v>4100763000</v>
      </c>
      <c r="G35">
        <v>16.959109999999999</v>
      </c>
      <c r="H35" t="s">
        <v>50</v>
      </c>
      <c r="I35">
        <v>109481994.597257</v>
      </c>
      <c r="J35">
        <v>115261939.81498399</v>
      </c>
      <c r="M35">
        <v>115938634.56201001</v>
      </c>
      <c r="N35">
        <v>27.609452999999998</v>
      </c>
      <c r="O35">
        <v>29.640148</v>
      </c>
      <c r="P35">
        <v>122252718.469676</v>
      </c>
      <c r="Q35">
        <v>25.730143000000002</v>
      </c>
      <c r="R35">
        <v>137496178.40789399</v>
      </c>
      <c r="S35">
        <v>69545290800.929993</v>
      </c>
      <c r="T35">
        <v>151557610.04041001</v>
      </c>
      <c r="U35" t="s">
        <v>415</v>
      </c>
      <c r="V35">
        <v>1425</v>
      </c>
      <c r="W35">
        <v>1.159958E-2</v>
      </c>
      <c r="X35" t="s">
        <v>50</v>
      </c>
      <c r="Y35">
        <v>1405</v>
      </c>
      <c r="Z35">
        <v>14.94919719</v>
      </c>
      <c r="AA35" t="s">
        <v>162</v>
      </c>
      <c r="AB35">
        <v>1</v>
      </c>
      <c r="AC35">
        <v>14.94919719</v>
      </c>
      <c r="AD35">
        <v>58435872750</v>
      </c>
    </row>
    <row r="36" spans="1:30" x14ac:dyDescent="0.25">
      <c r="A36">
        <v>362</v>
      </c>
      <c r="B36" t="s">
        <v>177</v>
      </c>
      <c r="C36" t="s">
        <v>62</v>
      </c>
      <c r="D36" t="s">
        <v>77</v>
      </c>
      <c r="E36" t="s">
        <v>48</v>
      </c>
      <c r="F36">
        <v>2524539800</v>
      </c>
      <c r="G36">
        <v>4.2067629999999996</v>
      </c>
      <c r="H36" t="s">
        <v>50</v>
      </c>
      <c r="I36">
        <v>23490999.470078699</v>
      </c>
      <c r="J36">
        <v>19134103.725660302</v>
      </c>
      <c r="M36">
        <v>20056571.093380202</v>
      </c>
      <c r="N36">
        <v>32.928733999999999</v>
      </c>
      <c r="O36">
        <v>34.231754000000002</v>
      </c>
      <c r="P36">
        <v>19179216.525840599</v>
      </c>
      <c r="Q36">
        <v>40.068072999999998</v>
      </c>
      <c r="R36">
        <v>22026245.083749</v>
      </c>
      <c r="S36">
        <v>10620140622.6674</v>
      </c>
      <c r="T36">
        <v>24226751.400157601</v>
      </c>
      <c r="U36" t="s">
        <v>416</v>
      </c>
      <c r="V36">
        <v>335.2</v>
      </c>
      <c r="W36">
        <v>1.159958E-2</v>
      </c>
      <c r="X36" t="s">
        <v>50</v>
      </c>
      <c r="Y36">
        <v>351.2</v>
      </c>
      <c r="Z36">
        <v>15.642999379999999</v>
      </c>
      <c r="AA36" t="s">
        <v>162</v>
      </c>
      <c r="AB36">
        <v>0.95</v>
      </c>
      <c r="AC36">
        <v>15.642999379999999</v>
      </c>
      <c r="AD36">
        <v>8039144539.1199999</v>
      </c>
    </row>
    <row r="37" spans="1:30" x14ac:dyDescent="0.25">
      <c r="A37">
        <v>105</v>
      </c>
      <c r="B37" t="s">
        <v>178</v>
      </c>
      <c r="C37" t="s">
        <v>263</v>
      </c>
      <c r="D37" t="s">
        <v>339</v>
      </c>
      <c r="E37" t="s">
        <v>48</v>
      </c>
      <c r="F37">
        <v>327640560</v>
      </c>
      <c r="G37">
        <v>28.267160000000001</v>
      </c>
      <c r="H37" t="s">
        <v>50</v>
      </c>
      <c r="I37">
        <v>22754491.138572801</v>
      </c>
      <c r="J37">
        <v>20727382.885531001</v>
      </c>
      <c r="M37">
        <v>24810797.572798301</v>
      </c>
      <c r="N37">
        <v>44.103386</v>
      </c>
      <c r="O37">
        <v>48.086925999999998</v>
      </c>
      <c r="P37">
        <v>24348365.843210101</v>
      </c>
      <c r="Q37">
        <v>37.620677999999998</v>
      </c>
      <c r="R37">
        <v>29107127.117954601</v>
      </c>
      <c r="S37">
        <v>9261468132.0095997</v>
      </c>
      <c r="T37">
        <v>32082985.4195343</v>
      </c>
      <c r="U37" t="s">
        <v>417</v>
      </c>
      <c r="V37">
        <v>2306</v>
      </c>
      <c r="W37">
        <v>1.159958E-2</v>
      </c>
      <c r="X37" t="s">
        <v>50</v>
      </c>
      <c r="Y37">
        <v>2340</v>
      </c>
      <c r="Z37">
        <v>15.7170375</v>
      </c>
      <c r="AA37" t="s">
        <v>162</v>
      </c>
      <c r="AB37">
        <v>1</v>
      </c>
      <c r="AC37">
        <v>15.7170375</v>
      </c>
      <c r="AD37">
        <v>7555391313.6000004</v>
      </c>
    </row>
    <row r="38" spans="1:30" x14ac:dyDescent="0.25">
      <c r="A38">
        <v>244</v>
      </c>
      <c r="B38" t="s">
        <v>179</v>
      </c>
      <c r="C38" t="s">
        <v>58</v>
      </c>
      <c r="D38" t="s">
        <v>73</v>
      </c>
      <c r="E38" t="s">
        <v>48</v>
      </c>
      <c r="F38">
        <v>159601730</v>
      </c>
      <c r="G38">
        <v>56.605710000000002</v>
      </c>
      <c r="H38" t="s">
        <v>50</v>
      </c>
      <c r="I38">
        <v>17598927.412517902</v>
      </c>
      <c r="J38">
        <v>18847506.2110737</v>
      </c>
      <c r="M38">
        <v>19679582.695868701</v>
      </c>
      <c r="N38">
        <v>26.515547000000002</v>
      </c>
      <c r="O38">
        <v>28.556225000000001</v>
      </c>
      <c r="P38">
        <v>20572910.825687401</v>
      </c>
      <c r="Q38">
        <v>25.200623</v>
      </c>
      <c r="R38">
        <v>23957587.637926199</v>
      </c>
      <c r="S38">
        <v>9034369243.8782997</v>
      </c>
      <c r="T38">
        <v>26390100.474813901</v>
      </c>
      <c r="U38" t="s">
        <v>418</v>
      </c>
      <c r="V38">
        <v>4834</v>
      </c>
      <c r="W38">
        <v>1.159958E-2</v>
      </c>
      <c r="X38" t="s">
        <v>50</v>
      </c>
      <c r="Y38">
        <v>4834</v>
      </c>
      <c r="Z38">
        <v>15.936555</v>
      </c>
      <c r="AA38" t="s">
        <v>162</v>
      </c>
      <c r="AB38">
        <v>1</v>
      </c>
      <c r="AC38">
        <v>15.936555</v>
      </c>
      <c r="AD38">
        <v>7715147628.1999998</v>
      </c>
    </row>
    <row r="39" spans="1:30" x14ac:dyDescent="0.25">
      <c r="A39">
        <v>313</v>
      </c>
      <c r="B39" t="s">
        <v>180</v>
      </c>
      <c r="C39" t="s">
        <v>60</v>
      </c>
      <c r="D39" t="s">
        <v>75</v>
      </c>
      <c r="E39" t="s">
        <v>48</v>
      </c>
      <c r="F39">
        <v>8078894500</v>
      </c>
      <c r="G39">
        <v>6.2244859999999997</v>
      </c>
      <c r="H39" t="s">
        <v>50</v>
      </c>
      <c r="I39">
        <v>86110231.8896669</v>
      </c>
      <c r="J39">
        <v>111906705.57738701</v>
      </c>
      <c r="M39">
        <v>104823962.453559</v>
      </c>
      <c r="N39">
        <v>29.65231</v>
      </c>
      <c r="O39">
        <v>32.304430000000004</v>
      </c>
      <c r="P39">
        <v>109894422.645244</v>
      </c>
      <c r="Q39">
        <v>28.195446</v>
      </c>
      <c r="R39">
        <v>128661983.572808</v>
      </c>
      <c r="S39">
        <v>50286965710.726997</v>
      </c>
      <c r="T39">
        <v>141360608.73766899</v>
      </c>
      <c r="U39" t="s">
        <v>419</v>
      </c>
      <c r="V39">
        <v>497.6</v>
      </c>
      <c r="W39">
        <v>1.159958E-2</v>
      </c>
      <c r="X39" t="s">
        <v>50</v>
      </c>
      <c r="Y39">
        <v>483.2</v>
      </c>
      <c r="Z39">
        <v>16.074156250000001</v>
      </c>
      <c r="AA39" t="s">
        <v>162</v>
      </c>
      <c r="AB39">
        <v>0.9</v>
      </c>
      <c r="AC39">
        <v>16.074156250000001</v>
      </c>
      <c r="AD39">
        <v>36180521128.800003</v>
      </c>
    </row>
    <row r="40" spans="1:30" x14ac:dyDescent="0.25">
      <c r="A40">
        <v>340</v>
      </c>
      <c r="B40" t="s">
        <v>181</v>
      </c>
      <c r="C40" t="s">
        <v>264</v>
      </c>
      <c r="D40" t="s">
        <v>340</v>
      </c>
      <c r="E40" t="s">
        <v>48</v>
      </c>
      <c r="F40">
        <v>320232670</v>
      </c>
      <c r="G40">
        <v>15.73967</v>
      </c>
      <c r="H40" t="s">
        <v>50</v>
      </c>
      <c r="I40">
        <v>17269658.816307999</v>
      </c>
      <c r="J40">
        <v>14934695.4665247</v>
      </c>
      <c r="M40">
        <v>19063484.423587501</v>
      </c>
      <c r="N40">
        <v>30.477869999999999</v>
      </c>
      <c r="O40">
        <v>32.370235000000001</v>
      </c>
      <c r="P40">
        <v>20258762.5843408</v>
      </c>
      <c r="Q40">
        <v>31.613522</v>
      </c>
      <c r="R40">
        <v>22441568.034328099</v>
      </c>
      <c r="S40">
        <v>5040356549.0188999</v>
      </c>
      <c r="T40">
        <v>24418202.806320898</v>
      </c>
      <c r="U40" t="s">
        <v>420</v>
      </c>
      <c r="V40">
        <v>1222</v>
      </c>
      <c r="W40">
        <v>1.159958E-2</v>
      </c>
      <c r="X40" t="s">
        <v>50</v>
      </c>
      <c r="Y40">
        <v>1210</v>
      </c>
      <c r="Z40">
        <v>16.228090269999999</v>
      </c>
      <c r="AA40" t="s">
        <v>162</v>
      </c>
      <c r="AB40">
        <v>1</v>
      </c>
      <c r="AC40">
        <v>16.228090269999999</v>
      </c>
      <c r="AD40">
        <v>3913243227.4000001</v>
      </c>
    </row>
    <row r="41" spans="1:30" x14ac:dyDescent="0.25">
      <c r="A41">
        <v>422</v>
      </c>
      <c r="B41" t="s">
        <v>182</v>
      </c>
      <c r="C41" t="s">
        <v>265</v>
      </c>
      <c r="D41" t="s">
        <v>341</v>
      </c>
      <c r="E41" t="s">
        <v>48</v>
      </c>
      <c r="F41">
        <v>73776050</v>
      </c>
      <c r="G41">
        <v>67.991100000000003</v>
      </c>
      <c r="H41" t="s">
        <v>50</v>
      </c>
      <c r="I41">
        <v>13442476.1178567</v>
      </c>
      <c r="J41">
        <v>12591228.3620407</v>
      </c>
      <c r="M41">
        <v>13571045.2019192</v>
      </c>
      <c r="N41">
        <v>34.107419999999998</v>
      </c>
      <c r="O41">
        <v>35.26979</v>
      </c>
      <c r="P41">
        <v>13228573.9118613</v>
      </c>
      <c r="Q41">
        <v>32.716769999999997</v>
      </c>
      <c r="R41">
        <v>13571879.123173799</v>
      </c>
      <c r="S41">
        <v>5016114793.1550007</v>
      </c>
      <c r="T41">
        <v>14914968.5474554</v>
      </c>
      <c r="U41" t="s">
        <v>421</v>
      </c>
      <c r="V41">
        <v>6190</v>
      </c>
      <c r="W41">
        <v>1.159958E-2</v>
      </c>
      <c r="X41" t="s">
        <v>50</v>
      </c>
      <c r="Y41">
        <v>6170</v>
      </c>
      <c r="Z41">
        <v>16.252228120000002</v>
      </c>
      <c r="AA41" t="s">
        <v>162</v>
      </c>
      <c r="AB41">
        <v>1</v>
      </c>
      <c r="AC41">
        <v>16.252228120000002</v>
      </c>
      <c r="AD41">
        <v>4566737495</v>
      </c>
    </row>
    <row r="42" spans="1:30" x14ac:dyDescent="0.25">
      <c r="A42">
        <v>319</v>
      </c>
      <c r="B42" t="s">
        <v>183</v>
      </c>
      <c r="C42" t="s">
        <v>266</v>
      </c>
      <c r="D42" t="s">
        <v>342</v>
      </c>
      <c r="E42" t="s">
        <v>48</v>
      </c>
      <c r="F42">
        <v>122860306</v>
      </c>
      <c r="G42">
        <v>153.41120000000001</v>
      </c>
      <c r="H42" t="s">
        <v>50</v>
      </c>
      <c r="I42">
        <v>27352499.688480798</v>
      </c>
      <c r="J42">
        <v>35259656.597991697</v>
      </c>
      <c r="M42">
        <v>28773826.925472401</v>
      </c>
      <c r="N42">
        <v>26.915873000000001</v>
      </c>
      <c r="O42">
        <v>28.316272999999999</v>
      </c>
      <c r="P42">
        <v>30069709.008497</v>
      </c>
      <c r="Q42">
        <v>25.492346000000001</v>
      </c>
      <c r="R42">
        <v>34858934.862713002</v>
      </c>
      <c r="S42">
        <v>18848146975.827202</v>
      </c>
      <c r="T42">
        <v>38516835.058412999</v>
      </c>
      <c r="U42" t="s">
        <v>422</v>
      </c>
      <c r="V42">
        <v>12180</v>
      </c>
      <c r="W42">
        <v>1.159958E-2</v>
      </c>
      <c r="X42" t="s">
        <v>50</v>
      </c>
      <c r="Y42">
        <v>12205</v>
      </c>
      <c r="Z42">
        <v>16.310334999999998</v>
      </c>
      <c r="AA42" t="s">
        <v>162</v>
      </c>
      <c r="AB42">
        <v>0.9</v>
      </c>
      <c r="AC42">
        <v>16.310334999999998</v>
      </c>
      <c r="AD42">
        <v>13467946743.719999</v>
      </c>
    </row>
    <row r="43" spans="1:30" x14ac:dyDescent="0.25">
      <c r="A43">
        <v>281</v>
      </c>
      <c r="B43" t="s">
        <v>184</v>
      </c>
      <c r="C43" t="s">
        <v>59</v>
      </c>
      <c r="D43" t="s">
        <v>74</v>
      </c>
      <c r="E43" t="s">
        <v>48</v>
      </c>
      <c r="F43">
        <v>5795190400</v>
      </c>
      <c r="G43">
        <v>2.8469410000000002</v>
      </c>
      <c r="H43" t="s">
        <v>50</v>
      </c>
      <c r="I43">
        <v>40110176.070057303</v>
      </c>
      <c r="J43">
        <v>46117936.931882203</v>
      </c>
      <c r="M43">
        <v>41965770.354433097</v>
      </c>
      <c r="N43">
        <v>25.255447</v>
      </c>
      <c r="O43">
        <v>25.850441</v>
      </c>
      <c r="P43">
        <v>44523941.464391299</v>
      </c>
      <c r="Q43">
        <v>22.768774000000001</v>
      </c>
      <c r="R43">
        <v>51017815.623192102</v>
      </c>
      <c r="S43">
        <v>16498565152.566401</v>
      </c>
      <c r="T43">
        <v>56405635.422123201</v>
      </c>
      <c r="U43" t="s">
        <v>423</v>
      </c>
      <c r="V43">
        <v>250.9</v>
      </c>
      <c r="W43">
        <v>1.159958E-2</v>
      </c>
      <c r="X43" t="s">
        <v>50</v>
      </c>
      <c r="Y43">
        <v>249.5</v>
      </c>
      <c r="Z43">
        <v>16.334921380000001</v>
      </c>
      <c r="AA43" t="s">
        <v>162</v>
      </c>
      <c r="AB43">
        <v>1</v>
      </c>
      <c r="AC43">
        <v>16.334921380000001</v>
      </c>
      <c r="AD43">
        <v>14540132713.6</v>
      </c>
    </row>
    <row r="44" spans="1:30" x14ac:dyDescent="0.25">
      <c r="A44">
        <v>57</v>
      </c>
      <c r="B44" t="s">
        <v>185</v>
      </c>
      <c r="C44" t="s">
        <v>267</v>
      </c>
      <c r="D44" t="s">
        <v>343</v>
      </c>
      <c r="E44" t="s">
        <v>48</v>
      </c>
      <c r="F44">
        <v>2677962600</v>
      </c>
      <c r="G44">
        <v>7.2666599999999999</v>
      </c>
      <c r="H44" t="s">
        <v>50</v>
      </c>
      <c r="I44">
        <v>33906297.541470297</v>
      </c>
      <c r="J44">
        <v>49832341.911756299</v>
      </c>
      <c r="M44">
        <v>41930286.854214497</v>
      </c>
      <c r="N44">
        <v>23.526768000000001</v>
      </c>
      <c r="O44">
        <v>25.040476000000002</v>
      </c>
      <c r="P44">
        <v>44378243.900031798</v>
      </c>
      <c r="Q44">
        <v>21.851357</v>
      </c>
      <c r="R44">
        <v>53937674.513801403</v>
      </c>
      <c r="S44">
        <v>19459843706.916</v>
      </c>
      <c r="T44">
        <v>59266422.929877199</v>
      </c>
      <c r="U44" t="s">
        <v>424</v>
      </c>
      <c r="V44">
        <v>615</v>
      </c>
      <c r="W44">
        <v>1.159958E-2</v>
      </c>
      <c r="X44" t="s">
        <v>50</v>
      </c>
      <c r="Y44">
        <v>613.4</v>
      </c>
      <c r="Z44">
        <v>16.451832499999998</v>
      </c>
      <c r="AA44" t="s">
        <v>162</v>
      </c>
      <c r="AB44">
        <v>1</v>
      </c>
      <c r="AC44">
        <v>16.451832499999998</v>
      </c>
      <c r="AD44">
        <v>16469469990</v>
      </c>
    </row>
    <row r="45" spans="1:30" x14ac:dyDescent="0.25">
      <c r="A45">
        <v>288</v>
      </c>
      <c r="B45" t="s">
        <v>186</v>
      </c>
      <c r="C45" t="s">
        <v>268</v>
      </c>
      <c r="D45" t="s">
        <v>344</v>
      </c>
      <c r="E45" t="s">
        <v>48</v>
      </c>
      <c r="F45">
        <v>529349400</v>
      </c>
      <c r="G45">
        <v>137.17189999999999</v>
      </c>
      <c r="H45" t="s">
        <v>50</v>
      </c>
      <c r="I45">
        <v>85586157.735450894</v>
      </c>
      <c r="J45">
        <v>85834997.137347698</v>
      </c>
      <c r="M45">
        <v>93295275.5920358</v>
      </c>
      <c r="N45">
        <v>26.012074999999999</v>
      </c>
      <c r="O45">
        <v>28.643291000000001</v>
      </c>
      <c r="P45">
        <v>98222328.538007602</v>
      </c>
      <c r="Q45">
        <v>23.203861</v>
      </c>
      <c r="R45">
        <v>109765690.281551</v>
      </c>
      <c r="S45">
        <v>72611862961.860001</v>
      </c>
      <c r="T45">
        <v>120389184.27887499</v>
      </c>
      <c r="U45" t="s">
        <v>425</v>
      </c>
      <c r="V45">
        <v>10840</v>
      </c>
      <c r="W45">
        <v>1.159958E-2</v>
      </c>
      <c r="X45" t="s">
        <v>50</v>
      </c>
      <c r="Y45">
        <v>10700</v>
      </c>
      <c r="Z45">
        <v>16.670292499999999</v>
      </c>
      <c r="AA45" t="s">
        <v>162</v>
      </c>
      <c r="AB45">
        <v>0.95</v>
      </c>
      <c r="AC45">
        <v>16.670292499999999</v>
      </c>
      <c r="AD45">
        <v>54512401212</v>
      </c>
    </row>
    <row r="46" spans="1:30" x14ac:dyDescent="0.25">
      <c r="A46">
        <v>83</v>
      </c>
      <c r="B46" t="s">
        <v>187</v>
      </c>
      <c r="C46" t="s">
        <v>269</v>
      </c>
      <c r="D46" t="s">
        <v>345</v>
      </c>
      <c r="E46" t="s">
        <v>48</v>
      </c>
      <c r="F46">
        <v>626792660</v>
      </c>
      <c r="G46">
        <v>10.99873</v>
      </c>
      <c r="H46" t="s">
        <v>50</v>
      </c>
      <c r="I46">
        <v>13359474.4255911</v>
      </c>
      <c r="J46">
        <v>17398161.639504399</v>
      </c>
      <c r="M46">
        <v>14627986.361176001</v>
      </c>
      <c r="N46">
        <v>29.208970999999998</v>
      </c>
      <c r="O46">
        <v>30.521498000000001</v>
      </c>
      <c r="P46">
        <v>15920841.3476153</v>
      </c>
      <c r="Q46">
        <v>27.024785999999999</v>
      </c>
      <c r="R46">
        <v>20201895.3889172</v>
      </c>
      <c r="S46">
        <v>6893923233.3218002</v>
      </c>
      <c r="T46">
        <v>22265657.014216799</v>
      </c>
      <c r="U46" t="s">
        <v>426</v>
      </c>
      <c r="V46">
        <v>889.5</v>
      </c>
      <c r="W46">
        <v>1.159958E-2</v>
      </c>
      <c r="X46" t="s">
        <v>50</v>
      </c>
      <c r="Y46">
        <v>910</v>
      </c>
      <c r="Z46">
        <v>16.741346870000001</v>
      </c>
      <c r="AA46" t="s">
        <v>162</v>
      </c>
      <c r="AB46">
        <v>1</v>
      </c>
      <c r="AC46">
        <v>16.741346870000001</v>
      </c>
      <c r="AD46">
        <v>5575320710.6999998</v>
      </c>
    </row>
    <row r="47" spans="1:30" x14ac:dyDescent="0.25">
      <c r="A47">
        <v>417</v>
      </c>
      <c r="B47" t="s">
        <v>188</v>
      </c>
      <c r="C47" t="s">
        <v>270</v>
      </c>
      <c r="D47" t="s">
        <v>346</v>
      </c>
      <c r="E47" t="s">
        <v>48</v>
      </c>
      <c r="F47">
        <v>199928450</v>
      </c>
      <c r="G47">
        <v>20.78398</v>
      </c>
      <c r="H47" t="s">
        <v>50</v>
      </c>
      <c r="I47">
        <v>4910269.3948101997</v>
      </c>
      <c r="J47">
        <v>5038767.3927656598</v>
      </c>
      <c r="M47">
        <v>4543805.9819104197</v>
      </c>
      <c r="N47">
        <v>28.834340000000001</v>
      </c>
      <c r="O47">
        <v>31.618582</v>
      </c>
      <c r="P47">
        <v>4717829.2521316204</v>
      </c>
      <c r="Q47">
        <v>30.115058999999999</v>
      </c>
      <c r="R47">
        <v>5095234.0980031304</v>
      </c>
      <c r="S47">
        <v>4155308906.2309999</v>
      </c>
      <c r="T47">
        <v>5603605.0714917602</v>
      </c>
      <c r="U47" t="s">
        <v>427</v>
      </c>
      <c r="V47">
        <v>1680</v>
      </c>
      <c r="W47">
        <v>1.159958E-2</v>
      </c>
      <c r="X47" t="s">
        <v>50</v>
      </c>
      <c r="Y47">
        <v>1657</v>
      </c>
      <c r="Z47">
        <v>16.826731250000002</v>
      </c>
      <c r="AA47" t="s">
        <v>162</v>
      </c>
      <c r="AB47">
        <v>0.7</v>
      </c>
      <c r="AC47">
        <v>16.826731250000002</v>
      </c>
      <c r="AD47">
        <v>2351158572</v>
      </c>
    </row>
    <row r="48" spans="1:30" x14ac:dyDescent="0.25">
      <c r="A48">
        <v>74</v>
      </c>
      <c r="B48" t="s">
        <v>189</v>
      </c>
      <c r="C48" t="s">
        <v>271</v>
      </c>
      <c r="D48" t="s">
        <v>347</v>
      </c>
      <c r="E48" t="s">
        <v>48</v>
      </c>
      <c r="F48">
        <v>14243319000</v>
      </c>
      <c r="G48">
        <v>3.8462860000000001</v>
      </c>
      <c r="H48" t="s">
        <v>50</v>
      </c>
      <c r="I48">
        <v>110809632.269945</v>
      </c>
      <c r="J48">
        <v>124717435.640515</v>
      </c>
      <c r="M48">
        <v>127197372.365427</v>
      </c>
      <c r="N48">
        <v>38.528872999999997</v>
      </c>
      <c r="O48">
        <v>41.898518000000003</v>
      </c>
      <c r="P48">
        <v>137786250.134363</v>
      </c>
      <c r="Q48">
        <v>35.966652000000003</v>
      </c>
      <c r="R48">
        <v>156979595.93422699</v>
      </c>
      <c r="S48">
        <v>54783878463.234001</v>
      </c>
      <c r="T48">
        <v>172263262.023101</v>
      </c>
      <c r="U48" t="s">
        <v>428</v>
      </c>
      <c r="V48">
        <v>339.65</v>
      </c>
      <c r="W48">
        <v>1.159958E-2</v>
      </c>
      <c r="X48" t="s">
        <v>50</v>
      </c>
      <c r="Y48">
        <v>330.5</v>
      </c>
      <c r="Z48">
        <v>16.895234500000001</v>
      </c>
      <c r="AA48" t="s">
        <v>162</v>
      </c>
      <c r="AB48">
        <v>1</v>
      </c>
      <c r="AC48">
        <v>16.895234500000001</v>
      </c>
      <c r="AD48">
        <v>48377432983.5</v>
      </c>
    </row>
    <row r="49" spans="1:30" x14ac:dyDescent="0.25">
      <c r="A49">
        <v>425</v>
      </c>
      <c r="B49" t="s">
        <v>190</v>
      </c>
      <c r="C49" t="s">
        <v>272</v>
      </c>
      <c r="D49" t="s">
        <v>348</v>
      </c>
      <c r="E49" t="s">
        <v>48</v>
      </c>
      <c r="F49">
        <v>534507570</v>
      </c>
      <c r="G49">
        <v>12.931990000000001</v>
      </c>
      <c r="H49" t="s">
        <v>50</v>
      </c>
      <c r="I49">
        <v>15805634.227042399</v>
      </c>
      <c r="J49">
        <v>13572740.9251313</v>
      </c>
      <c r="M49">
        <v>17532793.713006999</v>
      </c>
      <c r="N49">
        <v>39.846663999999997</v>
      </c>
      <c r="O49">
        <v>42.998860000000001</v>
      </c>
      <c r="P49">
        <v>17502523.589304499</v>
      </c>
      <c r="Q49">
        <v>36.042380000000001</v>
      </c>
      <c r="R49">
        <v>19144158.472104602</v>
      </c>
      <c r="S49">
        <v>6912246550.1643</v>
      </c>
      <c r="T49">
        <v>20980382.141984701</v>
      </c>
      <c r="U49" t="s">
        <v>429</v>
      </c>
      <c r="V49">
        <v>1199.5</v>
      </c>
      <c r="W49">
        <v>1.159958E-2</v>
      </c>
      <c r="X49" t="s">
        <v>50</v>
      </c>
      <c r="Y49">
        <v>1168.5</v>
      </c>
      <c r="Z49">
        <v>17.055159410000002</v>
      </c>
      <c r="AA49" t="s">
        <v>162</v>
      </c>
      <c r="AB49">
        <v>1</v>
      </c>
      <c r="AC49">
        <v>17.055159410000002</v>
      </c>
      <c r="AD49">
        <v>6411418302.1500006</v>
      </c>
    </row>
    <row r="50" spans="1:30" x14ac:dyDescent="0.25">
      <c r="A50">
        <v>348</v>
      </c>
      <c r="B50" t="s">
        <v>191</v>
      </c>
      <c r="C50" t="s">
        <v>273</v>
      </c>
      <c r="D50" t="s">
        <v>349</v>
      </c>
      <c r="E50" t="s">
        <v>48</v>
      </c>
      <c r="F50">
        <v>2600735400</v>
      </c>
      <c r="G50">
        <v>9.8316429999999997</v>
      </c>
      <c r="H50" t="s">
        <v>50</v>
      </c>
      <c r="I50">
        <v>46115183.836493798</v>
      </c>
      <c r="J50">
        <v>42966240.761755198</v>
      </c>
      <c r="M50">
        <v>45690735.199235499</v>
      </c>
      <c r="N50">
        <v>30.176489</v>
      </c>
      <c r="O50">
        <v>32.084049999999998</v>
      </c>
      <c r="P50">
        <v>47429667.868218198</v>
      </c>
      <c r="Q50">
        <v>32.195540000000001</v>
      </c>
      <c r="R50">
        <v>51308581.318913497</v>
      </c>
      <c r="S50">
        <v>25569501990.262199</v>
      </c>
      <c r="T50">
        <v>56393817.029004999</v>
      </c>
      <c r="U50" t="s">
        <v>430</v>
      </c>
      <c r="V50">
        <v>912.4</v>
      </c>
      <c r="W50">
        <v>1.159958E-2</v>
      </c>
      <c r="X50" t="s">
        <v>50</v>
      </c>
      <c r="Y50">
        <v>902.2</v>
      </c>
      <c r="Z50">
        <v>17.151936719999998</v>
      </c>
      <c r="AA50" t="s">
        <v>162</v>
      </c>
      <c r="AB50">
        <v>0.95</v>
      </c>
      <c r="AC50">
        <v>17.151936719999998</v>
      </c>
      <c r="AD50">
        <v>22542654300.119999</v>
      </c>
    </row>
    <row r="51" spans="1:30" x14ac:dyDescent="0.25">
      <c r="A51">
        <v>119</v>
      </c>
      <c r="B51" t="s">
        <v>192</v>
      </c>
      <c r="C51" t="s">
        <v>53</v>
      </c>
      <c r="D51" t="s">
        <v>68</v>
      </c>
      <c r="E51" t="s">
        <v>48</v>
      </c>
      <c r="F51">
        <v>363430020</v>
      </c>
      <c r="G51">
        <v>47.683</v>
      </c>
      <c r="H51" t="s">
        <v>50</v>
      </c>
      <c r="I51">
        <v>16583674.163908901</v>
      </c>
      <c r="J51">
        <v>19239051.379588101</v>
      </c>
      <c r="M51">
        <v>18785069.1397704</v>
      </c>
      <c r="N51">
        <v>24.184760000000001</v>
      </c>
      <c r="O51">
        <v>25.938896</v>
      </c>
      <c r="P51">
        <v>20110826.407768901</v>
      </c>
      <c r="Q51">
        <v>22.361052999999998</v>
      </c>
      <c r="R51">
        <v>23123743.8595233</v>
      </c>
      <c r="S51">
        <v>17329433643.66</v>
      </c>
      <c r="T51">
        <v>25455967.069834199</v>
      </c>
      <c r="U51" t="s">
        <v>431</v>
      </c>
      <c r="V51">
        <v>3924</v>
      </c>
      <c r="W51">
        <v>1.159958E-2</v>
      </c>
      <c r="X51" t="s">
        <v>50</v>
      </c>
      <c r="Y51">
        <v>4032</v>
      </c>
      <c r="Z51">
        <v>17.265521870000001</v>
      </c>
      <c r="AA51" t="s">
        <v>162</v>
      </c>
      <c r="AB51">
        <v>0.55000000000000004</v>
      </c>
      <c r="AC51">
        <v>17.265521870000001</v>
      </c>
      <c r="AD51">
        <v>7843546691.6400003</v>
      </c>
    </row>
    <row r="52" spans="1:30" x14ac:dyDescent="0.25">
      <c r="A52">
        <v>380</v>
      </c>
      <c r="B52" t="s">
        <v>193</v>
      </c>
      <c r="C52" t="s">
        <v>274</v>
      </c>
      <c r="D52" t="s">
        <v>350</v>
      </c>
      <c r="E52" t="s">
        <v>48</v>
      </c>
      <c r="F52">
        <v>979000850</v>
      </c>
      <c r="G52">
        <v>14.722479999999999</v>
      </c>
      <c r="H52" t="s">
        <v>50</v>
      </c>
      <c r="I52">
        <v>25266728.2232191</v>
      </c>
      <c r="J52">
        <v>24335317.706101999</v>
      </c>
      <c r="M52">
        <v>29062257.195144001</v>
      </c>
      <c r="N52">
        <v>21.118690000000001</v>
      </c>
      <c r="O52">
        <v>22.815581999999999</v>
      </c>
      <c r="P52">
        <v>28447656.077624802</v>
      </c>
      <c r="Q52">
        <v>29.999254000000001</v>
      </c>
      <c r="R52">
        <v>29013082.202467099</v>
      </c>
      <c r="S52">
        <v>14413320434.108</v>
      </c>
      <c r="T52">
        <v>31886472.784077302</v>
      </c>
      <c r="U52" t="s">
        <v>432</v>
      </c>
      <c r="V52">
        <v>1238</v>
      </c>
      <c r="W52">
        <v>1.159958E-2</v>
      </c>
      <c r="X52" t="s">
        <v>50</v>
      </c>
      <c r="Y52">
        <v>1212</v>
      </c>
      <c r="Z52">
        <v>17.397504999999999</v>
      </c>
      <c r="AA52" t="s">
        <v>162</v>
      </c>
      <c r="AB52">
        <v>1</v>
      </c>
      <c r="AC52">
        <v>17.397504999999999</v>
      </c>
      <c r="AD52">
        <v>12120030523</v>
      </c>
    </row>
    <row r="53" spans="1:30" x14ac:dyDescent="0.25">
      <c r="A53">
        <v>145</v>
      </c>
      <c r="B53" t="s">
        <v>194</v>
      </c>
      <c r="C53" t="s">
        <v>55</v>
      </c>
      <c r="D53" t="s">
        <v>70</v>
      </c>
      <c r="E53" t="s">
        <v>48</v>
      </c>
      <c r="F53">
        <v>2225281500</v>
      </c>
      <c r="G53">
        <v>24.043749999999999</v>
      </c>
      <c r="H53" t="s">
        <v>50</v>
      </c>
      <c r="I53">
        <v>85742023.461183503</v>
      </c>
      <c r="J53">
        <v>75906432.280741796</v>
      </c>
      <c r="M53">
        <v>87363628.150971606</v>
      </c>
      <c r="N53">
        <v>25.616074000000001</v>
      </c>
      <c r="O53">
        <v>26.304089999999999</v>
      </c>
      <c r="P53">
        <v>84522136.163673997</v>
      </c>
      <c r="Q53">
        <v>24.945086</v>
      </c>
      <c r="R53">
        <v>83395603.172157899</v>
      </c>
      <c r="S53">
        <v>53504112065.625</v>
      </c>
      <c r="T53">
        <v>91771328.307187498</v>
      </c>
      <c r="U53" t="s">
        <v>433</v>
      </c>
      <c r="V53">
        <v>1915</v>
      </c>
      <c r="W53">
        <v>1.159958E-2</v>
      </c>
      <c r="X53" t="s">
        <v>50</v>
      </c>
      <c r="Y53">
        <v>1908.5</v>
      </c>
      <c r="Z53">
        <v>17.404931999999999</v>
      </c>
      <c r="AA53" t="s">
        <v>162</v>
      </c>
      <c r="AB53">
        <v>1</v>
      </c>
      <c r="AC53">
        <v>17.404931999999999</v>
      </c>
      <c r="AD53">
        <v>42614140725</v>
      </c>
    </row>
    <row r="54" spans="1:30" x14ac:dyDescent="0.25">
      <c r="A54">
        <v>88</v>
      </c>
      <c r="B54" t="s">
        <v>195</v>
      </c>
      <c r="C54" t="s">
        <v>275</v>
      </c>
      <c r="D54" t="s">
        <v>351</v>
      </c>
      <c r="E54" t="s">
        <v>48</v>
      </c>
      <c r="F54">
        <v>118983390</v>
      </c>
      <c r="G54">
        <v>31.57452</v>
      </c>
      <c r="H54" t="s">
        <v>50</v>
      </c>
      <c r="I54">
        <v>8696127.8901941106</v>
      </c>
      <c r="J54">
        <v>6873336.4551005997</v>
      </c>
      <c r="M54">
        <v>9120105.3750355393</v>
      </c>
      <c r="N54">
        <v>32.116683999999999</v>
      </c>
      <c r="O54">
        <v>34.875880000000002</v>
      </c>
      <c r="P54">
        <v>9448517.2799757496</v>
      </c>
      <c r="Q54">
        <v>32.262996999999999</v>
      </c>
      <c r="R54">
        <v>8254405.9577766601</v>
      </c>
      <c r="S54">
        <v>3756843427.2227998</v>
      </c>
      <c r="T54">
        <v>9077486.4016899709</v>
      </c>
      <c r="U54" t="s">
        <v>434</v>
      </c>
      <c r="V54">
        <v>2636</v>
      </c>
      <c r="W54">
        <v>1.159958E-2</v>
      </c>
      <c r="X54" t="s">
        <v>50</v>
      </c>
      <c r="Y54">
        <v>2632</v>
      </c>
      <c r="Z54">
        <v>17.452708040000001</v>
      </c>
      <c r="AA54" t="s">
        <v>162</v>
      </c>
      <c r="AB54">
        <v>1</v>
      </c>
      <c r="AC54">
        <v>17.452708040000001</v>
      </c>
      <c r="AD54">
        <v>3136402160.4000001</v>
      </c>
    </row>
    <row r="55" spans="1:30" x14ac:dyDescent="0.25">
      <c r="A55">
        <v>367</v>
      </c>
      <c r="B55" t="s">
        <v>196</v>
      </c>
      <c r="C55" t="s">
        <v>276</v>
      </c>
      <c r="D55" t="s">
        <v>352</v>
      </c>
      <c r="E55" t="s">
        <v>48</v>
      </c>
      <c r="F55">
        <v>777074600</v>
      </c>
      <c r="G55">
        <v>9.0607209999999991</v>
      </c>
      <c r="H55" t="s">
        <v>50</v>
      </c>
      <c r="I55">
        <v>12674889.5244228</v>
      </c>
      <c r="J55">
        <v>13094216.3823929</v>
      </c>
      <c r="M55">
        <v>12062204.381214</v>
      </c>
      <c r="N55">
        <v>25.660869999999999</v>
      </c>
      <c r="O55">
        <v>27.273779000000001</v>
      </c>
      <c r="P55">
        <v>12045124.178134</v>
      </c>
      <c r="Q55">
        <v>25.846582000000001</v>
      </c>
      <c r="R55">
        <v>14274771.7725701</v>
      </c>
      <c r="S55">
        <v>7040856146.7865992</v>
      </c>
      <c r="T55">
        <v>15785696.290519999</v>
      </c>
      <c r="U55" t="s">
        <v>435</v>
      </c>
      <c r="V55">
        <v>780.6</v>
      </c>
      <c r="W55">
        <v>1.159958E-2</v>
      </c>
      <c r="X55" t="s">
        <v>50</v>
      </c>
      <c r="Y55">
        <v>774</v>
      </c>
      <c r="Z55">
        <v>17.510449999999999</v>
      </c>
      <c r="AA55" t="s">
        <v>162</v>
      </c>
      <c r="AB55">
        <v>0.95</v>
      </c>
      <c r="AC55">
        <v>17.510449999999999</v>
      </c>
      <c r="AD55">
        <v>5762552111.2200003</v>
      </c>
    </row>
    <row r="56" spans="1:30" x14ac:dyDescent="0.25">
      <c r="A56">
        <v>8</v>
      </c>
      <c r="B56" t="s">
        <v>197</v>
      </c>
      <c r="C56" t="s">
        <v>277</v>
      </c>
      <c r="D56" t="s">
        <v>353</v>
      </c>
      <c r="E56" t="s">
        <v>48</v>
      </c>
      <c r="F56">
        <v>1840743300</v>
      </c>
      <c r="G56">
        <v>2.0022579999999999</v>
      </c>
      <c r="H56" t="s">
        <v>50</v>
      </c>
      <c r="I56">
        <v>8567472.3007427901</v>
      </c>
      <c r="J56">
        <v>6865698.2473432003</v>
      </c>
      <c r="M56">
        <v>6500087.15719763</v>
      </c>
      <c r="N56">
        <v>34.073839999999997</v>
      </c>
      <c r="O56">
        <v>36.984203000000001</v>
      </c>
      <c r="P56">
        <v>6843498.4157634899</v>
      </c>
      <c r="Q56">
        <v>34.936120000000003</v>
      </c>
      <c r="R56">
        <v>7553501.6688507702</v>
      </c>
      <c r="S56">
        <v>3685642998.3713999</v>
      </c>
      <c r="T56">
        <v>8299926.1232395796</v>
      </c>
      <c r="U56" t="s">
        <v>436</v>
      </c>
      <c r="V56">
        <v>189.4</v>
      </c>
      <c r="W56">
        <v>1.159958E-2</v>
      </c>
      <c r="X56" t="s">
        <v>50</v>
      </c>
      <c r="Y56">
        <v>187.7</v>
      </c>
      <c r="Z56">
        <v>17.619654690000001</v>
      </c>
      <c r="AA56" t="s">
        <v>162</v>
      </c>
      <c r="AB56">
        <v>1</v>
      </c>
      <c r="AC56">
        <v>17.619654690000001</v>
      </c>
      <c r="AD56">
        <v>3486367810.1999998</v>
      </c>
    </row>
    <row r="57" spans="1:30" x14ac:dyDescent="0.25">
      <c r="A57">
        <v>242</v>
      </c>
      <c r="B57" t="s">
        <v>198</v>
      </c>
      <c r="C57" t="s">
        <v>278</v>
      </c>
      <c r="D57" t="s">
        <v>354</v>
      </c>
      <c r="E57" t="s">
        <v>48</v>
      </c>
      <c r="F57">
        <v>155564440</v>
      </c>
      <c r="G57">
        <v>102.2424</v>
      </c>
      <c r="H57" t="s">
        <v>50</v>
      </c>
      <c r="I57">
        <v>32614249.503163699</v>
      </c>
      <c r="J57">
        <v>33895905.345688596</v>
      </c>
      <c r="M57">
        <v>36250867.465822697</v>
      </c>
      <c r="N57">
        <v>25.811546</v>
      </c>
      <c r="O57">
        <v>27.744344999999999</v>
      </c>
      <c r="P57">
        <v>36414087.032017298</v>
      </c>
      <c r="Q57">
        <v>24.093233000000001</v>
      </c>
      <c r="R57">
        <v>40373390.356335998</v>
      </c>
      <c r="S57">
        <v>15905281700.256001</v>
      </c>
      <c r="T57">
        <v>44421846.023834497</v>
      </c>
      <c r="U57" t="s">
        <v>437</v>
      </c>
      <c r="V57">
        <v>8764</v>
      </c>
      <c r="W57">
        <v>1.159958E-2</v>
      </c>
      <c r="X57" t="s">
        <v>50</v>
      </c>
      <c r="Y57">
        <v>8660</v>
      </c>
      <c r="Z57">
        <v>17.91524772</v>
      </c>
      <c r="AA57" t="s">
        <v>162</v>
      </c>
      <c r="AB57">
        <v>0.95</v>
      </c>
      <c r="AC57">
        <v>17.91524772</v>
      </c>
      <c r="AD57">
        <v>12951984145.52</v>
      </c>
    </row>
    <row r="58" spans="1:30" x14ac:dyDescent="0.25">
      <c r="A58">
        <v>460</v>
      </c>
      <c r="B58" t="s">
        <v>199</v>
      </c>
      <c r="C58" t="s">
        <v>279</v>
      </c>
      <c r="D58" t="s">
        <v>355</v>
      </c>
      <c r="E58" t="s">
        <v>48</v>
      </c>
      <c r="F58">
        <v>6664591000</v>
      </c>
      <c r="G58">
        <v>4.5410680000000001</v>
      </c>
      <c r="H58" t="s">
        <v>50</v>
      </c>
      <c r="I58">
        <v>58183440.150136597</v>
      </c>
      <c r="J58">
        <v>71060790.708909005</v>
      </c>
      <c r="M58">
        <v>61483265.564605102</v>
      </c>
      <c r="N58">
        <v>26.824141999999998</v>
      </c>
      <c r="O58">
        <v>29.225636000000002</v>
      </c>
      <c r="P58">
        <v>62880709.631377697</v>
      </c>
      <c r="Q58">
        <v>24.029267999999998</v>
      </c>
      <c r="R58">
        <v>71962462.2868101</v>
      </c>
      <c r="S58">
        <v>30264360923.188</v>
      </c>
      <c r="T58">
        <v>79620279.547149897</v>
      </c>
      <c r="U58" t="s">
        <v>438</v>
      </c>
      <c r="V58">
        <v>402.7</v>
      </c>
      <c r="W58">
        <v>1.159958E-2</v>
      </c>
      <c r="X58" t="s">
        <v>50</v>
      </c>
      <c r="Y58">
        <v>405.5</v>
      </c>
      <c r="Z58">
        <v>17.995165629999999</v>
      </c>
      <c r="AA58" t="s">
        <v>162</v>
      </c>
      <c r="AB58">
        <v>1</v>
      </c>
      <c r="AC58">
        <v>17.995165629999999</v>
      </c>
      <c r="AD58">
        <v>26838307957</v>
      </c>
    </row>
    <row r="59" spans="1:30" x14ac:dyDescent="0.25">
      <c r="A59">
        <v>356</v>
      </c>
      <c r="B59" t="s">
        <v>200</v>
      </c>
      <c r="C59" t="s">
        <v>280</v>
      </c>
      <c r="D59" t="s">
        <v>356</v>
      </c>
      <c r="E59" t="s">
        <v>48</v>
      </c>
      <c r="F59">
        <v>680918300</v>
      </c>
      <c r="G59">
        <v>58.640090000000001</v>
      </c>
      <c r="H59" t="s">
        <v>50</v>
      </c>
      <c r="I59">
        <v>62565112.415012501</v>
      </c>
      <c r="J59">
        <v>48794338.329036102</v>
      </c>
      <c r="M59">
        <v>57287817.737656102</v>
      </c>
      <c r="N59">
        <v>22.121544</v>
      </c>
      <c r="O59">
        <v>23.712374000000001</v>
      </c>
      <c r="P59">
        <v>57561741.779759198</v>
      </c>
      <c r="Q59">
        <v>22.394089000000001</v>
      </c>
      <c r="R59">
        <v>62323527.239422597</v>
      </c>
      <c r="S59">
        <v>39929110394.647003</v>
      </c>
      <c r="T59">
        <v>68537816.038238704</v>
      </c>
      <c r="U59" t="s">
        <v>439</v>
      </c>
      <c r="V59">
        <v>5030</v>
      </c>
      <c r="W59">
        <v>1.159958E-2</v>
      </c>
      <c r="X59" t="s">
        <v>50</v>
      </c>
      <c r="Y59">
        <v>5060</v>
      </c>
      <c r="Z59">
        <v>18.12511937</v>
      </c>
      <c r="AA59" t="s">
        <v>162</v>
      </c>
      <c r="AB59">
        <v>1</v>
      </c>
      <c r="AC59">
        <v>18.12511937</v>
      </c>
      <c r="AD59">
        <v>34250190490</v>
      </c>
    </row>
    <row r="60" spans="1:30" x14ac:dyDescent="0.25">
      <c r="A60">
        <v>259</v>
      </c>
      <c r="B60" t="s">
        <v>201</v>
      </c>
      <c r="C60" t="s">
        <v>281</v>
      </c>
      <c r="D60" t="s">
        <v>357</v>
      </c>
      <c r="E60" t="s">
        <v>48</v>
      </c>
      <c r="F60">
        <v>167838790</v>
      </c>
      <c r="G60">
        <v>20.58173</v>
      </c>
      <c r="H60" t="s">
        <v>50</v>
      </c>
      <c r="I60">
        <v>8427370.8201943096</v>
      </c>
      <c r="J60">
        <v>8803074.7515200209</v>
      </c>
      <c r="M60">
        <v>7989108.7342753699</v>
      </c>
      <c r="N60">
        <v>53.521275000000003</v>
      </c>
      <c r="O60">
        <v>56.030166999999999</v>
      </c>
      <c r="P60">
        <v>7408840.4290512698</v>
      </c>
      <c r="Q60">
        <v>47.308295999999999</v>
      </c>
      <c r="R60">
        <v>7706696.3958195904</v>
      </c>
      <c r="S60">
        <v>3454412659.3067002</v>
      </c>
      <c r="T60">
        <v>8485234.4336148892</v>
      </c>
      <c r="U60" t="s">
        <v>440</v>
      </c>
      <c r="V60">
        <v>1852</v>
      </c>
      <c r="W60">
        <v>1.159958E-2</v>
      </c>
      <c r="X60" t="s">
        <v>50</v>
      </c>
      <c r="Y60">
        <v>1831</v>
      </c>
      <c r="Z60">
        <v>18.416346780000001</v>
      </c>
      <c r="AA60" t="s">
        <v>162</v>
      </c>
      <c r="AB60">
        <v>1</v>
      </c>
      <c r="AC60">
        <v>18.416346780000001</v>
      </c>
      <c r="AD60">
        <v>3108374390.8000002</v>
      </c>
    </row>
    <row r="61" spans="1:30" x14ac:dyDescent="0.25">
      <c r="A61">
        <v>297</v>
      </c>
      <c r="B61" t="s">
        <v>202</v>
      </c>
      <c r="C61" t="s">
        <v>282</v>
      </c>
      <c r="D61" t="s">
        <v>358</v>
      </c>
      <c r="E61" t="s">
        <v>48</v>
      </c>
      <c r="F61">
        <v>2404607700</v>
      </c>
      <c r="G61">
        <v>2.601864</v>
      </c>
      <c r="H61" t="s">
        <v>50</v>
      </c>
      <c r="I61">
        <v>13327686.7575486</v>
      </c>
      <c r="J61">
        <v>14927964.490226099</v>
      </c>
      <c r="M61">
        <v>14362999.696956599</v>
      </c>
      <c r="N61">
        <v>25.042380000000001</v>
      </c>
      <c r="O61">
        <v>27.515519999999999</v>
      </c>
      <c r="P61">
        <v>15290605.470528301</v>
      </c>
      <c r="Q61">
        <v>22.979374</v>
      </c>
      <c r="R61">
        <v>18002431.207442701</v>
      </c>
      <c r="S61">
        <v>6256462208.7528</v>
      </c>
      <c r="T61">
        <v>19787690.617298599</v>
      </c>
      <c r="U61" t="s">
        <v>441</v>
      </c>
      <c r="V61">
        <v>257.39999999999998</v>
      </c>
      <c r="W61">
        <v>1.159958E-2</v>
      </c>
      <c r="X61" t="s">
        <v>50</v>
      </c>
      <c r="Y61">
        <v>255.2</v>
      </c>
      <c r="Z61">
        <v>18.459283129999999</v>
      </c>
      <c r="AA61" t="s">
        <v>162</v>
      </c>
      <c r="AB61">
        <v>0.85</v>
      </c>
      <c r="AC61">
        <v>18.459283129999999</v>
      </c>
      <c r="AD61">
        <v>5261041186.8299999</v>
      </c>
    </row>
    <row r="62" spans="1:30" x14ac:dyDescent="0.25">
      <c r="A62">
        <v>123</v>
      </c>
      <c r="B62" t="s">
        <v>203</v>
      </c>
      <c r="C62" t="s">
        <v>283</v>
      </c>
      <c r="D62" t="s">
        <v>359</v>
      </c>
      <c r="E62" t="s">
        <v>48</v>
      </c>
      <c r="F62">
        <v>1697430200</v>
      </c>
      <c r="G62">
        <v>32.014710000000001</v>
      </c>
      <c r="H62" t="s">
        <v>50</v>
      </c>
      <c r="I62">
        <v>64429262.683457397</v>
      </c>
      <c r="J62">
        <v>60415496.899706401</v>
      </c>
      <c r="M62">
        <v>69931398.702663094</v>
      </c>
      <c r="N62">
        <v>24.075714000000001</v>
      </c>
      <c r="O62">
        <v>26.228638</v>
      </c>
      <c r="P62">
        <v>69378149.993251503</v>
      </c>
      <c r="Q62">
        <v>21.447635999999999</v>
      </c>
      <c r="R62">
        <v>75315897.445991695</v>
      </c>
      <c r="S62">
        <v>54342735598.241997</v>
      </c>
      <c r="T62">
        <v>82850948.429834902</v>
      </c>
      <c r="U62" t="s">
        <v>442</v>
      </c>
      <c r="V62">
        <v>2510</v>
      </c>
      <c r="W62">
        <v>1.159958E-2</v>
      </c>
      <c r="X62" t="s">
        <v>50</v>
      </c>
      <c r="Y62">
        <v>2497</v>
      </c>
      <c r="Z62">
        <v>18.549029999999998</v>
      </c>
      <c r="AA62" t="s">
        <v>162</v>
      </c>
      <c r="AB62">
        <v>1</v>
      </c>
      <c r="AC62">
        <v>18.549029999999998</v>
      </c>
      <c r="AD62">
        <v>42605498020</v>
      </c>
    </row>
    <row r="63" spans="1:30" x14ac:dyDescent="0.25">
      <c r="A63">
        <v>148</v>
      </c>
      <c r="B63" t="s">
        <v>204</v>
      </c>
      <c r="C63" t="s">
        <v>284</v>
      </c>
      <c r="D63" t="s">
        <v>360</v>
      </c>
      <c r="E63" t="s">
        <v>48</v>
      </c>
      <c r="F63">
        <v>1311388200</v>
      </c>
      <c r="G63">
        <v>3.5928800000000001</v>
      </c>
      <c r="H63" t="s">
        <v>50</v>
      </c>
      <c r="I63">
        <v>8000657.6454488002</v>
      </c>
      <c r="J63">
        <v>6853828.6031785803</v>
      </c>
      <c r="M63">
        <v>11341847.855260201</v>
      </c>
      <c r="N63">
        <v>61.837006000000002</v>
      </c>
      <c r="O63">
        <v>17.994461000000001</v>
      </c>
      <c r="P63">
        <v>10260037.8254775</v>
      </c>
      <c r="Q63">
        <v>53.695659999999997</v>
      </c>
      <c r="R63">
        <v>9840554.2783295307</v>
      </c>
      <c r="S63">
        <v>4711660436.0159998</v>
      </c>
      <c r="T63">
        <v>10784432.429202599</v>
      </c>
      <c r="Z63">
        <v>18.553218749999999</v>
      </c>
      <c r="AA63" t="s">
        <v>162</v>
      </c>
      <c r="AB63">
        <v>1</v>
      </c>
      <c r="AC63">
        <v>18.553218749999999</v>
      </c>
    </row>
    <row r="64" spans="1:30" x14ac:dyDescent="0.25">
      <c r="A64">
        <v>342</v>
      </c>
      <c r="B64" t="s">
        <v>205</v>
      </c>
      <c r="C64" t="s">
        <v>285</v>
      </c>
      <c r="D64" t="s">
        <v>361</v>
      </c>
      <c r="E64" t="s">
        <v>48</v>
      </c>
      <c r="F64">
        <v>1003164860</v>
      </c>
      <c r="G64">
        <v>7.5307719999999998</v>
      </c>
      <c r="H64" t="s">
        <v>50</v>
      </c>
      <c r="I64">
        <v>15196374.252679899</v>
      </c>
      <c r="J64">
        <v>16104492.693555901</v>
      </c>
      <c r="M64">
        <v>16711797.109284399</v>
      </c>
      <c r="N64">
        <v>26.507771999999999</v>
      </c>
      <c r="O64">
        <v>29.108561999999999</v>
      </c>
      <c r="P64">
        <v>18491783.779858898</v>
      </c>
      <c r="Q64">
        <v>25.787179999999999</v>
      </c>
      <c r="R64">
        <v>23257419.494534999</v>
      </c>
      <c r="S64">
        <v>7554605839.0719194</v>
      </c>
      <c r="T64">
        <v>25566084.6185617</v>
      </c>
      <c r="U64" t="s">
        <v>443</v>
      </c>
      <c r="V64">
        <v>636.5</v>
      </c>
      <c r="W64">
        <v>1.159958E-2</v>
      </c>
      <c r="X64" t="s">
        <v>50</v>
      </c>
      <c r="Y64">
        <v>647.5</v>
      </c>
      <c r="Z64">
        <v>18.634195630000001</v>
      </c>
      <c r="AA64" t="s">
        <v>162</v>
      </c>
      <c r="AB64">
        <v>0.85</v>
      </c>
      <c r="AC64">
        <v>18.634195630000001</v>
      </c>
      <c r="AD64">
        <v>5427372683.8150005</v>
      </c>
    </row>
    <row r="65" spans="1:30" x14ac:dyDescent="0.25">
      <c r="A65">
        <v>492</v>
      </c>
      <c r="B65" t="s">
        <v>206</v>
      </c>
      <c r="C65" t="s">
        <v>286</v>
      </c>
      <c r="D65" t="s">
        <v>362</v>
      </c>
      <c r="E65" t="s">
        <v>48</v>
      </c>
      <c r="F65">
        <v>176015500</v>
      </c>
      <c r="G65">
        <v>33.299579999999999</v>
      </c>
      <c r="H65" t="s">
        <v>50</v>
      </c>
      <c r="I65">
        <v>18786306.000372499</v>
      </c>
      <c r="J65">
        <v>17834877.596911401</v>
      </c>
      <c r="M65">
        <v>16012871.289827799</v>
      </c>
      <c r="N65">
        <v>25.069510000000001</v>
      </c>
      <c r="O65">
        <v>26.374355000000001</v>
      </c>
      <c r="P65">
        <v>16052567.3200456</v>
      </c>
      <c r="Q65">
        <v>24.817582999999999</v>
      </c>
      <c r="R65">
        <v>16351836.5607924</v>
      </c>
      <c r="S65">
        <v>5861242223.4899998</v>
      </c>
      <c r="T65">
        <v>18027299.687666599</v>
      </c>
      <c r="U65" t="s">
        <v>444</v>
      </c>
      <c r="V65">
        <v>2982</v>
      </c>
      <c r="W65">
        <v>1.159958E-2</v>
      </c>
      <c r="X65" t="s">
        <v>50</v>
      </c>
      <c r="Y65">
        <v>2934</v>
      </c>
      <c r="Z65">
        <v>18.91305234</v>
      </c>
      <c r="AA65" t="s">
        <v>162</v>
      </c>
      <c r="AB65">
        <v>1</v>
      </c>
      <c r="AC65">
        <v>18.91305234</v>
      </c>
      <c r="AD65">
        <v>5248782210</v>
      </c>
    </row>
    <row r="66" spans="1:30" x14ac:dyDescent="0.25">
      <c r="A66">
        <v>61</v>
      </c>
      <c r="B66" t="s">
        <v>207</v>
      </c>
      <c r="C66" t="s">
        <v>287</v>
      </c>
      <c r="D66" t="s">
        <v>363</v>
      </c>
      <c r="E66" t="s">
        <v>48</v>
      </c>
      <c r="F66">
        <v>1003821900</v>
      </c>
      <c r="G66">
        <v>3.9973770000000002</v>
      </c>
      <c r="H66" t="s">
        <v>50</v>
      </c>
      <c r="I66">
        <v>13794354.3161567</v>
      </c>
      <c r="J66">
        <v>14757310.837112499</v>
      </c>
      <c r="M66">
        <v>12925688.595600599</v>
      </c>
      <c r="N66">
        <v>31.886288</v>
      </c>
      <c r="O66">
        <v>33.532283999999997</v>
      </c>
      <c r="P66">
        <v>12595433.977420099</v>
      </c>
      <c r="Q66">
        <v>32.083919999999999</v>
      </c>
      <c r="R66">
        <v>12892370.465450199</v>
      </c>
      <c r="S66">
        <v>4012654575.1563001</v>
      </c>
      <c r="T66">
        <v>14230833.8354093</v>
      </c>
      <c r="U66" t="s">
        <v>445</v>
      </c>
      <c r="V66">
        <v>263.3</v>
      </c>
      <c r="W66">
        <v>1.159958E-2</v>
      </c>
      <c r="X66" t="s">
        <v>50</v>
      </c>
      <c r="Y66">
        <v>274</v>
      </c>
      <c r="Z66">
        <v>19.138375</v>
      </c>
      <c r="AA66" t="s">
        <v>162</v>
      </c>
      <c r="AB66">
        <v>1</v>
      </c>
      <c r="AC66">
        <v>19.138375</v>
      </c>
      <c r="AD66">
        <v>2643063062.6999998</v>
      </c>
    </row>
    <row r="67" spans="1:30" x14ac:dyDescent="0.25">
      <c r="A67">
        <v>491</v>
      </c>
      <c r="B67" t="s">
        <v>208</v>
      </c>
      <c r="C67" t="s">
        <v>288</v>
      </c>
      <c r="D67" t="s">
        <v>364</v>
      </c>
      <c r="E67" t="s">
        <v>48</v>
      </c>
      <c r="F67">
        <v>259612060</v>
      </c>
      <c r="G67">
        <v>27.79129</v>
      </c>
      <c r="H67" t="s">
        <v>50</v>
      </c>
      <c r="I67">
        <v>12165169.265159899</v>
      </c>
      <c r="J67">
        <v>11521843.326811399</v>
      </c>
      <c r="M67">
        <v>13181152.8139601</v>
      </c>
      <c r="N67">
        <v>28.317163000000001</v>
      </c>
      <c r="O67">
        <v>30.656420000000001</v>
      </c>
      <c r="P67">
        <v>13800037.939607499</v>
      </c>
      <c r="Q67">
        <v>26.73273</v>
      </c>
      <c r="R67">
        <v>14818898.656790599</v>
      </c>
      <c r="S67">
        <v>7214954046.9574003</v>
      </c>
      <c r="T67">
        <v>16246317.089730799</v>
      </c>
      <c r="U67" t="s">
        <v>446</v>
      </c>
      <c r="V67">
        <v>2544</v>
      </c>
      <c r="W67">
        <v>1.159958E-2</v>
      </c>
      <c r="X67" t="s">
        <v>50</v>
      </c>
      <c r="Y67">
        <v>2500</v>
      </c>
      <c r="Z67">
        <v>19.335056250000001</v>
      </c>
      <c r="AA67" t="s">
        <v>162</v>
      </c>
      <c r="AB67">
        <v>1</v>
      </c>
      <c r="AC67">
        <v>19.335056250000001</v>
      </c>
      <c r="AD67">
        <v>6604530806.4000006</v>
      </c>
    </row>
    <row r="68" spans="1:30" x14ac:dyDescent="0.25">
      <c r="A68">
        <v>286</v>
      </c>
      <c r="B68" t="s">
        <v>209</v>
      </c>
      <c r="C68" t="s">
        <v>289</v>
      </c>
      <c r="D68" t="s">
        <v>365</v>
      </c>
      <c r="E68" t="s">
        <v>48</v>
      </c>
      <c r="F68">
        <v>60026484000</v>
      </c>
      <c r="G68">
        <v>0.92582100000000001</v>
      </c>
      <c r="H68" t="s">
        <v>50</v>
      </c>
      <c r="I68">
        <v>88255647.768039703</v>
      </c>
      <c r="J68">
        <v>88589096.687036395</v>
      </c>
      <c r="M68">
        <v>92227678.348669395</v>
      </c>
      <c r="N68">
        <v>27.990164</v>
      </c>
      <c r="O68">
        <v>30.196318000000002</v>
      </c>
      <c r="P68">
        <v>98287236.015448406</v>
      </c>
      <c r="Q68">
        <v>27.719383000000001</v>
      </c>
      <c r="R68">
        <v>108905269.753065</v>
      </c>
      <c r="S68">
        <v>55573779443.363998</v>
      </c>
      <c r="T68">
        <v>119599681.589017</v>
      </c>
      <c r="U68" t="s">
        <v>447</v>
      </c>
      <c r="V68">
        <v>75.56</v>
      </c>
      <c r="W68">
        <v>1.159958E-2</v>
      </c>
      <c r="X68" t="s">
        <v>50</v>
      </c>
      <c r="Y68">
        <v>75.36</v>
      </c>
      <c r="Z68">
        <v>19.68928438</v>
      </c>
      <c r="AA68" t="s">
        <v>162</v>
      </c>
      <c r="AB68">
        <v>1</v>
      </c>
      <c r="AC68">
        <v>19.68928438</v>
      </c>
      <c r="AD68">
        <v>45356011310.400002</v>
      </c>
    </row>
    <row r="69" spans="1:30" x14ac:dyDescent="0.25">
      <c r="A69">
        <v>228</v>
      </c>
      <c r="B69" t="s">
        <v>210</v>
      </c>
      <c r="C69" t="s">
        <v>290</v>
      </c>
      <c r="D69" t="s">
        <v>366</v>
      </c>
      <c r="E69" t="s">
        <v>48</v>
      </c>
      <c r="F69">
        <v>17580436000</v>
      </c>
      <c r="G69">
        <v>10.336069999999999</v>
      </c>
      <c r="H69" t="s">
        <v>50</v>
      </c>
      <c r="I69">
        <v>168676761.37625501</v>
      </c>
      <c r="J69">
        <v>185494414.83784699</v>
      </c>
      <c r="M69">
        <v>193038142.73303601</v>
      </c>
      <c r="N69">
        <v>27.368458</v>
      </c>
      <c r="O69">
        <v>30.306152000000001</v>
      </c>
      <c r="P69">
        <v>204052859.19303399</v>
      </c>
      <c r="Q69">
        <v>25.611519000000001</v>
      </c>
      <c r="R69">
        <v>225944370.248355</v>
      </c>
      <c r="S69">
        <v>181712617126.51999</v>
      </c>
      <c r="T69">
        <v>248159026.64593899</v>
      </c>
      <c r="U69" t="s">
        <v>448</v>
      </c>
      <c r="V69">
        <v>906.1</v>
      </c>
      <c r="W69">
        <v>1.159958E-2</v>
      </c>
      <c r="X69" t="s">
        <v>50</v>
      </c>
      <c r="Y69">
        <v>885.9</v>
      </c>
      <c r="Z69">
        <v>19.744482940000001</v>
      </c>
      <c r="AA69" t="s">
        <v>162</v>
      </c>
      <c r="AB69">
        <v>0.9</v>
      </c>
      <c r="AC69">
        <v>19.744482940000001</v>
      </c>
      <c r="AD69">
        <v>143366697536.39999</v>
      </c>
    </row>
    <row r="70" spans="1:30" x14ac:dyDescent="0.25">
      <c r="A70">
        <v>166</v>
      </c>
      <c r="B70" t="s">
        <v>211</v>
      </c>
      <c r="C70" t="s">
        <v>291</v>
      </c>
      <c r="D70" t="s">
        <v>367</v>
      </c>
      <c r="E70" t="s">
        <v>48</v>
      </c>
      <c r="F70">
        <v>639541300</v>
      </c>
      <c r="G70">
        <v>8.7038119999999992</v>
      </c>
      <c r="H70" t="s">
        <v>50</v>
      </c>
      <c r="I70">
        <v>13731746.875089301</v>
      </c>
      <c r="J70">
        <v>15707933.3334637</v>
      </c>
      <c r="M70">
        <v>13403847.654353701</v>
      </c>
      <c r="N70">
        <v>45.752113000000001</v>
      </c>
      <c r="O70">
        <v>48.3979</v>
      </c>
      <c r="P70">
        <v>13812195.9728282</v>
      </c>
      <c r="Q70">
        <v>44.315219999999997</v>
      </c>
      <c r="R70">
        <v>14028526.1247898</v>
      </c>
      <c r="S70">
        <v>5566447241.4355993</v>
      </c>
      <c r="T70">
        <v>15513888.4967898</v>
      </c>
      <c r="U70" t="s">
        <v>449</v>
      </c>
      <c r="V70">
        <v>936.6</v>
      </c>
      <c r="W70">
        <v>1.159958E-2</v>
      </c>
      <c r="X70" t="s">
        <v>50</v>
      </c>
      <c r="Y70">
        <v>916.2</v>
      </c>
      <c r="Z70">
        <v>20.099964379999999</v>
      </c>
      <c r="AA70" t="s">
        <v>162</v>
      </c>
      <c r="AB70">
        <v>0.95</v>
      </c>
      <c r="AC70">
        <v>20.099964379999999</v>
      </c>
      <c r="AD70">
        <v>5690446625.0100002</v>
      </c>
    </row>
    <row r="71" spans="1:30" x14ac:dyDescent="0.25">
      <c r="A71">
        <v>373</v>
      </c>
      <c r="B71" t="s">
        <v>212</v>
      </c>
      <c r="C71" t="s">
        <v>292</v>
      </c>
      <c r="D71" t="s">
        <v>368</v>
      </c>
      <c r="E71" t="s">
        <v>48</v>
      </c>
      <c r="F71">
        <v>843637500</v>
      </c>
      <c r="G71">
        <v>3.6452270000000002</v>
      </c>
      <c r="H71" t="s">
        <v>50</v>
      </c>
      <c r="I71">
        <v>4689257.1086601699</v>
      </c>
      <c r="J71">
        <v>3950850.9121192698</v>
      </c>
      <c r="M71">
        <v>4645260.84446178</v>
      </c>
      <c r="N71">
        <v>26.558615</v>
      </c>
      <c r="O71">
        <v>28.276817000000001</v>
      </c>
      <c r="P71">
        <v>4695494.3549364498</v>
      </c>
      <c r="Q71">
        <v>24.602253000000001</v>
      </c>
      <c r="R71">
        <v>4878181.39227024</v>
      </c>
      <c r="S71">
        <v>3075250193.2125001</v>
      </c>
      <c r="T71">
        <v>5368606.8355823103</v>
      </c>
      <c r="U71" t="s">
        <v>450</v>
      </c>
      <c r="V71">
        <v>315.8</v>
      </c>
      <c r="W71">
        <v>1.159958E-2</v>
      </c>
      <c r="X71" t="s">
        <v>50</v>
      </c>
      <c r="Y71">
        <v>322.39999999999998</v>
      </c>
      <c r="Z71">
        <v>20.134181250000001</v>
      </c>
      <c r="AA71" t="s">
        <v>162</v>
      </c>
      <c r="AB71">
        <v>1</v>
      </c>
      <c r="AC71">
        <v>20.134181250000001</v>
      </c>
      <c r="AD71">
        <v>2664207225</v>
      </c>
    </row>
    <row r="72" spans="1:30" x14ac:dyDescent="0.25">
      <c r="A72">
        <v>147</v>
      </c>
      <c r="B72" t="s">
        <v>213</v>
      </c>
      <c r="C72" t="s">
        <v>293</v>
      </c>
      <c r="D72" t="s">
        <v>369</v>
      </c>
      <c r="E72" t="s">
        <v>48</v>
      </c>
      <c r="F72">
        <v>134176210</v>
      </c>
      <c r="G72">
        <v>55.392220000000002</v>
      </c>
      <c r="H72" t="s">
        <v>50</v>
      </c>
      <c r="I72">
        <v>11189680.688403601</v>
      </c>
      <c r="J72">
        <v>14885035.4923266</v>
      </c>
      <c r="M72">
        <v>11391202.590300299</v>
      </c>
      <c r="N72">
        <v>35.069029999999998</v>
      </c>
      <c r="O72">
        <v>37.297199999999997</v>
      </c>
      <c r="P72">
        <v>11676485.6414025</v>
      </c>
      <c r="Q72">
        <v>33.235176000000003</v>
      </c>
      <c r="R72">
        <v>12811728.6044813</v>
      </c>
      <c r="S72">
        <v>7432318143.0862007</v>
      </c>
      <c r="T72">
        <v>14139710.247589299</v>
      </c>
      <c r="U72" t="s">
        <v>451</v>
      </c>
      <c r="V72">
        <v>4856</v>
      </c>
      <c r="W72">
        <v>1.159958E-2</v>
      </c>
      <c r="X72" t="s">
        <v>50</v>
      </c>
      <c r="Y72">
        <v>4842</v>
      </c>
      <c r="Z72">
        <v>20.681528749999998</v>
      </c>
      <c r="AA72" t="s">
        <v>162</v>
      </c>
      <c r="AB72">
        <v>1</v>
      </c>
      <c r="AC72">
        <v>20.681528749999998</v>
      </c>
      <c r="AD72">
        <v>6515596757.6000004</v>
      </c>
    </row>
    <row r="73" spans="1:30" x14ac:dyDescent="0.25">
      <c r="A73">
        <v>411</v>
      </c>
      <c r="B73" t="s">
        <v>214</v>
      </c>
      <c r="C73" t="s">
        <v>294</v>
      </c>
      <c r="D73" t="s">
        <v>370</v>
      </c>
      <c r="E73" t="s">
        <v>48</v>
      </c>
      <c r="F73">
        <v>875941200</v>
      </c>
      <c r="G73">
        <v>12.646459999999999</v>
      </c>
      <c r="H73" t="s">
        <v>50</v>
      </c>
      <c r="I73">
        <v>25065004.021348901</v>
      </c>
      <c r="J73">
        <v>19316600.2990731</v>
      </c>
      <c r="M73">
        <v>24021433.782904401</v>
      </c>
      <c r="N73">
        <v>25.133292999999998</v>
      </c>
      <c r="O73">
        <v>27.584876999999999</v>
      </c>
      <c r="P73">
        <v>24785718.466254499</v>
      </c>
      <c r="Q73">
        <v>28.127516</v>
      </c>
      <c r="R73">
        <v>29858436.498297099</v>
      </c>
      <c r="S73">
        <v>11077555348.152</v>
      </c>
      <c r="T73">
        <v>32761700.5037787</v>
      </c>
      <c r="U73" t="s">
        <v>452</v>
      </c>
      <c r="V73">
        <v>1115</v>
      </c>
      <c r="W73">
        <v>1.159958E-2</v>
      </c>
      <c r="X73" t="s">
        <v>50</v>
      </c>
      <c r="Y73">
        <v>1111.5</v>
      </c>
      <c r="Z73">
        <v>21.030374380000001</v>
      </c>
      <c r="AA73" t="s">
        <v>162</v>
      </c>
      <c r="AB73">
        <v>0.95</v>
      </c>
      <c r="AC73">
        <v>21.030374380000001</v>
      </c>
      <c r="AD73">
        <v>9278407161</v>
      </c>
    </row>
    <row r="74" spans="1:30" x14ac:dyDescent="0.25">
      <c r="A74">
        <v>104</v>
      </c>
      <c r="B74" t="s">
        <v>215</v>
      </c>
      <c r="C74" t="s">
        <v>295</v>
      </c>
      <c r="D74" t="s">
        <v>371</v>
      </c>
      <c r="E74" t="s">
        <v>48</v>
      </c>
      <c r="F74">
        <v>9956837000</v>
      </c>
      <c r="G74">
        <v>2.058173</v>
      </c>
      <c r="H74" t="s">
        <v>50</v>
      </c>
      <c r="I74">
        <v>27206965.2225914</v>
      </c>
      <c r="J74">
        <v>31636443.801653001</v>
      </c>
      <c r="M74">
        <v>26919070.922906499</v>
      </c>
      <c r="N74">
        <v>26.906288</v>
      </c>
      <c r="O74">
        <v>28.358076000000001</v>
      </c>
      <c r="P74">
        <v>27545649.154156201</v>
      </c>
      <c r="Q74">
        <v>26.117726999999999</v>
      </c>
      <c r="R74">
        <v>31538949.086650699</v>
      </c>
      <c r="S74">
        <v>20492893078.800999</v>
      </c>
      <c r="T74">
        <v>34774413.111805998</v>
      </c>
      <c r="U74" t="s">
        <v>453</v>
      </c>
      <c r="V74">
        <v>197</v>
      </c>
      <c r="W74">
        <v>1.159958E-2</v>
      </c>
      <c r="X74" t="s">
        <v>50</v>
      </c>
      <c r="Y74">
        <v>196.7</v>
      </c>
      <c r="Z74">
        <v>21.054271880000002</v>
      </c>
      <c r="AA74" t="s">
        <v>162</v>
      </c>
      <c r="AB74">
        <v>0.45</v>
      </c>
      <c r="AC74">
        <v>21.054271880000002</v>
      </c>
      <c r="AD74">
        <v>8826736000.5000019</v>
      </c>
    </row>
    <row r="75" spans="1:30" x14ac:dyDescent="0.25">
      <c r="A75">
        <v>426</v>
      </c>
      <c r="B75" t="s">
        <v>216</v>
      </c>
      <c r="C75" t="s">
        <v>296</v>
      </c>
      <c r="D75" t="s">
        <v>372</v>
      </c>
      <c r="E75" t="s">
        <v>48</v>
      </c>
      <c r="F75">
        <v>2351710200</v>
      </c>
      <c r="G75">
        <v>13.6934</v>
      </c>
      <c r="H75" t="s">
        <v>50</v>
      </c>
      <c r="I75">
        <v>57749954.712723702</v>
      </c>
      <c r="J75">
        <v>69144918.509482503</v>
      </c>
      <c r="M75">
        <v>70552980.977930605</v>
      </c>
      <c r="N75">
        <v>36.711253999999997</v>
      </c>
      <c r="O75">
        <v>40.495967999999998</v>
      </c>
      <c r="P75">
        <v>74775400.010209501</v>
      </c>
      <c r="Q75">
        <v>33.909419999999997</v>
      </c>
      <c r="R75">
        <v>91863767.342580795</v>
      </c>
      <c r="S75">
        <v>32202908452.68</v>
      </c>
      <c r="T75">
        <v>100734816.658473</v>
      </c>
      <c r="U75" t="s">
        <v>454</v>
      </c>
      <c r="V75">
        <v>1258</v>
      </c>
      <c r="W75">
        <v>1.159958E-2</v>
      </c>
      <c r="X75" t="s">
        <v>50</v>
      </c>
      <c r="Y75">
        <v>1207</v>
      </c>
      <c r="Z75">
        <v>21.1083</v>
      </c>
      <c r="AA75" t="s">
        <v>162</v>
      </c>
      <c r="AB75">
        <v>0.8</v>
      </c>
      <c r="AC75">
        <v>21.1083</v>
      </c>
      <c r="AD75">
        <v>23667611452.799999</v>
      </c>
    </row>
    <row r="76" spans="1:30" x14ac:dyDescent="0.25">
      <c r="A76">
        <v>153</v>
      </c>
      <c r="B76" t="s">
        <v>217</v>
      </c>
      <c r="C76" t="s">
        <v>297</v>
      </c>
      <c r="D76" t="s">
        <v>373</v>
      </c>
      <c r="E76" t="s">
        <v>48</v>
      </c>
      <c r="F76">
        <v>758010000</v>
      </c>
      <c r="G76">
        <v>6.5909129999999996</v>
      </c>
      <c r="H76" t="s">
        <v>50</v>
      </c>
      <c r="I76">
        <v>20298726.770672899</v>
      </c>
      <c r="J76">
        <v>28304208.536813602</v>
      </c>
      <c r="M76">
        <v>22343429.119382299</v>
      </c>
      <c r="N76">
        <v>29.708223</v>
      </c>
      <c r="O76">
        <v>31.406576000000001</v>
      </c>
      <c r="P76">
        <v>22510643.755669601</v>
      </c>
      <c r="Q76">
        <v>30.038338</v>
      </c>
      <c r="R76">
        <v>21253188.852217998</v>
      </c>
      <c r="S76">
        <v>4995977963.1300001</v>
      </c>
      <c r="T76">
        <v>23478065.276938699</v>
      </c>
      <c r="U76" t="s">
        <v>455</v>
      </c>
      <c r="V76">
        <v>525.6</v>
      </c>
      <c r="W76">
        <v>1.159958E-2</v>
      </c>
      <c r="X76" t="s">
        <v>50</v>
      </c>
      <c r="Y76">
        <v>522.79999999999995</v>
      </c>
      <c r="Z76">
        <v>21.165307500000001</v>
      </c>
      <c r="AA76" t="s">
        <v>162</v>
      </c>
      <c r="AB76">
        <v>0.8</v>
      </c>
      <c r="AC76">
        <v>21.165307500000001</v>
      </c>
      <c r="AD76">
        <v>3187280448</v>
      </c>
    </row>
    <row r="77" spans="1:30" x14ac:dyDescent="0.25">
      <c r="A77">
        <v>130</v>
      </c>
      <c r="B77" t="s">
        <v>218</v>
      </c>
      <c r="C77" t="s">
        <v>54</v>
      </c>
      <c r="D77" t="s">
        <v>69</v>
      </c>
      <c r="E77" t="s">
        <v>48</v>
      </c>
      <c r="F77">
        <v>139635440</v>
      </c>
      <c r="G77">
        <v>36.309510000000003</v>
      </c>
      <c r="H77" t="s">
        <v>50</v>
      </c>
      <c r="I77">
        <v>14442009.959323701</v>
      </c>
      <c r="J77">
        <v>12527312.5868784</v>
      </c>
      <c r="M77">
        <v>14022982.756835001</v>
      </c>
      <c r="N77">
        <v>27.968992</v>
      </c>
      <c r="O77">
        <v>29.814169</v>
      </c>
      <c r="P77">
        <v>12747009.8945584</v>
      </c>
      <c r="Q77">
        <v>28.981280000000002</v>
      </c>
      <c r="R77">
        <v>14074171.668489501</v>
      </c>
      <c r="S77">
        <v>5070094405.0344</v>
      </c>
      <c r="T77">
        <v>15463723.0782608</v>
      </c>
      <c r="U77" t="s">
        <v>456</v>
      </c>
      <c r="V77">
        <v>3006</v>
      </c>
      <c r="W77">
        <v>1.159958E-2</v>
      </c>
      <c r="X77" t="s">
        <v>50</v>
      </c>
      <c r="Y77">
        <v>3008</v>
      </c>
      <c r="Z77">
        <v>21.621657500000001</v>
      </c>
      <c r="AA77" t="s">
        <v>162</v>
      </c>
      <c r="AB77">
        <v>0.9</v>
      </c>
      <c r="AC77">
        <v>21.621657500000001</v>
      </c>
      <c r="AD77">
        <v>3777697193.7600002</v>
      </c>
    </row>
    <row r="78" spans="1:30" x14ac:dyDescent="0.25">
      <c r="A78">
        <v>231</v>
      </c>
      <c r="B78" t="s">
        <v>219</v>
      </c>
      <c r="C78" t="s">
        <v>298</v>
      </c>
      <c r="D78" t="s">
        <v>374</v>
      </c>
      <c r="E78" t="s">
        <v>48</v>
      </c>
      <c r="F78">
        <v>348913420</v>
      </c>
      <c r="G78">
        <v>13.41976</v>
      </c>
      <c r="H78" t="s">
        <v>50</v>
      </c>
      <c r="I78">
        <v>8724269.9539816398</v>
      </c>
      <c r="J78">
        <v>9054042.6976340897</v>
      </c>
      <c r="M78">
        <v>8196826.7324718302</v>
      </c>
      <c r="N78">
        <v>19.573937999999998</v>
      </c>
      <c r="O78">
        <v>21.078341999999999</v>
      </c>
      <c r="P78">
        <v>8618801.4578950107</v>
      </c>
      <c r="Q78">
        <v>18.377043</v>
      </c>
      <c r="R78">
        <v>8684338.5937907994</v>
      </c>
      <c r="S78">
        <v>4682334357.1792002</v>
      </c>
      <c r="T78">
        <v>9544048.98229504</v>
      </c>
      <c r="U78" t="s">
        <v>457</v>
      </c>
      <c r="V78">
        <v>1074</v>
      </c>
      <c r="W78">
        <v>1.159958E-2</v>
      </c>
      <c r="X78" t="s">
        <v>50</v>
      </c>
      <c r="Y78">
        <v>1059</v>
      </c>
      <c r="Z78">
        <v>21.760788080000001</v>
      </c>
      <c r="AA78" t="s">
        <v>162</v>
      </c>
      <c r="AB78">
        <v>1</v>
      </c>
      <c r="AC78">
        <v>21.760788080000001</v>
      </c>
      <c r="AD78">
        <v>3747330130.8000002</v>
      </c>
    </row>
    <row r="79" spans="1:30" x14ac:dyDescent="0.25">
      <c r="A79">
        <v>343</v>
      </c>
      <c r="B79" t="s">
        <v>220</v>
      </c>
      <c r="C79" t="s">
        <v>299</v>
      </c>
      <c r="D79" t="s">
        <v>375</v>
      </c>
      <c r="E79" t="s">
        <v>48</v>
      </c>
      <c r="F79">
        <v>72083780</v>
      </c>
      <c r="G79">
        <v>40.901730000000001</v>
      </c>
      <c r="H79" t="s">
        <v>50</v>
      </c>
      <c r="I79">
        <v>4228212.1638720101</v>
      </c>
      <c r="J79">
        <v>4413769.7505946597</v>
      </c>
      <c r="M79">
        <v>4724851.5791796902</v>
      </c>
      <c r="N79">
        <v>24.794347999999999</v>
      </c>
      <c r="O79">
        <v>26.935541000000001</v>
      </c>
      <c r="P79">
        <v>5080892.8423277596</v>
      </c>
      <c r="Q79">
        <v>23.97043</v>
      </c>
      <c r="R79">
        <v>4920027.0755560799</v>
      </c>
      <c r="S79">
        <v>2948351306.9394002</v>
      </c>
      <c r="T79">
        <v>5421223.3550462704</v>
      </c>
      <c r="U79" t="s">
        <v>458</v>
      </c>
      <c r="V79">
        <v>3238</v>
      </c>
      <c r="W79">
        <v>1.159958E-2</v>
      </c>
      <c r="X79" t="s">
        <v>50</v>
      </c>
      <c r="Y79">
        <v>3274</v>
      </c>
      <c r="Z79">
        <v>22.060641960000002</v>
      </c>
      <c r="AA79" t="s">
        <v>162</v>
      </c>
      <c r="AB79">
        <v>1</v>
      </c>
      <c r="AC79">
        <v>22.060641960000002</v>
      </c>
      <c r="AD79">
        <v>2334072796.4000001</v>
      </c>
    </row>
    <row r="80" spans="1:30" x14ac:dyDescent="0.25">
      <c r="A80">
        <v>424</v>
      </c>
      <c r="B80" t="s">
        <v>221</v>
      </c>
      <c r="C80" t="s">
        <v>65</v>
      </c>
      <c r="D80" t="s">
        <v>80</v>
      </c>
      <c r="E80" t="s">
        <v>48</v>
      </c>
      <c r="F80">
        <v>1106325300</v>
      </c>
      <c r="G80">
        <v>20.84347</v>
      </c>
      <c r="H80" t="s">
        <v>50</v>
      </c>
      <c r="I80">
        <v>44581764.510171898</v>
      </c>
      <c r="J80">
        <v>50459858.8379585</v>
      </c>
      <c r="M80">
        <v>43030763.735480897</v>
      </c>
      <c r="N80">
        <v>24.23442</v>
      </c>
      <c r="O80">
        <v>25.880887999999999</v>
      </c>
      <c r="P80">
        <v>43865988.535377197</v>
      </c>
      <c r="Q80">
        <v>22.933696999999999</v>
      </c>
      <c r="R80">
        <v>46959145.635463998</v>
      </c>
      <c r="S80">
        <v>23059658200.791</v>
      </c>
      <c r="T80">
        <v>51729659.452036098</v>
      </c>
      <c r="U80" t="s">
        <v>459</v>
      </c>
      <c r="V80">
        <v>1886</v>
      </c>
      <c r="W80">
        <v>1.159958E-2</v>
      </c>
      <c r="X80" t="s">
        <v>50</v>
      </c>
      <c r="Y80">
        <v>1868.5</v>
      </c>
      <c r="Z80">
        <v>22.10083672</v>
      </c>
      <c r="AA80" t="s">
        <v>162</v>
      </c>
      <c r="AB80">
        <v>1</v>
      </c>
      <c r="AC80">
        <v>22.10083672</v>
      </c>
      <c r="AD80">
        <v>20865295158</v>
      </c>
    </row>
    <row r="81" spans="1:30" x14ac:dyDescent="0.25">
      <c r="A81">
        <v>224</v>
      </c>
      <c r="B81" t="s">
        <v>222</v>
      </c>
      <c r="C81" t="s">
        <v>300</v>
      </c>
      <c r="D81" t="s">
        <v>376</v>
      </c>
      <c r="E81" t="s">
        <v>48</v>
      </c>
      <c r="F81">
        <v>337488830</v>
      </c>
      <c r="G81">
        <v>14.96637</v>
      </c>
      <c r="H81" t="s">
        <v>50</v>
      </c>
      <c r="I81">
        <v>9017550.4235978294</v>
      </c>
      <c r="J81">
        <v>10701926.8063026</v>
      </c>
      <c r="M81">
        <v>9555571.6649874505</v>
      </c>
      <c r="N81">
        <v>31.544651000000002</v>
      </c>
      <c r="O81">
        <v>33.211863999999998</v>
      </c>
      <c r="P81">
        <v>9942912.9535251409</v>
      </c>
      <c r="Q81">
        <v>28.410896000000001</v>
      </c>
      <c r="R81">
        <v>11607036.821607901</v>
      </c>
      <c r="S81">
        <v>5050982700.6470985</v>
      </c>
      <c r="T81">
        <v>12779735.0951967</v>
      </c>
      <c r="U81" t="s">
        <v>460</v>
      </c>
      <c r="V81">
        <v>1249</v>
      </c>
      <c r="W81">
        <v>1.159958E-2</v>
      </c>
      <c r="X81" t="s">
        <v>50</v>
      </c>
      <c r="Y81">
        <v>1251</v>
      </c>
      <c r="Z81">
        <v>22.135937500000001</v>
      </c>
      <c r="AA81" t="s">
        <v>162</v>
      </c>
      <c r="AB81">
        <v>1</v>
      </c>
      <c r="AC81">
        <v>22.135937500000001</v>
      </c>
      <c r="AD81">
        <v>4215235486.6999998</v>
      </c>
    </row>
    <row r="82" spans="1:30" x14ac:dyDescent="0.25">
      <c r="A82">
        <v>128</v>
      </c>
      <c r="B82" t="s">
        <v>223</v>
      </c>
      <c r="C82" t="s">
        <v>301</v>
      </c>
      <c r="D82" t="s">
        <v>377</v>
      </c>
      <c r="E82" t="s">
        <v>48</v>
      </c>
      <c r="F82">
        <v>54193745</v>
      </c>
      <c r="G82">
        <v>63.767679999999999</v>
      </c>
      <c r="H82" t="s">
        <v>50</v>
      </c>
      <c r="I82">
        <v>4760636.6386208599</v>
      </c>
      <c r="J82">
        <v>5308411.1692137104</v>
      </c>
      <c r="M82">
        <v>4620071.8721133098</v>
      </c>
      <c r="N82">
        <v>23.159932999999999</v>
      </c>
      <c r="O82">
        <v>24.266179999999999</v>
      </c>
      <c r="P82">
        <v>4450466.4290831396</v>
      </c>
      <c r="Q82">
        <v>21.943642000000001</v>
      </c>
      <c r="R82">
        <v>4564059.3829343598</v>
      </c>
      <c r="S82">
        <v>3455809389.1616001</v>
      </c>
      <c r="T82">
        <v>5023797.3726284197</v>
      </c>
      <c r="U82" t="s">
        <v>461</v>
      </c>
      <c r="V82">
        <v>5140</v>
      </c>
      <c r="W82">
        <v>1.159958E-2</v>
      </c>
      <c r="X82" t="s">
        <v>50</v>
      </c>
      <c r="Y82">
        <v>5250</v>
      </c>
      <c r="Z82">
        <v>22.611417500000002</v>
      </c>
      <c r="AA82" t="s">
        <v>162</v>
      </c>
      <c r="AB82">
        <v>1</v>
      </c>
      <c r="AC82">
        <v>22.611417500000002</v>
      </c>
      <c r="AD82">
        <v>2785558493</v>
      </c>
    </row>
    <row r="83" spans="1:30" x14ac:dyDescent="0.25">
      <c r="A83">
        <v>52</v>
      </c>
      <c r="B83" t="s">
        <v>224</v>
      </c>
      <c r="C83" t="s">
        <v>302</v>
      </c>
      <c r="D83" t="s">
        <v>378</v>
      </c>
      <c r="E83" t="s">
        <v>48</v>
      </c>
      <c r="F83">
        <v>1550638400</v>
      </c>
      <c r="G83">
        <v>124.1566</v>
      </c>
      <c r="H83" t="s">
        <v>50</v>
      </c>
      <c r="I83">
        <v>198899669.85584101</v>
      </c>
      <c r="J83">
        <v>184756817.25559899</v>
      </c>
      <c r="M83">
        <v>197174638.017432</v>
      </c>
      <c r="N83">
        <v>27.423977000000001</v>
      </c>
      <c r="O83">
        <v>28.917256999999999</v>
      </c>
      <c r="P83">
        <v>199137388.583561</v>
      </c>
      <c r="Q83">
        <v>27.090233000000001</v>
      </c>
      <c r="R83">
        <v>219788965.85565001</v>
      </c>
      <c r="S83">
        <v>192521991573.44</v>
      </c>
      <c r="T83">
        <v>241763441.52410299</v>
      </c>
      <c r="U83" t="s">
        <v>462</v>
      </c>
      <c r="V83">
        <v>10362</v>
      </c>
      <c r="W83">
        <v>1.159958E-2</v>
      </c>
      <c r="X83" t="s">
        <v>50</v>
      </c>
      <c r="Y83">
        <v>10336</v>
      </c>
      <c r="Z83">
        <v>23.13013625</v>
      </c>
      <c r="AA83" t="s">
        <v>162</v>
      </c>
      <c r="AB83">
        <v>1</v>
      </c>
      <c r="AC83">
        <v>23.13013625</v>
      </c>
      <c r="AD83">
        <v>160677151008</v>
      </c>
    </row>
    <row r="84" spans="1:30" x14ac:dyDescent="0.25">
      <c r="A84">
        <v>138</v>
      </c>
      <c r="B84" t="s">
        <v>225</v>
      </c>
      <c r="C84" t="s">
        <v>303</v>
      </c>
      <c r="D84" t="s">
        <v>379</v>
      </c>
      <c r="E84" t="s">
        <v>48</v>
      </c>
      <c r="F84">
        <v>98966180</v>
      </c>
      <c r="G84">
        <v>53.869410000000002</v>
      </c>
      <c r="H84" t="s">
        <v>50</v>
      </c>
      <c r="I84">
        <v>13053584.4596128</v>
      </c>
      <c r="J84">
        <v>17831516.498756699</v>
      </c>
      <c r="M84">
        <v>15350730.9922591</v>
      </c>
      <c r="N84">
        <v>25.147604000000001</v>
      </c>
      <c r="O84">
        <v>27.176500000000001</v>
      </c>
      <c r="P84">
        <v>15306871.2045692</v>
      </c>
      <c r="Q84">
        <v>29.825258000000002</v>
      </c>
      <c r="R84">
        <v>16413656.5788137</v>
      </c>
      <c r="S84">
        <v>5331249726.5538006</v>
      </c>
      <c r="T84">
        <v>18037265.256554399</v>
      </c>
      <c r="U84" t="s">
        <v>463</v>
      </c>
      <c r="V84">
        <v>4766</v>
      </c>
      <c r="W84">
        <v>1.159958E-2</v>
      </c>
      <c r="X84" t="s">
        <v>50</v>
      </c>
      <c r="Y84">
        <v>4824</v>
      </c>
      <c r="Z84">
        <v>23.348235160000002</v>
      </c>
      <c r="AA84" t="s">
        <v>162</v>
      </c>
      <c r="AB84">
        <v>1</v>
      </c>
      <c r="AC84">
        <v>23.348235160000002</v>
      </c>
      <c r="AD84">
        <v>4716728138.8000002</v>
      </c>
    </row>
    <row r="85" spans="1:30" x14ac:dyDescent="0.25">
      <c r="A85">
        <v>233</v>
      </c>
      <c r="B85" t="s">
        <v>226</v>
      </c>
      <c r="C85" t="s">
        <v>304</v>
      </c>
      <c r="D85" t="s">
        <v>380</v>
      </c>
      <c r="E85" t="s">
        <v>48</v>
      </c>
      <c r="F85">
        <v>251918950</v>
      </c>
      <c r="G85">
        <v>22.937329999999999</v>
      </c>
      <c r="H85" t="s">
        <v>50</v>
      </c>
      <c r="I85">
        <v>10125618.356615899</v>
      </c>
      <c r="J85">
        <v>12723280.9111399</v>
      </c>
      <c r="M85">
        <v>10161821.306738701</v>
      </c>
      <c r="N85">
        <v>28.323055</v>
      </c>
      <c r="O85">
        <v>30.826772999999999</v>
      </c>
      <c r="P85">
        <v>10563144.824193301</v>
      </c>
      <c r="Q85">
        <v>27.196359999999999</v>
      </c>
      <c r="R85">
        <v>11854579.1624179</v>
      </c>
      <c r="S85">
        <v>5778348089.4034996</v>
      </c>
      <c r="T85">
        <v>13038296.5776095</v>
      </c>
      <c r="U85" t="s">
        <v>464</v>
      </c>
      <c r="V85">
        <v>2120</v>
      </c>
      <c r="W85">
        <v>1.159958E-2</v>
      </c>
      <c r="X85" t="s">
        <v>50</v>
      </c>
      <c r="Y85">
        <v>2110</v>
      </c>
      <c r="Z85">
        <v>23.399751869999999</v>
      </c>
      <c r="AA85" t="s">
        <v>162</v>
      </c>
      <c r="AB85">
        <v>1</v>
      </c>
      <c r="AC85">
        <v>23.399751869999999</v>
      </c>
      <c r="AD85">
        <v>5340681740</v>
      </c>
    </row>
    <row r="86" spans="1:30" x14ac:dyDescent="0.25">
      <c r="A86">
        <v>255</v>
      </c>
      <c r="B86" t="s">
        <v>227</v>
      </c>
      <c r="C86" t="s">
        <v>305</v>
      </c>
      <c r="D86" t="s">
        <v>381</v>
      </c>
      <c r="E86" t="s">
        <v>48</v>
      </c>
      <c r="F86">
        <v>2322991000</v>
      </c>
      <c r="G86">
        <v>3.421564</v>
      </c>
      <c r="H86" t="s">
        <v>50</v>
      </c>
      <c r="I86">
        <v>18420568.693480499</v>
      </c>
      <c r="J86">
        <v>23101751.391257901</v>
      </c>
      <c r="M86">
        <v>19842308.030522902</v>
      </c>
      <c r="N86">
        <v>25.394601999999999</v>
      </c>
      <c r="O86">
        <v>27.128954</v>
      </c>
      <c r="P86">
        <v>19965316.9088201</v>
      </c>
      <c r="Q86">
        <v>24.994430000000001</v>
      </c>
      <c r="R86">
        <v>22601834.177208401</v>
      </c>
      <c r="S86">
        <v>7948262377.9239998</v>
      </c>
      <c r="T86">
        <v>25025606.8986267</v>
      </c>
      <c r="U86" t="s">
        <v>465</v>
      </c>
      <c r="V86">
        <v>283</v>
      </c>
      <c r="W86">
        <v>1.159958E-2</v>
      </c>
      <c r="X86" t="s">
        <v>50</v>
      </c>
      <c r="Y86">
        <v>283.8</v>
      </c>
      <c r="Z86">
        <v>23.515172499999998</v>
      </c>
      <c r="AA86" t="s">
        <v>162</v>
      </c>
      <c r="AB86">
        <v>0.75</v>
      </c>
      <c r="AC86">
        <v>23.515172499999998</v>
      </c>
      <c r="AD86">
        <v>4930548397.5</v>
      </c>
    </row>
    <row r="87" spans="1:30" x14ac:dyDescent="0.25">
      <c r="A87">
        <v>398</v>
      </c>
      <c r="B87" t="s">
        <v>228</v>
      </c>
      <c r="C87" t="s">
        <v>306</v>
      </c>
      <c r="D87" t="s">
        <v>382</v>
      </c>
      <c r="E87" t="s">
        <v>48</v>
      </c>
      <c r="F87">
        <v>300215480</v>
      </c>
      <c r="G87">
        <v>32.585760000000001</v>
      </c>
      <c r="H87" t="s">
        <v>50</v>
      </c>
      <c r="I87">
        <v>16522131.7131634</v>
      </c>
      <c r="J87">
        <v>20903083.286543101</v>
      </c>
      <c r="M87">
        <v>16584748.2009915</v>
      </c>
      <c r="N87">
        <v>25.780684000000001</v>
      </c>
      <c r="O87">
        <v>27.177596999999999</v>
      </c>
      <c r="P87">
        <v>16739639.097919799</v>
      </c>
      <c r="Q87">
        <v>24.786116</v>
      </c>
      <c r="R87">
        <v>18389595.507017501</v>
      </c>
      <c r="S87">
        <v>9782749579.5648003</v>
      </c>
      <c r="T87">
        <v>20313408.086532</v>
      </c>
      <c r="U87" t="s">
        <v>466</v>
      </c>
      <c r="V87">
        <v>2661</v>
      </c>
      <c r="W87">
        <v>1.159958E-2</v>
      </c>
      <c r="X87" t="s">
        <v>50</v>
      </c>
      <c r="Y87">
        <v>2690</v>
      </c>
      <c r="Z87">
        <v>23.983293499999998</v>
      </c>
      <c r="AA87" t="s">
        <v>162</v>
      </c>
      <c r="AB87">
        <v>0.9</v>
      </c>
      <c r="AC87">
        <v>23.983293499999998</v>
      </c>
      <c r="AD87">
        <v>7189860530.5200005</v>
      </c>
    </row>
    <row r="88" spans="1:30" x14ac:dyDescent="0.25">
      <c r="A88">
        <v>18</v>
      </c>
      <c r="B88" t="s">
        <v>229</v>
      </c>
      <c r="C88" t="s">
        <v>307</v>
      </c>
      <c r="D88" t="s">
        <v>383</v>
      </c>
      <c r="E88" t="s">
        <v>48</v>
      </c>
      <c r="F88">
        <v>306304700</v>
      </c>
      <c r="G88">
        <v>39.73583</v>
      </c>
      <c r="H88" t="s">
        <v>50</v>
      </c>
      <c r="I88">
        <v>13625406.6795201</v>
      </c>
      <c r="J88">
        <v>21570998.776049901</v>
      </c>
      <c r="M88">
        <v>14657655.062240699</v>
      </c>
      <c r="N88">
        <v>20.518974</v>
      </c>
      <c r="O88">
        <v>21.163881</v>
      </c>
      <c r="P88">
        <v>15607760.0958807</v>
      </c>
      <c r="Q88">
        <v>19.969812000000001</v>
      </c>
      <c r="R88">
        <v>19258744.057179801</v>
      </c>
      <c r="S88">
        <v>12171271487.400999</v>
      </c>
      <c r="T88">
        <v>21305794.553202301</v>
      </c>
      <c r="U88" t="s">
        <v>467</v>
      </c>
      <c r="V88">
        <v>3280</v>
      </c>
      <c r="W88">
        <v>1.159958E-2</v>
      </c>
      <c r="X88" t="s">
        <v>50</v>
      </c>
      <c r="Y88">
        <v>3348</v>
      </c>
      <c r="Z88">
        <v>24.231187500000001</v>
      </c>
      <c r="AA88" t="s">
        <v>162</v>
      </c>
      <c r="AB88">
        <v>0.75</v>
      </c>
      <c r="AC88">
        <v>24.231187500000001</v>
      </c>
      <c r="AD88">
        <v>7535095620</v>
      </c>
    </row>
    <row r="89" spans="1:30" x14ac:dyDescent="0.25">
      <c r="A89">
        <v>298</v>
      </c>
      <c r="B89" t="s">
        <v>230</v>
      </c>
      <c r="C89" t="s">
        <v>308</v>
      </c>
      <c r="D89" t="s">
        <v>384</v>
      </c>
      <c r="E89" t="s">
        <v>48</v>
      </c>
      <c r="F89">
        <v>2055978800</v>
      </c>
      <c r="G89">
        <v>4.4637370000000001</v>
      </c>
      <c r="H89" t="s">
        <v>50</v>
      </c>
      <c r="I89">
        <v>26878775.488567501</v>
      </c>
      <c r="J89">
        <v>33929729.507509001</v>
      </c>
      <c r="M89">
        <v>30306001.822686799</v>
      </c>
      <c r="N89">
        <v>31.948080000000001</v>
      </c>
      <c r="O89">
        <v>33.85022</v>
      </c>
      <c r="P89">
        <v>27144341.1536377</v>
      </c>
      <c r="Q89">
        <v>29.460032000000002</v>
      </c>
      <c r="R89">
        <v>28091729.6578857</v>
      </c>
      <c r="S89">
        <v>9177348640.7756004</v>
      </c>
      <c r="T89">
        <v>31104154.506294399</v>
      </c>
      <c r="U89" t="s">
        <v>468</v>
      </c>
      <c r="V89">
        <v>329.9</v>
      </c>
      <c r="W89">
        <v>1.159958E-2</v>
      </c>
      <c r="X89" t="s">
        <v>50</v>
      </c>
      <c r="Y89">
        <v>343.8</v>
      </c>
      <c r="Z89">
        <v>24.272893750000001</v>
      </c>
      <c r="AA89" t="s">
        <v>162</v>
      </c>
      <c r="AB89">
        <v>1</v>
      </c>
      <c r="AC89">
        <v>24.272893750000001</v>
      </c>
      <c r="AD89">
        <v>6782674061.1999998</v>
      </c>
    </row>
    <row r="90" spans="1:30" x14ac:dyDescent="0.25">
      <c r="A90">
        <v>40</v>
      </c>
      <c r="B90" t="s">
        <v>231</v>
      </c>
      <c r="C90" t="s">
        <v>309</v>
      </c>
      <c r="D90" t="s">
        <v>385</v>
      </c>
      <c r="E90" t="s">
        <v>48</v>
      </c>
      <c r="F90">
        <v>985856700</v>
      </c>
      <c r="G90">
        <v>21.128990000000002</v>
      </c>
      <c r="H90" t="s">
        <v>50</v>
      </c>
      <c r="I90">
        <v>19054396.534956601</v>
      </c>
      <c r="J90">
        <v>16991160.4777156</v>
      </c>
      <c r="M90">
        <v>17933671.9618329</v>
      </c>
      <c r="N90">
        <v>39.682796000000003</v>
      </c>
      <c r="O90">
        <v>42.114544000000002</v>
      </c>
      <c r="P90">
        <v>18362286.327829398</v>
      </c>
      <c r="Q90">
        <v>39.448658000000002</v>
      </c>
      <c r="R90">
        <v>20376087.001001298</v>
      </c>
      <c r="S90">
        <v>20830156355.733002</v>
      </c>
      <c r="T90">
        <v>22426644.973502401</v>
      </c>
      <c r="U90" t="s">
        <v>469</v>
      </c>
      <c r="V90">
        <v>1864</v>
      </c>
      <c r="W90">
        <v>1.159958E-2</v>
      </c>
      <c r="X90" t="s">
        <v>50</v>
      </c>
      <c r="Y90">
        <v>1897</v>
      </c>
      <c r="Z90">
        <v>24.356998239999999</v>
      </c>
      <c r="AA90" t="s">
        <v>162</v>
      </c>
      <c r="AB90">
        <v>0.4</v>
      </c>
      <c r="AC90">
        <v>24.356998239999999</v>
      </c>
      <c r="AD90">
        <v>7350547555.1999998</v>
      </c>
    </row>
    <row r="91" spans="1:30" x14ac:dyDescent="0.25">
      <c r="A91">
        <v>494</v>
      </c>
      <c r="B91" t="s">
        <v>232</v>
      </c>
      <c r="C91" t="s">
        <v>310</v>
      </c>
      <c r="D91" t="s">
        <v>386</v>
      </c>
      <c r="E91" t="s">
        <v>48</v>
      </c>
      <c r="F91">
        <v>1025000200</v>
      </c>
      <c r="G91">
        <v>12.94389</v>
      </c>
      <c r="H91" t="s">
        <v>50</v>
      </c>
      <c r="I91">
        <v>13198462.882495999</v>
      </c>
      <c r="J91">
        <v>12271297.215061501</v>
      </c>
      <c r="M91">
        <v>15430455.8736021</v>
      </c>
      <c r="N91">
        <v>29.733664000000001</v>
      </c>
      <c r="O91">
        <v>30.663664000000001</v>
      </c>
      <c r="P91">
        <v>15187144.3910816</v>
      </c>
      <c r="Q91">
        <v>30.934774000000001</v>
      </c>
      <c r="R91">
        <v>14019208.528082</v>
      </c>
      <c r="S91">
        <v>13267489838.778</v>
      </c>
      <c r="T91">
        <v>15425632.406383701</v>
      </c>
      <c r="U91" t="s">
        <v>470</v>
      </c>
      <c r="V91">
        <v>1098</v>
      </c>
      <c r="W91">
        <v>1.159958E-2</v>
      </c>
      <c r="X91" t="s">
        <v>50</v>
      </c>
      <c r="Y91">
        <v>1033</v>
      </c>
      <c r="Z91">
        <v>24.69802584</v>
      </c>
      <c r="AA91" t="s">
        <v>162</v>
      </c>
      <c r="AB91">
        <v>0.7</v>
      </c>
      <c r="AC91">
        <v>24.69802584</v>
      </c>
      <c r="AD91">
        <v>7878151537.1999989</v>
      </c>
    </row>
    <row r="92" spans="1:30" x14ac:dyDescent="0.25">
      <c r="A92">
        <v>117</v>
      </c>
      <c r="B92" t="s">
        <v>233</v>
      </c>
      <c r="C92" t="s">
        <v>311</v>
      </c>
      <c r="D92" t="s">
        <v>387</v>
      </c>
      <c r="E92" t="s">
        <v>48</v>
      </c>
      <c r="F92">
        <v>4953412000</v>
      </c>
      <c r="G92">
        <v>1.886857</v>
      </c>
      <c r="H92" t="s">
        <v>50</v>
      </c>
      <c r="I92">
        <v>25275983.555836599</v>
      </c>
      <c r="J92">
        <v>36831927.0462045</v>
      </c>
      <c r="M92">
        <v>26713513.294907302</v>
      </c>
      <c r="N92">
        <v>27.771647999999999</v>
      </c>
      <c r="O92">
        <v>28.924700000000001</v>
      </c>
      <c r="P92">
        <v>27800216.4452678</v>
      </c>
      <c r="Q92">
        <v>25.680115000000001</v>
      </c>
      <c r="R92">
        <v>31613863.4340542</v>
      </c>
      <c r="S92">
        <v>9346380106.0839996</v>
      </c>
      <c r="T92">
        <v>34843460.595735297</v>
      </c>
      <c r="U92" t="s">
        <v>471</v>
      </c>
      <c r="V92">
        <v>157.15</v>
      </c>
      <c r="W92">
        <v>1.159958E-2</v>
      </c>
      <c r="X92" t="s">
        <v>50</v>
      </c>
      <c r="Y92">
        <v>159.69999999999999</v>
      </c>
      <c r="Z92">
        <v>24.925892489999999</v>
      </c>
      <c r="AA92" t="s">
        <v>162</v>
      </c>
      <c r="AB92">
        <v>1</v>
      </c>
      <c r="AC92">
        <v>24.925892489999999</v>
      </c>
      <c r="AD92">
        <v>7784286958</v>
      </c>
    </row>
    <row r="93" spans="1:30" x14ac:dyDescent="0.25">
      <c r="A93">
        <v>246</v>
      </c>
      <c r="B93" t="s">
        <v>234</v>
      </c>
      <c r="C93" t="s">
        <v>312</v>
      </c>
      <c r="D93" t="s">
        <v>388</v>
      </c>
      <c r="E93" t="s">
        <v>48</v>
      </c>
      <c r="F93">
        <v>4703300000</v>
      </c>
      <c r="G93">
        <v>3.804646</v>
      </c>
      <c r="H93" t="s">
        <v>50</v>
      </c>
      <c r="I93">
        <v>52934454.096156001</v>
      </c>
      <c r="J93">
        <v>72232145.777978897</v>
      </c>
      <c r="M93">
        <v>70222860.667806506</v>
      </c>
      <c r="N93">
        <v>37.955860000000001</v>
      </c>
      <c r="O93">
        <v>41.053474000000001</v>
      </c>
      <c r="P93">
        <v>74174195.706524998</v>
      </c>
      <c r="Q93">
        <v>35.590426999999998</v>
      </c>
      <c r="R93">
        <v>74903692.628888503</v>
      </c>
      <c r="S93">
        <v>17894391531.799999</v>
      </c>
      <c r="T93">
        <v>82212986.8606814</v>
      </c>
      <c r="U93" t="s">
        <v>472</v>
      </c>
      <c r="V93">
        <v>362.3</v>
      </c>
      <c r="W93">
        <v>1.159958E-2</v>
      </c>
      <c r="X93" t="s">
        <v>50</v>
      </c>
      <c r="Y93">
        <v>346.6</v>
      </c>
      <c r="Z93">
        <v>25.029769380000001</v>
      </c>
      <c r="AA93" t="s">
        <v>162</v>
      </c>
      <c r="AB93">
        <v>0.75</v>
      </c>
      <c r="AC93">
        <v>25.029769380000001</v>
      </c>
      <c r="AD93">
        <v>12780041925</v>
      </c>
    </row>
    <row r="94" spans="1:30" x14ac:dyDescent="0.25">
      <c r="A94">
        <v>223</v>
      </c>
      <c r="B94" t="s">
        <v>235</v>
      </c>
      <c r="C94" t="s">
        <v>313</v>
      </c>
      <c r="D94" t="s">
        <v>389</v>
      </c>
      <c r="E94" t="s">
        <v>48</v>
      </c>
      <c r="F94">
        <v>221886460</v>
      </c>
      <c r="G94">
        <v>24.698080000000001</v>
      </c>
      <c r="H94" t="s">
        <v>50</v>
      </c>
      <c r="I94">
        <v>7923939.2112295302</v>
      </c>
      <c r="J94">
        <v>11321769.6649972</v>
      </c>
      <c r="M94">
        <v>9350837.2849275004</v>
      </c>
      <c r="N94">
        <v>25.339706</v>
      </c>
      <c r="O94">
        <v>26.796585</v>
      </c>
      <c r="P94">
        <v>10047745.1131371</v>
      </c>
      <c r="Q94">
        <v>23.788132000000001</v>
      </c>
      <c r="R94">
        <v>11109900.9506313</v>
      </c>
      <c r="S94">
        <v>5480169539.9968004</v>
      </c>
      <c r="T94">
        <v>12178936.4615169</v>
      </c>
      <c r="U94" t="s">
        <v>473</v>
      </c>
      <c r="V94">
        <v>1973</v>
      </c>
      <c r="W94">
        <v>1.159958E-2</v>
      </c>
      <c r="X94" t="s">
        <v>50</v>
      </c>
      <c r="Y94">
        <v>1979</v>
      </c>
      <c r="Z94">
        <v>26.049645000000002</v>
      </c>
      <c r="AA94" t="s">
        <v>162</v>
      </c>
      <c r="AB94">
        <v>0.75</v>
      </c>
      <c r="AC94">
        <v>26.049645000000002</v>
      </c>
      <c r="AD94">
        <v>3283364891.8499999</v>
      </c>
    </row>
    <row r="95" spans="1:30" x14ac:dyDescent="0.25">
      <c r="A95">
        <v>300</v>
      </c>
      <c r="B95" t="s">
        <v>236</v>
      </c>
      <c r="C95" t="s">
        <v>314</v>
      </c>
      <c r="D95" t="s">
        <v>390</v>
      </c>
      <c r="E95" t="s">
        <v>48</v>
      </c>
      <c r="F95">
        <v>1273792400</v>
      </c>
      <c r="G95">
        <v>5.3702860000000001</v>
      </c>
      <c r="H95" t="s">
        <v>50</v>
      </c>
      <c r="I95">
        <v>21151235.8617891</v>
      </c>
      <c r="J95">
        <v>15259616.642938999</v>
      </c>
      <c r="M95">
        <v>19220986.437842801</v>
      </c>
      <c r="N95">
        <v>49.00132</v>
      </c>
      <c r="O95">
        <v>52.46125</v>
      </c>
      <c r="P95">
        <v>18879985.3518347</v>
      </c>
      <c r="Q95">
        <v>47.076096</v>
      </c>
      <c r="R95">
        <v>21585163.8330286</v>
      </c>
      <c r="S95">
        <v>6840629492.6264</v>
      </c>
      <c r="T95">
        <v>23651343.040980902</v>
      </c>
      <c r="U95" t="s">
        <v>474</v>
      </c>
      <c r="V95">
        <v>532.20000000000005</v>
      </c>
      <c r="W95">
        <v>1.159958E-2</v>
      </c>
      <c r="X95" t="s">
        <v>50</v>
      </c>
      <c r="Y95">
        <v>522.6</v>
      </c>
      <c r="Z95">
        <v>26.109931249999999</v>
      </c>
      <c r="AA95" t="s">
        <v>162</v>
      </c>
      <c r="AB95">
        <v>0.95</v>
      </c>
      <c r="AC95">
        <v>26.109931249999999</v>
      </c>
      <c r="AD95">
        <v>6440166995.1599998</v>
      </c>
    </row>
    <row r="96" spans="1:30" x14ac:dyDescent="0.25">
      <c r="A96">
        <v>372</v>
      </c>
      <c r="B96" t="s">
        <v>237</v>
      </c>
      <c r="C96" t="s">
        <v>315</v>
      </c>
      <c r="D96" t="s">
        <v>391</v>
      </c>
      <c r="E96" t="s">
        <v>48</v>
      </c>
      <c r="F96">
        <v>8467330000</v>
      </c>
      <c r="G96">
        <v>9.9434749999999994</v>
      </c>
      <c r="H96" t="s">
        <v>50</v>
      </c>
      <c r="I96">
        <v>107085300.938774</v>
      </c>
      <c r="J96">
        <v>111023692.64909901</v>
      </c>
      <c r="M96">
        <v>119652992.588158</v>
      </c>
      <c r="N96">
        <v>42.200347999999998</v>
      </c>
      <c r="O96">
        <v>45.941414000000002</v>
      </c>
      <c r="P96">
        <v>130362332.32393099</v>
      </c>
      <c r="Q96">
        <v>38.57414</v>
      </c>
      <c r="R96">
        <v>162324600.536948</v>
      </c>
      <c r="S96">
        <v>84194684171.75</v>
      </c>
      <c r="T96">
        <v>177570981.016305</v>
      </c>
      <c r="U96" t="s">
        <v>475</v>
      </c>
      <c r="V96">
        <v>984.4</v>
      </c>
      <c r="W96">
        <v>1.159958E-2</v>
      </c>
      <c r="X96" t="s">
        <v>50</v>
      </c>
      <c r="Y96">
        <v>962.6</v>
      </c>
      <c r="Z96">
        <v>27.106064140000001</v>
      </c>
      <c r="AA96" t="s">
        <v>162</v>
      </c>
      <c r="AB96">
        <v>1</v>
      </c>
      <c r="AC96">
        <v>27.106064140000001</v>
      </c>
      <c r="AD96">
        <v>83352396520</v>
      </c>
    </row>
    <row r="97" spans="1:30" x14ac:dyDescent="0.25">
      <c r="A97">
        <v>64</v>
      </c>
      <c r="B97" t="s">
        <v>238</v>
      </c>
      <c r="C97" t="s">
        <v>316</v>
      </c>
      <c r="D97" t="s">
        <v>392</v>
      </c>
      <c r="E97" t="s">
        <v>48</v>
      </c>
      <c r="F97">
        <v>3017544000</v>
      </c>
      <c r="G97">
        <v>21.926089999999999</v>
      </c>
      <c r="H97" t="s">
        <v>50</v>
      </c>
      <c r="I97">
        <v>85033493.821042404</v>
      </c>
      <c r="J97">
        <v>101307723.63817</v>
      </c>
      <c r="M97">
        <v>105911288.85172801</v>
      </c>
      <c r="N97">
        <v>38.752228000000002</v>
      </c>
      <c r="O97">
        <v>41.082766999999997</v>
      </c>
      <c r="P97">
        <v>112257429.75798801</v>
      </c>
      <c r="Q97">
        <v>35.723300000000002</v>
      </c>
      <c r="R97">
        <v>137041314.43716601</v>
      </c>
      <c r="S97">
        <v>66162941322.959999</v>
      </c>
      <c r="T97">
        <v>150303812.46535701</v>
      </c>
      <c r="U97" t="s">
        <v>476</v>
      </c>
      <c r="V97">
        <v>1876.5</v>
      </c>
      <c r="W97">
        <v>1.159958E-2</v>
      </c>
      <c r="X97" t="s">
        <v>50</v>
      </c>
      <c r="Y97">
        <v>1879.5</v>
      </c>
      <c r="Z97">
        <v>27.76146323</v>
      </c>
      <c r="AA97" t="s">
        <v>162</v>
      </c>
      <c r="AB97">
        <v>1</v>
      </c>
      <c r="AC97">
        <v>27.76146323</v>
      </c>
      <c r="AD97">
        <v>56624213160</v>
      </c>
    </row>
    <row r="98" spans="1:30" x14ac:dyDescent="0.25">
      <c r="A98">
        <v>234</v>
      </c>
      <c r="B98" t="s">
        <v>239</v>
      </c>
      <c r="C98" t="s">
        <v>317</v>
      </c>
      <c r="D98" t="s">
        <v>393</v>
      </c>
      <c r="E98" t="s">
        <v>48</v>
      </c>
      <c r="F98">
        <v>818547400</v>
      </c>
      <c r="G98">
        <v>33.501820000000002</v>
      </c>
      <c r="H98" t="s">
        <v>50</v>
      </c>
      <c r="I98">
        <v>38668696.711972997</v>
      </c>
      <c r="J98">
        <v>56700085.389688</v>
      </c>
      <c r="M98">
        <v>48224231.146016099</v>
      </c>
      <c r="N98">
        <v>21.373003000000001</v>
      </c>
      <c r="O98">
        <v>22.825346</v>
      </c>
      <c r="P98">
        <v>49257880.971548498</v>
      </c>
      <c r="Q98">
        <v>20.428609999999999</v>
      </c>
      <c r="R98">
        <v>53453293.156994902</v>
      </c>
      <c r="S98">
        <v>27422827656.268002</v>
      </c>
      <c r="T98">
        <v>58985695.362492502</v>
      </c>
      <c r="U98" t="s">
        <v>477</v>
      </c>
      <c r="V98">
        <v>2868</v>
      </c>
      <c r="W98">
        <v>1.159958E-2</v>
      </c>
      <c r="X98" t="s">
        <v>50</v>
      </c>
      <c r="Y98">
        <v>2849</v>
      </c>
      <c r="Z98">
        <v>29.014431250000001</v>
      </c>
      <c r="AA98" t="s">
        <v>162</v>
      </c>
      <c r="AB98">
        <v>0.95</v>
      </c>
      <c r="AC98">
        <v>29.014431250000001</v>
      </c>
      <c r="AD98">
        <v>22302142460.400002</v>
      </c>
    </row>
    <row r="99" spans="1:30" x14ac:dyDescent="0.25">
      <c r="A99">
        <v>412</v>
      </c>
      <c r="B99" t="s">
        <v>240</v>
      </c>
      <c r="C99" t="s">
        <v>318</v>
      </c>
      <c r="D99" t="s">
        <v>394</v>
      </c>
      <c r="E99" t="s">
        <v>48</v>
      </c>
      <c r="F99">
        <v>333534300</v>
      </c>
      <c r="G99">
        <v>25.388100000000001</v>
      </c>
      <c r="H99" t="s">
        <v>50</v>
      </c>
      <c r="I99">
        <v>16005500.387014801</v>
      </c>
      <c r="J99">
        <v>18626712.3306075</v>
      </c>
      <c r="M99">
        <v>20225327.295770898</v>
      </c>
      <c r="N99">
        <v>27.84647</v>
      </c>
      <c r="O99">
        <v>30.762823000000001</v>
      </c>
      <c r="P99">
        <v>21669273.5285975</v>
      </c>
      <c r="Q99">
        <v>29.120728</v>
      </c>
      <c r="R99">
        <v>23934294.0293447</v>
      </c>
      <c r="S99">
        <v>8467802161.8300009</v>
      </c>
      <c r="T99">
        <v>26200409.3484562</v>
      </c>
      <c r="U99" t="s">
        <v>478</v>
      </c>
      <c r="V99">
        <v>2264</v>
      </c>
      <c r="W99">
        <v>1.159958E-2</v>
      </c>
      <c r="X99" t="s">
        <v>50</v>
      </c>
      <c r="Y99">
        <v>2232</v>
      </c>
      <c r="Z99">
        <v>29.40214375</v>
      </c>
      <c r="AA99" t="s">
        <v>162</v>
      </c>
      <c r="AB99">
        <v>1</v>
      </c>
      <c r="AC99">
        <v>29.40214375</v>
      </c>
      <c r="AD99">
        <v>7551216552</v>
      </c>
    </row>
    <row r="100" spans="1:30" x14ac:dyDescent="0.25">
      <c r="A100">
        <v>65</v>
      </c>
      <c r="B100" t="s">
        <v>241</v>
      </c>
      <c r="C100" t="s">
        <v>319</v>
      </c>
      <c r="D100" t="s">
        <v>395</v>
      </c>
      <c r="E100" t="s">
        <v>48</v>
      </c>
      <c r="F100">
        <v>505477870</v>
      </c>
      <c r="G100">
        <v>5.966323</v>
      </c>
      <c r="H100" t="s">
        <v>50</v>
      </c>
      <c r="I100">
        <v>4493103.5002598204</v>
      </c>
      <c r="J100">
        <v>4649061.0914108399</v>
      </c>
      <c r="M100">
        <v>5030316.2424939703</v>
      </c>
      <c r="N100">
        <v>24.922646</v>
      </c>
      <c r="O100">
        <v>26.619738000000002</v>
      </c>
      <c r="P100">
        <v>5031940.1511508897</v>
      </c>
      <c r="Q100">
        <v>23.42662</v>
      </c>
      <c r="R100">
        <v>5848535.9069663696</v>
      </c>
      <c r="S100">
        <v>3015844241.7720098</v>
      </c>
      <c r="T100">
        <v>6417844.7111136504</v>
      </c>
      <c r="U100" t="s">
        <v>479</v>
      </c>
      <c r="V100">
        <v>514</v>
      </c>
      <c r="W100">
        <v>1.159958E-2</v>
      </c>
      <c r="X100" t="s">
        <v>50</v>
      </c>
      <c r="Y100">
        <v>510</v>
      </c>
      <c r="Z100">
        <v>30.10527969</v>
      </c>
      <c r="AA100" t="s">
        <v>162</v>
      </c>
      <c r="AB100">
        <v>1</v>
      </c>
      <c r="AC100">
        <v>30.10527969</v>
      </c>
      <c r="AD100">
        <v>2598156251.8000002</v>
      </c>
    </row>
    <row r="101" spans="1:30" x14ac:dyDescent="0.25">
      <c r="A101">
        <v>101</v>
      </c>
      <c r="B101" t="s">
        <v>242</v>
      </c>
      <c r="C101" t="s">
        <v>320</v>
      </c>
      <c r="D101" t="s">
        <v>396</v>
      </c>
      <c r="E101" t="s">
        <v>48</v>
      </c>
      <c r="F101">
        <v>2198130000</v>
      </c>
      <c r="G101">
        <v>39.676340000000003</v>
      </c>
      <c r="H101" t="s">
        <v>50</v>
      </c>
      <c r="I101">
        <v>115855086.462653</v>
      </c>
      <c r="J101">
        <v>179069382.57486099</v>
      </c>
      <c r="M101">
        <v>139788230.86571699</v>
      </c>
      <c r="N101">
        <v>23.663295999999999</v>
      </c>
      <c r="O101">
        <v>25.608426999999999</v>
      </c>
      <c r="P101">
        <v>147788439.30912599</v>
      </c>
      <c r="Q101">
        <v>21.982813</v>
      </c>
      <c r="R101">
        <v>146542730.94523799</v>
      </c>
      <c r="S101">
        <v>87213753244.200012</v>
      </c>
      <c r="T101">
        <v>161827249.779771</v>
      </c>
      <c r="U101" t="s">
        <v>480</v>
      </c>
      <c r="V101">
        <v>3599</v>
      </c>
      <c r="W101">
        <v>1.159958E-2</v>
      </c>
      <c r="X101" t="s">
        <v>50</v>
      </c>
      <c r="Y101">
        <v>3543</v>
      </c>
      <c r="Z101">
        <v>30.468522499999999</v>
      </c>
      <c r="AA101" t="s">
        <v>162</v>
      </c>
      <c r="AB101">
        <v>0.8</v>
      </c>
      <c r="AC101">
        <v>30.468522499999999</v>
      </c>
      <c r="AD101">
        <v>63288558960</v>
      </c>
    </row>
    <row r="102" spans="1:30" x14ac:dyDescent="0.25">
      <c r="A102">
        <v>63</v>
      </c>
      <c r="B102" t="s">
        <v>243</v>
      </c>
      <c r="C102" t="s">
        <v>321</v>
      </c>
      <c r="D102" t="s">
        <v>397</v>
      </c>
      <c r="E102" t="s">
        <v>48</v>
      </c>
      <c r="F102">
        <v>505596600</v>
      </c>
      <c r="G102">
        <v>10.74295</v>
      </c>
      <c r="H102" t="s">
        <v>50</v>
      </c>
      <c r="I102">
        <v>6735729.74710094</v>
      </c>
      <c r="J102">
        <v>14543759.5278701</v>
      </c>
      <c r="M102">
        <v>9532187.2848989107</v>
      </c>
      <c r="N102">
        <v>33.364339999999999</v>
      </c>
      <c r="O102">
        <v>35.056007000000001</v>
      </c>
      <c r="P102">
        <v>11043763.5293581</v>
      </c>
      <c r="Q102">
        <v>32.922440000000002</v>
      </c>
      <c r="R102">
        <v>14808716.1122995</v>
      </c>
      <c r="S102">
        <v>5431598993.9700003</v>
      </c>
      <c r="T102">
        <v>16317496.1704136</v>
      </c>
      <c r="U102" t="s">
        <v>481</v>
      </c>
      <c r="V102">
        <v>1088</v>
      </c>
      <c r="W102">
        <v>1.159958E-2</v>
      </c>
      <c r="X102" t="s">
        <v>50</v>
      </c>
      <c r="Y102">
        <v>1073</v>
      </c>
      <c r="Z102">
        <v>30.744626010000001</v>
      </c>
      <c r="AA102" t="s">
        <v>162</v>
      </c>
      <c r="AB102">
        <v>0.9</v>
      </c>
      <c r="AC102">
        <v>30.744626010000001</v>
      </c>
      <c r="AD102">
        <v>4950801907.2000008</v>
      </c>
    </row>
    <row r="103" spans="1:30" x14ac:dyDescent="0.25">
      <c r="A103">
        <v>51</v>
      </c>
      <c r="B103" t="s">
        <v>244</v>
      </c>
      <c r="C103" t="s">
        <v>322</v>
      </c>
      <c r="D103" t="s">
        <v>398</v>
      </c>
      <c r="E103" t="s">
        <v>48</v>
      </c>
      <c r="F103">
        <v>722176500</v>
      </c>
      <c r="G103">
        <v>24.79325</v>
      </c>
      <c r="H103" t="s">
        <v>50</v>
      </c>
      <c r="I103">
        <v>19859880.067141499</v>
      </c>
      <c r="J103">
        <v>19537411.725206699</v>
      </c>
      <c r="M103">
        <v>20209573.7058484</v>
      </c>
      <c r="N103">
        <v>28.078385999999998</v>
      </c>
      <c r="O103">
        <v>30.081382999999999</v>
      </c>
      <c r="P103">
        <v>19957407.890966501</v>
      </c>
      <c r="Q103">
        <v>25.886341000000002</v>
      </c>
      <c r="R103">
        <v>19710806.310258299</v>
      </c>
      <c r="S103">
        <v>17905102508.625</v>
      </c>
      <c r="T103">
        <v>21755632.294341199</v>
      </c>
      <c r="U103" t="s">
        <v>482</v>
      </c>
      <c r="V103">
        <v>2056</v>
      </c>
      <c r="W103">
        <v>1.159958E-2</v>
      </c>
      <c r="X103" t="s">
        <v>50</v>
      </c>
      <c r="Y103">
        <v>2078</v>
      </c>
      <c r="Z103">
        <v>31.492194380000001</v>
      </c>
      <c r="AA103" t="s">
        <v>162</v>
      </c>
      <c r="AB103">
        <v>0.4</v>
      </c>
      <c r="AC103">
        <v>31.492194380000001</v>
      </c>
      <c r="AD103">
        <v>5939179536</v>
      </c>
    </row>
    <row r="104" spans="1:30" x14ac:dyDescent="0.25">
      <c r="A104">
        <v>258</v>
      </c>
      <c r="B104" t="s">
        <v>245</v>
      </c>
      <c r="C104" t="s">
        <v>323</v>
      </c>
      <c r="D104" t="s">
        <v>399</v>
      </c>
      <c r="E104" t="s">
        <v>48</v>
      </c>
      <c r="F104">
        <v>212862990</v>
      </c>
      <c r="G104">
        <v>21.069510000000001</v>
      </c>
      <c r="H104" t="s">
        <v>50</v>
      </c>
      <c r="I104">
        <v>8603152.0912119206</v>
      </c>
      <c r="J104">
        <v>14100500.373664999</v>
      </c>
      <c r="M104">
        <v>9180449.1135689691</v>
      </c>
      <c r="N104">
        <v>41.200240000000001</v>
      </c>
      <c r="O104">
        <v>43.802773000000002</v>
      </c>
      <c r="P104">
        <v>9829582.7556910403</v>
      </c>
      <c r="Q104">
        <v>38.226709999999997</v>
      </c>
      <c r="R104">
        <v>10074650.603591301</v>
      </c>
      <c r="S104">
        <v>4484918896.4349003</v>
      </c>
      <c r="T104">
        <v>11141506.883658599</v>
      </c>
      <c r="U104" t="s">
        <v>483</v>
      </c>
      <c r="V104">
        <v>1644</v>
      </c>
      <c r="W104">
        <v>1.159958E-2</v>
      </c>
      <c r="X104" t="s">
        <v>50</v>
      </c>
      <c r="Y104">
        <v>1752</v>
      </c>
      <c r="Z104">
        <v>32.442815549999999</v>
      </c>
      <c r="AA104" t="s">
        <v>162</v>
      </c>
      <c r="AB104">
        <v>0.8</v>
      </c>
      <c r="AC104">
        <v>32.442815549999999</v>
      </c>
      <c r="AD104">
        <v>2799574044.48</v>
      </c>
    </row>
    <row r="105" spans="1:30" x14ac:dyDescent="0.25">
      <c r="A105">
        <v>97</v>
      </c>
      <c r="B105" t="s">
        <v>246</v>
      </c>
      <c r="C105" t="s">
        <v>324</v>
      </c>
      <c r="D105" t="s">
        <v>400</v>
      </c>
      <c r="E105" t="s">
        <v>48</v>
      </c>
      <c r="F105">
        <v>15935223000</v>
      </c>
      <c r="G105">
        <v>4.2376950000000004</v>
      </c>
      <c r="H105" t="s">
        <v>50</v>
      </c>
      <c r="I105">
        <v>156330195.998072</v>
      </c>
      <c r="J105">
        <v>140770728.21423599</v>
      </c>
      <c r="M105">
        <v>166707453.730497</v>
      </c>
      <c r="N105">
        <v>32.027946</v>
      </c>
      <c r="O105">
        <v>34.281016999999999</v>
      </c>
      <c r="P105">
        <v>176307218.203556</v>
      </c>
      <c r="Q105">
        <v>30.241508</v>
      </c>
      <c r="R105">
        <v>179399215.48122501</v>
      </c>
      <c r="S105">
        <v>67528614830.985008</v>
      </c>
      <c r="T105">
        <v>197323415.70363301</v>
      </c>
      <c r="U105" t="s">
        <v>484</v>
      </c>
      <c r="V105">
        <v>384.5</v>
      </c>
      <c r="W105">
        <v>1.159958E-2</v>
      </c>
      <c r="X105" t="s">
        <v>50</v>
      </c>
      <c r="Y105">
        <v>379.25</v>
      </c>
      <c r="Z105">
        <v>33.392488280000002</v>
      </c>
      <c r="AA105" t="s">
        <v>162</v>
      </c>
      <c r="AB105">
        <v>1</v>
      </c>
      <c r="AC105">
        <v>33.392488280000002</v>
      </c>
      <c r="AD105">
        <v>61270932435</v>
      </c>
    </row>
    <row r="106" spans="1:30" x14ac:dyDescent="0.25">
      <c r="A106">
        <v>369</v>
      </c>
      <c r="B106" t="s">
        <v>247</v>
      </c>
      <c r="C106" t="s">
        <v>63</v>
      </c>
      <c r="D106" t="s">
        <v>78</v>
      </c>
      <c r="E106" t="s">
        <v>48</v>
      </c>
      <c r="F106">
        <v>1254028800</v>
      </c>
      <c r="G106">
        <v>54.279859999999999</v>
      </c>
      <c r="H106" t="s">
        <v>50</v>
      </c>
      <c r="I106">
        <v>110464628.49724001</v>
      </c>
      <c r="J106">
        <v>95124636.286467001</v>
      </c>
      <c r="M106">
        <v>106726695.197328</v>
      </c>
      <c r="N106">
        <v>22.145544000000001</v>
      </c>
      <c r="O106">
        <v>22.926586</v>
      </c>
      <c r="P106">
        <v>106544574.25758</v>
      </c>
      <c r="Q106">
        <v>23.676991999999998</v>
      </c>
      <c r="R106">
        <v>112362518.75730699</v>
      </c>
      <c r="S106">
        <v>68068507699.968002</v>
      </c>
      <c r="T106">
        <v>123617753.827897</v>
      </c>
      <c r="U106" t="s">
        <v>485</v>
      </c>
      <c r="V106">
        <v>4276.5</v>
      </c>
      <c r="W106">
        <v>1.159958E-2</v>
      </c>
      <c r="X106" t="s">
        <v>50</v>
      </c>
      <c r="Y106">
        <v>4266.5</v>
      </c>
      <c r="Z106">
        <v>33.989626579999999</v>
      </c>
      <c r="AA106" t="s">
        <v>488</v>
      </c>
      <c r="AB106">
        <v>0.85</v>
      </c>
      <c r="AC106">
        <v>33.989626579999999</v>
      </c>
      <c r="AD106">
        <v>45584260387.199997</v>
      </c>
    </row>
    <row r="107" spans="1:30" x14ac:dyDescent="0.25">
      <c r="A107">
        <v>208</v>
      </c>
      <c r="B107" t="s">
        <v>248</v>
      </c>
      <c r="C107" t="s">
        <v>325</v>
      </c>
      <c r="D107" t="s">
        <v>401</v>
      </c>
      <c r="E107" t="s">
        <v>48</v>
      </c>
      <c r="F107">
        <v>11980212000</v>
      </c>
      <c r="G107">
        <v>3.2020650000000002</v>
      </c>
      <c r="H107" t="s">
        <v>50</v>
      </c>
      <c r="I107">
        <v>107598838.464836</v>
      </c>
      <c r="J107">
        <v>94574630.634022906</v>
      </c>
      <c r="M107">
        <v>112461487.96527199</v>
      </c>
      <c r="N107">
        <v>35.769447</v>
      </c>
      <c r="O107">
        <v>38.29813</v>
      </c>
      <c r="P107">
        <v>118237289.755178</v>
      </c>
      <c r="Q107">
        <v>34.136265000000002</v>
      </c>
      <c r="R107">
        <v>121079560.723891</v>
      </c>
      <c r="S107">
        <v>38361417537.779999</v>
      </c>
      <c r="T107">
        <v>133309388.88756</v>
      </c>
      <c r="U107" t="s">
        <v>486</v>
      </c>
      <c r="V107">
        <v>298.2</v>
      </c>
      <c r="W107">
        <v>1.159958E-2</v>
      </c>
      <c r="X107" t="s">
        <v>50</v>
      </c>
      <c r="Y107">
        <v>302.85000000000002</v>
      </c>
      <c r="Z107">
        <v>38.378437679999998</v>
      </c>
      <c r="AA107" t="s">
        <v>488</v>
      </c>
      <c r="AB107">
        <v>0.8</v>
      </c>
      <c r="AC107">
        <v>38.378437679999998</v>
      </c>
      <c r="AD107">
        <v>28579993747.200001</v>
      </c>
    </row>
    <row r="108" spans="1:30" x14ac:dyDescent="0.25">
      <c r="A108">
        <v>39</v>
      </c>
      <c r="B108" t="s">
        <v>249</v>
      </c>
      <c r="C108" t="s">
        <v>52</v>
      </c>
      <c r="D108" t="s">
        <v>67</v>
      </c>
      <c r="E108" t="s">
        <v>48</v>
      </c>
      <c r="F108">
        <v>1337577900</v>
      </c>
      <c r="G108">
        <v>26.072179999999999</v>
      </c>
      <c r="H108" t="s">
        <v>50</v>
      </c>
      <c r="I108">
        <v>60450699.753169797</v>
      </c>
      <c r="J108">
        <v>60458471.695665799</v>
      </c>
      <c r="M108">
        <v>56597040.987712801</v>
      </c>
      <c r="N108">
        <v>39.815936999999998</v>
      </c>
      <c r="O108">
        <v>42.366703000000001</v>
      </c>
      <c r="P108">
        <v>56688658.9763861</v>
      </c>
      <c r="Q108">
        <v>39.683532999999997</v>
      </c>
      <c r="R108">
        <v>62025379.6736295</v>
      </c>
      <c r="S108">
        <v>34873571772.821999</v>
      </c>
      <c r="T108">
        <v>68385337.631599307</v>
      </c>
      <c r="U108" t="s">
        <v>487</v>
      </c>
      <c r="V108">
        <v>2170</v>
      </c>
      <c r="W108">
        <v>1.159958E-2</v>
      </c>
      <c r="X108" t="s">
        <v>50</v>
      </c>
      <c r="Y108">
        <v>2202</v>
      </c>
      <c r="AB108">
        <v>1</v>
      </c>
      <c r="AC108">
        <v>999</v>
      </c>
      <c r="AD108">
        <v>29025440430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ENVUK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2026-01-04T19:12:52Z</dcterms:created>
  <dcterms:modified xsi:type="dcterms:W3CDTF">2026-01-04T19:13:28Z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2026-01-04T19:13:28Z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aab63643-7c23-4ac2-b243-c09e80b77abe</vt:lpwstr>
  </property>
  <property fmtid="{D5CDD505-2E9C-101B-9397-08002B2CF9AE}" pid="8" name="MSIP_Label_ac0b9ce6-6e99-42a1-af95-429494370cbc_ContentBits">
    <vt:lpwstr>2</vt:lpwstr>
  </property>
</Properties>
</file>