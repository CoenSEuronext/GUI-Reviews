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9/Review 202509/Dataiku/"/>
    </mc:Choice>
  </mc:AlternateContent>
  <xr:revisionPtr revIDLastSave="11" documentId="11_A6F652D1A33415F1761E84F429E2CA27D729E81E" xr6:coauthVersionLast="47" xr6:coauthVersionMax="47" xr10:uidLastSave="{9C0FB937-88AA-4EAF-A9A6-AD623D089B30}"/>
  <bookViews>
    <workbookView xWindow="-120" yWindow="-120" windowWidth="29040" windowHeight="15720" xr2:uid="{00000000-000D-0000-FFFF-FFFF00000000}"/>
  </bookViews>
  <sheets>
    <sheet name="selection" sheetId="1" r:id="rId1"/>
    <sheet name="inclusion" sheetId="2" r:id="rId2"/>
    <sheet name="exclusion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1" l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<sst xmlns="http://schemas.openxmlformats.org/spreadsheetml/2006/main" count="238" uniqueCount="100">
  <si>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</si>
  <si>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</si>
  <si>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</si>
  <si>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</si>
  <si>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</si>
  <si>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</si>
  <si>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</si>
  <si>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</si>
  <si>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</si>
  <si>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</si>
  <si>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</si>
  <si>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</si>
  <si>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</si>
  <si>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</si>
  <si>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</si>
  <si>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</si>
  <si>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</si>
  <si>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</si>
  <si>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</si>
  <si>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</si>
  <si>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</si>
  <si>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CVC CAPITAL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</si>
  <si>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</si>
  <si>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</si>
  <si>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</si>
  <si>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</si>
  <si>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</si>
  <si>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</si>
  <si>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</si>
  <si>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</si>
  <si>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INPOST</t>
  </si>
  <si>
    <t>JDE PEET'S</t>
  </si>
  <si>
    <t>JUST EAT TAKEAWAY</t>
  </si>
  <si>
    <t>KBC</t>
  </si>
  <si>
    <t>KPN KON</t>
  </si>
  <si>
    <t>NN GROUP</t>
  </si>
  <si>
    <t>PHILIPS KON</t>
  </si>
  <si>
    <t>PROSUS</t>
  </si>
  <si>
    <t>RANDSTAD NV</t>
  </si>
  <si>
    <t>RELX</t>
  </si>
  <si>
    <t>SHELL PLC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</si>
  <si>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</si>
  <si>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</si>
  <si>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</si>
  <si>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</si>
  <si>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</si>
  <si>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</si>
  <si>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</si>
  <si>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</si>
  <si>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</si>
  <si>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</si>
  <si>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</si>
  <si>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</si>
  <si>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</si>
  <si>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</si>
  <si>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</si>
  <si>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</si>
  <si>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</si>
  <si>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</si>
  <si>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</si>
  <si>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</si>
  <si>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JE00BRX98089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</si>
  <si>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</si>
  <si>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</si>
  <si>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</si>
  <si>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</si>
  <si>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</si>
  <si>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</si>
  <si>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</si>
  <si>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</si>
  <si>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LU2290522684</t>
  </si>
  <si>
    <t>NL0014332678</t>
  </si>
  <si>
    <t>NL0012015705</t>
  </si>
  <si>
    <t>BE0003565737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</si>
  <si>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</si>
  <si>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</si>
  <si>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</si>
  <si>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</si>
  <si>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</si>
  <si>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</si>
  <si>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</si>
  <si>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BE0974464977</t>
  </si>
  <si>
    <t>BE0003739530</t>
  </si>
  <si>
    <t>NL0015000IY2</t>
  </si>
  <si>
    <t>BE0974320526</t>
  </si>
  <si>
    <t>GB00B10RZP78</t>
  </si>
  <si>
    <t>BE0974349814</t>
  </si>
  <si>
    <t>NL0000395903</t>
  </si>
  <si>
    <t>XBRU</t>
  </si>
  <si>
    <t>XAMS</t>
  </si>
  <si>
    <t>22-Sep-25</t>
  </si>
  <si>
    <t>EUR</t>
  </si>
  <si>
    <t>ACKERMANS V.HAAREN</t>
  </si>
  <si>
    <t>COFINIMMO</t>
  </si>
  <si>
    <t>LOTUS BAKERIES</t>
  </si>
  <si>
    <t>SOLVAY</t>
  </si>
  <si>
    <t>BE0003764785</t>
  </si>
  <si>
    <t>BE0003593044</t>
  </si>
  <si>
    <t>BE0003604155</t>
  </si>
  <si>
    <t>BE0003470755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</si>
</sst>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output/BNEW_df_20250916_200620.xlsx" TargetMode="External"/><Relationship Id="rId1" Type="http://schemas.openxmlformats.org/officeDocument/2006/relationships/externalLinkPath" Target="/personal/csonneveld_euronext_com/Documents/Documents/Projects/GUI%20+%20Reviews/output/BNEW_df_20250916_2006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 Composition"/>
      <sheetName val="Inclusion"/>
      <sheetName val="Exclusion"/>
      <sheetName val="Full Universe"/>
      <sheetName val="AEX BEL"/>
      <sheetName val="Index Market Cap"/>
    </sheetNames>
    <sheetDataSet>
      <sheetData sheetId="0">
        <row r="2">
          <cell r="B2" t="str">
            <v>BE0974293251</v>
          </cell>
        </row>
        <row r="3">
          <cell r="B3" t="str">
            <v>NL0011540547</v>
          </cell>
        </row>
        <row r="4">
          <cell r="B4" t="str">
            <v>NL0012969182</v>
          </cell>
        </row>
        <row r="5">
          <cell r="B5" t="str">
            <v>BMG0112X1056</v>
          </cell>
        </row>
        <row r="6">
          <cell r="B6" t="str">
            <v>BE0974264930</v>
          </cell>
        </row>
        <row r="7">
          <cell r="B7" t="str">
            <v>NL0011794037</v>
          </cell>
        </row>
        <row r="8">
          <cell r="B8" t="str">
            <v>NL0013267909</v>
          </cell>
        </row>
        <row r="9">
          <cell r="B9" t="str">
            <v>LU1598757687</v>
          </cell>
        </row>
        <row r="10">
          <cell r="B10" t="str">
            <v>NL0010832176</v>
          </cell>
        </row>
        <row r="11">
          <cell r="B11" t="str">
            <v>NL0000334118</v>
          </cell>
        </row>
        <row r="12">
          <cell r="B12" t="str">
            <v>NL0010273215</v>
          </cell>
        </row>
        <row r="13">
          <cell r="B13" t="str">
            <v>NL0011872643</v>
          </cell>
        </row>
        <row r="14">
          <cell r="B14" t="str">
            <v>NL0012866412</v>
          </cell>
        </row>
        <row r="15">
          <cell r="B15" t="str">
            <v>JE00BRX98089</v>
          </cell>
        </row>
        <row r="16">
          <cell r="B16" t="str">
            <v>BE0974259880</v>
          </cell>
        </row>
        <row r="17">
          <cell r="B17" t="str">
            <v>CH1216478797</v>
          </cell>
        </row>
        <row r="18">
          <cell r="B18" t="str">
            <v>BE0003822393</v>
          </cell>
        </row>
        <row r="19">
          <cell r="B19" t="str">
            <v>NL0012059018</v>
          </cell>
        </row>
        <row r="20">
          <cell r="B20" t="str">
            <v>NL0000009165</v>
          </cell>
        </row>
        <row r="21">
          <cell r="B21" t="str">
            <v>NL0010801007</v>
          </cell>
        </row>
        <row r="22">
          <cell r="B22" t="str">
            <v>NL0011821202</v>
          </cell>
        </row>
        <row r="23">
          <cell r="B23" t="str">
            <v>LU2290522684</v>
          </cell>
        </row>
        <row r="24">
          <cell r="B24" t="str">
            <v>NL0014332678</v>
          </cell>
        </row>
        <row r="25">
          <cell r="B25" t="str">
            <v>NL0012015705</v>
          </cell>
        </row>
        <row r="26">
          <cell r="B26" t="str">
            <v>BE0003565737</v>
          </cell>
        </row>
        <row r="27">
          <cell r="B27" t="str">
            <v>NL0000009082</v>
          </cell>
        </row>
        <row r="28">
          <cell r="B28" t="str">
            <v>NL0010773842</v>
          </cell>
        </row>
        <row r="29">
          <cell r="B29" t="str">
            <v>NL0000009538</v>
          </cell>
        </row>
        <row r="30">
          <cell r="B30" t="str">
            <v>NL0013654783</v>
          </cell>
        </row>
        <row r="31">
          <cell r="B31" t="str">
            <v>NL0000379121</v>
          </cell>
        </row>
        <row r="32">
          <cell r="B32" t="str">
            <v>GB00B2B0DG97</v>
          </cell>
        </row>
        <row r="33">
          <cell r="B33" t="str">
            <v>GB00BP6MXD84</v>
          </cell>
        </row>
        <row r="34">
          <cell r="B34" t="str">
            <v>BE0974464977</v>
          </cell>
        </row>
        <row r="35">
          <cell r="B35" t="str">
            <v>BE0003739530</v>
          </cell>
        </row>
        <row r="36">
          <cell r="B36" t="str">
            <v>NL0015000IY2</v>
          </cell>
        </row>
        <row r="37">
          <cell r="B37" t="str">
            <v>BE0974320526</v>
          </cell>
        </row>
        <row r="38">
          <cell r="B38" t="str">
            <v>GB00B10RZP78</v>
          </cell>
        </row>
        <row r="39">
          <cell r="B39" t="str">
            <v>BE0974349814</v>
          </cell>
        </row>
        <row r="40">
          <cell r="B40" t="str">
            <v>BE0974349814</v>
          </cell>
        </row>
        <row r="41">
          <cell r="B41" t="str">
            <v>NL0000395903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topLeftCell="A17" workbookViewId="0">
      <selection activeCell="I20" sqref="I20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48</v>
      </c>
      <c r="C2" t="s">
        <v>88</v>
      </c>
      <c r="D2">
        <v>2618551</v>
      </c>
      <c r="E2">
        <v>1</v>
      </c>
      <c r="F2">
        <v>1</v>
      </c>
      <c r="G2" t="s">
        <v>90</v>
      </c>
      <c r="H2" t="s">
        <v>91</v>
      </c>
      <c r="I2" t="b">
        <f>B2='[1]Index Composition'!B2</f>
        <v>1</v>
      </c>
    </row>
    <row r="3" spans="1:9" x14ac:dyDescent="0.25">
      <c r="A3" t="s">
        <v>9</v>
      </c>
      <c r="B3" t="s">
        <v>49</v>
      </c>
      <c r="C3" t="s">
        <v>89</v>
      </c>
      <c r="D3">
        <v>5082592</v>
      </c>
      <c r="E3">
        <v>1</v>
      </c>
      <c r="F3">
        <v>1</v>
      </c>
      <c r="G3" t="s">
        <v>90</v>
      </c>
      <c r="H3" t="s">
        <v>91</v>
      </c>
      <c r="I3" t="b">
        <f>B3='[1]Index Composition'!B3</f>
        <v>1</v>
      </c>
    </row>
    <row r="4" spans="1:9" x14ac:dyDescent="0.25">
      <c r="A4" t="s">
        <v>10</v>
      </c>
      <c r="B4" t="s">
        <v>50</v>
      </c>
      <c r="C4" t="s">
        <v>89</v>
      </c>
      <c r="D4">
        <v>97329</v>
      </c>
      <c r="E4">
        <v>1</v>
      </c>
      <c r="F4">
        <v>1</v>
      </c>
      <c r="G4" t="s">
        <v>90</v>
      </c>
      <c r="H4" t="s">
        <v>91</v>
      </c>
      <c r="I4" t="b">
        <f>B4='[1]Index Composition'!B4</f>
        <v>1</v>
      </c>
    </row>
    <row r="5" spans="1:9" x14ac:dyDescent="0.25">
      <c r="A5" t="s">
        <v>11</v>
      </c>
      <c r="B5" t="s">
        <v>51</v>
      </c>
      <c r="C5" t="s">
        <v>89</v>
      </c>
      <c r="D5">
        <v>19718007</v>
      </c>
      <c r="E5">
        <v>1</v>
      </c>
      <c r="F5">
        <v>1</v>
      </c>
      <c r="G5" t="s">
        <v>90</v>
      </c>
      <c r="H5" t="s">
        <v>91</v>
      </c>
      <c r="I5" t="b">
        <f>B5='[1]Index Composition'!B5</f>
        <v>1</v>
      </c>
    </row>
    <row r="6" spans="1:9" x14ac:dyDescent="0.25">
      <c r="A6" t="s">
        <v>12</v>
      </c>
      <c r="B6" t="s">
        <v>52</v>
      </c>
      <c r="C6" t="s">
        <v>88</v>
      </c>
      <c r="D6">
        <v>2211614</v>
      </c>
      <c r="E6">
        <v>1</v>
      </c>
      <c r="F6">
        <v>1</v>
      </c>
      <c r="G6" t="s">
        <v>90</v>
      </c>
      <c r="H6" t="s">
        <v>91</v>
      </c>
      <c r="I6" t="b">
        <f>B6='[1]Index Composition'!B6</f>
        <v>1</v>
      </c>
    </row>
    <row r="7" spans="1:9" x14ac:dyDescent="0.25">
      <c r="A7" t="s">
        <v>13</v>
      </c>
      <c r="B7" t="s">
        <v>53</v>
      </c>
      <c r="C7" t="s">
        <v>89</v>
      </c>
      <c r="D7">
        <v>3814906</v>
      </c>
      <c r="E7">
        <v>1</v>
      </c>
      <c r="F7">
        <v>1</v>
      </c>
      <c r="G7" t="s">
        <v>90</v>
      </c>
      <c r="H7" t="s">
        <v>91</v>
      </c>
      <c r="I7" t="b">
        <f>B7='[1]Index Composition'!B7</f>
        <v>1</v>
      </c>
    </row>
    <row r="8" spans="1:9" x14ac:dyDescent="0.25">
      <c r="A8" t="s">
        <v>14</v>
      </c>
      <c r="B8" t="s">
        <v>54</v>
      </c>
      <c r="C8" t="s">
        <v>89</v>
      </c>
      <c r="D8">
        <v>2139339</v>
      </c>
      <c r="E8">
        <v>1</v>
      </c>
      <c r="F8">
        <v>1</v>
      </c>
      <c r="G8" t="s">
        <v>90</v>
      </c>
      <c r="H8" t="s">
        <v>91</v>
      </c>
      <c r="I8" t="b">
        <f>B8='[1]Index Composition'!B8</f>
        <v>1</v>
      </c>
    </row>
    <row r="9" spans="1:9" x14ac:dyDescent="0.25">
      <c r="A9" t="s">
        <v>15</v>
      </c>
      <c r="B9" t="s">
        <v>55</v>
      </c>
      <c r="C9" t="s">
        <v>89</v>
      </c>
      <c r="D9">
        <v>4424723</v>
      </c>
      <c r="E9">
        <v>1</v>
      </c>
      <c r="F9">
        <v>1</v>
      </c>
      <c r="G9" t="s">
        <v>90</v>
      </c>
      <c r="H9" t="s">
        <v>91</v>
      </c>
      <c r="I9" t="b">
        <f>B9='[1]Index Composition'!B9</f>
        <v>1</v>
      </c>
    </row>
    <row r="10" spans="1:9" x14ac:dyDescent="0.25">
      <c r="A10" t="s">
        <v>16</v>
      </c>
      <c r="B10" t="s">
        <v>56</v>
      </c>
      <c r="C10" t="s">
        <v>88</v>
      </c>
      <c r="D10">
        <v>203177</v>
      </c>
      <c r="E10">
        <v>1</v>
      </c>
      <c r="F10">
        <v>1</v>
      </c>
      <c r="G10" t="s">
        <v>90</v>
      </c>
      <c r="H10" t="s">
        <v>91</v>
      </c>
      <c r="I10" t="b">
        <f>B10='[1]Index Composition'!B10</f>
        <v>1</v>
      </c>
    </row>
    <row r="11" spans="1:9" x14ac:dyDescent="0.25">
      <c r="A11" t="s">
        <v>17</v>
      </c>
      <c r="B11" t="s">
        <v>57</v>
      </c>
      <c r="C11" t="s">
        <v>89</v>
      </c>
      <c r="D11">
        <v>308428</v>
      </c>
      <c r="E11">
        <v>1</v>
      </c>
      <c r="F11">
        <v>1</v>
      </c>
      <c r="G11" t="s">
        <v>90</v>
      </c>
      <c r="H11" t="s">
        <v>91</v>
      </c>
      <c r="I11" t="b">
        <f>B11='[1]Index Composition'!B11</f>
        <v>1</v>
      </c>
    </row>
    <row r="12" spans="1:9" x14ac:dyDescent="0.25">
      <c r="A12" t="s">
        <v>18</v>
      </c>
      <c r="B12" t="s">
        <v>58</v>
      </c>
      <c r="C12" t="s">
        <v>89</v>
      </c>
      <c r="D12">
        <v>189805</v>
      </c>
      <c r="E12">
        <v>1</v>
      </c>
      <c r="F12">
        <v>1</v>
      </c>
      <c r="G12" t="s">
        <v>90</v>
      </c>
      <c r="H12" t="s">
        <v>91</v>
      </c>
      <c r="I12" t="b">
        <f>B12='[1]Index Composition'!B12</f>
        <v>1</v>
      </c>
    </row>
    <row r="13" spans="1:9" x14ac:dyDescent="0.25">
      <c r="A13" t="s">
        <v>19</v>
      </c>
      <c r="B13" t="s">
        <v>59</v>
      </c>
      <c r="C13" t="s">
        <v>89</v>
      </c>
      <c r="D13">
        <v>2235785</v>
      </c>
      <c r="E13">
        <v>1</v>
      </c>
      <c r="F13">
        <v>1</v>
      </c>
      <c r="G13" t="s">
        <v>90</v>
      </c>
      <c r="H13" t="s">
        <v>91</v>
      </c>
      <c r="I13" t="b">
        <f>B13='[1]Index Composition'!B13</f>
        <v>1</v>
      </c>
    </row>
    <row r="14" spans="1:9" x14ac:dyDescent="0.25">
      <c r="A14" t="s">
        <v>20</v>
      </c>
      <c r="B14" t="s">
        <v>60</v>
      </c>
      <c r="C14" t="s">
        <v>89</v>
      </c>
      <c r="D14">
        <v>1170564</v>
      </c>
      <c r="E14">
        <v>1</v>
      </c>
      <c r="F14">
        <v>1</v>
      </c>
      <c r="G14" t="s">
        <v>90</v>
      </c>
      <c r="H14" t="s">
        <v>91</v>
      </c>
      <c r="I14" t="b">
        <f>B14='[1]Index Composition'!B14</f>
        <v>1</v>
      </c>
    </row>
    <row r="15" spans="1:9" x14ac:dyDescent="0.25">
      <c r="A15" t="s">
        <v>21</v>
      </c>
      <c r="B15" t="s">
        <v>61</v>
      </c>
      <c r="C15" t="s">
        <v>89</v>
      </c>
      <c r="D15">
        <v>8596689</v>
      </c>
      <c r="E15">
        <v>1</v>
      </c>
      <c r="F15">
        <v>1</v>
      </c>
      <c r="G15" t="s">
        <v>90</v>
      </c>
      <c r="H15" t="s">
        <v>91</v>
      </c>
      <c r="I15" t="b">
        <f>B15='[1]Index Composition'!B15</f>
        <v>1</v>
      </c>
    </row>
    <row r="16" spans="1:9" x14ac:dyDescent="0.25">
      <c r="A16" t="s">
        <v>22</v>
      </c>
      <c r="B16" t="s">
        <v>62</v>
      </c>
      <c r="C16" t="s">
        <v>88</v>
      </c>
      <c r="D16">
        <v>792060</v>
      </c>
      <c r="E16">
        <v>1</v>
      </c>
      <c r="F16">
        <v>1</v>
      </c>
      <c r="G16" t="s">
        <v>90</v>
      </c>
      <c r="H16" t="s">
        <v>91</v>
      </c>
      <c r="I16" t="b">
        <f>B16='[1]Index Composition'!B16</f>
        <v>1</v>
      </c>
    </row>
    <row r="17" spans="1:9" x14ac:dyDescent="0.25">
      <c r="A17" t="s">
        <v>23</v>
      </c>
      <c r="B17" t="s">
        <v>63</v>
      </c>
      <c r="C17" t="s">
        <v>89</v>
      </c>
      <c r="D17">
        <v>1626834</v>
      </c>
      <c r="E17">
        <v>1</v>
      </c>
      <c r="F17">
        <v>1</v>
      </c>
      <c r="G17" t="s">
        <v>90</v>
      </c>
      <c r="H17" t="s">
        <v>91</v>
      </c>
      <c r="I17" t="b">
        <f>B17='[1]Index Composition'!B17</f>
        <v>1</v>
      </c>
    </row>
    <row r="18" spans="1:9" x14ac:dyDescent="0.25">
      <c r="A18" t="s">
        <v>24</v>
      </c>
      <c r="B18" t="s">
        <v>64</v>
      </c>
      <c r="C18" t="s">
        <v>88</v>
      </c>
      <c r="D18">
        <v>1374568</v>
      </c>
      <c r="E18">
        <v>1</v>
      </c>
      <c r="F18">
        <v>1</v>
      </c>
      <c r="G18" t="s">
        <v>90</v>
      </c>
      <c r="H18" t="s">
        <v>91</v>
      </c>
      <c r="I18" t="b">
        <f>B18='[1]Index Composition'!B18</f>
        <v>1</v>
      </c>
    </row>
    <row r="19" spans="1:9" x14ac:dyDescent="0.25">
      <c r="A19" t="s">
        <v>25</v>
      </c>
      <c r="B19" t="s">
        <v>65</v>
      </c>
      <c r="C19" t="s">
        <v>89</v>
      </c>
      <c r="D19">
        <v>1559590</v>
      </c>
      <c r="E19">
        <v>1</v>
      </c>
      <c r="F19">
        <v>1</v>
      </c>
      <c r="G19" t="s">
        <v>90</v>
      </c>
      <c r="H19" t="s">
        <v>91</v>
      </c>
      <c r="I19" t="b">
        <f>B19='[1]Index Composition'!B19</f>
        <v>1</v>
      </c>
    </row>
    <row r="20" spans="1:9" x14ac:dyDescent="0.25">
      <c r="A20" t="s">
        <v>26</v>
      </c>
      <c r="B20" t="s">
        <v>66</v>
      </c>
      <c r="C20" t="s">
        <v>88</v>
      </c>
      <c r="D20">
        <v>1722731</v>
      </c>
      <c r="E20">
        <v>1</v>
      </c>
      <c r="F20">
        <v>1</v>
      </c>
      <c r="G20" t="s">
        <v>90</v>
      </c>
      <c r="H20" t="s">
        <v>91</v>
      </c>
      <c r="I20" t="b">
        <f>B20='[1]Index Composition'!B20</f>
        <v>0</v>
      </c>
    </row>
    <row r="21" spans="1:9" x14ac:dyDescent="0.25">
      <c r="A21" t="s">
        <v>27</v>
      </c>
      <c r="B21" t="s">
        <v>67</v>
      </c>
      <c r="C21" t="s">
        <v>89</v>
      </c>
      <c r="D21">
        <v>1983751</v>
      </c>
      <c r="E21">
        <v>1</v>
      </c>
      <c r="F21">
        <v>1</v>
      </c>
      <c r="G21" t="s">
        <v>90</v>
      </c>
      <c r="H21" t="s">
        <v>91</v>
      </c>
      <c r="I21" t="b">
        <f>B21='[1]Index Composition'!B21</f>
        <v>0</v>
      </c>
    </row>
    <row r="22" spans="1:9" x14ac:dyDescent="0.25">
      <c r="A22" t="s">
        <v>28</v>
      </c>
      <c r="B22" t="s">
        <v>68</v>
      </c>
      <c r="C22" t="s">
        <v>89</v>
      </c>
      <c r="D22">
        <v>1428405</v>
      </c>
      <c r="E22">
        <v>1</v>
      </c>
      <c r="F22">
        <v>1</v>
      </c>
      <c r="G22" t="s">
        <v>90</v>
      </c>
      <c r="H22" t="s">
        <v>91</v>
      </c>
      <c r="I22" t="b">
        <f>B22='[1]Index Composition'!B22</f>
        <v>0</v>
      </c>
    </row>
    <row r="23" spans="1:9" x14ac:dyDescent="0.25">
      <c r="A23" t="s">
        <v>29</v>
      </c>
      <c r="B23" t="s">
        <v>69</v>
      </c>
      <c r="C23" t="s">
        <v>89</v>
      </c>
      <c r="D23">
        <v>6065674</v>
      </c>
      <c r="E23">
        <v>1</v>
      </c>
      <c r="F23">
        <v>1</v>
      </c>
      <c r="G23" t="s">
        <v>90</v>
      </c>
      <c r="H23" t="s">
        <v>91</v>
      </c>
      <c r="I23" t="b">
        <f>B23='[1]Index Composition'!B23</f>
        <v>0</v>
      </c>
    </row>
    <row r="24" spans="1:9" x14ac:dyDescent="0.25">
      <c r="A24" t="s">
        <v>30</v>
      </c>
      <c r="B24" t="s">
        <v>70</v>
      </c>
      <c r="C24" t="s">
        <v>89</v>
      </c>
      <c r="D24">
        <v>11913336</v>
      </c>
      <c r="E24">
        <v>1</v>
      </c>
      <c r="F24">
        <v>1</v>
      </c>
      <c r="G24" t="s">
        <v>90</v>
      </c>
      <c r="H24" t="s">
        <v>91</v>
      </c>
      <c r="I24" t="b">
        <f>B24='[1]Index Composition'!B24</f>
        <v>0</v>
      </c>
    </row>
    <row r="25" spans="1:9" x14ac:dyDescent="0.25">
      <c r="A25" t="s">
        <v>31</v>
      </c>
      <c r="B25" t="s">
        <v>71</v>
      </c>
      <c r="C25" t="s">
        <v>89</v>
      </c>
      <c r="D25">
        <v>4191023</v>
      </c>
      <c r="E25">
        <v>1</v>
      </c>
      <c r="F25">
        <v>1</v>
      </c>
      <c r="G25" t="s">
        <v>90</v>
      </c>
      <c r="H25" t="s">
        <v>91</v>
      </c>
      <c r="I25" t="b">
        <f>B25='[1]Index Composition'!B25</f>
        <v>0</v>
      </c>
    </row>
    <row r="26" spans="1:9" x14ac:dyDescent="0.25">
      <c r="A26" t="s">
        <v>32</v>
      </c>
      <c r="B26" t="s">
        <v>72</v>
      </c>
      <c r="C26" t="s">
        <v>89</v>
      </c>
      <c r="D26">
        <v>6471951</v>
      </c>
      <c r="E26">
        <v>1</v>
      </c>
      <c r="F26">
        <v>1</v>
      </c>
      <c r="G26" t="s">
        <v>90</v>
      </c>
      <c r="H26" t="s">
        <v>91</v>
      </c>
      <c r="I26" t="b">
        <f>B26='[1]Index Composition'!B26</f>
        <v>0</v>
      </c>
    </row>
    <row r="27" spans="1:9" x14ac:dyDescent="0.25">
      <c r="A27" t="s">
        <v>33</v>
      </c>
      <c r="B27" t="s">
        <v>73</v>
      </c>
      <c r="C27" t="s">
        <v>88</v>
      </c>
      <c r="D27">
        <v>1285494</v>
      </c>
      <c r="E27">
        <v>1</v>
      </c>
      <c r="F27">
        <v>1</v>
      </c>
      <c r="G27" t="s">
        <v>90</v>
      </c>
      <c r="H27" t="s">
        <v>91</v>
      </c>
      <c r="I27" t="b">
        <f>B27='[1]Index Composition'!B27</f>
        <v>0</v>
      </c>
    </row>
    <row r="28" spans="1:9" x14ac:dyDescent="0.25">
      <c r="A28" t="s">
        <v>34</v>
      </c>
      <c r="B28" t="s">
        <v>74</v>
      </c>
      <c r="C28" t="s">
        <v>89</v>
      </c>
      <c r="D28">
        <v>30770286</v>
      </c>
      <c r="E28">
        <v>1</v>
      </c>
      <c r="F28">
        <v>1</v>
      </c>
      <c r="G28" t="s">
        <v>90</v>
      </c>
      <c r="H28" t="s">
        <v>91</v>
      </c>
      <c r="I28" t="b">
        <f>B28='[1]Index Composition'!B28</f>
        <v>0</v>
      </c>
    </row>
    <row r="29" spans="1:9" x14ac:dyDescent="0.25">
      <c r="A29" t="s">
        <v>35</v>
      </c>
      <c r="B29" t="s">
        <v>75</v>
      </c>
      <c r="C29" t="s">
        <v>89</v>
      </c>
      <c r="D29">
        <v>2210121</v>
      </c>
      <c r="E29">
        <v>1</v>
      </c>
      <c r="F29">
        <v>1</v>
      </c>
      <c r="G29" t="s">
        <v>90</v>
      </c>
      <c r="H29" t="s">
        <v>91</v>
      </c>
      <c r="I29" t="b">
        <f>B29='[1]Index Composition'!B29</f>
        <v>0</v>
      </c>
    </row>
    <row r="30" spans="1:9" x14ac:dyDescent="0.25">
      <c r="A30" t="s">
        <v>36</v>
      </c>
      <c r="B30" t="s">
        <v>76</v>
      </c>
      <c r="C30" t="s">
        <v>89</v>
      </c>
      <c r="D30">
        <v>5446238</v>
      </c>
      <c r="E30">
        <v>1</v>
      </c>
      <c r="F30">
        <v>1</v>
      </c>
      <c r="G30" t="s">
        <v>90</v>
      </c>
      <c r="H30" t="s">
        <v>91</v>
      </c>
      <c r="I30" t="b">
        <f>B30='[1]Index Composition'!B30</f>
        <v>0</v>
      </c>
    </row>
    <row r="31" spans="1:9" x14ac:dyDescent="0.25">
      <c r="A31" t="s">
        <v>37</v>
      </c>
      <c r="B31" t="s">
        <v>77</v>
      </c>
      <c r="C31" t="s">
        <v>89</v>
      </c>
      <c r="D31">
        <v>2398380</v>
      </c>
      <c r="E31">
        <v>1</v>
      </c>
      <c r="F31">
        <v>1</v>
      </c>
      <c r="G31" t="s">
        <v>90</v>
      </c>
      <c r="H31" t="s">
        <v>91</v>
      </c>
      <c r="I31" t="b">
        <f>B31='[1]Index Composition'!B31</f>
        <v>0</v>
      </c>
    </row>
    <row r="32" spans="1:9" x14ac:dyDescent="0.25">
      <c r="A32" t="s">
        <v>38</v>
      </c>
      <c r="B32" t="s">
        <v>78</v>
      </c>
      <c r="C32" t="s">
        <v>89</v>
      </c>
      <c r="D32">
        <v>3582150</v>
      </c>
      <c r="E32">
        <v>1</v>
      </c>
      <c r="F32">
        <v>1</v>
      </c>
      <c r="G32" t="s">
        <v>90</v>
      </c>
      <c r="H32" t="s">
        <v>91</v>
      </c>
      <c r="I32" t="b">
        <f>B32='[1]Index Composition'!B32</f>
        <v>0</v>
      </c>
    </row>
    <row r="33" spans="1:9" x14ac:dyDescent="0.25">
      <c r="A33" t="s">
        <v>39</v>
      </c>
      <c r="B33" t="s">
        <v>79</v>
      </c>
      <c r="C33" t="s">
        <v>89</v>
      </c>
      <c r="D33">
        <v>3291291</v>
      </c>
      <c r="E33">
        <v>1</v>
      </c>
      <c r="F33">
        <v>1</v>
      </c>
      <c r="G33" t="s">
        <v>90</v>
      </c>
      <c r="H33" t="s">
        <v>91</v>
      </c>
      <c r="I33" t="b">
        <f>B33='[1]Index Composition'!B33</f>
        <v>0</v>
      </c>
    </row>
    <row r="34" spans="1:9" x14ac:dyDescent="0.25">
      <c r="A34" t="s">
        <v>40</v>
      </c>
      <c r="B34" t="s">
        <v>80</v>
      </c>
      <c r="C34" t="s">
        <v>89</v>
      </c>
      <c r="D34">
        <v>4270306</v>
      </c>
      <c r="E34">
        <v>1</v>
      </c>
      <c r="F34">
        <v>1</v>
      </c>
      <c r="G34" t="s">
        <v>90</v>
      </c>
      <c r="H34" t="s">
        <v>91</v>
      </c>
      <c r="I34" t="b">
        <f>B34='[1]Index Composition'!B34</f>
        <v>0</v>
      </c>
    </row>
    <row r="35" spans="1:9" x14ac:dyDescent="0.25">
      <c r="A35" t="s">
        <v>41</v>
      </c>
      <c r="B35" t="s">
        <v>81</v>
      </c>
      <c r="C35" t="s">
        <v>88</v>
      </c>
      <c r="D35">
        <v>1815413</v>
      </c>
      <c r="E35">
        <v>1</v>
      </c>
      <c r="F35">
        <v>1</v>
      </c>
      <c r="G35" t="s">
        <v>90</v>
      </c>
      <c r="H35" t="s">
        <v>91</v>
      </c>
      <c r="I35" t="b">
        <f>B35='[1]Index Composition'!B35</f>
        <v>0</v>
      </c>
    </row>
    <row r="36" spans="1:9" x14ac:dyDescent="0.25">
      <c r="A36" t="s">
        <v>42</v>
      </c>
      <c r="B36" t="s">
        <v>82</v>
      </c>
      <c r="C36" t="s">
        <v>88</v>
      </c>
      <c r="D36">
        <v>631280</v>
      </c>
      <c r="E36">
        <v>1</v>
      </c>
      <c r="F36">
        <v>1</v>
      </c>
      <c r="G36" t="s">
        <v>90</v>
      </c>
      <c r="H36" t="s">
        <v>91</v>
      </c>
      <c r="I36" t="b">
        <f>B36='[1]Index Composition'!B36</f>
        <v>0</v>
      </c>
    </row>
    <row r="37" spans="1:9" x14ac:dyDescent="0.25">
      <c r="A37" t="s">
        <v>43</v>
      </c>
      <c r="B37" t="s">
        <v>83</v>
      </c>
      <c r="C37" t="s">
        <v>89</v>
      </c>
      <c r="D37">
        <v>5324423</v>
      </c>
      <c r="E37">
        <v>1</v>
      </c>
      <c r="F37">
        <v>1</v>
      </c>
      <c r="G37" t="s">
        <v>90</v>
      </c>
      <c r="H37" t="s">
        <v>91</v>
      </c>
      <c r="I37" t="b">
        <f>B37='[1]Index Composition'!B37</f>
        <v>0</v>
      </c>
    </row>
    <row r="38" spans="1:9" x14ac:dyDescent="0.25">
      <c r="A38" t="s">
        <v>44</v>
      </c>
      <c r="B38" t="s">
        <v>84</v>
      </c>
      <c r="C38" t="s">
        <v>88</v>
      </c>
      <c r="D38">
        <v>9948903</v>
      </c>
      <c r="E38">
        <v>1</v>
      </c>
      <c r="F38">
        <v>1</v>
      </c>
      <c r="G38" t="s">
        <v>90</v>
      </c>
      <c r="H38" t="s">
        <v>91</v>
      </c>
      <c r="I38" t="b">
        <f>B38='[1]Index Composition'!B38</f>
        <v>0</v>
      </c>
    </row>
    <row r="39" spans="1:9" x14ac:dyDescent="0.25">
      <c r="A39" t="s">
        <v>45</v>
      </c>
      <c r="B39" t="s">
        <v>85</v>
      </c>
      <c r="C39" t="s">
        <v>89</v>
      </c>
      <c r="D39">
        <v>2441767</v>
      </c>
      <c r="E39">
        <v>1</v>
      </c>
      <c r="F39">
        <v>1</v>
      </c>
      <c r="G39" t="s">
        <v>90</v>
      </c>
      <c r="H39" t="s">
        <v>91</v>
      </c>
      <c r="I39" t="b">
        <f>B39='[1]Index Composition'!B39</f>
        <v>0</v>
      </c>
    </row>
    <row r="40" spans="1:9" x14ac:dyDescent="0.25">
      <c r="A40" t="s">
        <v>46</v>
      </c>
      <c r="B40" t="s">
        <v>86</v>
      </c>
      <c r="C40" t="s">
        <v>88</v>
      </c>
      <c r="D40">
        <v>6199222</v>
      </c>
      <c r="E40">
        <v>1</v>
      </c>
      <c r="F40">
        <v>1</v>
      </c>
      <c r="G40" t="s">
        <v>90</v>
      </c>
      <c r="H40" t="s">
        <v>91</v>
      </c>
      <c r="I40" t="b">
        <f>B40='[1]Index Composition'!B40</f>
        <v>1</v>
      </c>
    </row>
    <row r="41" spans="1:9" x14ac:dyDescent="0.25">
      <c r="A41" t="s">
        <v>47</v>
      </c>
      <c r="B41" t="s">
        <v>87</v>
      </c>
      <c r="C41" t="s">
        <v>89</v>
      </c>
      <c r="D41">
        <v>1165873</v>
      </c>
      <c r="E41">
        <v>1</v>
      </c>
      <c r="F41">
        <v>1</v>
      </c>
      <c r="G41" t="s">
        <v>90</v>
      </c>
      <c r="H41" t="s">
        <v>91</v>
      </c>
      <c r="I41" t="b">
        <f>B41='[1]Index Composition'!B41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21</v>
      </c>
      <c r="B2" t="s">
        <v>61</v>
      </c>
      <c r="C2" t="s">
        <v>89</v>
      </c>
    </row>
    <row r="3" spans="1:3" x14ac:dyDescent="0.25">
      <c r="A3" t="s">
        <v>30</v>
      </c>
      <c r="B3" t="s">
        <v>70</v>
      </c>
      <c r="C3" t="s">
        <v>89</v>
      </c>
    </row>
    <row r="4" spans="1:3" x14ac:dyDescent="0.25">
      <c r="A4" t="s">
        <v>31</v>
      </c>
      <c r="B4" t="s">
        <v>71</v>
      </c>
      <c r="C4" t="s">
        <v>89</v>
      </c>
    </row>
    <row r="5" spans="1:3" x14ac:dyDescent="0.25">
      <c r="A5" t="s">
        <v>32</v>
      </c>
      <c r="B5" t="s">
        <v>72</v>
      </c>
      <c r="C5" t="s">
        <v>89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92</v>
      </c>
      <c r="B2" t="s">
        <v>96</v>
      </c>
      <c r="C2" t="s">
        <v>88</v>
      </c>
    </row>
    <row r="3" spans="1:3" x14ac:dyDescent="0.25">
      <c r="A3" t="s">
        <v>93</v>
      </c>
      <c r="B3" t="s">
        <v>97</v>
      </c>
      <c r="C3" t="s">
        <v>88</v>
      </c>
    </row>
    <row r="4" spans="1:3" x14ac:dyDescent="0.25">
      <c r="A4" t="s">
        <v>94</v>
      </c>
      <c r="B4" t="s">
        <v>98</v>
      </c>
      <c r="C4" t="s">
        <v>88</v>
      </c>
    </row>
    <row r="5" spans="1:3" x14ac:dyDescent="0.25">
      <c r="A5" t="s">
        <v>95</v>
      </c>
      <c r="B5" t="s">
        <v>99</v>
      </c>
      <c r="C5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2025-09-14T14:48:33Z</dcterms:created>
  <dcterms:modified xsi:type="dcterms:W3CDTF">2025-09-16T18:07:45Z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2025-09-16T14:43:38Z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bb95cc98-997c-4157-801d-df3ab746ca04</vt:lpwstr>
  </property>
  <property fmtid="{D5CDD505-2E9C-101B-9397-08002B2CF9AE}" pid="8" name="MSIP_Label_ac0b9ce6-6e99-42a1-af95-429494370cbc_ContentBits">
    <vt:lpwstr>2</vt:lpwstr>
  </property>
</Properties>
</file>